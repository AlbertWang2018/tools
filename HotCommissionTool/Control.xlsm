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1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angw\OneDrive\文档\0 - work\20240702 TB2热调\code\"/>
    </mc:Choice>
  </mc:AlternateContent>
  <xr:revisionPtr revIDLastSave="0" documentId="13_ncr:1_{B95DA019-A075-4C73-BC8B-D977D6BABD10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  <c r="H6" i="1"/>
  <c r="I3" i="1"/>
  <c r="O3" i="1"/>
  <c r="O4" i="1"/>
</calcChain>
</file>

<file path=xl/sharedStrings.xml><?xml version="1.0" encoding="utf-8"?>
<sst xmlns="http://schemas.openxmlformats.org/spreadsheetml/2006/main" count="43" uniqueCount="41">
  <si>
    <t>Register</t>
  </si>
  <si>
    <t>Data</t>
  </si>
  <si>
    <t>HeartBeat</t>
  </si>
  <si>
    <t>HV Relay On</t>
  </si>
  <si>
    <t>HV Relay OFF</t>
  </si>
  <si>
    <t>ClearAlarm</t>
  </si>
  <si>
    <t>0-255</t>
  </si>
  <si>
    <t>Volt</t>
  </si>
  <si>
    <t>Current</t>
  </si>
  <si>
    <t>No</t>
  </si>
  <si>
    <t>Power(KW)</t>
  </si>
  <si>
    <t>SOC(%）</t>
  </si>
  <si>
    <t>Current(A)</t>
  </si>
  <si>
    <t>172.16.6.87</t>
  </si>
  <si>
    <t>172.16.6.88</t>
  </si>
  <si>
    <t>I</t>
  </si>
  <si>
    <t>KW</t>
  </si>
  <si>
    <t>IP Address:</t>
  </si>
  <si>
    <t>Racks</t>
  </si>
  <si>
    <t>Read Limit</t>
  </si>
  <si>
    <t>0 then 1</t>
  </si>
  <si>
    <t>Rack Current</t>
  </si>
  <si>
    <t>Current limit</t>
  </si>
  <si>
    <t>2 then 1</t>
  </si>
  <si>
    <t>(Reading-20000)/10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</si>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</sst>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4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6" fillId="5" borderId="0" xfId="2" applyFill="1" applyBorder="1" applyAlignment="1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4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5" fillId="9" borderId="0" xfId="1" applyFill="1" applyAlignment="1">
      <alignment vertical="center"/>
    </xf>
    <xf numFmtId="0" fontId="7" fillId="4" borderId="1" xfId="3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 wrapText="1"/>
    </xf>
    <xf numFmtId="0" fontId="9" fillId="7" borderId="11" xfId="0" applyFont="1" applyFill="1" applyBorder="1" applyAlignment="1">
      <alignment horizontal="center" vertical="center" wrapText="1"/>
    </xf>
    <xf numFmtId="0" fontId="9" fillId="7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4"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Sheet1!$C$20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Sheet1!$A$21:$A$30</c:f>
              <c:strCache>
                <c:ptCount val="1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</c:strCache>
            </c:strRef>
          </c:cat>
          <c:val>
            <c:numRef>
              <c:f>Sheet1!$C$21:$C$30</c:f>
              <c:numCache>
                <c:formatCode>0.0</c:formatCode>
                <c:ptCount val="10"/>
                <c:pt idx="0">
                  <c:v>34</c:v>
                </c:pt>
                <c:pt idx="1">
                  <c:v>38.5</c:v>
                </c:pt>
                <c:pt idx="2">
                  <c:v>38.4</c:v>
                </c:pt>
                <c:pt idx="3">
                  <c:v>38.4</c:v>
                </c:pt>
                <c:pt idx="5">
                  <c:v>36.5</c:v>
                </c:pt>
                <c:pt idx="6">
                  <c:v>36.4</c:v>
                </c:pt>
                <c:pt idx="7">
                  <c:v>33.299999999999997</c:v>
                </c:pt>
                <c:pt idx="8">
                  <c:v>34.1</c:v>
                </c:pt>
                <c:pt idx="9">
                  <c:v>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Sheet1!$B$20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Sheet1!$A$21:$A$30</c:f>
              <c:strCache>
                <c:ptCount val="1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</c:strCache>
            </c:strRef>
          </c:cat>
          <c:val>
            <c:numRef>
              <c:f>Sheet1!$B$21:$B$30</c:f>
              <c:numCache>
                <c:formatCode>0.0</c:formatCode>
                <c:ptCount val="10"/>
                <c:pt idx="0">
                  <c:v>-0.4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-0.3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300"/>
          <c:min val="-3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76200</xdr:rowOff>
        </xdr:from>
        <xdr:to>
          <xdr:col>5</xdr:col>
          <xdr:colOff>214200</xdr:colOff>
          <xdr:row>1</xdr:row>
          <xdr:rowOff>173700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25400</xdr:rowOff>
        </xdr:from>
        <xdr:to>
          <xdr:col>5</xdr:col>
          <xdr:colOff>214200</xdr:colOff>
          <xdr:row>4</xdr:row>
          <xdr:rowOff>132425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184150</xdr:rowOff>
        </xdr:from>
        <xdr:to>
          <xdr:col>5</xdr:col>
          <xdr:colOff>214200</xdr:colOff>
          <xdr:row>7</xdr:row>
          <xdr:rowOff>91150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123825</xdr:rowOff>
        </xdr:from>
        <xdr:to>
          <xdr:col>5</xdr:col>
          <xdr:colOff>214200</xdr:colOff>
          <xdr:row>10</xdr:row>
          <xdr:rowOff>30825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4</xdr:row>
          <xdr:rowOff>114300</xdr:rowOff>
        </xdr:from>
        <xdr:to>
          <xdr:col>14</xdr:col>
          <xdr:colOff>509475</xdr:colOff>
          <xdr:row>6</xdr:row>
          <xdr:rowOff>40350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16</xdr:row>
          <xdr:rowOff>123825</xdr:rowOff>
        </xdr:from>
        <xdr:to>
          <xdr:col>4</xdr:col>
          <xdr:colOff>4650</xdr:colOff>
          <xdr:row>18</xdr:row>
          <xdr:rowOff>49875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4761</xdr:colOff>
      <xdr:row>12</xdr:row>
      <xdr:rowOff>142875</xdr:rowOff>
    </xdr:from>
    <xdr:to>
      <xdr:col>16</xdr:col>
      <xdr:colOff>133349</xdr:colOff>
      <xdr:row>29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P30"/>
  <sheetViews>
    <sheetView tabSelected="1" workbookViewId="0">
      <selection activeCell="F22" sqref="F22"/>
    </sheetView>
  </sheetViews>
  <sheetFormatPr defaultRowHeight="13.5" x14ac:dyDescent="0.15"/>
  <cols>
    <col min="1" max="1" width="10.125" bestFit="1" customWidth="1"/>
    <col min="2" max="2" width="12.375" bestFit="1" customWidth="1"/>
    <col min="3" max="3" width="14" customWidth="1"/>
    <col min="4" max="4" width="12.375" bestFit="1" customWidth="1"/>
    <col min="7" max="7" width="10.625" customWidth="1"/>
    <col min="14" max="14" width="10.625" customWidth="1"/>
    <col min="15" max="15" width="12.375" customWidth="1"/>
    <col min="16" max="16" width="11.875" bestFit="1" customWidth="1"/>
  </cols>
  <sheetData>
    <row r="1" spans="1:16" ht="15" x14ac:dyDescent="0.15">
      <c r="A1" s="2" t="s">
        <v>17</v>
      </c>
      <c r="B1" s="30" t="s">
        <v>13</v>
      </c>
    </row>
    <row r="2" spans="1:16" ht="15" x14ac:dyDescent="0.15">
      <c r="B2" s="30" t="s">
        <v>14</v>
      </c>
      <c r="G2" s="24" t="s">
        <v>15</v>
      </c>
      <c r="H2" s="25" t="s">
        <v>18</v>
      </c>
      <c r="I2" s="26" t="s">
        <v>16</v>
      </c>
      <c r="M2" s="3" t="s">
        <v>7</v>
      </c>
      <c r="N2" s="29" t="s">
        <v>8</v>
      </c>
      <c r="O2" s="4" t="s">
        <v>10</v>
      </c>
      <c r="P2" s="5" t="s">
        <v>36</v>
      </c>
    </row>
    <row r="3" spans="1:16" ht="15" x14ac:dyDescent="0.15">
      <c r="G3" s="31">
        <v>40</v>
      </c>
      <c r="H3" s="27">
        <v>9</v>
      </c>
      <c r="I3" s="28">
        <f>G3*H3*1.4</f>
        <v>503.99999999999994</v>
      </c>
      <c r="M3" s="32">
        <v>0</v>
      </c>
      <c r="N3" s="33">
        <v>0</v>
      </c>
      <c r="O3" s="34">
        <f t="shared" ref="O3:O4" si="0">ABS(INT(M3*N3/1000))</f>
        <v>0</v>
      </c>
      <c r="P3" s="35">
        <f>SUM(O3:O4)/1000</f>
        <v>0</v>
      </c>
    </row>
    <row r="4" spans="1:16" ht="14.25" x14ac:dyDescent="0.15">
      <c r="M4" s="36">
        <v>0</v>
      </c>
      <c r="N4" s="37">
        <v>0</v>
      </c>
      <c r="O4" s="38">
        <f t="shared" si="0"/>
        <v>0</v>
      </c>
      <c r="P4" s="39"/>
    </row>
    <row r="5" spans="1:16" ht="15" x14ac:dyDescent="0.15">
      <c r="G5" s="24" t="s">
        <v>38</v>
      </c>
      <c r="H5" s="25" t="s">
        <v>8</v>
      </c>
    </row>
    <row r="6" spans="1:16" ht="15" x14ac:dyDescent="0.15">
      <c r="A6" s="15" t="s">
        <v>0</v>
      </c>
      <c r="B6" s="16" t="s">
        <v>1</v>
      </c>
      <c r="C6" s="17" t="s">
        <v>25</v>
      </c>
      <c r="G6" s="31">
        <v>18031</v>
      </c>
      <c r="H6" s="27">
        <f>(G6-20000)/10</f>
        <v>-196.9</v>
      </c>
    </row>
    <row r="7" spans="1:16" ht="15" x14ac:dyDescent="0.15">
      <c r="A7" s="18">
        <v>896</v>
      </c>
      <c r="B7" s="19" t="s">
        <v>6</v>
      </c>
      <c r="C7" s="20" t="s">
        <v>2</v>
      </c>
    </row>
    <row r="8" spans="1:16" ht="15" x14ac:dyDescent="0.15">
      <c r="A8" s="18">
        <v>897</v>
      </c>
      <c r="B8" s="19" t="s">
        <v>23</v>
      </c>
      <c r="C8" s="20" t="s">
        <v>3</v>
      </c>
      <c r="G8" s="24" t="s">
        <v>39</v>
      </c>
      <c r="H8" s="25" t="s">
        <v>40</v>
      </c>
    </row>
    <row r="9" spans="1:16" ht="15" x14ac:dyDescent="0.15">
      <c r="A9" s="18">
        <v>897</v>
      </c>
      <c r="B9" s="19">
        <v>3</v>
      </c>
      <c r="C9" s="20" t="s">
        <v>4</v>
      </c>
      <c r="G9" s="31"/>
      <c r="H9" s="27"/>
    </row>
    <row r="10" spans="1:16" ht="15" x14ac:dyDescent="0.15">
      <c r="A10" s="18">
        <v>908</v>
      </c>
      <c r="B10" s="19" t="s">
        <v>20</v>
      </c>
      <c r="C10" s="20" t="s">
        <v>5</v>
      </c>
    </row>
    <row r="11" spans="1:16" ht="30" x14ac:dyDescent="0.15">
      <c r="A11" s="21">
        <v>1067</v>
      </c>
      <c r="B11" s="22" t="s">
        <v>24</v>
      </c>
      <c r="C11" s="23" t="s">
        <v>21</v>
      </c>
      <c r="G11" s="1"/>
    </row>
    <row r="12" spans="1:16" ht="30" x14ac:dyDescent="0.15">
      <c r="A12" s="21">
        <v>1058</v>
      </c>
      <c r="B12" s="22" t="s">
        <v>24</v>
      </c>
      <c r="C12" s="23" t="s">
        <v>22</v>
      </c>
    </row>
    <row r="17" spans="1:4" ht="15" x14ac:dyDescent="0.15">
      <c r="A17" s="31" t="s">
        <v>19</v>
      </c>
      <c r="B17" s="27">
        <v>0</v>
      </c>
    </row>
    <row r="20" spans="1:4" ht="15" x14ac:dyDescent="0.15">
      <c r="A20" s="3" t="s">
        <v>9</v>
      </c>
      <c r="B20" s="4" t="s">
        <v>12</v>
      </c>
      <c r="C20" s="4" t="s">
        <v>11</v>
      </c>
      <c r="D20" s="5" t="s">
        <v>37</v>
      </c>
    </row>
    <row r="21" spans="1:4" ht="14.25" x14ac:dyDescent="0.15">
      <c r="A21" s="6" t="s">
        <v>26</v>
      </c>
      <c r="B21" s="7">
        <v>-0.4</v>
      </c>
      <c r="C21" s="7">
        <v>34</v>
      </c>
      <c r="D21" s="8">
        <v>-277.5</v>
      </c>
    </row>
    <row r="22" spans="1:4" ht="14.25" x14ac:dyDescent="0.15">
      <c r="A22" s="9" t="s">
        <v>27</v>
      </c>
      <c r="B22" s="10">
        <v>0</v>
      </c>
      <c r="C22" s="10">
        <v>38.5</v>
      </c>
      <c r="D22" s="11">
        <v>-277.5</v>
      </c>
    </row>
    <row r="23" spans="1:4" ht="14.25" x14ac:dyDescent="0.15">
      <c r="A23" s="6" t="s">
        <v>28</v>
      </c>
      <c r="B23" s="7">
        <v>0</v>
      </c>
      <c r="C23" s="7">
        <v>38.4</v>
      </c>
      <c r="D23" s="8">
        <v>-277.60000000000002</v>
      </c>
    </row>
    <row r="24" spans="1:4" ht="14.25" x14ac:dyDescent="0.15">
      <c r="A24" s="9" t="s">
        <v>29</v>
      </c>
      <c r="B24" s="10">
        <v>0</v>
      </c>
      <c r="C24" s="10">
        <v>38.4</v>
      </c>
      <c r="D24" s="11">
        <v>-277.60000000000002</v>
      </c>
    </row>
    <row r="25" spans="1:4" ht="14.25" x14ac:dyDescent="0.15">
      <c r="A25" s="6" t="s">
        <v>30</v>
      </c>
      <c r="B25" s="7"/>
      <c r="C25" s="7"/>
      <c r="D25" s="8"/>
    </row>
    <row r="26" spans="1:4" ht="14.25" x14ac:dyDescent="0.15">
      <c r="A26" s="9" t="s">
        <v>31</v>
      </c>
      <c r="B26" s="10">
        <v>0</v>
      </c>
      <c r="C26" s="10">
        <v>36.5</v>
      </c>
      <c r="D26" s="11">
        <v>-277.60000000000002</v>
      </c>
    </row>
    <row r="27" spans="1:4" ht="14.25" x14ac:dyDescent="0.15">
      <c r="A27" s="6" t="s">
        <v>32</v>
      </c>
      <c r="B27" s="7">
        <v>-0.3</v>
      </c>
      <c r="C27" s="7">
        <v>36.4</v>
      </c>
      <c r="D27" s="8">
        <v>-277.60000000000002</v>
      </c>
    </row>
    <row r="28" spans="1:4" ht="14.25" x14ac:dyDescent="0.15">
      <c r="A28" s="9" t="s">
        <v>33</v>
      </c>
      <c r="B28" s="10">
        <v>0</v>
      </c>
      <c r="C28" s="10">
        <v>33.299999999999997</v>
      </c>
      <c r="D28" s="11">
        <v>-277.60000000000002</v>
      </c>
    </row>
    <row r="29" spans="1:4" ht="14.25" x14ac:dyDescent="0.15">
      <c r="A29" s="6" t="s">
        <v>34</v>
      </c>
      <c r="B29" s="7">
        <v>0</v>
      </c>
      <c r="C29" s="7">
        <v>34.1</v>
      </c>
      <c r="D29" s="8">
        <v>-277.60000000000002</v>
      </c>
    </row>
    <row r="30" spans="1:4" ht="14.25" x14ac:dyDescent="0.15">
      <c r="A30" s="12" t="s">
        <v>35</v>
      </c>
      <c r="B30" s="13">
        <v>0</v>
      </c>
      <c r="C30" s="13">
        <v>33.6</v>
      </c>
      <c r="D30" s="14">
        <v>-277.7</v>
      </c>
    </row>
  </sheetData>
  <phoneticPr fontId="1" type="noConversion"/>
  <conditionalFormatting sqref="B21:B30">
    <cfRule type="expression" dxfId="1" priority="1">
      <formula>AND(ABS(B21)&gt;100,ABS(B21)&gt;ABS(D21*0.9))</formula>
    </cfRule>
    <cfRule type="expression" dxfId="0" priority="2">
      <formula>AND(ABS(B21)&gt;100,ABS(B21)&gt;ABS(D21*0.8))</formula>
    </cfRule>
  </conditionalFormatting>
  <dataValidations count="1">
    <dataValidation type="list" allowBlank="1" showInputMessage="1" showErrorMessage="1" sqref="B17" xr:uid="{B46CE7A3-2D48-4A34-A2C5-671E725EC878}">
      <formula1>"0,1"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 moveWithCells="1" sizeWithCells="1">
                  <from>
                    <xdr:col>4</xdr:col>
                    <xdr:colOff>0</xdr:colOff>
                    <xdr:row>0</xdr:row>
                    <xdr:rowOff>76200</xdr:rowOff>
                  </from>
                  <to>
                    <xdr:col>5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 moveWithCells="1" sizeWithCells="1">
                  <from>
                    <xdr:col>4</xdr:col>
                    <xdr:colOff>0</xdr:colOff>
                    <xdr:row>3</xdr:row>
                    <xdr:rowOff>28575</xdr:rowOff>
                  </from>
                  <to>
                    <xdr:col>5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 moveWithCells="1" sizeWithCells="1">
                  <from>
                    <xdr:col>4</xdr:col>
                    <xdr:colOff>0</xdr:colOff>
                    <xdr:row>5</xdr:row>
                    <xdr:rowOff>180975</xdr:rowOff>
                  </from>
                  <to>
                    <xdr:col>5</xdr:col>
                    <xdr:colOff>209550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 moveWithCells="1" sizeWithCells="1">
                  <from>
                    <xdr:col>4</xdr:col>
                    <xdr:colOff>0</xdr:colOff>
                    <xdr:row>8</xdr:row>
                    <xdr:rowOff>123825</xdr:rowOff>
                  </from>
                  <to>
                    <xdr:col>5</xdr:col>
                    <xdr:colOff>209550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 moveWithCells="1" sizeWithCells="1">
                  <from>
                    <xdr:col>13</xdr:col>
                    <xdr:colOff>419100</xdr:colOff>
                    <xdr:row>4</xdr:row>
                    <xdr:rowOff>114300</xdr:rowOff>
                  </from>
                  <to>
                    <xdr:col>14</xdr:col>
                    <xdr:colOff>504825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 moveWithCells="1" sizeWithCells="1">
                  <from>
                    <xdr:col>3</xdr:col>
                    <xdr:colOff>47625</xdr:colOff>
                    <xdr:row>16</xdr:row>
                    <xdr:rowOff>123825</xdr:rowOff>
                  </from>
                  <to>
                    <xdr:col>4</xdr:col>
                    <xdr:colOff>0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2024-07-18T07:42:22Z</dcterms:modified>
</cp:coreProperties>
</file>