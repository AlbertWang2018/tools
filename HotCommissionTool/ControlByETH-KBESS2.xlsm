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12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ownload\00-CATL\KBESS\HotCommissionTool\"/>
    </mc:Choice>
  </mc:AlternateContent>
  <xr:revisionPtr revIDLastSave="0" documentId="13_ncr:1_{852173C6-2F26-4505-8B55-FD611F102C03}" xr6:coauthVersionLast="47" xr6:coauthVersionMax="47" xr10:uidLastSave="{00000000-0000-0000-0000-000000000000}"/>
  <bookViews>
    <workbookView xWindow="-120" yWindow="-120" windowWidth="29040" windowHeight="15720" xr2:uid="{69402E6D-338B-4842-BCA5-C578EAE77A3E}"/>
  </bookViews>
  <sheets>
    <sheet name="集成工具" sheetId="1" r:id="rId1"/>
    <sheet name="批量读ETH" sheetId="2" r:id="rId2"/>
    <sheet name="批量读BCI" sheetId="3" r:id="rId3"/>
    <sheet name="批量读-测试" sheetId="4" r:id="rId4"/>
  </sheets>
  <functionGroups builtInGroupCount="19"/>
  <definedNames>
    <definedName name="_xleta.MID" hidden="1" xlm="1">#NAME?</definedName>
    <definedName name="_xleta.MOD" hidden="1" xlm="1">#NAME?</definedName>
    <definedName name="_xleta.RIGHT" hidden="1" xlm="1">#NAME?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/>
  <c r="B3" i="4" a="1"/>
  <c r="B3" i="4" s="1"/>
  <c r="B4" i="4" a="1"/>
  <c r="B4" i="4" s="1"/>
  <c r="B5" i="4" a="1"/>
  <c r="B5" i="4" s="1"/>
  <c r="B6" i="4" a="1"/>
  <c r="B6" i="4" s="1"/>
  <c r="B7" i="4" a="1"/>
  <c r="B7" i="4" s="1"/>
  <c r="B8" i="4" a="1"/>
  <c r="B8" i="4" s="1"/>
  <c r="B9" i="4" a="1"/>
  <c r="B9" i="4" s="1"/>
  <c r="B10" i="4" a="1"/>
  <c r="B10" i="4" s="1"/>
  <c r="B11" i="4" a="1"/>
  <c r="B11" i="4" s="1"/>
  <c r="B12" i="4" a="1"/>
  <c r="B12" i="4" s="1"/>
  <c r="B13" i="4" a="1"/>
  <c r="B13" i="4" s="1"/>
  <c r="B14" i="4" a="1"/>
  <c r="B14" i="4" s="1"/>
  <c r="B15" i="4" a="1"/>
  <c r="B15" i="4" s="1"/>
  <c r="B16" i="4" a="1"/>
  <c r="B16" i="4" s="1"/>
  <c r="B17" i="4" a="1"/>
  <c r="B17" i="4" s="1"/>
  <c r="B18" i="4" a="1"/>
  <c r="B18" i="4" s="1"/>
  <c r="B19" i="4" a="1"/>
  <c r="B19" i="4" s="1"/>
  <c r="B20" i="4" a="1"/>
  <c r="B20" i="4" s="1"/>
  <c r="B21" i="4" a="1"/>
  <c r="B21" i="4" s="1"/>
  <c r="B22" i="4" a="1"/>
  <c r="B22" i="4" s="1"/>
  <c r="B23" i="4" a="1"/>
  <c r="B23" i="4" s="1"/>
  <c r="B24" i="4" a="1"/>
  <c r="B24" i="4" s="1"/>
  <c r="B25" i="4" a="1"/>
  <c r="B25" i="4" s="1"/>
  <c r="B26" i="4" a="1"/>
  <c r="B26" i="4" s="1"/>
  <c r="B27" i="4" a="1"/>
  <c r="B27" i="4" s="1"/>
  <c r="B28" i="4" a="1"/>
  <c r="B28" i="4" s="1"/>
  <c r="B29" i="4" a="1"/>
  <c r="B29" i="4" s="1"/>
  <c r="B30" i="4" a="1"/>
  <c r="B30" i="4" s="1"/>
  <c r="B31" i="4" a="1"/>
  <c r="B31" i="4" s="1"/>
  <c r="B32" i="4" a="1"/>
  <c r="B32" i="4" s="1"/>
  <c r="B33" i="4" a="1"/>
  <c r="B33" i="4" s="1"/>
  <c r="B34" i="4" a="1"/>
  <c r="B34" i="4" s="1"/>
  <c r="B35" i="4" a="1"/>
  <c r="B35" i="4" s="1"/>
  <c r="B36" i="4" a="1"/>
  <c r="B36" i="4" s="1"/>
  <c r="B37" i="4" a="1"/>
  <c r="B37" i="4" s="1"/>
  <c r="B38" i="4" a="1"/>
  <c r="B38" i="4" s="1"/>
  <c r="B39" i="4" a="1"/>
  <c r="B39" i="4" s="1"/>
  <c r="B40" i="4" a="1"/>
  <c r="B40" i="4" s="1"/>
  <c r="B41" i="4" a="1"/>
  <c r="B41" i="4" s="1"/>
  <c r="G41" i="4" s="1"/>
  <c r="E30" i="4"/>
  <c r="E35" i="4" s="1"/>
  <c r="E29" i="4"/>
  <c r="E34" i="4" s="1"/>
  <c r="E28" i="4"/>
  <c r="E33" i="4" s="1"/>
  <c r="E27" i="4"/>
  <c r="E32" i="4" s="1"/>
  <c r="E26" i="4"/>
  <c r="E31" i="4" s="1"/>
  <c r="B2" i="4" a="1"/>
  <c r="B2" i="4" s="1"/>
  <c r="E21" i="4"/>
  <c r="E22" i="4"/>
  <c r="E23" i="4"/>
  <c r="E24" i="4"/>
  <c r="E25" i="4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G19" i="3"/>
  <c r="B2" i="1"/>
  <c r="J2" i="1" s="1"/>
  <c r="B3" i="1"/>
  <c r="J3" i="1" s="1"/>
  <c r="B4" i="1"/>
  <c r="J4" i="1"/>
  <c r="A10" i="3"/>
  <c r="A9" i="3"/>
  <c r="A8" i="3"/>
  <c r="A7" i="3"/>
  <c r="A6" i="3"/>
  <c r="A5" i="3"/>
  <c r="A4" i="3"/>
  <c r="A3" i="3"/>
  <c r="A2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Q18" i="2" s="1"/>
  <c r="A19" i="2"/>
  <c r="Q19" i="2" s="1"/>
  <c r="A20" i="2"/>
  <c r="Q20" i="2" s="1"/>
  <c r="A21" i="2"/>
  <c r="Q21" i="2" s="1"/>
  <c r="A22" i="2"/>
  <c r="A23" i="2"/>
  <c r="A24" i="2"/>
  <c r="A25" i="2"/>
  <c r="A26" i="2"/>
  <c r="Q26" i="2" s="1"/>
  <c r="A27" i="2"/>
  <c r="A28" i="2"/>
  <c r="A29" i="2"/>
  <c r="A30" i="2"/>
  <c r="A31" i="2"/>
  <c r="A32" i="2"/>
  <c r="A33" i="2"/>
  <c r="A34" i="2"/>
  <c r="A35" i="2"/>
  <c r="A36" i="2"/>
  <c r="A37" i="2"/>
  <c r="J1" i="1"/>
  <c r="C18" i="2"/>
  <c r="C19" i="2"/>
  <c r="C20" i="2"/>
  <c r="C21" i="2"/>
  <c r="C26" i="2"/>
  <c r="D1" i="1"/>
  <c r="S1" i="1"/>
  <c r="R1" i="1"/>
  <c r="K1" i="1"/>
  <c r="A4" i="1"/>
  <c r="A3" i="1"/>
  <c r="A2" i="1"/>
  <c r="R10" i="1"/>
  <c r="R11" i="1"/>
  <c r="R12" i="1"/>
  <c r="R9" i="1"/>
  <c r="H17" i="1" a="1"/>
  <c r="H17" i="1" s="1"/>
  <c r="G17" i="1" a="1"/>
  <c r="G17" i="1" s="1"/>
  <c r="F17" i="1" a="1"/>
  <c r="F17" i="1" s="1"/>
  <c r="E17" i="1" a="1"/>
  <c r="E17" i="1" s="1"/>
  <c r="O5" i="1"/>
  <c r="O6" i="1"/>
  <c r="O3" i="1"/>
  <c r="G31" i="1"/>
  <c r="G32" i="1"/>
  <c r="G33" i="1"/>
  <c r="G34" i="1"/>
  <c r="G35" i="1"/>
  <c r="G36" i="1"/>
  <c r="G37" i="1"/>
  <c r="G38" i="1"/>
  <c r="G39" i="1"/>
  <c r="G40" i="1"/>
  <c r="G25" i="1"/>
  <c r="G3" i="1"/>
  <c r="I3" i="1" s="1"/>
  <c r="G22" i="1"/>
  <c r="G23" i="1"/>
  <c r="G24" i="1"/>
  <c r="G26" i="1"/>
  <c r="G27" i="1"/>
  <c r="G28" i="1"/>
  <c r="G29" i="1"/>
  <c r="G30" i="1"/>
  <c r="G21" i="1"/>
  <c r="H11" i="1"/>
  <c r="H9" i="1"/>
  <c r="H6" i="1"/>
  <c r="O4" i="1"/>
  <c r="E40" i="4" l="1"/>
  <c r="E39" i="4"/>
  <c r="E38" i="4"/>
  <c r="E37" i="4"/>
  <c r="E36" i="4"/>
  <c r="Q4" i="2"/>
  <c r="C4" i="2"/>
  <c r="Q17" i="2"/>
  <c r="C17" i="2"/>
  <c r="Q22" i="2"/>
  <c r="C22" i="2"/>
  <c r="Q23" i="2"/>
  <c r="C23" i="2"/>
  <c r="Q25" i="2"/>
  <c r="C25" i="2"/>
  <c r="Q27" i="2"/>
  <c r="C27" i="2"/>
  <c r="Q34" i="2"/>
  <c r="C34" i="2"/>
  <c r="Q35" i="2"/>
  <c r="C35" i="2"/>
  <c r="Q3" i="2"/>
  <c r="C3" i="2"/>
  <c r="Q36" i="2"/>
  <c r="C36" i="2"/>
  <c r="Q37" i="2"/>
  <c r="C37" i="2"/>
  <c r="Q9" i="3"/>
  <c r="C9" i="3"/>
  <c r="Q10" i="3"/>
  <c r="C10" i="3"/>
  <c r="C8" i="3"/>
  <c r="Q8" i="3"/>
  <c r="C7" i="3"/>
  <c r="Q7" i="3"/>
  <c r="Q6" i="3"/>
  <c r="C6" i="3"/>
  <c r="C5" i="3"/>
  <c r="Q5" i="3"/>
  <c r="C4" i="3"/>
  <c r="Q4" i="3"/>
  <c r="Q3" i="3"/>
  <c r="C3" i="3"/>
  <c r="Q2" i="3"/>
  <c r="C2" i="3"/>
  <c r="Q16" i="2"/>
  <c r="C16" i="2"/>
  <c r="Q13" i="2"/>
  <c r="C13" i="2"/>
  <c r="Q14" i="2"/>
  <c r="C14" i="2"/>
  <c r="Q15" i="2"/>
  <c r="C15" i="2"/>
  <c r="Q5" i="2"/>
  <c r="C5" i="2"/>
  <c r="Q6" i="2"/>
  <c r="C6" i="2"/>
  <c r="Q7" i="2"/>
  <c r="C7" i="2"/>
  <c r="Q8" i="2"/>
  <c r="C8" i="2"/>
  <c r="Q9" i="2"/>
  <c r="C9" i="2"/>
  <c r="Q10" i="2"/>
  <c r="C10" i="2"/>
  <c r="Q11" i="2"/>
  <c r="C11" i="2"/>
  <c r="Q12" i="2"/>
  <c r="C12" i="2"/>
  <c r="Q28" i="2"/>
  <c r="C28" i="2"/>
  <c r="Q29" i="2"/>
  <c r="C29" i="2"/>
  <c r="Q30" i="2"/>
  <c r="C30" i="2"/>
  <c r="Q31" i="2"/>
  <c r="C31" i="2"/>
  <c r="Q32" i="2"/>
  <c r="C32" i="2"/>
  <c r="Q33" i="2"/>
  <c r="C33" i="2"/>
  <c r="Q24" i="2"/>
  <c r="C24" i="2"/>
  <c r="Q2" i="2"/>
  <c r="C2" i="2"/>
  <c r="R2" i="1"/>
  <c r="S2" i="1"/>
  <c r="R3" i="1"/>
  <c r="S3" i="1"/>
  <c r="R4" i="1"/>
  <c r="S4" i="1"/>
  <c r="E18" i="1"/>
  <c r="P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王玮</author>
  </authors>
  <commentList>
    <comment ref="B17" authorId="0" shapeId="0" xr:uid="{559FC1C4-167D-4E6E-B8B2-232D7EE02EFF}">
      <text>
        <r>
          <rPr>
            <b/>
            <sz val="9"/>
            <color indexed="81"/>
            <rFont val="Tahoma"/>
            <family val="2"/>
          </rPr>
          <t>王玮:</t>
        </r>
        <r>
          <rPr>
            <sz val="9"/>
            <color indexed="81"/>
            <rFont val="Tahoma"/>
            <family val="2"/>
          </rPr>
          <t xml:space="preserve">
0 - I &amp; SOC
1- all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<sst xmlns="http://schemas.openxmlformats.org/spreadsheetml/2006/main" count="317" uniqueCount="179">
  <si>
    <t>Register</t>
  </si>
  <si>
    <t>Data</t>
  </si>
  <si>
    <t>HeartBeat</t>
  </si>
  <si>
    <t>HV Relay On</t>
  </si>
  <si>
    <t>ClearAlarm</t>
  </si>
  <si>
    <t>0-255</t>
  </si>
  <si>
    <t>Volt</t>
  </si>
  <si>
    <t>Current</t>
  </si>
  <si>
    <t>Power(KW)</t>
  </si>
  <si>
    <t>SOC(%）</t>
  </si>
  <si>
    <t>Current(A)</t>
  </si>
  <si>
    <t>I</t>
  </si>
  <si>
    <t>KW</t>
  </si>
  <si>
    <t>IP Address:</t>
  </si>
  <si>
    <t>Racks</t>
  </si>
  <si>
    <t>Read Limit</t>
  </si>
  <si>
    <t>0 then 1</t>
  </si>
  <si>
    <t>2 then 1</t>
  </si>
  <si>
    <t>Function</t>
  </si>
  <si>
    <t>SBMU 01</t>
  </si>
  <si>
    <t>SBMU 02</t>
  </si>
  <si>
    <t>SBMU 03</t>
  </si>
  <si>
    <t>SBMU 04</t>
  </si>
  <si>
    <t>SBMU 05</t>
  </si>
  <si>
    <t>SBMU 06</t>
  </si>
  <si>
    <t>SBMU 07</t>
  </si>
  <si>
    <t>SBMU 08</t>
  </si>
  <si>
    <t>SBMU 09</t>
  </si>
  <si>
    <t>SBMU 10</t>
  </si>
  <si>
    <t>Total(MW)</t>
  </si>
  <si>
    <t>Limit point</t>
  </si>
  <si>
    <t>I reading</t>
  </si>
  <si>
    <t>Hex</t>
  </si>
  <si>
    <t>Dec</t>
  </si>
  <si>
    <t>Group ID:</t>
  </si>
  <si>
    <t>Temp</t>
  </si>
  <si>
    <t>Power</t>
  </si>
  <si>
    <t>No.</t>
  </si>
  <si>
    <t>Reg</t>
  </si>
  <si>
    <t>IP</t>
  </si>
  <si>
    <t>PI</t>
  </si>
  <si>
    <t>SBMU 11</t>
  </si>
  <si>
    <t>SBMU 12</t>
  </si>
  <si>
    <t>SBMU 13</t>
  </si>
  <si>
    <t>SBMU 14</t>
  </si>
  <si>
    <t>SBMU 15</t>
  </si>
  <si>
    <t>SBMU 16</t>
  </si>
  <si>
    <t>SBMU 17</t>
  </si>
  <si>
    <t>SBMU 18</t>
  </si>
  <si>
    <t>SBMU 19</t>
  </si>
  <si>
    <t>SBMU 20</t>
  </si>
  <si>
    <t>D</t>
  </si>
  <si>
    <t>C</t>
  </si>
  <si>
    <t>B</t>
  </si>
  <si>
    <t>A</t>
  </si>
  <si>
    <t>Flag</t>
  </si>
  <si>
    <t>Std</t>
  </si>
  <si>
    <t>Max</t>
  </si>
  <si>
    <t>Min</t>
  </si>
  <si>
    <t>Med</t>
  </si>
  <si>
    <t>REG</t>
  </si>
  <si>
    <t>36,37</t>
  </si>
  <si>
    <t>最高最低单体电压</t>
  </si>
  <si>
    <t>16,17</t>
  </si>
  <si>
    <t>bmu和消防告警</t>
  </si>
  <si>
    <t xml:space="preserve"> </t>
  </si>
  <si>
    <t>46A</t>
  </si>
  <si>
    <t>46b</t>
  </si>
  <si>
    <t>告警码</t>
  </si>
  <si>
    <t>cell压差</t>
  </si>
  <si>
    <t>气溶胶</t>
  </si>
  <si>
    <t>E-stop+气溶胶</t>
  </si>
  <si>
    <t>Reg 16 冷机</t>
  </si>
  <si>
    <t>Reg 17消防</t>
  </si>
  <si>
    <t>隔离开关状态</t>
  </si>
  <si>
    <t>系统状态</t>
  </si>
  <si>
    <t>1正常5故障</t>
  </si>
  <si>
    <t>2禁用</t>
  </si>
  <si>
    <t>IMM set</t>
  </si>
  <si>
    <t>10.238.8.16</t>
  </si>
  <si>
    <t>10.238.8.17</t>
  </si>
  <si>
    <t>10.238.8.18</t>
  </si>
  <si>
    <t>10.238.8.19</t>
  </si>
  <si>
    <t>10.238.8.26</t>
  </si>
  <si>
    <t>10.238.8.27</t>
  </si>
  <si>
    <t>10.238.8.28</t>
  </si>
  <si>
    <t>10.238.8.29</t>
  </si>
  <si>
    <t>10.238.8.36</t>
  </si>
  <si>
    <t>10.238.8.37</t>
  </si>
  <si>
    <t>10.238.8.38</t>
  </si>
  <si>
    <t>10.238.8.39</t>
  </si>
  <si>
    <t>10.238.8.46</t>
  </si>
  <si>
    <t>10.238.8.47</t>
  </si>
  <si>
    <t>10.238.8.48</t>
  </si>
  <si>
    <t>10.238.8.49</t>
  </si>
  <si>
    <t>10.238.8.56</t>
  </si>
  <si>
    <t>10.238.8.57</t>
  </si>
  <si>
    <t>10.238.8.58</t>
  </si>
  <si>
    <t>10.238.8.59</t>
  </si>
  <si>
    <t>10.238.8.66</t>
  </si>
  <si>
    <t>10.238.8.67</t>
  </si>
  <si>
    <t>10.238.8.68</t>
  </si>
  <si>
    <t>10.238.8.69</t>
  </si>
  <si>
    <t>10.238.8.76</t>
  </si>
  <si>
    <t>10.238.8.77</t>
  </si>
  <si>
    <t>10.238.8.78</t>
  </si>
  <si>
    <t>10.238.8.79</t>
  </si>
  <si>
    <t>10.238.8.86</t>
  </si>
  <si>
    <t>10.238.8.87</t>
  </si>
  <si>
    <t>10.238.8.88</t>
  </si>
  <si>
    <t>10.238.8.89</t>
  </si>
  <si>
    <t>10.238.8.96</t>
  </si>
  <si>
    <t>10.238.8.97</t>
  </si>
  <si>
    <t>10.238.8.98</t>
  </si>
  <si>
    <t>10.238.8.99</t>
  </si>
  <si>
    <t>电芯最大压差</t>
  </si>
  <si>
    <t>4告警</t>
  </si>
  <si>
    <t>Value</t>
  </si>
  <si>
    <t>1_x000D_</t>
  </si>
  <si>
    <t>PG</t>
  </si>
  <si>
    <t>Connect fail_x000D_</t>
  </si>
  <si>
    <t>3268_x000D_</t>
  </si>
  <si>
    <t>10.238.8.11</t>
  </si>
  <si>
    <t>10.238.8.21</t>
  </si>
  <si>
    <t>10.238.8.31</t>
  </si>
  <si>
    <t>10.238.8.41</t>
  </si>
  <si>
    <t>10.238.8.51</t>
  </si>
  <si>
    <t>10.238.8.61</t>
  </si>
  <si>
    <t>10.238.8.71</t>
  </si>
  <si>
    <t>10.238.8.81</t>
  </si>
  <si>
    <t>10.238.8.91</t>
  </si>
  <si>
    <t>3265_x000D_</t>
  </si>
  <si>
    <t>3259_x000D_</t>
  </si>
  <si>
    <t>0_x000D_</t>
  </si>
  <si>
    <t>10.238.6.99</t>
  </si>
  <si>
    <t>3254_x000D_</t>
  </si>
  <si>
    <t>3280_x000D_</t>
  </si>
  <si>
    <t>127.0.0.1</t>
  </si>
  <si>
    <t>说明</t>
  </si>
  <si>
    <t>告警</t>
  </si>
  <si>
    <t>状态</t>
  </si>
  <si>
    <t>relay输出电压</t>
  </si>
  <si>
    <t>电流</t>
  </si>
  <si>
    <t>SOC</t>
  </si>
  <si>
    <t>最大单体电压</t>
  </si>
  <si>
    <t>最小</t>
  </si>
  <si>
    <t>平均</t>
  </si>
  <si>
    <t>心跳包</t>
  </si>
  <si>
    <t>HV relay控制</t>
  </si>
  <si>
    <t>AuxPowerLost</t>
  </si>
  <si>
    <t>IMM状态控制</t>
  </si>
  <si>
    <t>告警清除</t>
  </si>
  <si>
    <t>SBMU01电流</t>
  </si>
  <si>
    <t>SBMU01 SOC</t>
  </si>
  <si>
    <t>SBMU01 充电限流点</t>
  </si>
  <si>
    <t>SBMU01 放电限流点</t>
  </si>
  <si>
    <t>SBMU01电压</t>
  </si>
  <si>
    <t>7c0</t>
  </si>
  <si>
    <t>ETH版本</t>
  </si>
  <si>
    <t>SBMU02电压</t>
  </si>
  <si>
    <t>SBMU02电流</t>
  </si>
  <si>
    <t>SBMU02 SOC</t>
  </si>
  <si>
    <t>SBMU02 充电限流点</t>
  </si>
  <si>
    <t>SBMU02 放电限流点</t>
  </si>
  <si>
    <t>SBMU03电压</t>
  </si>
  <si>
    <t>SBMU03电流</t>
  </si>
  <si>
    <t>SBMU03 SOC</t>
  </si>
  <si>
    <t>SBMU03 充电限流点</t>
  </si>
  <si>
    <t>SBMU03 放电限流点</t>
  </si>
  <si>
    <t>SBMU04电压</t>
  </si>
  <si>
    <t>SBMU04电流</t>
  </si>
  <si>
    <t>SBMU04 SOC</t>
  </si>
  <si>
    <t>SBMU04 充电限流点</t>
  </si>
  <si>
    <t>SBMU04 放电限流点</t>
  </si>
  <si>
    <t>SBMU05电压</t>
  </si>
  <si>
    <t>SBMU05电流</t>
  </si>
  <si>
    <t>SBMU05 SOC</t>
  </si>
  <si>
    <t>SBMU05 充电限流点</t>
  </si>
  <si>
    <t>SBMU05 放电限流点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</si>
</sst>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d/mm/yyyy\ h:mm:ss"/>
  </numFmts>
  <fonts count="19" x14ac:knownFonts="1">
    <font>
      <sz val="11"/>
      <color theme="1"/>
      <name val="Aptos Narrow"/>
      <family val="2"/>
      <charset val="134"/>
      <scheme val="minor"/>
    </font>
    <font>
      <sz val="9"/>
      <name val="Aptos Narrow"/>
      <family val="2"/>
      <charset val="134"/>
      <scheme val="minor"/>
    </font>
    <font>
      <sz val="11"/>
      <color rgb="FF000000"/>
      <name val="等线"/>
      <charset val="134"/>
    </font>
    <font>
      <sz val="11"/>
      <color rgb="FF000000"/>
      <name val="Aptos Narrow"/>
      <family val="2"/>
    </font>
    <font>
      <b/>
      <sz val="11"/>
      <color rgb="FFFF0000"/>
      <name val="等线"/>
      <charset val="134"/>
    </font>
    <font>
      <sz val="11"/>
      <color rgb="FF006100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20"/>
      <color theme="1"/>
      <name val="Arial"/>
      <family val="2"/>
    </font>
    <font>
      <b/>
      <sz val="12"/>
      <color theme="3"/>
      <name val="Aptos Narrow"/>
      <family val="2"/>
      <scheme val="minor"/>
    </font>
    <font>
      <b/>
      <sz val="14"/>
      <color theme="3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Aptos Narrow"/>
      <family val="2"/>
      <charset val="134"/>
      <scheme val="minor"/>
    </font>
    <font>
      <sz val="8"/>
      <name val="Aptos Narrow"/>
      <family val="2"/>
      <charset val="134"/>
      <scheme val="minor"/>
    </font>
    <font>
      <sz val="10"/>
      <color theme="1"/>
      <name val="Aptos Narrow"/>
      <family val="2"/>
      <charset val="134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theme="5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4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92D050"/>
        <bgColor indexed="64"/>
      </patternFill>
    </fill>
  </fills>
  <borders count="16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/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</borders>
  <cellStyleXfs count="4">
    <xf numFmtId="0" fontId="0" fillId="0" borderId="0">
      <alignment vertical="center"/>
    </xf>
    <xf numFmtId="0" fontId="5" fillId="3" borderId="0" applyNumberFormat="0" applyBorder="0" applyAlignment="0" applyProtection="0"/>
    <xf numFmtId="0" fontId="6" fillId="0" borderId="0" applyNumberFormat="0" applyFill="0" applyBorder="0" applyAlignment="0" applyProtection="0"/>
    <xf numFmtId="0" fontId="7" fillId="4" borderId="0" applyNumberFormat="0" applyBorder="0" applyAlignment="0" applyProtection="0"/>
  </cellStyleXfs>
  <cellXfs count="67">
    <xf numFmtId="0" fontId="0" fillId="0" borderId="0" xfId="0">
      <alignment vertical="center"/>
    </xf>
    <xf numFmtId="0" fontId="8" fillId="6" borderId="10" xfId="0" applyFont="1" applyFill="1" applyBorder="1">
      <alignment vertical="center"/>
    </xf>
    <xf numFmtId="0" fontId="8" fillId="6" borderId="11" xfId="0" applyFont="1" applyFill="1" applyBorder="1" applyAlignment="1">
      <alignment vertical="center" wrapText="1"/>
    </xf>
    <xf numFmtId="0" fontId="8" fillId="6" borderId="12" xfId="0" applyFont="1" applyFill="1" applyBorder="1">
      <alignment vertical="center"/>
    </xf>
    <xf numFmtId="0" fontId="9" fillId="7" borderId="10" xfId="0" applyFont="1" applyFill="1" applyBorder="1">
      <alignment vertical="center"/>
    </xf>
    <xf numFmtId="164" fontId="9" fillId="7" borderId="11" xfId="0" applyNumberFormat="1" applyFont="1" applyFill="1" applyBorder="1">
      <alignment vertical="center"/>
    </xf>
    <xf numFmtId="0" fontId="9" fillId="7" borderId="12" xfId="0" applyFont="1" applyFill="1" applyBorder="1">
      <alignment vertical="center"/>
    </xf>
    <xf numFmtId="0" fontId="9" fillId="0" borderId="10" xfId="0" applyFont="1" applyBorder="1">
      <alignment vertical="center"/>
    </xf>
    <xf numFmtId="164" fontId="9" fillId="0" borderId="11" xfId="0" applyNumberFormat="1" applyFont="1" applyBorder="1">
      <alignment vertical="center"/>
    </xf>
    <xf numFmtId="0" fontId="9" fillId="0" borderId="12" xfId="0" applyFont="1" applyBorder="1">
      <alignment vertical="center"/>
    </xf>
    <xf numFmtId="0" fontId="9" fillId="0" borderId="1" xfId="0" applyFont="1" applyBorder="1">
      <alignment vertical="center"/>
    </xf>
    <xf numFmtId="164" fontId="9" fillId="0" borderId="2" xfId="0" applyNumberFormat="1" applyFont="1" applyBorder="1">
      <alignment vertical="center"/>
    </xf>
    <xf numFmtId="0" fontId="9" fillId="0" borderId="3" xfId="0" applyFont="1" applyBorder="1">
      <alignment vertical="center"/>
    </xf>
    <xf numFmtId="0" fontId="8" fillId="8" borderId="4" xfId="0" applyFont="1" applyFill="1" applyBorder="1">
      <alignment vertical="center"/>
    </xf>
    <xf numFmtId="0" fontId="8" fillId="8" borderId="5" xfId="0" applyFont="1" applyFill="1" applyBorder="1">
      <alignment vertical="center"/>
    </xf>
    <xf numFmtId="0" fontId="8" fillId="8" borderId="6" xfId="0" applyFont="1" applyFill="1" applyBorder="1">
      <alignment vertical="center"/>
    </xf>
    <xf numFmtId="0" fontId="10" fillId="0" borderId="4" xfId="0" applyFont="1" applyBorder="1">
      <alignment vertical="center"/>
    </xf>
    <xf numFmtId="0" fontId="10" fillId="0" borderId="5" xfId="0" applyFont="1" applyBorder="1" applyAlignment="1">
      <alignment horizontal="center" vertical="center"/>
    </xf>
    <xf numFmtId="0" fontId="10" fillId="0" borderId="6" xfId="0" applyFont="1" applyBorder="1">
      <alignment vertical="center"/>
    </xf>
    <xf numFmtId="0" fontId="10" fillId="0" borderId="7" xfId="0" applyFont="1" applyBorder="1">
      <alignment vertical="center"/>
    </xf>
    <xf numFmtId="0" fontId="10" fillId="0" borderId="8" xfId="0" applyFont="1" applyBorder="1" applyAlignment="1">
      <alignment horizontal="center" vertical="center" wrapText="1"/>
    </xf>
    <xf numFmtId="0" fontId="10" fillId="0" borderId="9" xfId="0" applyFont="1" applyBorder="1">
      <alignment vertical="center"/>
    </xf>
    <xf numFmtId="0" fontId="8" fillId="6" borderId="10" xfId="0" applyFont="1" applyFill="1" applyBorder="1" applyAlignment="1">
      <alignment horizontal="center" vertical="center"/>
    </xf>
    <xf numFmtId="0" fontId="8" fillId="6" borderId="11" xfId="0" applyFont="1" applyFill="1" applyBorder="1" applyAlignment="1">
      <alignment horizontal="center" vertical="center"/>
    </xf>
    <xf numFmtId="0" fontId="8" fillId="6" borderId="12" xfId="0" applyFont="1" applyFill="1" applyBorder="1" applyAlignment="1">
      <alignment horizontal="center" vertical="center"/>
    </xf>
    <xf numFmtId="0" fontId="9" fillId="7" borderId="2" xfId="0" applyFont="1" applyFill="1" applyBorder="1" applyAlignment="1">
      <alignment horizontal="center" vertical="center"/>
    </xf>
    <xf numFmtId="0" fontId="9" fillId="7" borderId="3" xfId="0" applyFont="1" applyFill="1" applyBorder="1" applyAlignment="1">
      <alignment horizontal="center" vertical="center"/>
    </xf>
    <xf numFmtId="0" fontId="8" fillId="6" borderId="11" xfId="0" applyFont="1" applyFill="1" applyBorder="1">
      <alignment vertical="center"/>
    </xf>
    <xf numFmtId="0" fontId="7" fillId="4" borderId="1" xfId="3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13" fillId="5" borderId="0" xfId="2" applyFont="1" applyFill="1" applyBorder="1" applyAlignment="1">
      <alignment horizontal="right" vertical="center"/>
    </xf>
    <xf numFmtId="0" fontId="12" fillId="5" borderId="0" xfId="2" applyFont="1" applyFill="1" applyBorder="1" applyAlignment="1">
      <alignment vertical="center"/>
    </xf>
    <xf numFmtId="0" fontId="8" fillId="6" borderId="0" xfId="0" applyFont="1" applyFill="1">
      <alignment vertical="center"/>
    </xf>
    <xf numFmtId="165" fontId="0" fillId="0" borderId="0" xfId="0" applyNumberFormat="1">
      <alignment vertical="center"/>
    </xf>
    <xf numFmtId="0" fontId="9" fillId="10" borderId="11" xfId="0" applyFont="1" applyFill="1" applyBorder="1" applyAlignment="1">
      <alignment horizontal="center" vertical="center" wrapText="1"/>
    </xf>
    <xf numFmtId="0" fontId="9" fillId="11" borderId="2" xfId="0" applyFont="1" applyFill="1" applyBorder="1" applyAlignment="1">
      <alignment horizontal="center" vertical="center" wrapText="1"/>
    </xf>
    <xf numFmtId="0" fontId="5" fillId="9" borderId="0" xfId="1" applyFill="1" applyAlignment="1" applyProtection="1">
      <alignment vertical="center"/>
      <protection locked="0"/>
    </xf>
    <xf numFmtId="0" fontId="7" fillId="4" borderId="1" xfId="3" applyBorder="1" applyAlignment="1" applyProtection="1">
      <alignment horizontal="center" vertical="center"/>
      <protection locked="0"/>
    </xf>
    <xf numFmtId="0" fontId="0" fillId="0" borderId="0" xfId="0" applyAlignment="1">
      <alignment vertical="center" wrapText="1"/>
    </xf>
    <xf numFmtId="165" fontId="9" fillId="2" borderId="12" xfId="0" applyNumberFormat="1" applyFont="1" applyFill="1" applyBorder="1" applyAlignment="1">
      <alignment horizontal="center" vertical="center"/>
    </xf>
    <xf numFmtId="1" fontId="9" fillId="7" borderId="10" xfId="0" applyNumberFormat="1" applyFont="1" applyFill="1" applyBorder="1" applyAlignment="1">
      <alignment horizontal="center" vertical="center" wrapText="1"/>
    </xf>
    <xf numFmtId="1" fontId="9" fillId="0" borderId="1" xfId="0" applyNumberFormat="1" applyFont="1" applyBorder="1" applyAlignment="1">
      <alignment horizontal="center" vertical="center" wrapText="1"/>
    </xf>
    <xf numFmtId="1" fontId="9" fillId="7" borderId="12" xfId="0" applyNumberFormat="1" applyFont="1" applyFill="1" applyBorder="1">
      <alignment vertical="center"/>
    </xf>
    <xf numFmtId="1" fontId="9" fillId="0" borderId="12" xfId="0" applyNumberFormat="1" applyFont="1" applyBorder="1">
      <alignment vertical="center"/>
    </xf>
    <xf numFmtId="1" fontId="9" fillId="0" borderId="3" xfId="0" applyNumberFormat="1" applyFont="1" applyBorder="1">
      <alignment vertical="center"/>
    </xf>
    <xf numFmtId="0" fontId="0" fillId="7" borderId="1" xfId="0" applyFill="1" applyBorder="1">
      <alignment vertical="center"/>
    </xf>
    <xf numFmtId="0" fontId="0" fillId="7" borderId="2" xfId="0" applyFill="1" applyBorder="1">
      <alignment vertical="center"/>
    </xf>
    <xf numFmtId="0" fontId="0" fillId="7" borderId="3" xfId="0" applyFill="1" applyBorder="1">
      <alignment vertical="center"/>
    </xf>
    <xf numFmtId="0" fontId="16" fillId="6" borderId="10" xfId="0" applyFont="1" applyFill="1" applyBorder="1">
      <alignment vertical="center"/>
    </xf>
    <xf numFmtId="0" fontId="16" fillId="6" borderId="11" xfId="0" applyFont="1" applyFill="1" applyBorder="1">
      <alignment vertical="center"/>
    </xf>
    <xf numFmtId="0" fontId="16" fillId="6" borderId="12" xfId="0" applyFont="1" applyFill="1" applyBorder="1">
      <alignment vertical="center"/>
    </xf>
    <xf numFmtId="0" fontId="16" fillId="6" borderId="0" xfId="0" applyFont="1" applyFill="1">
      <alignment vertical="center"/>
    </xf>
    <xf numFmtId="2" fontId="0" fillId="7" borderId="3" xfId="0" applyNumberFormat="1" applyFill="1" applyBorder="1">
      <alignment vertical="center"/>
    </xf>
    <xf numFmtId="0" fontId="0" fillId="9" borderId="0" xfId="0" applyFill="1">
      <alignment vertical="center"/>
    </xf>
    <xf numFmtId="0" fontId="18" fillId="0" borderId="0" xfId="0" applyFont="1">
      <alignment vertical="center"/>
    </xf>
    <xf numFmtId="0" fontId="9" fillId="9" borderId="0" xfId="0" applyFont="1" applyFill="1">
      <alignment vertical="center"/>
    </xf>
    <xf numFmtId="166" fontId="0" fillId="0" borderId="0" xfId="0" applyNumberFormat="1">
      <alignment vertical="center"/>
    </xf>
    <xf numFmtId="0" fontId="0" fillId="12" borderId="13" xfId="0" applyFill="1" applyBorder="1">
      <alignment vertical="center"/>
    </xf>
    <xf numFmtId="0" fontId="0" fillId="12" borderId="14" xfId="0" applyFill="1" applyBorder="1">
      <alignment vertical="center"/>
    </xf>
    <xf numFmtId="0" fontId="0" fillId="12" borderId="15" xfId="0" applyFill="1" applyBorder="1">
      <alignment vertical="center"/>
    </xf>
    <xf numFmtId="0" fontId="0" fillId="0" borderId="13" xfId="0" applyBorder="1">
      <alignment vertical="center"/>
    </xf>
    <xf numFmtId="0" fontId="0" fillId="0" borderId="15" xfId="0" applyBorder="1">
      <alignment vertical="center"/>
    </xf>
    <xf numFmtId="0" fontId="0" fillId="12" borderId="14" xfId="0" applyFill="1" applyBorder="1" applyAlignment="1">
      <alignment vertical="center" wrapText="1"/>
    </xf>
    <xf numFmtId="0" fontId="0" fillId="0" borderId="14" xfId="0" applyBorder="1" applyAlignment="1">
      <alignment vertical="center" wrapText="1"/>
    </xf>
    <xf numFmtId="0" fontId="0" fillId="13" borderId="0" xfId="0" applyFill="1">
      <alignment vertical="center"/>
    </xf>
  </cellXfs>
  <cellStyles count="4">
    <cellStyle name="Good" xfId="1" builtinId="26"/>
    <cellStyle name="Heading 4" xfId="2" builtinId="19"/>
    <cellStyle name="Neutral" xfId="3" builtinId="28"/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</dxf>
    <dxf>
      <alignment horizontal="general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SBMU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集成工具!$C$20</c:f>
              <c:strCache>
                <c:ptCount val="1"/>
                <c:pt idx="0">
                  <c:v>SOC(%）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集成工具!$A$21:$A$40</c:f>
              <c:strCache>
                <c:ptCount val="20"/>
                <c:pt idx="0">
                  <c:v>SBMU 01</c:v>
                </c:pt>
                <c:pt idx="1">
                  <c:v>SBMU 02</c:v>
                </c:pt>
                <c:pt idx="2">
                  <c:v>SBMU 03</c:v>
                </c:pt>
                <c:pt idx="3">
                  <c:v>SBMU 04</c:v>
                </c:pt>
                <c:pt idx="4">
                  <c:v>SBMU 05</c:v>
                </c:pt>
                <c:pt idx="5">
                  <c:v>SBMU 06</c:v>
                </c:pt>
                <c:pt idx="6">
                  <c:v>SBMU 07</c:v>
                </c:pt>
                <c:pt idx="7">
                  <c:v>SBMU 08</c:v>
                </c:pt>
                <c:pt idx="8">
                  <c:v>SBMU 09</c:v>
                </c:pt>
                <c:pt idx="9">
                  <c:v>SBMU 10</c:v>
                </c:pt>
                <c:pt idx="10">
                  <c:v>SBMU 11</c:v>
                </c:pt>
                <c:pt idx="11">
                  <c:v>SBMU 12</c:v>
                </c:pt>
                <c:pt idx="12">
                  <c:v>SBMU 13</c:v>
                </c:pt>
                <c:pt idx="13">
                  <c:v>SBMU 14</c:v>
                </c:pt>
                <c:pt idx="14">
                  <c:v>SBMU 15</c:v>
                </c:pt>
                <c:pt idx="15">
                  <c:v>SBMU 16</c:v>
                </c:pt>
                <c:pt idx="16">
                  <c:v>SBMU 17</c:v>
                </c:pt>
                <c:pt idx="17">
                  <c:v>SBMU 18</c:v>
                </c:pt>
                <c:pt idx="18">
                  <c:v>SBMU 19</c:v>
                </c:pt>
                <c:pt idx="19">
                  <c:v>SBMU 20</c:v>
                </c:pt>
              </c:strCache>
            </c:strRef>
          </c:cat>
          <c:val>
            <c:numRef>
              <c:f>集成工具!$C$21:$C$40</c:f>
              <c:numCache>
                <c:formatCode>0.0</c:formatCode>
                <c:ptCount val="20"/>
                <c:pt idx="0">
                  <c:v>23</c:v>
                </c:pt>
                <c:pt idx="1">
                  <c:v>23</c:v>
                </c:pt>
                <c:pt idx="2">
                  <c:v>23</c:v>
                </c:pt>
                <c:pt idx="3">
                  <c:v>23</c:v>
                </c:pt>
                <c:pt idx="4">
                  <c:v>23</c:v>
                </c:pt>
                <c:pt idx="5">
                  <c:v>23</c:v>
                </c:pt>
                <c:pt idx="6">
                  <c:v>23</c:v>
                </c:pt>
                <c:pt idx="7">
                  <c:v>22.9</c:v>
                </c:pt>
                <c:pt idx="8">
                  <c:v>22.9</c:v>
                </c:pt>
                <c:pt idx="9">
                  <c:v>23</c:v>
                </c:pt>
                <c:pt idx="10">
                  <c:v>23</c:v>
                </c:pt>
                <c:pt idx="11">
                  <c:v>23</c:v>
                </c:pt>
                <c:pt idx="12">
                  <c:v>23</c:v>
                </c:pt>
                <c:pt idx="13">
                  <c:v>23</c:v>
                </c:pt>
                <c:pt idx="14">
                  <c:v>23</c:v>
                </c:pt>
                <c:pt idx="15">
                  <c:v>23</c:v>
                </c:pt>
                <c:pt idx="16">
                  <c:v>23</c:v>
                </c:pt>
                <c:pt idx="17">
                  <c:v>23</c:v>
                </c:pt>
                <c:pt idx="18">
                  <c:v>22.9</c:v>
                </c:pt>
                <c:pt idx="19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C-4961-AC58-DB4AAAD2A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3027311"/>
        <c:axId val="2134251407"/>
      </c:barChart>
      <c:lineChart>
        <c:grouping val="stacked"/>
        <c:varyColors val="0"/>
        <c:ser>
          <c:idx val="0"/>
          <c:order val="0"/>
          <c:tx>
            <c:strRef>
              <c:f>集成工具!$B$20</c:f>
              <c:strCache>
                <c:ptCount val="1"/>
                <c:pt idx="0">
                  <c:v>Current(A)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集成工具!$A$21:$A$40</c:f>
              <c:strCache>
                <c:ptCount val="20"/>
                <c:pt idx="0">
                  <c:v>SBMU 01</c:v>
                </c:pt>
                <c:pt idx="1">
                  <c:v>SBMU 02</c:v>
                </c:pt>
                <c:pt idx="2">
                  <c:v>SBMU 03</c:v>
                </c:pt>
                <c:pt idx="3">
                  <c:v>SBMU 04</c:v>
                </c:pt>
                <c:pt idx="4">
                  <c:v>SBMU 05</c:v>
                </c:pt>
                <c:pt idx="5">
                  <c:v>SBMU 06</c:v>
                </c:pt>
                <c:pt idx="6">
                  <c:v>SBMU 07</c:v>
                </c:pt>
                <c:pt idx="7">
                  <c:v>SBMU 08</c:v>
                </c:pt>
                <c:pt idx="8">
                  <c:v>SBMU 09</c:v>
                </c:pt>
                <c:pt idx="9">
                  <c:v>SBMU 10</c:v>
                </c:pt>
                <c:pt idx="10">
                  <c:v>SBMU 11</c:v>
                </c:pt>
                <c:pt idx="11">
                  <c:v>SBMU 12</c:v>
                </c:pt>
                <c:pt idx="12">
                  <c:v>SBMU 13</c:v>
                </c:pt>
                <c:pt idx="13">
                  <c:v>SBMU 14</c:v>
                </c:pt>
                <c:pt idx="14">
                  <c:v>SBMU 15</c:v>
                </c:pt>
                <c:pt idx="15">
                  <c:v>SBMU 16</c:v>
                </c:pt>
                <c:pt idx="16">
                  <c:v>SBMU 17</c:v>
                </c:pt>
                <c:pt idx="17">
                  <c:v>SBMU 18</c:v>
                </c:pt>
                <c:pt idx="18">
                  <c:v>SBMU 19</c:v>
                </c:pt>
                <c:pt idx="19">
                  <c:v>SBMU 20</c:v>
                </c:pt>
              </c:strCache>
            </c:strRef>
          </c:cat>
          <c:val>
            <c:numRef>
              <c:f>集成工具!$B$21:$B$40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-0.4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-0.8</c:v>
                </c:pt>
                <c:pt idx="16">
                  <c:v>0</c:v>
                </c:pt>
                <c:pt idx="17">
                  <c:v>0</c:v>
                </c:pt>
                <c:pt idx="18">
                  <c:v>0.4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AC-4961-AC58-DB4AAAD2A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7901087"/>
        <c:axId val="2137900127"/>
      </c:lineChart>
      <c:catAx>
        <c:axId val="21330273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251407"/>
        <c:crosses val="autoZero"/>
        <c:auto val="1"/>
        <c:lblAlgn val="ctr"/>
        <c:lblOffset val="100"/>
        <c:noMultiLvlLbl val="0"/>
      </c:catAx>
      <c:valAx>
        <c:axId val="2134251407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027311"/>
        <c:crosses val="autoZero"/>
        <c:crossBetween val="between"/>
      </c:valAx>
      <c:valAx>
        <c:axId val="2137900127"/>
        <c:scaling>
          <c:orientation val="minMax"/>
          <c:max val="200"/>
          <c:min val="-200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7901087"/>
        <c:crosses val="max"/>
        <c:crossBetween val="between"/>
      </c:valAx>
      <c:catAx>
        <c:axId val="213790108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37900127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76200</xdr:colOff>
          <xdr:row>1</xdr:row>
          <xdr:rowOff>180975</xdr:rowOff>
        </xdr:from>
        <xdr:to>
          <xdr:col>5</xdr:col>
          <xdr:colOff>285750</xdr:colOff>
          <xdr:row>3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Clear 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76200</xdr:colOff>
          <xdr:row>4</xdr:row>
          <xdr:rowOff>180975</xdr:rowOff>
        </xdr:from>
        <xdr:to>
          <xdr:col>5</xdr:col>
          <xdr:colOff>285750</xdr:colOff>
          <xdr:row>6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FF0000"/>
                  </a:solidFill>
                  <a:latin typeface="等线"/>
                  <a:ea typeface="等线"/>
                </a:rPr>
                <a:t>HV 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76200</xdr:colOff>
          <xdr:row>7</xdr:row>
          <xdr:rowOff>180975</xdr:rowOff>
        </xdr:from>
        <xdr:to>
          <xdr:col>5</xdr:col>
          <xdr:colOff>285750</xdr:colOff>
          <xdr:row>9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HV OFF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66675</xdr:colOff>
          <xdr:row>10</xdr:row>
          <xdr:rowOff>152400</xdr:rowOff>
        </xdr:from>
        <xdr:to>
          <xdr:col>5</xdr:col>
          <xdr:colOff>276225</xdr:colOff>
          <xdr:row>12</xdr:row>
          <xdr:rowOff>57150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Heart Beat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133350</xdr:colOff>
          <xdr:row>4</xdr:row>
          <xdr:rowOff>95250</xdr:rowOff>
        </xdr:from>
        <xdr:to>
          <xdr:col>16</xdr:col>
          <xdr:colOff>123825</xdr:colOff>
          <xdr:row>6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MBMU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381000</xdr:colOff>
          <xdr:row>15</xdr:row>
          <xdr:rowOff>161925</xdr:rowOff>
        </xdr:from>
        <xdr:to>
          <xdr:col>3</xdr:col>
          <xdr:colOff>428625</xdr:colOff>
          <xdr:row>17</xdr:row>
          <xdr:rowOff>85725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SBMU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681036</xdr:colOff>
      <xdr:row>20</xdr:row>
      <xdr:rowOff>9525</xdr:rowOff>
    </xdr:from>
    <xdr:to>
      <xdr:col>18</xdr:col>
      <xdr:colOff>123824</xdr:colOff>
      <xdr:row>37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C4682A-0394-D769-62EF-2D2C11FFEE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5</xdr:row>
          <xdr:rowOff>38100</xdr:rowOff>
        </xdr:from>
        <xdr:to>
          <xdr:col>18</xdr:col>
          <xdr:colOff>438150</xdr:colOff>
          <xdr:row>6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476250</xdr:colOff>
          <xdr:row>1</xdr:row>
          <xdr:rowOff>123825</xdr:rowOff>
        </xdr:from>
        <xdr:to>
          <xdr:col>6</xdr:col>
          <xdr:colOff>0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485775</xdr:colOff>
          <xdr:row>5</xdr:row>
          <xdr:rowOff>161925</xdr:rowOff>
        </xdr:from>
        <xdr:to>
          <xdr:col>6</xdr:col>
          <xdr:colOff>9525</xdr:colOff>
          <xdr:row>8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CF ALL</a:t>
              </a:r>
            </a:p>
            <a:p>
              <a:pPr algn="ctr" rtl="0">
                <a:defRPr sz="1000"/>
              </a:pPr>
              <a:endParaRPr lang="en-AU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476250</xdr:colOff>
          <xdr:row>1</xdr:row>
          <xdr:rowOff>123825</xdr:rowOff>
        </xdr:from>
        <xdr:to>
          <xdr:col>6</xdr:col>
          <xdr:colOff>0</xdr:colOff>
          <xdr:row>3</xdr:row>
          <xdr:rowOff>161925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485775</xdr:colOff>
          <xdr:row>5</xdr:row>
          <xdr:rowOff>161925</xdr:rowOff>
        </xdr:from>
        <xdr:to>
          <xdr:col>6</xdr:col>
          <xdr:colOff>9525</xdr:colOff>
          <xdr:row>8</xdr:row>
          <xdr:rowOff>28575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CF ALL</a:t>
              </a:r>
            </a:p>
            <a:p>
              <a:pPr algn="ctr" rtl="0">
                <a:defRPr sz="1000"/>
              </a:pPr>
              <a:endParaRPr lang="en-AU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BF01A80-F4C1-4B54-9E66-CB02343A45E2}" name="Table1" displayName="Table1" ref="A1:D37" totalsRowShown="0">
  <autoFilter ref="A1:D37" xr:uid="{6BF01A80-F4C1-4B54-9E66-CB02343A45E2}"/>
  <tableColumns count="4">
    <tableColumn id="1" xr3:uid="{4FD0E23D-23B1-41CE-899F-3286882EA83F}" name="IP">
      <calculatedColumnFormula>SUBSTITUTE(O2,".8.","."&amp;$K$1&amp;".")</calculatedColumnFormula>
    </tableColumn>
    <tableColumn id="2" xr3:uid="{5439F5C0-F0B2-48FB-AB6B-FB86820C3444}" name="Value" dataDxfId="8"/>
    <tableColumn id="4" xr3:uid="{A2B1FA6A-B545-420E-A549-FC37C36A5448}" name="PI" dataDxfId="7">
      <calculatedColumnFormula>MID(Table1[[#This Row],[IP]],LEN(Table1[[#This Row],[IP]])-1,1)+(--MID(Table1[[#This Row],[IP]],8,1)-1)*9</calculatedColumnFormula>
    </tableColumn>
    <tableColumn id="5" xr3:uid="{13F536C0-4C92-4BCE-B560-261020941708}" name="Flag" dataDxfId="6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FEE1981-E832-4387-A247-D554F71FAB0E}" name="Table13" displayName="Table13" ref="A1:C10" totalsRowShown="0">
  <autoFilter ref="A1:C10" xr:uid="{6BF01A80-F4C1-4B54-9E66-CB02343A45E2}"/>
  <tableColumns count="3">
    <tableColumn id="1" xr3:uid="{927A67EF-A808-494C-999C-00253D44E807}" name="IP">
      <calculatedColumnFormula>SUBSTITUTE(O2,".8.","."&amp;$K$1&amp;".")</calculatedColumnFormula>
    </tableColumn>
    <tableColumn id="2" xr3:uid="{4FFB78B3-20C3-448D-A6D0-EA06C1F7B2C6}" name="Value" dataDxfId="5"/>
    <tableColumn id="4" xr3:uid="{396C83C6-4F9D-400D-9B36-98BA6608ABB5}" name="PI" dataDxfId="4">
      <calculatedColumnFormula>MID(Table13[[#This Row],[IP]],LEN(Table13[[#This Row],[IP]])-1,1)+(--MID(Table13[[#This Row],[IP]],8,1)-1)*9</calculatedColumnFormula>
    </tableColumn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707BBC6-7879-4002-BE85-18A8D635E7E4}" name="Table14" displayName="Table14" ref="A1:B41" totalsRowShown="0">
  <autoFilter ref="A1:B41" xr:uid="{6BF01A80-F4C1-4B54-9E66-CB02343A45E2}"/>
  <tableColumns count="2">
    <tableColumn id="1" xr3:uid="{FCD3BE6D-E329-4356-9875-78E237BAA940}" name="IP">
      <calculatedColumnFormula>SUBSTITUTE(M2,".8.","."&amp;$I$1&amp;".")</calculatedColumnFormula>
    </tableColumn>
    <tableColumn id="2" xr3:uid="{518E3209-C8C1-4828-A9B2-E04B105710F3}" name="Value" dataDxfId="3">
      <calculatedColumnFormula array="1">ReadRegf(Table14[[#This Row],[IP]],E2)</calculatedColumnFormula>
    </tableColumn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9102D-F35C-4514-ADED-40EA91EBA57A}">
  <sheetPr codeName="Sheet1">
    <pageSetUpPr fitToPage="1"/>
  </sheetPr>
  <dimension ref="A1:W40"/>
  <sheetViews>
    <sheetView tabSelected="1" workbookViewId="0">
      <selection activeCell="K10" sqref="K10"/>
    </sheetView>
  </sheetViews>
  <sheetFormatPr defaultRowHeight="13.5" x14ac:dyDescent="0.15"/>
  <cols>
    <col min="1" max="1" width="10.5" bestFit="1" customWidth="1"/>
    <col min="2" max="2" width="10.125" bestFit="1" customWidth="1"/>
    <col min="3" max="3" width="11.125" bestFit="1" customWidth="1"/>
    <col min="4" max="4" width="10.125" bestFit="1" customWidth="1"/>
    <col min="7" max="7" width="8.625" bestFit="1" customWidth="1"/>
    <col min="11" max="11" width="20.125" bestFit="1" customWidth="1"/>
    <col min="14" max="14" width="11.5" customWidth="1"/>
    <col min="15" max="15" width="12.375" customWidth="1"/>
    <col min="16" max="16" width="11.875" bestFit="1" customWidth="1"/>
  </cols>
  <sheetData>
    <row r="1" spans="1:23" ht="25.5" x14ac:dyDescent="0.15">
      <c r="A1" s="33" t="s">
        <v>13</v>
      </c>
      <c r="B1" s="38" t="s">
        <v>134</v>
      </c>
      <c r="C1" s="32" t="s">
        <v>34</v>
      </c>
      <c r="D1" s="31">
        <f>(MID(B1,8,1)-1)*9+QUOTIENT(RIGHT(B1,2),10)</f>
        <v>54</v>
      </c>
      <c r="J1" t="str">
        <f>VLOOKUP(--RIGHT(B1,1),{9,"A";8,"B";7,"C";6,"D"},2,0)</f>
        <v>A</v>
      </c>
      <c r="K1" s="58">
        <f ca="1">NOW()</f>
        <v>45615.742214699072</v>
      </c>
      <c r="M1">
        <v>32</v>
      </c>
      <c r="N1">
        <v>33</v>
      </c>
      <c r="R1">
        <f t="shared" ref="R1:R4" si="0">(MID(B1,8,1)-1)*9+QUOTIENT(RIGHT(B1,2),10)</f>
        <v>54</v>
      </c>
      <c r="S1" t="str">
        <f>VLOOKUP(--RIGHT(B1,1),{9,"A";8,"B";7,"C";6,"D"},2,0)</f>
        <v>A</v>
      </c>
    </row>
    <row r="2" spans="1:23" ht="15" x14ac:dyDescent="0.15">
      <c r="A2" s="56" t="str">
        <f>REPLACE($B$1,LEN($B$1),1,"7")</f>
        <v>10.238.6.97</v>
      </c>
      <c r="B2" s="56" t="str">
        <f>REPLACE($B$1,LEN($B$1),1,"7")</f>
        <v>10.238.6.97</v>
      </c>
      <c r="G2" s="22" t="s">
        <v>11</v>
      </c>
      <c r="H2" s="23" t="s">
        <v>14</v>
      </c>
      <c r="I2" s="24" t="s">
        <v>12</v>
      </c>
      <c r="J2" t="str">
        <f>VLOOKUP(--RIGHT(B2,1),{9,"A";8,"B";7,"C";6,"D"},2,0)</f>
        <v>C</v>
      </c>
      <c r="M2" s="1" t="s">
        <v>6</v>
      </c>
      <c r="N2" s="27" t="s">
        <v>7</v>
      </c>
      <c r="O2" s="2" t="s">
        <v>8</v>
      </c>
      <c r="P2" s="3" t="s">
        <v>29</v>
      </c>
      <c r="R2">
        <f t="shared" si="0"/>
        <v>54</v>
      </c>
      <c r="S2" t="str">
        <f>VLOOKUP(--RIGHT(B2,1),{9,"A";8,"B";7,"C";6,"D"},2,0)</f>
        <v>C</v>
      </c>
    </row>
    <row r="3" spans="1:23" ht="15" x14ac:dyDescent="0.15">
      <c r="A3" s="56" t="str">
        <f>REPLACE($B$1,LEN($B$1),1,"8")</f>
        <v>10.238.6.98</v>
      </c>
      <c r="B3" s="56" t="str">
        <f>REPLACE($B$1,LEN($B$1),1,"8")</f>
        <v>10.238.6.98</v>
      </c>
      <c r="G3" s="39">
        <f>INT(ABS(MAX(D21:D24))-ABS(MIN(B21:B24)))</f>
        <v>300</v>
      </c>
      <c r="H3" s="25">
        <v>9</v>
      </c>
      <c r="I3" s="26">
        <f>G3*H3*1.4</f>
        <v>3779.9999999999995</v>
      </c>
      <c r="J3" t="str">
        <f>VLOOKUP(--RIGHT(B3,1),{9,"A";8,"B";7,"C";6,"D"},2,0)</f>
        <v>B</v>
      </c>
      <c r="M3" s="42">
        <v>1355.4</v>
      </c>
      <c r="N3" s="36">
        <v>0</v>
      </c>
      <c r="O3" s="29">
        <f t="shared" ref="O3:O6" si="1">ABS(INT(M3*N3/1000))</f>
        <v>0</v>
      </c>
      <c r="P3" s="41">
        <f>SUM(O3:O6)/1000</f>
        <v>0</v>
      </c>
      <c r="R3">
        <f t="shared" si="0"/>
        <v>54</v>
      </c>
      <c r="S3" t="str">
        <f>VLOOKUP(--RIGHT(B3,1),{9,"A";8,"B";7,"C";6,"D"},2,0)</f>
        <v>B</v>
      </c>
    </row>
    <row r="4" spans="1:23" ht="14.25" x14ac:dyDescent="0.15">
      <c r="A4" s="56" t="str">
        <f>REPLACE($B$1,LEN($B$1),1,"9")</f>
        <v>10.238.6.99</v>
      </c>
      <c r="B4" s="56" t="str">
        <f>REPLACE($B$1,LEN($B$1),1,"9")</f>
        <v>10.238.6.99</v>
      </c>
      <c r="J4" t="str">
        <f>VLOOKUP(--RIGHT(B4,1),{9,"A";8,"B";7,"C";6,"D"},2,0)</f>
        <v>A</v>
      </c>
      <c r="M4" s="43">
        <v>1355.8</v>
      </c>
      <c r="N4" s="37">
        <v>0</v>
      </c>
      <c r="O4" s="29">
        <f t="shared" si="1"/>
        <v>0</v>
      </c>
      <c r="P4" s="30"/>
      <c r="R4">
        <f t="shared" si="0"/>
        <v>54</v>
      </c>
      <c r="S4" t="str">
        <f>VLOOKUP(--RIGHT(B4,1),{9,"A";8,"B";7,"C";6,"D"},2,0)</f>
        <v>A</v>
      </c>
    </row>
    <row r="5" spans="1:23" ht="15" x14ac:dyDescent="0.15">
      <c r="G5" s="22" t="s">
        <v>31</v>
      </c>
      <c r="H5" s="23" t="s">
        <v>7</v>
      </c>
      <c r="M5" s="42">
        <v>1356.4</v>
      </c>
      <c r="N5" s="36">
        <v>0</v>
      </c>
      <c r="O5" s="29">
        <f t="shared" si="1"/>
        <v>0</v>
      </c>
    </row>
    <row r="6" spans="1:23" ht="15" x14ac:dyDescent="0.15">
      <c r="A6" s="13" t="s">
        <v>0</v>
      </c>
      <c r="B6" s="14" t="s">
        <v>1</v>
      </c>
      <c r="C6" s="15" t="s">
        <v>18</v>
      </c>
      <c r="G6" s="39">
        <v>18031</v>
      </c>
      <c r="H6" s="25">
        <f>(G6-20000)/10</f>
        <v>-196.9</v>
      </c>
      <c r="M6" s="43">
        <v>1355.2</v>
      </c>
      <c r="N6" s="37">
        <v>0</v>
      </c>
      <c r="O6" s="29">
        <f t="shared" si="1"/>
        <v>0</v>
      </c>
    </row>
    <row r="7" spans="1:23" ht="15" x14ac:dyDescent="0.15">
      <c r="A7" s="16">
        <v>896</v>
      </c>
      <c r="B7" s="17" t="s">
        <v>5</v>
      </c>
      <c r="C7" s="18" t="s">
        <v>2</v>
      </c>
    </row>
    <row r="8" spans="1:23" ht="15" x14ac:dyDescent="0.15">
      <c r="A8" s="16">
        <v>897</v>
      </c>
      <c r="B8" s="17" t="s">
        <v>17</v>
      </c>
      <c r="C8" s="18" t="s">
        <v>3</v>
      </c>
      <c r="G8" s="22" t="s">
        <v>32</v>
      </c>
      <c r="H8" s="23" t="s">
        <v>33</v>
      </c>
      <c r="M8" s="22" t="s">
        <v>38</v>
      </c>
      <c r="N8" s="23">
        <v>36</v>
      </c>
      <c r="O8" s="23">
        <v>37</v>
      </c>
      <c r="P8" s="23">
        <v>907</v>
      </c>
      <c r="Q8" s="23">
        <v>770</v>
      </c>
      <c r="R8" t="s">
        <v>115</v>
      </c>
    </row>
    <row r="9" spans="1:23" ht="15" x14ac:dyDescent="0.15">
      <c r="A9" s="16">
        <v>907</v>
      </c>
      <c r="B9" s="17" t="s">
        <v>77</v>
      </c>
      <c r="C9" s="18" t="s">
        <v>78</v>
      </c>
      <c r="G9" s="39" t="s">
        <v>157</v>
      </c>
      <c r="H9" s="25">
        <f>HEX2DEC(G9)</f>
        <v>1984</v>
      </c>
      <c r="N9" s="25" t="s">
        <v>121</v>
      </c>
      <c r="O9" s="25" t="s">
        <v>135</v>
      </c>
      <c r="P9" s="25" t="s">
        <v>133</v>
      </c>
      <c r="Q9" s="25" t="s">
        <v>118</v>
      </c>
      <c r="R9">
        <f>CLEAN(N9)*1-CLEAN(O9)*1</f>
        <v>14</v>
      </c>
    </row>
    <row r="10" spans="1:23" ht="15" x14ac:dyDescent="0.15">
      <c r="A10" s="16">
        <v>908</v>
      </c>
      <c r="B10" s="17" t="s">
        <v>16</v>
      </c>
      <c r="C10" s="18" t="s">
        <v>4</v>
      </c>
      <c r="G10" s="23" t="s">
        <v>33</v>
      </c>
      <c r="H10" s="22" t="s">
        <v>32</v>
      </c>
      <c r="N10" s="25" t="s">
        <v>121</v>
      </c>
      <c r="O10" s="25" t="s">
        <v>132</v>
      </c>
      <c r="P10" s="25" t="s">
        <v>133</v>
      </c>
      <c r="Q10" s="25" t="s">
        <v>118</v>
      </c>
      <c r="R10">
        <f t="shared" ref="R10:R12" si="2">CLEAN(N10)*1-CLEAN(O10)*1</f>
        <v>9</v>
      </c>
    </row>
    <row r="11" spans="1:23" ht="15" x14ac:dyDescent="0.15">
      <c r="A11" s="19" t="s">
        <v>61</v>
      </c>
      <c r="B11" s="20"/>
      <c r="C11" s="21" t="s">
        <v>62</v>
      </c>
      <c r="G11" s="39">
        <v>1057</v>
      </c>
      <c r="H11" s="25" t="str">
        <f>DEC2HEX(G11)</f>
        <v>421</v>
      </c>
      <c r="N11" s="25" t="s">
        <v>136</v>
      </c>
      <c r="O11" s="25" t="s">
        <v>131</v>
      </c>
      <c r="P11" s="25" t="s">
        <v>133</v>
      </c>
      <c r="Q11" s="25" t="s">
        <v>118</v>
      </c>
      <c r="R11">
        <f t="shared" si="2"/>
        <v>15</v>
      </c>
    </row>
    <row r="12" spans="1:23" ht="15" x14ac:dyDescent="0.15">
      <c r="A12" s="19" t="s">
        <v>63</v>
      </c>
      <c r="B12" s="20"/>
      <c r="C12" s="21" t="s">
        <v>64</v>
      </c>
      <c r="N12" s="25" t="s">
        <v>121</v>
      </c>
      <c r="O12" s="25" t="s">
        <v>135</v>
      </c>
      <c r="P12" s="25" t="s">
        <v>133</v>
      </c>
      <c r="Q12" s="25" t="s">
        <v>118</v>
      </c>
      <c r="R12">
        <f t="shared" si="2"/>
        <v>14</v>
      </c>
    </row>
    <row r="13" spans="1:23" ht="15" x14ac:dyDescent="0.15">
      <c r="A13" s="19">
        <v>5</v>
      </c>
      <c r="B13" s="20"/>
      <c r="C13" s="21" t="s">
        <v>74</v>
      </c>
      <c r="L13" t="s">
        <v>65</v>
      </c>
    </row>
    <row r="14" spans="1:23" ht="15" x14ac:dyDescent="0.15">
      <c r="A14" s="19">
        <v>770</v>
      </c>
      <c r="B14" s="20" t="s">
        <v>76</v>
      </c>
      <c r="C14" s="21" t="s">
        <v>75</v>
      </c>
      <c r="D14" t="s">
        <v>116</v>
      </c>
      <c r="V14" t="s">
        <v>68</v>
      </c>
      <c r="W14" t="s">
        <v>69</v>
      </c>
    </row>
    <row r="15" spans="1:23" x14ac:dyDescent="0.15">
      <c r="G15" s="35"/>
      <c r="U15" t="s">
        <v>66</v>
      </c>
      <c r="V15">
        <v>192</v>
      </c>
      <c r="W15">
        <v>38</v>
      </c>
    </row>
    <row r="16" spans="1:23" x14ac:dyDescent="0.15">
      <c r="E16" s="50" t="s">
        <v>57</v>
      </c>
      <c r="F16" s="51" t="s">
        <v>58</v>
      </c>
      <c r="G16" s="52" t="s">
        <v>59</v>
      </c>
      <c r="H16" s="53" t="s">
        <v>56</v>
      </c>
      <c r="U16" t="s">
        <v>67</v>
      </c>
      <c r="V16">
        <v>192</v>
      </c>
    </row>
    <row r="17" spans="1:8" ht="15" x14ac:dyDescent="0.15">
      <c r="A17" s="28" t="s">
        <v>15</v>
      </c>
      <c r="B17" s="25">
        <v>1</v>
      </c>
      <c r="E17" s="47" cm="1">
        <f t="array" ref="E17">MAX(IF(ABS(B21:B40)&gt;1,B21:B40))</f>
        <v>0</v>
      </c>
      <c r="F17" s="48" cm="1">
        <f t="array" ref="F17">MIN(IF(ABS(B21:B40)&gt;1,B21:B40))</f>
        <v>0</v>
      </c>
      <c r="G17" s="49" t="e" cm="1">
        <f t="array" ref="G17">MEDIAN(IF(ABS(B21:B40)&gt;1,B21:B40))</f>
        <v>#NUM!</v>
      </c>
      <c r="H17" s="54" t="e" cm="1">
        <f t="array" ref="H17">_xlfn.STDEV.P(IF(ABS(B21:B40)&gt;1,B21:B40))</f>
        <v>#DIV/0!</v>
      </c>
    </row>
    <row r="18" spans="1:8" ht="14.25" x14ac:dyDescent="0.15">
      <c r="E18" s="57">
        <f>E17-F17</f>
        <v>0</v>
      </c>
    </row>
    <row r="20" spans="1:8" ht="15" x14ac:dyDescent="0.15">
      <c r="A20" s="1" t="s">
        <v>37</v>
      </c>
      <c r="B20" s="2" t="s">
        <v>10</v>
      </c>
      <c r="C20" s="2" t="s">
        <v>9</v>
      </c>
      <c r="D20" s="3" t="s">
        <v>30</v>
      </c>
      <c r="E20" s="3" t="s">
        <v>6</v>
      </c>
      <c r="F20" s="34" t="s">
        <v>35</v>
      </c>
      <c r="G20" s="34" t="s">
        <v>36</v>
      </c>
    </row>
    <row r="21" spans="1:8" ht="14.25" x14ac:dyDescent="0.15">
      <c r="A21" s="4" t="s">
        <v>19</v>
      </c>
      <c r="B21" s="5">
        <v>0</v>
      </c>
      <c r="C21" s="5">
        <v>23</v>
      </c>
      <c r="D21" s="44">
        <v>-300.3</v>
      </c>
      <c r="E21" s="44">
        <v>1356</v>
      </c>
      <c r="F21" s="6">
        <v>22</v>
      </c>
      <c r="G21" s="6">
        <f>INT(E21*B21/1000)</f>
        <v>0</v>
      </c>
    </row>
    <row r="22" spans="1:8" ht="14.25" x14ac:dyDescent="0.15">
      <c r="A22" s="7" t="s">
        <v>20</v>
      </c>
      <c r="B22" s="8">
        <v>0</v>
      </c>
      <c r="C22" s="8">
        <v>23</v>
      </c>
      <c r="D22" s="45">
        <v>-300.10000000000002</v>
      </c>
      <c r="E22" s="45">
        <v>1356.8</v>
      </c>
      <c r="F22" s="9">
        <v>21</v>
      </c>
      <c r="G22" s="6">
        <f t="shared" ref="G22:G40" si="3">INT(E22*B22/1000)</f>
        <v>0</v>
      </c>
    </row>
    <row r="23" spans="1:8" ht="14.25" x14ac:dyDescent="0.15">
      <c r="A23" s="4" t="s">
        <v>21</v>
      </c>
      <c r="B23" s="5">
        <v>0</v>
      </c>
      <c r="C23" s="5">
        <v>23</v>
      </c>
      <c r="D23" s="44">
        <v>-300.89999999999998</v>
      </c>
      <c r="E23" s="44">
        <v>1353.6</v>
      </c>
      <c r="F23" s="6">
        <v>21</v>
      </c>
      <c r="G23" s="6">
        <f t="shared" si="3"/>
        <v>0</v>
      </c>
    </row>
    <row r="24" spans="1:8" ht="14.25" x14ac:dyDescent="0.15">
      <c r="A24" s="7" t="s">
        <v>22</v>
      </c>
      <c r="B24" s="8">
        <v>0</v>
      </c>
      <c r="C24" s="8">
        <v>23</v>
      </c>
      <c r="D24" s="45">
        <v>-300.3</v>
      </c>
      <c r="E24" s="45">
        <v>1356</v>
      </c>
      <c r="F24" s="9">
        <v>21</v>
      </c>
      <c r="G24" s="6">
        <f t="shared" si="3"/>
        <v>0</v>
      </c>
    </row>
    <row r="25" spans="1:8" ht="14.25" x14ac:dyDescent="0.15">
      <c r="A25" s="4" t="s">
        <v>23</v>
      </c>
      <c r="B25" s="5">
        <v>0</v>
      </c>
      <c r="C25" s="5">
        <v>23</v>
      </c>
      <c r="D25" s="44">
        <v>-300.3</v>
      </c>
      <c r="E25" s="44">
        <v>1356.3</v>
      </c>
      <c r="F25" s="6">
        <v>21</v>
      </c>
      <c r="G25" s="6">
        <f t="shared" si="3"/>
        <v>0</v>
      </c>
    </row>
    <row r="26" spans="1:8" ht="14.25" x14ac:dyDescent="0.15">
      <c r="A26" s="7" t="s">
        <v>24</v>
      </c>
      <c r="B26" s="8">
        <v>0</v>
      </c>
      <c r="C26" s="8">
        <v>23</v>
      </c>
      <c r="D26" s="45">
        <v>-300.3</v>
      </c>
      <c r="E26" s="45">
        <v>1356.1</v>
      </c>
      <c r="F26" s="9">
        <v>22</v>
      </c>
      <c r="G26" s="6">
        <f t="shared" si="3"/>
        <v>0</v>
      </c>
    </row>
    <row r="27" spans="1:8" ht="14.25" x14ac:dyDescent="0.15">
      <c r="A27" s="4" t="s">
        <v>25</v>
      </c>
      <c r="B27" s="5">
        <v>0</v>
      </c>
      <c r="C27" s="5">
        <v>23</v>
      </c>
      <c r="D27" s="44">
        <v>-300.60000000000002</v>
      </c>
      <c r="E27" s="44">
        <v>1354.8</v>
      </c>
      <c r="F27" s="6">
        <v>21</v>
      </c>
      <c r="G27" s="6">
        <f t="shared" si="3"/>
        <v>0</v>
      </c>
    </row>
    <row r="28" spans="1:8" ht="14.25" x14ac:dyDescent="0.15">
      <c r="A28" s="7" t="s">
        <v>26</v>
      </c>
      <c r="B28" s="8">
        <v>0</v>
      </c>
      <c r="C28" s="8">
        <v>22.9</v>
      </c>
      <c r="D28" s="45">
        <v>-300.2</v>
      </c>
      <c r="E28" s="45">
        <v>1356.7</v>
      </c>
      <c r="F28" s="9">
        <v>21</v>
      </c>
      <c r="G28" s="6">
        <f t="shared" si="3"/>
        <v>0</v>
      </c>
    </row>
    <row r="29" spans="1:8" ht="14.25" x14ac:dyDescent="0.15">
      <c r="A29" s="4" t="s">
        <v>27</v>
      </c>
      <c r="B29" s="5">
        <v>0</v>
      </c>
      <c r="C29" s="5">
        <v>22.9</v>
      </c>
      <c r="D29" s="44">
        <v>-300.39999999999998</v>
      </c>
      <c r="E29" s="44">
        <v>1355.8</v>
      </c>
      <c r="F29" s="6">
        <v>21</v>
      </c>
      <c r="G29" s="6">
        <f t="shared" si="3"/>
        <v>0</v>
      </c>
    </row>
    <row r="30" spans="1:8" ht="14.25" x14ac:dyDescent="0.15">
      <c r="A30" s="10" t="s">
        <v>28</v>
      </c>
      <c r="B30" s="11">
        <v>0</v>
      </c>
      <c r="C30" s="11">
        <v>23</v>
      </c>
      <c r="D30" s="46">
        <v>-300.7</v>
      </c>
      <c r="E30" s="46">
        <v>1354.1</v>
      </c>
      <c r="F30" s="12">
        <v>22</v>
      </c>
      <c r="G30" s="6">
        <f t="shared" si="3"/>
        <v>0</v>
      </c>
    </row>
    <row r="31" spans="1:8" ht="14.25" x14ac:dyDescent="0.15">
      <c r="A31" s="4" t="s">
        <v>41</v>
      </c>
      <c r="B31" s="5">
        <v>-0.4</v>
      </c>
      <c r="C31" s="5">
        <v>23</v>
      </c>
      <c r="D31" s="44">
        <v>-300.60000000000002</v>
      </c>
      <c r="E31" s="44">
        <v>1354.9</v>
      </c>
      <c r="F31" s="6">
        <v>22</v>
      </c>
      <c r="G31" s="6">
        <f t="shared" si="3"/>
        <v>-1</v>
      </c>
    </row>
    <row r="32" spans="1:8" ht="14.25" x14ac:dyDescent="0.15">
      <c r="A32" s="10" t="s">
        <v>42</v>
      </c>
      <c r="B32" s="11">
        <v>0</v>
      </c>
      <c r="C32" s="11">
        <v>23</v>
      </c>
      <c r="D32" s="46">
        <v>-300.60000000000002</v>
      </c>
      <c r="E32" s="46">
        <v>1354.6</v>
      </c>
      <c r="F32" s="12">
        <v>21</v>
      </c>
      <c r="G32" s="6">
        <f t="shared" si="3"/>
        <v>0</v>
      </c>
    </row>
    <row r="33" spans="1:7" ht="14.25" x14ac:dyDescent="0.15">
      <c r="A33" s="4" t="s">
        <v>43</v>
      </c>
      <c r="B33" s="5">
        <v>0</v>
      </c>
      <c r="C33" s="5">
        <v>23</v>
      </c>
      <c r="D33" s="44">
        <v>-300.60000000000002</v>
      </c>
      <c r="E33" s="44">
        <v>1354.6</v>
      </c>
      <c r="F33" s="6">
        <v>21</v>
      </c>
      <c r="G33" s="6">
        <f t="shared" si="3"/>
        <v>0</v>
      </c>
    </row>
    <row r="34" spans="1:7" ht="14.25" x14ac:dyDescent="0.15">
      <c r="A34" s="10" t="s">
        <v>44</v>
      </c>
      <c r="B34" s="11">
        <v>0</v>
      </c>
      <c r="C34" s="11">
        <v>23</v>
      </c>
      <c r="D34" s="46">
        <v>-300.60000000000002</v>
      </c>
      <c r="E34" s="46">
        <v>1354.9</v>
      </c>
      <c r="F34" s="12">
        <v>21</v>
      </c>
      <c r="G34" s="6">
        <f t="shared" si="3"/>
        <v>0</v>
      </c>
    </row>
    <row r="35" spans="1:7" ht="14.25" x14ac:dyDescent="0.15">
      <c r="A35" s="4" t="s">
        <v>45</v>
      </c>
      <c r="B35" s="5">
        <v>0</v>
      </c>
      <c r="C35" s="5">
        <v>23</v>
      </c>
      <c r="D35" s="44">
        <v>-300.3</v>
      </c>
      <c r="E35" s="44">
        <v>1355.9</v>
      </c>
      <c r="F35" s="6">
        <v>21</v>
      </c>
      <c r="G35" s="6">
        <f t="shared" si="3"/>
        <v>0</v>
      </c>
    </row>
    <row r="36" spans="1:7" ht="14.25" x14ac:dyDescent="0.15">
      <c r="A36" s="10" t="s">
        <v>46</v>
      </c>
      <c r="B36" s="11">
        <v>-0.8</v>
      </c>
      <c r="C36" s="11">
        <v>23</v>
      </c>
      <c r="D36" s="46">
        <v>-300.10000000000002</v>
      </c>
      <c r="E36" s="46">
        <v>1356.8</v>
      </c>
      <c r="F36" s="12">
        <v>22</v>
      </c>
      <c r="G36" s="6">
        <f t="shared" si="3"/>
        <v>-2</v>
      </c>
    </row>
    <row r="37" spans="1:7" ht="14.25" x14ac:dyDescent="0.15">
      <c r="A37" s="4" t="s">
        <v>47</v>
      </c>
      <c r="B37" s="5">
        <v>0</v>
      </c>
      <c r="C37" s="5">
        <v>23</v>
      </c>
      <c r="D37" s="44">
        <v>-300.10000000000002</v>
      </c>
      <c r="E37" s="44">
        <v>1357.1</v>
      </c>
      <c r="F37" s="6">
        <v>21</v>
      </c>
      <c r="G37" s="6">
        <f t="shared" si="3"/>
        <v>0</v>
      </c>
    </row>
    <row r="38" spans="1:7" ht="14.25" x14ac:dyDescent="0.15">
      <c r="A38" s="10" t="s">
        <v>48</v>
      </c>
      <c r="B38" s="11">
        <v>0</v>
      </c>
      <c r="C38" s="11">
        <v>23</v>
      </c>
      <c r="D38" s="46">
        <v>-300.10000000000002</v>
      </c>
      <c r="E38" s="46">
        <v>1357</v>
      </c>
      <c r="F38" s="12">
        <v>21</v>
      </c>
      <c r="G38" s="6">
        <f t="shared" si="3"/>
        <v>0</v>
      </c>
    </row>
    <row r="39" spans="1:7" ht="14.25" x14ac:dyDescent="0.15">
      <c r="A39" s="4" t="s">
        <v>49</v>
      </c>
      <c r="B39" s="5">
        <v>0.4</v>
      </c>
      <c r="C39" s="5">
        <v>22.9</v>
      </c>
      <c r="D39" s="44">
        <v>-299.8</v>
      </c>
      <c r="E39" s="44">
        <v>1358.3</v>
      </c>
      <c r="F39" s="6">
        <v>21</v>
      </c>
      <c r="G39" s="6">
        <f t="shared" si="3"/>
        <v>0</v>
      </c>
    </row>
    <row r="40" spans="1:7" ht="14.25" x14ac:dyDescent="0.15">
      <c r="A40" s="10" t="s">
        <v>50</v>
      </c>
      <c r="B40" s="11">
        <v>0</v>
      </c>
      <c r="C40" s="11">
        <v>23</v>
      </c>
      <c r="D40" s="46">
        <v>-300.10000000000002</v>
      </c>
      <c r="E40" s="46">
        <v>1357</v>
      </c>
      <c r="F40" s="12">
        <v>22</v>
      </c>
      <c r="G40" s="6">
        <f t="shared" si="3"/>
        <v>0</v>
      </c>
    </row>
  </sheetData>
  <phoneticPr fontId="1" type="noConversion"/>
  <conditionalFormatting sqref="B21:B40">
    <cfRule type="expression" dxfId="2" priority="2">
      <formula>AND(ABS(B21)&gt;100,ABS(B21)&gt;ABS(D21*0.9))</formula>
    </cfRule>
    <cfRule type="expression" dxfId="1" priority="3">
      <formula>AND(ABS(B21)&gt;100,ABS(B21)&gt;ABS(D21*0.8))</formula>
    </cfRule>
  </conditionalFormatting>
  <conditionalFormatting sqref="E21:E40">
    <cfRule type="top10" dxfId="0" priority="1" percent="1" bottom="1" rank="1"/>
  </conditionalFormatting>
  <dataValidations count="2">
    <dataValidation type="list" allowBlank="1" showInputMessage="1" showErrorMessage="1" sqref="B17" xr:uid="{B46CE7A3-2D48-4A34-A2C5-671E725EC878}">
      <formula1>"0,1"</formula1>
    </dataValidation>
    <dataValidation type="list" allowBlank="1" showInputMessage="1" sqref="B1" xr:uid="{2D57F4C9-69DB-46B3-9C06-1E496882296A}">
      <formula1>$B$1:$B$4</formula1>
    </dataValidation>
  </dataValidations>
  <pageMargins left="0.7" right="0.7" top="0.75" bottom="0.75" header="0.3" footer="0.3"/>
  <pageSetup paperSize="9"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F">
                <anchor>
                  <from>
                    <xdr:col>4</xdr:col>
                    <xdr:colOff>76200</xdr:colOff>
                    <xdr:row>1</xdr:row>
                    <xdr:rowOff>180975</xdr:rowOff>
                  </from>
                  <to>
                    <xdr:col>5</xdr:col>
                    <xdr:colOff>285750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HVon">
                <anchor>
                  <from>
                    <xdr:col>4</xdr:col>
                    <xdr:colOff>76200</xdr:colOff>
                    <xdr:row>4</xdr:row>
                    <xdr:rowOff>180975</xdr:rowOff>
                  </from>
                  <to>
                    <xdr:col>5</xdr:col>
                    <xdr:colOff>285750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Voff">
                <anchor>
                  <from>
                    <xdr:col>4</xdr:col>
                    <xdr:colOff>76200</xdr:colOff>
                    <xdr:row>7</xdr:row>
                    <xdr:rowOff>180975</xdr:rowOff>
                  </from>
                  <to>
                    <xdr:col>5</xdr:col>
                    <xdr:colOff>285750</xdr:colOff>
                    <xdr:row>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HB">
                <anchor>
                  <from>
                    <xdr:col>4</xdr:col>
                    <xdr:colOff>66675</xdr:colOff>
                    <xdr:row>10</xdr:row>
                    <xdr:rowOff>152400</xdr:rowOff>
                  </from>
                  <to>
                    <xdr:col>5</xdr:col>
                    <xdr:colOff>276225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ReadMBMU">
                <anchor>
                  <from>
                    <xdr:col>15</xdr:col>
                    <xdr:colOff>133350</xdr:colOff>
                    <xdr:row>4</xdr:row>
                    <xdr:rowOff>95250</xdr:rowOff>
                  </from>
                  <to>
                    <xdr:col>16</xdr:col>
                    <xdr:colOff>123825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readSBMU">
                <anchor>
                  <from>
                    <xdr:col>2</xdr:col>
                    <xdr:colOff>381000</xdr:colOff>
                    <xdr:row>15</xdr:row>
                    <xdr:rowOff>161925</xdr:rowOff>
                  </from>
                  <to>
                    <xdr:col>3</xdr:col>
                    <xdr:colOff>428625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ReadRegister">
                <anchor moveWithCells="1">
                  <from>
                    <xdr:col>17</xdr:col>
                    <xdr:colOff>228600</xdr:colOff>
                    <xdr:row>5</xdr:row>
                    <xdr:rowOff>38100</xdr:rowOff>
                  </from>
                  <to>
                    <xdr:col>18</xdr:col>
                    <xdr:colOff>438150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5C43E-92F1-4F17-9335-1A9CA0A805AA}">
  <sheetPr codeName="Sheet2"/>
  <dimension ref="A1:T37"/>
  <sheetViews>
    <sheetView workbookViewId="0">
      <pane ySplit="1" topLeftCell="A2" activePane="bottomLeft" state="frozen"/>
      <selection pane="bottomLeft" activeCell="G40" sqref="G40"/>
    </sheetView>
  </sheetViews>
  <sheetFormatPr defaultRowHeight="13.5" x14ac:dyDescent="0.15"/>
  <cols>
    <col min="1" max="1" width="13.5" customWidth="1"/>
    <col min="2" max="2" width="13" customWidth="1"/>
    <col min="9" max="9" width="13.625" bestFit="1" customWidth="1"/>
    <col min="15" max="15" width="11.875" bestFit="1" customWidth="1"/>
  </cols>
  <sheetData>
    <row r="1" spans="1:20" x14ac:dyDescent="0.15">
      <c r="A1" t="s">
        <v>39</v>
      </c>
      <c r="B1" t="s">
        <v>117</v>
      </c>
      <c r="C1" t="s">
        <v>40</v>
      </c>
      <c r="D1" t="s">
        <v>55</v>
      </c>
      <c r="G1" t="s">
        <v>60</v>
      </c>
      <c r="H1" s="55">
        <v>770</v>
      </c>
      <c r="J1" t="s">
        <v>119</v>
      </c>
      <c r="K1" s="66">
        <v>8</v>
      </c>
    </row>
    <row r="2" spans="1:20" x14ac:dyDescent="0.15">
      <c r="A2" t="str">
        <f>SUBSTITUTE(O2,".8.","."&amp;$K$1&amp;".")</f>
        <v>10.238.8.16</v>
      </c>
      <c r="B2" s="40">
        <v>1</v>
      </c>
      <c r="C2">
        <f>MID(Table1[[#This Row],[IP]],LEN(Table1[[#This Row],[IP]])-1,1)+(--MID(Table1[[#This Row],[IP]],8,1)-1)*9</f>
        <v>64</v>
      </c>
      <c r="D2" t="s">
        <v>51</v>
      </c>
      <c r="O2" s="59" t="s">
        <v>79</v>
      </c>
      <c r="P2" s="64">
        <v>33</v>
      </c>
      <c r="Q2" s="60">
        <f>MID(Table1[[#This Row],[IP]],LEN(Table1[[#This Row],[IP]])-1,1)+(--MID(O2,8,1)-1)*9</f>
        <v>64</v>
      </c>
      <c r="R2" s="61" t="s">
        <v>51</v>
      </c>
      <c r="T2">
        <v>1</v>
      </c>
    </row>
    <row r="3" spans="1:20" x14ac:dyDescent="0.15">
      <c r="A3" t="str">
        <f t="shared" ref="A3:A37" si="0">SUBSTITUTE(O3,".8.","."&amp;$K$1&amp;".")</f>
        <v>10.238.8.17</v>
      </c>
      <c r="B3" s="40">
        <v>1</v>
      </c>
      <c r="C3">
        <f>MID(Table1[[#This Row],[IP]],LEN(Table1[[#This Row],[IP]])-1,1)+(--MID(Table1[[#This Row],[IP]],8,1)-1)*9</f>
        <v>64</v>
      </c>
      <c r="D3" t="s">
        <v>52</v>
      </c>
      <c r="O3" s="62" t="s">
        <v>80</v>
      </c>
      <c r="P3" s="65">
        <v>32</v>
      </c>
      <c r="Q3" s="60">
        <f>MID(Table1[[#This Row],[IP]],LEN(Table1[[#This Row],[IP]])-1,1)+(--MID(O3,8,1)-1)*9</f>
        <v>64</v>
      </c>
      <c r="R3" s="63" t="s">
        <v>52</v>
      </c>
      <c r="T3">
        <v>2</v>
      </c>
    </row>
    <row r="4" spans="1:20" x14ac:dyDescent="0.15">
      <c r="A4" t="str">
        <f t="shared" si="0"/>
        <v>10.238.8.18</v>
      </c>
      <c r="B4" s="40">
        <v>1</v>
      </c>
      <c r="C4">
        <f>MID(Table1[[#This Row],[IP]],LEN(Table1[[#This Row],[IP]])-1,1)+(--MID(Table1[[#This Row],[IP]],8,1)-1)*9</f>
        <v>64</v>
      </c>
      <c r="D4" t="s">
        <v>53</v>
      </c>
      <c r="O4" s="59" t="s">
        <v>81</v>
      </c>
      <c r="P4" s="64">
        <v>32</v>
      </c>
      <c r="Q4" s="60">
        <f>MID(Table1[[#This Row],[IP]],LEN(Table1[[#This Row],[IP]])-1,1)+(--MID(O4,8,1)-1)*9</f>
        <v>64</v>
      </c>
      <c r="R4" s="61" t="s">
        <v>53</v>
      </c>
      <c r="T4">
        <v>3</v>
      </c>
    </row>
    <row r="5" spans="1:20" x14ac:dyDescent="0.15">
      <c r="A5" t="str">
        <f t="shared" si="0"/>
        <v>10.238.8.19</v>
      </c>
      <c r="B5" s="40">
        <v>1</v>
      </c>
      <c r="C5">
        <f>MID(Table1[[#This Row],[IP]],LEN(Table1[[#This Row],[IP]])-1,1)+(--MID(Table1[[#This Row],[IP]],8,1)-1)*9</f>
        <v>64</v>
      </c>
      <c r="D5" t="s">
        <v>54</v>
      </c>
      <c r="O5" s="62" t="s">
        <v>82</v>
      </c>
      <c r="P5" s="65">
        <v>32</v>
      </c>
      <c r="Q5" s="60">
        <f>MID(Table1[[#This Row],[IP]],LEN(Table1[[#This Row],[IP]])-1,1)+(--MID(O5,8,1)-1)*9</f>
        <v>64</v>
      </c>
      <c r="R5" s="63" t="s">
        <v>54</v>
      </c>
      <c r="T5">
        <v>4</v>
      </c>
    </row>
    <row r="6" spans="1:20" x14ac:dyDescent="0.15">
      <c r="A6" t="str">
        <f t="shared" si="0"/>
        <v>10.238.8.26</v>
      </c>
      <c r="B6" s="40">
        <v>1</v>
      </c>
      <c r="C6">
        <f>MID(Table1[[#This Row],[IP]],LEN(Table1[[#This Row],[IP]])-1,1)+(--MID(Table1[[#This Row],[IP]],8,1)-1)*9</f>
        <v>65</v>
      </c>
      <c r="D6" t="s">
        <v>51</v>
      </c>
      <c r="O6" s="59" t="s">
        <v>83</v>
      </c>
      <c r="P6" s="64">
        <v>17</v>
      </c>
      <c r="Q6" s="60">
        <f>MID(Table1[[#This Row],[IP]],LEN(Table1[[#This Row],[IP]])-1,1)+(--MID(O6,8,1)-1)*9</f>
        <v>65</v>
      </c>
      <c r="R6" s="61" t="s">
        <v>51</v>
      </c>
      <c r="T6">
        <v>5</v>
      </c>
    </row>
    <row r="7" spans="1:20" x14ac:dyDescent="0.15">
      <c r="A7" t="str">
        <f t="shared" si="0"/>
        <v>10.238.8.27</v>
      </c>
      <c r="B7" s="40">
        <v>1</v>
      </c>
      <c r="C7">
        <f>MID(Table1[[#This Row],[IP]],LEN(Table1[[#This Row],[IP]])-1,1)+(--MID(Table1[[#This Row],[IP]],8,1)-1)*9</f>
        <v>65</v>
      </c>
      <c r="D7" t="s">
        <v>52</v>
      </c>
      <c r="O7" s="62" t="s">
        <v>84</v>
      </c>
      <c r="P7" s="65">
        <v>18</v>
      </c>
      <c r="Q7" s="60">
        <f>MID(Table1[[#This Row],[IP]],LEN(Table1[[#This Row],[IP]])-1,1)+(--MID(O7,8,1)-1)*9</f>
        <v>65</v>
      </c>
      <c r="R7" s="63" t="s">
        <v>52</v>
      </c>
      <c r="T7">
        <v>6</v>
      </c>
    </row>
    <row r="8" spans="1:20" x14ac:dyDescent="0.15">
      <c r="A8" t="str">
        <f t="shared" si="0"/>
        <v>10.238.8.28</v>
      </c>
      <c r="B8" s="40">
        <v>1</v>
      </c>
      <c r="C8">
        <f>MID(Table1[[#This Row],[IP]],LEN(Table1[[#This Row],[IP]])-1,1)+(--MID(Table1[[#This Row],[IP]],8,1)-1)*9</f>
        <v>65</v>
      </c>
      <c r="D8" t="s">
        <v>53</v>
      </c>
      <c r="O8" s="59" t="s">
        <v>85</v>
      </c>
      <c r="P8" s="64">
        <v>13</v>
      </c>
      <c r="Q8" s="60">
        <f>MID(Table1[[#This Row],[IP]],LEN(Table1[[#This Row],[IP]])-1,1)+(--MID(O8,8,1)-1)*9</f>
        <v>65</v>
      </c>
      <c r="R8" s="61" t="s">
        <v>53</v>
      </c>
      <c r="T8">
        <v>7</v>
      </c>
    </row>
    <row r="9" spans="1:20" x14ac:dyDescent="0.15">
      <c r="A9" t="str">
        <f t="shared" si="0"/>
        <v>10.238.8.29</v>
      </c>
      <c r="B9" s="40">
        <v>1</v>
      </c>
      <c r="C9">
        <f>MID(Table1[[#This Row],[IP]],LEN(Table1[[#This Row],[IP]])-1,1)+(--MID(Table1[[#This Row],[IP]],8,1)-1)*9</f>
        <v>65</v>
      </c>
      <c r="D9" t="s">
        <v>54</v>
      </c>
      <c r="O9" s="62" t="s">
        <v>86</v>
      </c>
      <c r="P9" s="65">
        <v>17</v>
      </c>
      <c r="Q9" s="60">
        <f>MID(Table1[[#This Row],[IP]],LEN(Table1[[#This Row],[IP]])-1,1)+(--MID(O9,8,1)-1)*9</f>
        <v>65</v>
      </c>
      <c r="R9" s="63" t="s">
        <v>54</v>
      </c>
      <c r="T9">
        <v>8</v>
      </c>
    </row>
    <row r="10" spans="1:20" x14ac:dyDescent="0.15">
      <c r="A10" t="str">
        <f t="shared" si="0"/>
        <v>10.238.8.36</v>
      </c>
      <c r="B10" s="40">
        <v>1</v>
      </c>
      <c r="C10">
        <f>MID(Table1[[#This Row],[IP]],LEN(Table1[[#This Row],[IP]])-1,1)+(--MID(Table1[[#This Row],[IP]],8,1)-1)*9</f>
        <v>66</v>
      </c>
      <c r="D10" t="s">
        <v>51</v>
      </c>
      <c r="H10" t="s">
        <v>73</v>
      </c>
      <c r="K10" t="s">
        <v>72</v>
      </c>
      <c r="O10" s="59" t="s">
        <v>87</v>
      </c>
      <c r="P10" s="64">
        <v>20</v>
      </c>
      <c r="Q10" s="60">
        <f>MID(Table1[[#This Row],[IP]],LEN(Table1[[#This Row],[IP]])-1,1)+(--MID(O10,8,1)-1)*9</f>
        <v>66</v>
      </c>
      <c r="R10" s="61" t="s">
        <v>51</v>
      </c>
    </row>
    <row r="11" spans="1:20" x14ac:dyDescent="0.15">
      <c r="A11" t="str">
        <f t="shared" si="0"/>
        <v>10.238.8.37</v>
      </c>
      <c r="B11" s="40">
        <v>1</v>
      </c>
      <c r="C11">
        <f>MID(Table1[[#This Row],[IP]],LEN(Table1[[#This Row],[IP]])-1,1)+(--MID(Table1[[#This Row],[IP]],8,1)-1)*9</f>
        <v>66</v>
      </c>
      <c r="D11" t="s">
        <v>52</v>
      </c>
      <c r="H11">
        <v>64</v>
      </c>
      <c r="I11" t="s">
        <v>70</v>
      </c>
      <c r="O11" s="62" t="s">
        <v>88</v>
      </c>
      <c r="P11" s="65">
        <v>18</v>
      </c>
      <c r="Q11" s="60">
        <f>MID(Table1[[#This Row],[IP]],LEN(Table1[[#This Row],[IP]])-1,1)+(--MID(O11,8,1)-1)*9</f>
        <v>66</v>
      </c>
      <c r="R11" s="63" t="s">
        <v>52</v>
      </c>
    </row>
    <row r="12" spans="1:20" x14ac:dyDescent="0.15">
      <c r="A12" t="str">
        <f t="shared" si="0"/>
        <v>10.238.8.38</v>
      </c>
      <c r="B12" s="40">
        <v>1</v>
      </c>
      <c r="C12">
        <f>MID(Table1[[#This Row],[IP]],LEN(Table1[[#This Row],[IP]])-1,1)+(--MID(Table1[[#This Row],[IP]],8,1)-1)*9</f>
        <v>66</v>
      </c>
      <c r="D12" t="s">
        <v>53</v>
      </c>
      <c r="H12">
        <v>192</v>
      </c>
      <c r="I12" t="s">
        <v>71</v>
      </c>
      <c r="J12">
        <v>0</v>
      </c>
      <c r="O12" s="59" t="s">
        <v>89</v>
      </c>
      <c r="P12" s="64">
        <v>18</v>
      </c>
      <c r="Q12" s="60">
        <f>MID(Table1[[#This Row],[IP]],LEN(Table1[[#This Row],[IP]])-1,1)+(--MID(O12,8,1)-1)*9</f>
        <v>66</v>
      </c>
      <c r="R12" s="61" t="s">
        <v>53</v>
      </c>
    </row>
    <row r="13" spans="1:20" x14ac:dyDescent="0.15">
      <c r="A13" t="str">
        <f t="shared" si="0"/>
        <v>10.238.8.39</v>
      </c>
      <c r="B13" s="40">
        <v>1</v>
      </c>
      <c r="C13">
        <f>MID(Table1[[#This Row],[IP]],LEN(Table1[[#This Row],[IP]])-1,1)+(--MID(Table1[[#This Row],[IP]],8,1)-1)*9</f>
        <v>66</v>
      </c>
      <c r="D13" t="s">
        <v>54</v>
      </c>
      <c r="O13" s="62" t="s">
        <v>90</v>
      </c>
      <c r="P13" s="65">
        <v>18</v>
      </c>
      <c r="Q13" s="60">
        <f>MID(Table1[[#This Row],[IP]],LEN(Table1[[#This Row],[IP]])-1,1)+(--MID(O13,8,1)-1)*9</f>
        <v>66</v>
      </c>
      <c r="R13" s="63" t="s">
        <v>54</v>
      </c>
    </row>
    <row r="14" spans="1:20" x14ac:dyDescent="0.15">
      <c r="A14" t="str">
        <f t="shared" si="0"/>
        <v>10.238.8.46</v>
      </c>
      <c r="B14" s="40">
        <v>1</v>
      </c>
      <c r="C14">
        <f>MID(Table1[[#This Row],[IP]],LEN(Table1[[#This Row],[IP]])-1,1)+(--MID(Table1[[#This Row],[IP]],8,1)-1)*9</f>
        <v>67</v>
      </c>
      <c r="D14" t="s">
        <v>51</v>
      </c>
      <c r="O14" s="59" t="s">
        <v>91</v>
      </c>
      <c r="P14" s="64">
        <v>30</v>
      </c>
      <c r="Q14" s="60">
        <f>MID(Table1[[#This Row],[IP]],LEN(Table1[[#This Row],[IP]])-1,1)+(--MID(O14,8,1)-1)*9</f>
        <v>67</v>
      </c>
      <c r="R14" s="61" t="s">
        <v>51</v>
      </c>
    </row>
    <row r="15" spans="1:20" x14ac:dyDescent="0.15">
      <c r="A15" t="str">
        <f t="shared" si="0"/>
        <v>10.238.8.47</v>
      </c>
      <c r="B15" s="40">
        <v>1</v>
      </c>
      <c r="C15">
        <f>MID(Table1[[#This Row],[IP]],LEN(Table1[[#This Row],[IP]])-1,1)+(--MID(Table1[[#This Row],[IP]],8,1)-1)*9</f>
        <v>67</v>
      </c>
      <c r="D15" t="s">
        <v>52</v>
      </c>
      <c r="O15" s="62" t="s">
        <v>92</v>
      </c>
      <c r="P15" s="65">
        <v>38</v>
      </c>
      <c r="Q15" s="60">
        <f>MID(Table1[[#This Row],[IP]],LEN(Table1[[#This Row],[IP]])-1,1)+(--MID(O15,8,1)-1)*9</f>
        <v>67</v>
      </c>
      <c r="R15" s="63" t="s">
        <v>52</v>
      </c>
    </row>
    <row r="16" spans="1:20" x14ac:dyDescent="0.15">
      <c r="A16" t="str">
        <f t="shared" si="0"/>
        <v>10.238.8.48</v>
      </c>
      <c r="B16" s="40">
        <v>1</v>
      </c>
      <c r="C16">
        <f>MID(Table1[[#This Row],[IP]],LEN(Table1[[#This Row],[IP]])-1,1)+(--MID(Table1[[#This Row],[IP]],8,1)-1)*9</f>
        <v>67</v>
      </c>
      <c r="D16" t="s">
        <v>53</v>
      </c>
      <c r="O16" s="59" t="s">
        <v>93</v>
      </c>
      <c r="P16" s="64">
        <v>38</v>
      </c>
      <c r="Q16" s="60">
        <f>MID(Table1[[#This Row],[IP]],LEN(Table1[[#This Row],[IP]])-1,1)+(--MID(O16,8,1)-1)*9</f>
        <v>67</v>
      </c>
      <c r="R16" s="61" t="s">
        <v>53</v>
      </c>
    </row>
    <row r="17" spans="1:18" x14ac:dyDescent="0.15">
      <c r="A17" t="str">
        <f t="shared" si="0"/>
        <v>10.238.8.49</v>
      </c>
      <c r="B17" s="40">
        <v>1</v>
      </c>
      <c r="C17">
        <f>MID(Table1[[#This Row],[IP]],LEN(Table1[[#This Row],[IP]])-1,1)+(--MID(Table1[[#This Row],[IP]],8,1)-1)*9</f>
        <v>67</v>
      </c>
      <c r="D17" t="s">
        <v>54</v>
      </c>
      <c r="O17" s="62" t="s">
        <v>94</v>
      </c>
      <c r="P17" s="65">
        <v>38</v>
      </c>
      <c r="Q17" s="60">
        <f>MID(Table1[[#This Row],[IP]],LEN(Table1[[#This Row],[IP]])-1,1)+(--MID(O17,8,1)-1)*9</f>
        <v>67</v>
      </c>
      <c r="R17" s="63" t="s">
        <v>54</v>
      </c>
    </row>
    <row r="18" spans="1:18" x14ac:dyDescent="0.15">
      <c r="A18" t="str">
        <f t="shared" si="0"/>
        <v>10.238.8.56</v>
      </c>
      <c r="B18" s="40">
        <v>4</v>
      </c>
      <c r="C18">
        <f>MID(Table1[[#This Row],[IP]],LEN(Table1[[#This Row],[IP]])-1,1)+(--MID(Table1[[#This Row],[IP]],8,1)-1)*9</f>
        <v>68</v>
      </c>
      <c r="D18" t="s">
        <v>51</v>
      </c>
      <c r="O18" s="59" t="s">
        <v>95</v>
      </c>
      <c r="P18" s="64">
        <v>26</v>
      </c>
      <c r="Q18" s="60">
        <f>MID(Table1[[#This Row],[IP]],LEN(Table1[[#This Row],[IP]])-1,1)+(--MID(O18,8,1)-1)*9</f>
        <v>68</v>
      </c>
      <c r="R18" s="61" t="s">
        <v>51</v>
      </c>
    </row>
    <row r="19" spans="1:18" x14ac:dyDescent="0.15">
      <c r="A19" t="str">
        <f t="shared" si="0"/>
        <v>10.238.8.57</v>
      </c>
      <c r="B19" s="40">
        <v>4</v>
      </c>
      <c r="C19">
        <f>MID(Table1[[#This Row],[IP]],LEN(Table1[[#This Row],[IP]])-1,1)+(--MID(Table1[[#This Row],[IP]],8,1)-1)*9</f>
        <v>68</v>
      </c>
      <c r="D19" t="s">
        <v>52</v>
      </c>
      <c r="O19" s="62" t="s">
        <v>96</v>
      </c>
      <c r="P19" s="65">
        <v>23</v>
      </c>
      <c r="Q19" s="60">
        <f>MID(Table1[[#This Row],[IP]],LEN(Table1[[#This Row],[IP]])-1,1)+(--MID(O19,8,1)-1)*9</f>
        <v>68</v>
      </c>
      <c r="R19" s="63" t="s">
        <v>52</v>
      </c>
    </row>
    <row r="20" spans="1:18" x14ac:dyDescent="0.15">
      <c r="A20" t="str">
        <f t="shared" si="0"/>
        <v>10.238.8.58</v>
      </c>
      <c r="B20" s="40">
        <v>4</v>
      </c>
      <c r="C20">
        <f>MID(Table1[[#This Row],[IP]],LEN(Table1[[#This Row],[IP]])-1,1)+(--MID(Table1[[#This Row],[IP]],8,1)-1)*9</f>
        <v>68</v>
      </c>
      <c r="D20" t="s">
        <v>53</v>
      </c>
      <c r="O20" s="59" t="s">
        <v>97</v>
      </c>
      <c r="P20" s="64">
        <v>22</v>
      </c>
      <c r="Q20" s="60">
        <f>MID(Table1[[#This Row],[IP]],LEN(Table1[[#This Row],[IP]])-1,1)+(--MID(O20,8,1)-1)*9</f>
        <v>68</v>
      </c>
      <c r="R20" s="61" t="s">
        <v>53</v>
      </c>
    </row>
    <row r="21" spans="1:18" x14ac:dyDescent="0.15">
      <c r="A21" t="str">
        <f t="shared" si="0"/>
        <v>10.238.8.59</v>
      </c>
      <c r="B21" s="40" t="s">
        <v>120</v>
      </c>
      <c r="C21">
        <f>MID(Table1[[#This Row],[IP]],LEN(Table1[[#This Row],[IP]])-1,1)+(--MID(Table1[[#This Row],[IP]],8,1)-1)*9</f>
        <v>68</v>
      </c>
      <c r="D21" t="s">
        <v>54</v>
      </c>
      <c r="O21" s="62" t="s">
        <v>98</v>
      </c>
      <c r="P21" s="65">
        <v>22</v>
      </c>
      <c r="Q21" s="60">
        <f>MID(Table1[[#This Row],[IP]],LEN(Table1[[#This Row],[IP]])-1,1)+(--MID(O21,8,1)-1)*9</f>
        <v>68</v>
      </c>
      <c r="R21" s="63" t="s">
        <v>54</v>
      </c>
    </row>
    <row r="22" spans="1:18" x14ac:dyDescent="0.15">
      <c r="A22" t="str">
        <f t="shared" si="0"/>
        <v>10.238.8.66</v>
      </c>
      <c r="B22" s="40">
        <v>1</v>
      </c>
      <c r="C22">
        <f>MID(Table1[[#This Row],[IP]],LEN(Table1[[#This Row],[IP]])-1,1)+(--MID(Table1[[#This Row],[IP]],8,1)-1)*9</f>
        <v>69</v>
      </c>
      <c r="D22" t="s">
        <v>51</v>
      </c>
      <c r="O22" s="59" t="s">
        <v>99</v>
      </c>
      <c r="P22" s="64">
        <v>22</v>
      </c>
      <c r="Q22" s="60">
        <f>MID(Table1[[#This Row],[IP]],LEN(Table1[[#This Row],[IP]])-1,1)+(--MID(O22,8,1)-1)*9</f>
        <v>69</v>
      </c>
      <c r="R22" s="61" t="s">
        <v>51</v>
      </c>
    </row>
    <row r="23" spans="1:18" x14ac:dyDescent="0.15">
      <c r="A23" t="str">
        <f t="shared" si="0"/>
        <v>10.238.8.67</v>
      </c>
      <c r="B23" s="40">
        <v>1</v>
      </c>
      <c r="C23">
        <f>MID(Table1[[#This Row],[IP]],LEN(Table1[[#This Row],[IP]])-1,1)+(--MID(Table1[[#This Row],[IP]],8,1)-1)*9</f>
        <v>69</v>
      </c>
      <c r="D23" t="s">
        <v>52</v>
      </c>
      <c r="O23" s="62" t="s">
        <v>100</v>
      </c>
      <c r="P23" s="65">
        <v>16</v>
      </c>
      <c r="Q23" s="60">
        <f>MID(Table1[[#This Row],[IP]],LEN(Table1[[#This Row],[IP]])-1,1)+(--MID(O23,8,1)-1)*9</f>
        <v>69</v>
      </c>
      <c r="R23" s="63" t="s">
        <v>52</v>
      </c>
    </row>
    <row r="24" spans="1:18" x14ac:dyDescent="0.15">
      <c r="A24" t="str">
        <f t="shared" si="0"/>
        <v>10.238.8.68</v>
      </c>
      <c r="B24" s="40">
        <v>1</v>
      </c>
      <c r="C24">
        <f>MID(Table1[[#This Row],[IP]],LEN(Table1[[#This Row],[IP]])-1,1)+(--MID(Table1[[#This Row],[IP]],8,1)-1)*9</f>
        <v>69</v>
      </c>
      <c r="D24" t="s">
        <v>53</v>
      </c>
      <c r="O24" s="59" t="s">
        <v>101</v>
      </c>
      <c r="P24" s="64">
        <v>16</v>
      </c>
      <c r="Q24" s="60">
        <f>MID(Table1[[#This Row],[IP]],LEN(Table1[[#This Row],[IP]])-1,1)+(--MID(O24,8,1)-1)*9</f>
        <v>69</v>
      </c>
      <c r="R24" s="61" t="s">
        <v>53</v>
      </c>
    </row>
    <row r="25" spans="1:18" x14ac:dyDescent="0.15">
      <c r="A25" t="str">
        <f t="shared" si="0"/>
        <v>10.238.8.69</v>
      </c>
      <c r="B25" s="40">
        <v>1</v>
      </c>
      <c r="C25">
        <f>MID(Table1[[#This Row],[IP]],LEN(Table1[[#This Row],[IP]])-1,1)+(--MID(Table1[[#This Row],[IP]],8,1)-1)*9</f>
        <v>69</v>
      </c>
      <c r="D25" t="s">
        <v>54</v>
      </c>
      <c r="O25" s="62" t="s">
        <v>102</v>
      </c>
      <c r="P25" s="65">
        <v>16</v>
      </c>
      <c r="Q25" s="60">
        <f>MID(Table1[[#This Row],[IP]],LEN(Table1[[#This Row],[IP]])-1,1)+(--MID(O25,8,1)-1)*9</f>
        <v>69</v>
      </c>
      <c r="R25" s="63" t="s">
        <v>54</v>
      </c>
    </row>
    <row r="26" spans="1:18" x14ac:dyDescent="0.15">
      <c r="A26" t="str">
        <f t="shared" si="0"/>
        <v>10.238.8.76</v>
      </c>
      <c r="B26" s="40">
        <v>1</v>
      </c>
      <c r="C26">
        <f>MID(Table1[[#This Row],[IP]],LEN(Table1[[#This Row],[IP]])-1,1)+(--MID(Table1[[#This Row],[IP]],8,1)-1)*9</f>
        <v>70</v>
      </c>
      <c r="D26" t="s">
        <v>51</v>
      </c>
      <c r="O26" s="59" t="s">
        <v>103</v>
      </c>
      <c r="P26" s="64">
        <v>34</v>
      </c>
      <c r="Q26" s="60">
        <f>MID(Table1[[#This Row],[IP]],LEN(Table1[[#This Row],[IP]])-1,1)+(--MID(O26,8,1)-1)*9</f>
        <v>70</v>
      </c>
      <c r="R26" s="61" t="s">
        <v>51</v>
      </c>
    </row>
    <row r="27" spans="1:18" x14ac:dyDescent="0.15">
      <c r="A27" t="str">
        <f t="shared" si="0"/>
        <v>10.238.8.77</v>
      </c>
      <c r="B27" s="40">
        <v>1</v>
      </c>
      <c r="C27">
        <f>MID(Table1[[#This Row],[IP]],LEN(Table1[[#This Row],[IP]])-1,1)+(--MID(Table1[[#This Row],[IP]],8,1)-1)*9</f>
        <v>70</v>
      </c>
      <c r="D27" t="s">
        <v>52</v>
      </c>
      <c r="O27" s="62" t="s">
        <v>104</v>
      </c>
      <c r="P27" s="65">
        <v>20</v>
      </c>
      <c r="Q27" s="60">
        <f>MID(Table1[[#This Row],[IP]],LEN(Table1[[#This Row],[IP]])-1,1)+(--MID(O27,8,1)-1)*9</f>
        <v>70</v>
      </c>
      <c r="R27" s="63" t="s">
        <v>52</v>
      </c>
    </row>
    <row r="28" spans="1:18" x14ac:dyDescent="0.15">
      <c r="A28" t="str">
        <f t="shared" si="0"/>
        <v>10.238.8.78</v>
      </c>
      <c r="B28" s="40">
        <v>1</v>
      </c>
      <c r="C28">
        <f>MID(Table1[[#This Row],[IP]],LEN(Table1[[#This Row],[IP]])-1,1)+(--MID(Table1[[#This Row],[IP]],8,1)-1)*9</f>
        <v>70</v>
      </c>
      <c r="D28" t="s">
        <v>53</v>
      </c>
      <c r="O28" s="59" t="s">
        <v>105</v>
      </c>
      <c r="P28" s="64">
        <v>34</v>
      </c>
      <c r="Q28" s="60">
        <f>MID(Table1[[#This Row],[IP]],LEN(Table1[[#This Row],[IP]])-1,1)+(--MID(O28,8,1)-1)*9</f>
        <v>70</v>
      </c>
      <c r="R28" s="61" t="s">
        <v>53</v>
      </c>
    </row>
    <row r="29" spans="1:18" x14ac:dyDescent="0.15">
      <c r="A29" t="str">
        <f t="shared" si="0"/>
        <v>10.238.8.79</v>
      </c>
      <c r="B29" s="40">
        <v>1</v>
      </c>
      <c r="C29">
        <f>MID(Table1[[#This Row],[IP]],LEN(Table1[[#This Row],[IP]])-1,1)+(--MID(Table1[[#This Row],[IP]],8,1)-1)*9</f>
        <v>70</v>
      </c>
      <c r="D29" t="s">
        <v>54</v>
      </c>
      <c r="O29" s="62" t="s">
        <v>106</v>
      </c>
      <c r="P29" s="65">
        <v>34</v>
      </c>
      <c r="Q29" s="60">
        <f>MID(Table1[[#This Row],[IP]],LEN(Table1[[#This Row],[IP]])-1,1)+(--MID(O29,8,1)-1)*9</f>
        <v>70</v>
      </c>
      <c r="R29" s="63" t="s">
        <v>54</v>
      </c>
    </row>
    <row r="30" spans="1:18" x14ac:dyDescent="0.15">
      <c r="A30" t="str">
        <f t="shared" si="0"/>
        <v>10.238.8.86</v>
      </c>
      <c r="B30" s="40">
        <v>1</v>
      </c>
      <c r="C30">
        <f>MID(Table1[[#This Row],[IP]],LEN(Table1[[#This Row],[IP]])-1,1)+(--MID(Table1[[#This Row],[IP]],8,1)-1)*9</f>
        <v>71</v>
      </c>
      <c r="D30" t="s">
        <v>51</v>
      </c>
      <c r="O30" s="59" t="s">
        <v>107</v>
      </c>
      <c r="P30" s="64">
        <v>30</v>
      </c>
      <c r="Q30" s="60">
        <f>MID(Table1[[#This Row],[IP]],LEN(Table1[[#This Row],[IP]])-1,1)+(--MID(O30,8,1)-1)*9</f>
        <v>71</v>
      </c>
      <c r="R30" s="61" t="s">
        <v>51</v>
      </c>
    </row>
    <row r="31" spans="1:18" x14ac:dyDescent="0.15">
      <c r="A31" t="str">
        <f t="shared" si="0"/>
        <v>10.238.8.87</v>
      </c>
      <c r="B31" s="40">
        <v>1</v>
      </c>
      <c r="C31">
        <f>MID(Table1[[#This Row],[IP]],LEN(Table1[[#This Row],[IP]])-1,1)+(--MID(Table1[[#This Row],[IP]],8,1)-1)*9</f>
        <v>71</v>
      </c>
      <c r="D31" t="s">
        <v>52</v>
      </c>
      <c r="O31" s="62" t="s">
        <v>108</v>
      </c>
      <c r="P31" s="65">
        <v>28</v>
      </c>
      <c r="Q31" s="60">
        <f>MID(Table1[[#This Row],[IP]],LEN(Table1[[#This Row],[IP]])-1,1)+(--MID(O31,8,1)-1)*9</f>
        <v>71</v>
      </c>
      <c r="R31" s="63" t="s">
        <v>52</v>
      </c>
    </row>
    <row r="32" spans="1:18" x14ac:dyDescent="0.15">
      <c r="A32" t="str">
        <f t="shared" si="0"/>
        <v>10.238.8.88</v>
      </c>
      <c r="B32" s="40">
        <v>1</v>
      </c>
      <c r="C32">
        <f>MID(Table1[[#This Row],[IP]],LEN(Table1[[#This Row],[IP]])-1,1)+(--MID(Table1[[#This Row],[IP]],8,1)-1)*9</f>
        <v>71</v>
      </c>
      <c r="D32" t="s">
        <v>53</v>
      </c>
      <c r="O32" s="59" t="s">
        <v>109</v>
      </c>
      <c r="P32" s="64">
        <v>31</v>
      </c>
      <c r="Q32" s="60">
        <f>MID(Table1[[#This Row],[IP]],LEN(Table1[[#This Row],[IP]])-1,1)+(--MID(O32,8,1)-1)*9</f>
        <v>71</v>
      </c>
      <c r="R32" s="61" t="s">
        <v>53</v>
      </c>
    </row>
    <row r="33" spans="1:18" x14ac:dyDescent="0.15">
      <c r="A33" t="str">
        <f t="shared" si="0"/>
        <v>10.238.8.89</v>
      </c>
      <c r="B33" s="40">
        <v>1</v>
      </c>
      <c r="C33">
        <f>MID(Table1[[#This Row],[IP]],LEN(Table1[[#This Row],[IP]])-1,1)+(--MID(Table1[[#This Row],[IP]],8,1)-1)*9</f>
        <v>71</v>
      </c>
      <c r="D33" t="s">
        <v>54</v>
      </c>
      <c r="O33" s="62" t="s">
        <v>110</v>
      </c>
      <c r="P33" s="65">
        <v>31</v>
      </c>
      <c r="Q33" s="60">
        <f>MID(Table1[[#This Row],[IP]],LEN(Table1[[#This Row],[IP]])-1,1)+(--MID(O33,8,1)-1)*9</f>
        <v>71</v>
      </c>
      <c r="R33" s="63" t="s">
        <v>54</v>
      </c>
    </row>
    <row r="34" spans="1:18" x14ac:dyDescent="0.15">
      <c r="A34" t="str">
        <f t="shared" si="0"/>
        <v>10.238.8.96</v>
      </c>
      <c r="B34" s="40">
        <v>1</v>
      </c>
      <c r="C34">
        <f>MID(Table1[[#This Row],[IP]],LEN(Table1[[#This Row],[IP]])-1,1)+(--MID(Table1[[#This Row],[IP]],8,1)-1)*9</f>
        <v>72</v>
      </c>
      <c r="D34" t="s">
        <v>51</v>
      </c>
      <c r="O34" s="59" t="s">
        <v>111</v>
      </c>
      <c r="P34" s="64">
        <v>23</v>
      </c>
      <c r="Q34" s="60">
        <f>MID(Table1[[#This Row],[IP]],LEN(Table1[[#This Row],[IP]])-1,1)+(--MID(O34,8,1)-1)*9</f>
        <v>72</v>
      </c>
      <c r="R34" s="61" t="s">
        <v>51</v>
      </c>
    </row>
    <row r="35" spans="1:18" x14ac:dyDescent="0.15">
      <c r="A35" t="str">
        <f t="shared" si="0"/>
        <v>10.238.8.97</v>
      </c>
      <c r="B35" s="40">
        <v>1</v>
      </c>
      <c r="C35">
        <f>MID(Table1[[#This Row],[IP]],LEN(Table1[[#This Row],[IP]])-1,1)+(--MID(Table1[[#This Row],[IP]],8,1)-1)*9</f>
        <v>72</v>
      </c>
      <c r="D35" t="s">
        <v>52</v>
      </c>
      <c r="O35" s="62" t="s">
        <v>112</v>
      </c>
      <c r="P35" s="65">
        <v>23</v>
      </c>
      <c r="Q35" s="60">
        <f>MID(Table1[[#This Row],[IP]],LEN(Table1[[#This Row],[IP]])-1,1)+(--MID(O35,8,1)-1)*9</f>
        <v>72</v>
      </c>
      <c r="R35" s="63" t="s">
        <v>52</v>
      </c>
    </row>
    <row r="36" spans="1:18" x14ac:dyDescent="0.15">
      <c r="A36" t="str">
        <f t="shared" si="0"/>
        <v>10.238.8.98</v>
      </c>
      <c r="B36" s="40">
        <v>1</v>
      </c>
      <c r="C36">
        <f>MID(Table1[[#This Row],[IP]],LEN(Table1[[#This Row],[IP]])-1,1)+(--MID(Table1[[#This Row],[IP]],8,1)-1)*9</f>
        <v>72</v>
      </c>
      <c r="D36" t="s">
        <v>53</v>
      </c>
      <c r="O36" s="59" t="s">
        <v>113</v>
      </c>
      <c r="P36" s="64">
        <v>24</v>
      </c>
      <c r="Q36" s="60">
        <f>MID(Table1[[#This Row],[IP]],LEN(Table1[[#This Row],[IP]])-1,1)+(--MID(O36,8,1)-1)*9</f>
        <v>72</v>
      </c>
      <c r="R36" s="61" t="s">
        <v>53</v>
      </c>
    </row>
    <row r="37" spans="1:18" x14ac:dyDescent="0.15">
      <c r="A37" t="str">
        <f t="shared" si="0"/>
        <v>10.238.8.99</v>
      </c>
      <c r="B37" s="40">
        <v>1</v>
      </c>
      <c r="C37">
        <f>MID(Table1[[#This Row],[IP]],LEN(Table1[[#This Row],[IP]])-1,1)+(--MID(Table1[[#This Row],[IP]],8,1)-1)*9</f>
        <v>72</v>
      </c>
      <c r="D37" t="s">
        <v>54</v>
      </c>
      <c r="O37" s="62" t="s">
        <v>114</v>
      </c>
      <c r="P37" s="65">
        <v>24</v>
      </c>
      <c r="Q37" s="60">
        <f>MID(Table1[[#This Row],[IP]],LEN(Table1[[#This Row],[IP]])-1,1)+(--MID(O37,8,1)-1)*9</f>
        <v>72</v>
      </c>
      <c r="R37" s="63" t="s">
        <v>54</v>
      </c>
    </row>
  </sheetData>
  <phoneticPr fontId="17" type="noConversion"/>
  <dataValidations count="1">
    <dataValidation type="list" allowBlank="1" showInputMessage="1" showErrorMessage="1" sqref="K1" xr:uid="{5E7C5687-17DF-40C4-BCBF-FB58F2889FEF}">
      <formula1>$T$2:$T$9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ReadRegisters">
                <anchor>
                  <from>
                    <xdr:col>4</xdr:col>
                    <xdr:colOff>476250</xdr:colOff>
                    <xdr:row>1</xdr:row>
                    <xdr:rowOff>123825</xdr:rowOff>
                  </from>
                  <to>
                    <xdr:col>6</xdr:col>
                    <xdr:colOff>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FPG">
                <anchor>
                  <from>
                    <xdr:col>4</xdr:col>
                    <xdr:colOff>485775</xdr:colOff>
                    <xdr:row>5</xdr:row>
                    <xdr:rowOff>161925</xdr:rowOff>
                  </from>
                  <to>
                    <xdr:col>6</xdr:col>
                    <xdr:colOff>9525</xdr:colOff>
                    <xdr:row>8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73346-E92A-4DCE-8B85-7FBC41BCDB95}">
  <sheetPr codeName="Sheet3"/>
  <dimension ref="A1:V37"/>
  <sheetViews>
    <sheetView workbookViewId="0">
      <pane ySplit="1" topLeftCell="A2" activePane="bottomLeft" state="frozen"/>
      <selection pane="bottomLeft" activeCell="V18" sqref="V18"/>
    </sheetView>
  </sheetViews>
  <sheetFormatPr defaultRowHeight="13.5" x14ac:dyDescent="0.15"/>
  <cols>
    <col min="1" max="1" width="13.5" customWidth="1"/>
    <col min="2" max="2" width="13" customWidth="1"/>
    <col min="9" max="9" width="13.625" bestFit="1" customWidth="1"/>
    <col min="15" max="15" width="11.875" bestFit="1" customWidth="1"/>
  </cols>
  <sheetData>
    <row r="1" spans="1:20" x14ac:dyDescent="0.15">
      <c r="A1" t="s">
        <v>39</v>
      </c>
      <c r="B1" t="s">
        <v>117</v>
      </c>
      <c r="C1" t="s">
        <v>40</v>
      </c>
      <c r="G1" t="s">
        <v>60</v>
      </c>
      <c r="H1" s="55">
        <v>34</v>
      </c>
      <c r="J1" t="s">
        <v>119</v>
      </c>
      <c r="K1" s="66">
        <v>7</v>
      </c>
    </row>
    <row r="2" spans="1:20" x14ac:dyDescent="0.15">
      <c r="A2" t="str">
        <f>SUBSTITUTE(O2,".8.","."&amp;$K$1&amp;".")</f>
        <v>10.238.7.11</v>
      </c>
      <c r="B2" s="40" t="s">
        <v>120</v>
      </c>
      <c r="C2">
        <f>MID(Table13[[#This Row],[IP]],LEN(Table13[[#This Row],[IP]])-1,1)+(--MID(Table13[[#This Row],[IP]],8,1)-1)*9</f>
        <v>55</v>
      </c>
      <c r="O2" s="59" t="s">
        <v>122</v>
      </c>
      <c r="P2" s="64">
        <v>33</v>
      </c>
      <c r="Q2" s="60">
        <f>MID(Table13[[#This Row],[IP]],LEN(Table13[[#This Row],[IP]])-1,1)+(--MID(O2,8,1)-1)*9</f>
        <v>64</v>
      </c>
      <c r="T2">
        <v>1</v>
      </c>
    </row>
    <row r="3" spans="1:20" x14ac:dyDescent="0.15">
      <c r="A3" t="str">
        <f t="shared" ref="A3:A10" si="0">SUBSTITUTE(O3,".8.","."&amp;$K$1&amp;".")</f>
        <v>10.238.7.21</v>
      </c>
      <c r="B3" s="40" t="s">
        <v>120</v>
      </c>
      <c r="C3">
        <f>MID(Table13[[#This Row],[IP]],LEN(Table13[[#This Row],[IP]])-1,1)+(--MID(Table13[[#This Row],[IP]],8,1)-1)*9</f>
        <v>56</v>
      </c>
      <c r="O3" s="62" t="s">
        <v>123</v>
      </c>
      <c r="P3" s="65">
        <v>32</v>
      </c>
      <c r="Q3" s="60">
        <f>MID(Table13[[#This Row],[IP]],LEN(Table13[[#This Row],[IP]])-1,1)+(--MID(O3,8,1)-1)*9</f>
        <v>65</v>
      </c>
      <c r="T3">
        <v>2</v>
      </c>
    </row>
    <row r="4" spans="1:20" x14ac:dyDescent="0.15">
      <c r="A4" t="str">
        <f t="shared" si="0"/>
        <v>10.238.7.31</v>
      </c>
      <c r="B4" s="40" t="s">
        <v>120</v>
      </c>
      <c r="C4">
        <f>MID(Table13[[#This Row],[IP]],LEN(Table13[[#This Row],[IP]])-1,1)+(--MID(Table13[[#This Row],[IP]],8,1)-1)*9</f>
        <v>57</v>
      </c>
      <c r="O4" s="59" t="s">
        <v>124</v>
      </c>
      <c r="P4" s="64">
        <v>32</v>
      </c>
      <c r="Q4" s="60">
        <f>MID(Table13[[#This Row],[IP]],LEN(Table13[[#This Row],[IP]])-1,1)+(--MID(O4,8,1)-1)*9</f>
        <v>66</v>
      </c>
      <c r="T4">
        <v>3</v>
      </c>
    </row>
    <row r="5" spans="1:20" x14ac:dyDescent="0.15">
      <c r="A5" t="str">
        <f t="shared" si="0"/>
        <v>10.238.7.41</v>
      </c>
      <c r="B5" s="40" t="s">
        <v>120</v>
      </c>
      <c r="C5">
        <f>MID(Table13[[#This Row],[IP]],LEN(Table13[[#This Row],[IP]])-1,1)+(--MID(Table13[[#This Row],[IP]],8,1)-1)*9</f>
        <v>58</v>
      </c>
      <c r="O5" s="62" t="s">
        <v>125</v>
      </c>
      <c r="P5" s="65">
        <v>32</v>
      </c>
      <c r="Q5" s="60">
        <f>MID(Table13[[#This Row],[IP]],LEN(Table13[[#This Row],[IP]])-1,1)+(--MID(O5,8,1)-1)*9</f>
        <v>67</v>
      </c>
      <c r="T5">
        <v>4</v>
      </c>
    </row>
    <row r="6" spans="1:20" x14ac:dyDescent="0.15">
      <c r="A6" t="str">
        <f t="shared" si="0"/>
        <v>10.238.7.51</v>
      </c>
      <c r="B6" s="40" t="s">
        <v>120</v>
      </c>
      <c r="C6">
        <f>MID(Table13[[#This Row],[IP]],LEN(Table13[[#This Row],[IP]])-1,1)+(--MID(Table13[[#This Row],[IP]],8,1)-1)*9</f>
        <v>59</v>
      </c>
      <c r="O6" s="59" t="s">
        <v>126</v>
      </c>
      <c r="P6" s="64">
        <v>17</v>
      </c>
      <c r="Q6" s="60">
        <f>MID(Table13[[#This Row],[IP]],LEN(Table13[[#This Row],[IP]])-1,1)+(--MID(O6,8,1)-1)*9</f>
        <v>68</v>
      </c>
      <c r="T6">
        <v>5</v>
      </c>
    </row>
    <row r="7" spans="1:20" x14ac:dyDescent="0.15">
      <c r="A7" t="str">
        <f t="shared" si="0"/>
        <v>10.238.7.61</v>
      </c>
      <c r="B7" s="40" t="s">
        <v>120</v>
      </c>
      <c r="C7">
        <f>MID(Table13[[#This Row],[IP]],LEN(Table13[[#This Row],[IP]])-1,1)+(--MID(Table13[[#This Row],[IP]],8,1)-1)*9</f>
        <v>60</v>
      </c>
      <c r="O7" s="62" t="s">
        <v>127</v>
      </c>
      <c r="P7" s="65">
        <v>18</v>
      </c>
      <c r="Q7" s="60">
        <f>MID(Table13[[#This Row],[IP]],LEN(Table13[[#This Row],[IP]])-1,1)+(--MID(O7,8,1)-1)*9</f>
        <v>69</v>
      </c>
      <c r="T7">
        <v>6</v>
      </c>
    </row>
    <row r="8" spans="1:20" x14ac:dyDescent="0.15">
      <c r="A8" t="str">
        <f t="shared" si="0"/>
        <v>10.238.7.71</v>
      </c>
      <c r="B8" s="40" t="s">
        <v>120</v>
      </c>
      <c r="C8">
        <f>MID(Table13[[#This Row],[IP]],LEN(Table13[[#This Row],[IP]])-1,1)+(--MID(Table13[[#This Row],[IP]],8,1)-1)*9</f>
        <v>61</v>
      </c>
      <c r="O8" s="59" t="s">
        <v>128</v>
      </c>
      <c r="P8" s="64">
        <v>13</v>
      </c>
      <c r="Q8" s="60">
        <f>MID(Table13[[#This Row],[IP]],LEN(Table13[[#This Row],[IP]])-1,1)+(--MID(O8,8,1)-1)*9</f>
        <v>70</v>
      </c>
      <c r="T8">
        <v>7</v>
      </c>
    </row>
    <row r="9" spans="1:20" x14ac:dyDescent="0.15">
      <c r="A9" t="str">
        <f t="shared" si="0"/>
        <v>10.238.7.81</v>
      </c>
      <c r="B9" s="40" t="s">
        <v>120</v>
      </c>
      <c r="C9">
        <f>MID(Table13[[#This Row],[IP]],LEN(Table13[[#This Row],[IP]])-1,1)+(--MID(Table13[[#This Row],[IP]],8,1)-1)*9</f>
        <v>62</v>
      </c>
      <c r="O9" s="62" t="s">
        <v>129</v>
      </c>
      <c r="P9" s="65">
        <v>17</v>
      </c>
      <c r="Q9" s="60">
        <f>MID(Table13[[#This Row],[IP]],LEN(Table13[[#This Row],[IP]])-1,1)+(--MID(O9,8,1)-1)*9</f>
        <v>71</v>
      </c>
      <c r="T9">
        <v>8</v>
      </c>
    </row>
    <row r="10" spans="1:20" x14ac:dyDescent="0.15">
      <c r="A10" t="str">
        <f t="shared" si="0"/>
        <v>10.238.7.91</v>
      </c>
      <c r="B10" s="40" t="s">
        <v>120</v>
      </c>
      <c r="C10">
        <f>MID(Table13[[#This Row],[IP]],LEN(Table13[[#This Row],[IP]])-1,1)+(--MID(Table13[[#This Row],[IP]],8,1)-1)*9</f>
        <v>63</v>
      </c>
      <c r="O10" s="59" t="s">
        <v>130</v>
      </c>
      <c r="P10" s="64">
        <v>20</v>
      </c>
      <c r="Q10" s="60">
        <f>MID(Table13[[#This Row],[IP]],LEN(Table13[[#This Row],[IP]])-1,1)+(--MID(O10,8,1)-1)*9</f>
        <v>72</v>
      </c>
    </row>
    <row r="11" spans="1:20" x14ac:dyDescent="0.15">
      <c r="B11" s="40"/>
    </row>
    <row r="12" spans="1:20" x14ac:dyDescent="0.15">
      <c r="B12" s="40"/>
    </row>
    <row r="13" spans="1:20" x14ac:dyDescent="0.15">
      <c r="B13" s="40"/>
    </row>
    <row r="14" spans="1:20" x14ac:dyDescent="0.15">
      <c r="B14" s="40"/>
    </row>
    <row r="15" spans="1:20" x14ac:dyDescent="0.15">
      <c r="B15" s="40"/>
    </row>
    <row r="16" spans="1:20" x14ac:dyDescent="0.15">
      <c r="B16" s="40"/>
    </row>
    <row r="17" spans="2:22" x14ac:dyDescent="0.15">
      <c r="B17" s="40"/>
    </row>
    <row r="18" spans="2:22" x14ac:dyDescent="0.15">
      <c r="B18" s="40"/>
      <c r="G18">
        <v>41</v>
      </c>
      <c r="H18">
        <v>31</v>
      </c>
      <c r="I18">
        <v>45</v>
      </c>
      <c r="J18">
        <v>54</v>
      </c>
      <c r="K18">
        <v>48</v>
      </c>
      <c r="L18">
        <v>46</v>
      </c>
      <c r="M18">
        <v>31</v>
      </c>
      <c r="N18">
        <v>45</v>
      </c>
      <c r="O18">
        <v>30</v>
      </c>
      <c r="P18">
        <v>53</v>
      </c>
      <c r="Q18">
        <v>33</v>
      </c>
      <c r="R18">
        <v>30</v>
      </c>
      <c r="S18">
        <v>42</v>
      </c>
      <c r="T18">
        <v>56</v>
      </c>
      <c r="U18">
        <v>30</v>
      </c>
      <c r="V18">
        <v>39</v>
      </c>
    </row>
    <row r="19" spans="2:22" x14ac:dyDescent="0.15">
      <c r="B19" s="40"/>
      <c r="G19" t="str">
        <f>CHAR(HEX2DEC(G18))</f>
        <v>A</v>
      </c>
      <c r="H19" t="str">
        <f t="shared" ref="H19:V19" si="1">CHAR(HEX2DEC(H18))</f>
        <v>1</v>
      </c>
      <c r="I19" t="str">
        <f t="shared" si="1"/>
        <v>E</v>
      </c>
      <c r="J19" t="str">
        <f t="shared" si="1"/>
        <v>T</v>
      </c>
      <c r="K19" t="str">
        <f t="shared" si="1"/>
        <v>H</v>
      </c>
      <c r="L19" t="str">
        <f t="shared" si="1"/>
        <v>F</v>
      </c>
      <c r="M19" t="str">
        <f t="shared" si="1"/>
        <v>1</v>
      </c>
      <c r="N19" t="str">
        <f t="shared" si="1"/>
        <v>E</v>
      </c>
      <c r="O19" t="str">
        <f t="shared" si="1"/>
        <v>0</v>
      </c>
      <c r="P19" t="str">
        <f t="shared" si="1"/>
        <v>S</v>
      </c>
      <c r="Q19" t="str">
        <f t="shared" si="1"/>
        <v>3</v>
      </c>
      <c r="R19" t="str">
        <f t="shared" si="1"/>
        <v>0</v>
      </c>
      <c r="S19" t="str">
        <f t="shared" si="1"/>
        <v>B</v>
      </c>
      <c r="T19" t="str">
        <f t="shared" si="1"/>
        <v>V</v>
      </c>
      <c r="U19" t="str">
        <f t="shared" si="1"/>
        <v>0</v>
      </c>
      <c r="V19" t="str">
        <f t="shared" si="1"/>
        <v>9</v>
      </c>
    </row>
    <row r="20" spans="2:22" x14ac:dyDescent="0.15">
      <c r="B20" s="40"/>
    </row>
    <row r="21" spans="2:22" x14ac:dyDescent="0.15">
      <c r="B21" s="40"/>
    </row>
    <row r="22" spans="2:22" x14ac:dyDescent="0.15">
      <c r="B22" s="40"/>
    </row>
    <row r="23" spans="2:22" x14ac:dyDescent="0.15">
      <c r="B23" s="40"/>
    </row>
    <row r="24" spans="2:22" x14ac:dyDescent="0.15">
      <c r="B24" s="40"/>
    </row>
    <row r="25" spans="2:22" x14ac:dyDescent="0.15">
      <c r="B25" s="40"/>
    </row>
    <row r="26" spans="2:22" x14ac:dyDescent="0.15">
      <c r="B26" s="40"/>
    </row>
    <row r="27" spans="2:22" x14ac:dyDescent="0.15">
      <c r="B27" s="40"/>
    </row>
    <row r="28" spans="2:22" x14ac:dyDescent="0.15">
      <c r="B28" s="40"/>
    </row>
    <row r="29" spans="2:22" x14ac:dyDescent="0.15">
      <c r="B29" s="40"/>
    </row>
    <row r="30" spans="2:22" x14ac:dyDescent="0.15">
      <c r="B30" s="40"/>
    </row>
    <row r="31" spans="2:22" x14ac:dyDescent="0.15">
      <c r="B31" s="40"/>
    </row>
    <row r="32" spans="2:22" x14ac:dyDescent="0.15">
      <c r="B32" s="40"/>
    </row>
    <row r="33" spans="2:2" x14ac:dyDescent="0.15">
      <c r="B33" s="40"/>
    </row>
    <row r="34" spans="2:2" x14ac:dyDescent="0.15">
      <c r="B34" s="40"/>
    </row>
    <row r="35" spans="2:2" x14ac:dyDescent="0.15">
      <c r="B35" s="40"/>
    </row>
    <row r="36" spans="2:2" x14ac:dyDescent="0.15">
      <c r="B36" s="40"/>
    </row>
    <row r="37" spans="2:2" x14ac:dyDescent="0.15">
      <c r="B37" s="40"/>
    </row>
  </sheetData>
  <dataValidations count="1">
    <dataValidation type="list" allowBlank="1" showInputMessage="1" showErrorMessage="1" sqref="K1" xr:uid="{B0AB4E8F-5CE2-40C2-9734-0118DAA05782}">
      <formula1>$T$2:$T$9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adRegisters">
                <anchor>
                  <from>
                    <xdr:col>4</xdr:col>
                    <xdr:colOff>476250</xdr:colOff>
                    <xdr:row>1</xdr:row>
                    <xdr:rowOff>123825</xdr:rowOff>
                  </from>
                  <to>
                    <xdr:col>6</xdr:col>
                    <xdr:colOff>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FPG">
                <anchor>
                  <from>
                    <xdr:col>4</xdr:col>
                    <xdr:colOff>485775</xdr:colOff>
                    <xdr:row>5</xdr:row>
                    <xdr:rowOff>161925</xdr:rowOff>
                  </from>
                  <to>
                    <xdr:col>6</xdr:col>
                    <xdr:colOff>9525</xdr:colOff>
                    <xdr:row>8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11E6E-4230-42BC-A560-1B66722298D0}">
  <sheetPr codeName="Sheet4"/>
  <dimension ref="A1:G41"/>
  <sheetViews>
    <sheetView workbookViewId="0">
      <pane ySplit="1" topLeftCell="A2" activePane="bottomLeft" state="frozen"/>
      <selection pane="bottomLeft" activeCell="E7" sqref="E7"/>
    </sheetView>
  </sheetViews>
  <sheetFormatPr defaultRowHeight="13.5" x14ac:dyDescent="0.15"/>
  <cols>
    <col min="1" max="1" width="13.5" customWidth="1"/>
    <col min="2" max="2" width="13" customWidth="1"/>
    <col min="6" max="6" width="17.5" bestFit="1" customWidth="1"/>
    <col min="7" max="7" width="13.625" bestFit="1" customWidth="1"/>
    <col min="13" max="13" width="11.875" bestFit="1" customWidth="1"/>
  </cols>
  <sheetData>
    <row r="1" spans="1:6" x14ac:dyDescent="0.15">
      <c r="A1" t="s">
        <v>39</v>
      </c>
      <c r="B1" t="s">
        <v>117</v>
      </c>
      <c r="E1" t="s">
        <v>60</v>
      </c>
      <c r="F1" s="55" t="s">
        <v>138</v>
      </c>
    </row>
    <row r="2" spans="1:6" x14ac:dyDescent="0.15">
      <c r="A2" t="s">
        <v>137</v>
      </c>
      <c r="B2" s="40" cm="1">
        <f t="array" ref="B2">ReadRegf(Table14[[#This Row],[IP]],E2)</f>
        <v>0</v>
      </c>
      <c r="E2">
        <v>16</v>
      </c>
      <c r="F2" t="s">
        <v>139</v>
      </c>
    </row>
    <row r="3" spans="1:6" x14ac:dyDescent="0.15">
      <c r="A3" t="s">
        <v>137</v>
      </c>
      <c r="B3" s="40" cm="1">
        <f t="array" ref="B3">ReadRegf(Table14[[#This Row],[IP]],E3)</f>
        <v>0</v>
      </c>
      <c r="E3">
        <v>17</v>
      </c>
      <c r="F3" t="s">
        <v>139</v>
      </c>
    </row>
    <row r="4" spans="1:6" x14ac:dyDescent="0.15">
      <c r="A4" t="s">
        <v>137</v>
      </c>
      <c r="B4" s="40" cm="1">
        <f t="array" ref="B4">ReadRegf(Table14[[#This Row],[IP]],E4)</f>
        <v>1</v>
      </c>
      <c r="E4">
        <v>770</v>
      </c>
      <c r="F4" t="s">
        <v>140</v>
      </c>
    </row>
    <row r="5" spans="1:6" x14ac:dyDescent="0.15">
      <c r="A5" t="s">
        <v>137</v>
      </c>
      <c r="B5" s="40" cm="1">
        <f t="array" ref="B5">ReadRegf(Table14[[#This Row],[IP]],E5)</f>
        <v>1374.4</v>
      </c>
      <c r="E5">
        <v>32</v>
      </c>
      <c r="F5" t="s">
        <v>141</v>
      </c>
    </row>
    <row r="6" spans="1:6" x14ac:dyDescent="0.15">
      <c r="A6" t="s">
        <v>137</v>
      </c>
      <c r="B6" s="40" cm="1">
        <f t="array" ref="B6">ReadRegf(Table14[[#This Row],[IP]],E6)</f>
        <v>-21.6</v>
      </c>
      <c r="E6">
        <v>33</v>
      </c>
      <c r="F6" t="s">
        <v>142</v>
      </c>
    </row>
    <row r="7" spans="1:6" x14ac:dyDescent="0.15">
      <c r="A7" t="s">
        <v>137</v>
      </c>
      <c r="B7" s="40" cm="1">
        <f t="array" ref="B7">ReadRegf(Table14[[#This Row],[IP]],E7)</f>
        <v>23</v>
      </c>
      <c r="E7">
        <v>34</v>
      </c>
      <c r="F7" t="s">
        <v>143</v>
      </c>
    </row>
    <row r="8" spans="1:6" x14ac:dyDescent="0.15">
      <c r="A8" t="s">
        <v>137</v>
      </c>
      <c r="B8" s="40" cm="1">
        <f t="array" ref="B8">ReadRegf(Table14[[#This Row],[IP]],E8)</f>
        <v>3316</v>
      </c>
      <c r="E8">
        <v>36</v>
      </c>
      <c r="F8" t="s">
        <v>144</v>
      </c>
    </row>
    <row r="9" spans="1:6" x14ac:dyDescent="0.15">
      <c r="A9" t="s">
        <v>137</v>
      </c>
      <c r="B9" s="40" cm="1">
        <f t="array" ref="B9">ReadRegf(Table14[[#This Row],[IP]],E9)</f>
        <v>3296</v>
      </c>
      <c r="E9">
        <v>37</v>
      </c>
      <c r="F9" t="s">
        <v>145</v>
      </c>
    </row>
    <row r="10" spans="1:6" x14ac:dyDescent="0.15">
      <c r="A10" t="s">
        <v>137</v>
      </c>
      <c r="B10" s="40" cm="1">
        <f t="array" ref="B10">ReadRegf(Table14[[#This Row],[IP]],E10)</f>
        <v>3306</v>
      </c>
      <c r="E10">
        <v>38</v>
      </c>
      <c r="F10" t="s">
        <v>146</v>
      </c>
    </row>
    <row r="11" spans="1:6" x14ac:dyDescent="0.15">
      <c r="A11" t="s">
        <v>137</v>
      </c>
      <c r="B11" s="40" cm="1">
        <f t="array" ref="B11">ReadRegf(Table14[[#This Row],[IP]],E11)</f>
        <v>2</v>
      </c>
      <c r="E11">
        <v>896</v>
      </c>
      <c r="F11" t="s">
        <v>147</v>
      </c>
    </row>
    <row r="12" spans="1:6" x14ac:dyDescent="0.15">
      <c r="A12" t="s">
        <v>137</v>
      </c>
      <c r="B12" s="40" cm="1">
        <f t="array" ref="B12">ReadRegf(Table14[[#This Row],[IP]],E12)</f>
        <v>1</v>
      </c>
      <c r="E12">
        <v>897</v>
      </c>
      <c r="F12" t="s">
        <v>148</v>
      </c>
    </row>
    <row r="13" spans="1:6" x14ac:dyDescent="0.15">
      <c r="A13" t="s">
        <v>137</v>
      </c>
      <c r="B13" s="40" cm="1">
        <f t="array" ref="B13">ReadRegf(Table14[[#This Row],[IP]],E13)</f>
        <v>0</v>
      </c>
      <c r="E13">
        <v>898</v>
      </c>
      <c r="F13" t="s">
        <v>149</v>
      </c>
    </row>
    <row r="14" spans="1:6" x14ac:dyDescent="0.15">
      <c r="A14" t="s">
        <v>137</v>
      </c>
      <c r="B14" s="40" cm="1">
        <f t="array" ref="B14">ReadRegf(Table14[[#This Row],[IP]],E14)</f>
        <v>2</v>
      </c>
      <c r="E14">
        <v>907</v>
      </c>
      <c r="F14" t="s">
        <v>150</v>
      </c>
    </row>
    <row r="15" spans="1:6" x14ac:dyDescent="0.15">
      <c r="A15" t="s">
        <v>137</v>
      </c>
      <c r="B15" s="40" cm="1">
        <f t="array" ref="B15">ReadRegf(Table14[[#This Row],[IP]],E15)</f>
        <v>1</v>
      </c>
      <c r="E15">
        <v>908</v>
      </c>
      <c r="F15" t="s">
        <v>151</v>
      </c>
    </row>
    <row r="16" spans="1:6" x14ac:dyDescent="0.15">
      <c r="A16" t="s">
        <v>137</v>
      </c>
      <c r="B16" s="40" cm="1">
        <f t="array" ref="B16">ReadRegf(Table14[[#This Row],[IP]],E16)</f>
        <v>1376.3</v>
      </c>
      <c r="E16">
        <v>1057</v>
      </c>
      <c r="F16" t="s">
        <v>156</v>
      </c>
    </row>
    <row r="17" spans="1:6" x14ac:dyDescent="0.15">
      <c r="A17" t="s">
        <v>137</v>
      </c>
      <c r="B17" s="40" cm="1">
        <f t="array" ref="B17">ReadRegf(Table14[[#This Row],[IP]],E17)</f>
        <v>-41.8</v>
      </c>
      <c r="E17">
        <v>1058</v>
      </c>
      <c r="F17" t="s">
        <v>152</v>
      </c>
    </row>
    <row r="18" spans="1:6" x14ac:dyDescent="0.15">
      <c r="A18" t="s">
        <v>137</v>
      </c>
      <c r="B18" s="40" cm="1">
        <f t="array" ref="B18">ReadRegf(Table14[[#This Row],[IP]],E18)</f>
        <v>22.9</v>
      </c>
      <c r="E18">
        <v>1059</v>
      </c>
      <c r="F18" t="s">
        <v>153</v>
      </c>
    </row>
    <row r="19" spans="1:6" x14ac:dyDescent="0.15">
      <c r="A19" t="s">
        <v>137</v>
      </c>
      <c r="B19" s="40" cm="1">
        <f t="array" ref="B19">ReadRegf(Table14[[#This Row],[IP]],E19)</f>
        <v>-295.8</v>
      </c>
      <c r="E19">
        <v>1067</v>
      </c>
      <c r="F19" t="s">
        <v>154</v>
      </c>
    </row>
    <row r="20" spans="1:6" x14ac:dyDescent="0.15">
      <c r="A20" t="s">
        <v>137</v>
      </c>
      <c r="B20" s="40" cm="1">
        <f t="array" ref="B20">ReadRegf(Table14[[#This Row],[IP]],E20)</f>
        <v>295.8</v>
      </c>
      <c r="E20">
        <v>1068</v>
      </c>
      <c r="F20" t="s">
        <v>155</v>
      </c>
    </row>
    <row r="21" spans="1:6" x14ac:dyDescent="0.15">
      <c r="A21" t="s">
        <v>137</v>
      </c>
      <c r="B21" s="40" cm="1">
        <f t="array" ref="B21">ReadRegf(Table14[[#This Row],[IP]],E21)</f>
        <v>1376.6</v>
      </c>
      <c r="E21">
        <f>E16+1024</f>
        <v>2081</v>
      </c>
      <c r="F21" t="s">
        <v>159</v>
      </c>
    </row>
    <row r="22" spans="1:6" x14ac:dyDescent="0.15">
      <c r="A22" t="s">
        <v>137</v>
      </c>
      <c r="B22" s="40" cm="1">
        <f t="array" ref="B22">ReadRegf(Table14[[#This Row],[IP]],E22)</f>
        <v>-41</v>
      </c>
      <c r="E22">
        <f t="shared" ref="E22:E40" si="0">E17+1024</f>
        <v>2082</v>
      </c>
      <c r="F22" t="s">
        <v>160</v>
      </c>
    </row>
    <row r="23" spans="1:6" x14ac:dyDescent="0.15">
      <c r="A23" t="s">
        <v>137</v>
      </c>
      <c r="B23" s="40" cm="1">
        <f t="array" ref="B23">ReadRegf(Table14[[#This Row],[IP]],E23)</f>
        <v>22.9</v>
      </c>
      <c r="E23">
        <f t="shared" si="0"/>
        <v>2083</v>
      </c>
      <c r="F23" t="s">
        <v>161</v>
      </c>
    </row>
    <row r="24" spans="1:6" x14ac:dyDescent="0.15">
      <c r="A24" t="s">
        <v>137</v>
      </c>
      <c r="B24" s="40" cm="1">
        <f t="array" ref="B24">ReadRegf(Table14[[#This Row],[IP]],E24)</f>
        <v>-295.8</v>
      </c>
      <c r="E24">
        <f t="shared" si="0"/>
        <v>2091</v>
      </c>
      <c r="F24" t="s">
        <v>162</v>
      </c>
    </row>
    <row r="25" spans="1:6" x14ac:dyDescent="0.15">
      <c r="A25" t="s">
        <v>137</v>
      </c>
      <c r="B25" s="40" cm="1">
        <f t="array" ref="B25">ReadRegf(Table14[[#This Row],[IP]],E25)</f>
        <v>295.8</v>
      </c>
      <c r="E25">
        <f t="shared" si="0"/>
        <v>2092</v>
      </c>
      <c r="F25" t="s">
        <v>163</v>
      </c>
    </row>
    <row r="26" spans="1:6" x14ac:dyDescent="0.15">
      <c r="A26" t="s">
        <v>137</v>
      </c>
      <c r="B26" s="40" cm="1">
        <f t="array" ref="B26">ReadRegf(Table14[[#This Row],[IP]],E26)</f>
        <v>1388.1</v>
      </c>
      <c r="E26">
        <f>E21+1024</f>
        <v>3105</v>
      </c>
      <c r="F26" t="s">
        <v>164</v>
      </c>
    </row>
    <row r="27" spans="1:6" x14ac:dyDescent="0.15">
      <c r="A27" t="s">
        <v>137</v>
      </c>
      <c r="B27" s="40" cm="1">
        <f t="array" ref="B27">ReadRegf(Table14[[#This Row],[IP]],E27)</f>
        <v>-114.2</v>
      </c>
      <c r="E27">
        <f t="shared" si="0"/>
        <v>3106</v>
      </c>
      <c r="F27" t="s">
        <v>165</v>
      </c>
    </row>
    <row r="28" spans="1:6" x14ac:dyDescent="0.15">
      <c r="A28" t="s">
        <v>137</v>
      </c>
      <c r="B28" s="40" cm="1">
        <f t="array" ref="B28">ReadRegf(Table14[[#This Row],[IP]],E28)</f>
        <v>24</v>
      </c>
      <c r="E28">
        <f t="shared" si="0"/>
        <v>3107</v>
      </c>
      <c r="F28" t="s">
        <v>166</v>
      </c>
    </row>
    <row r="29" spans="1:6" x14ac:dyDescent="0.15">
      <c r="A29" t="s">
        <v>137</v>
      </c>
      <c r="B29" s="40" cm="1">
        <f t="array" ref="B29">ReadRegf(Table14[[#This Row],[IP]],E29)</f>
        <v>-293.39999999999998</v>
      </c>
      <c r="E29">
        <f t="shared" si="0"/>
        <v>3115</v>
      </c>
      <c r="F29" t="s">
        <v>167</v>
      </c>
    </row>
    <row r="30" spans="1:6" x14ac:dyDescent="0.15">
      <c r="A30" t="s">
        <v>137</v>
      </c>
      <c r="B30" s="40" cm="1">
        <f t="array" ref="B30">ReadRegf(Table14[[#This Row],[IP]],E30)</f>
        <v>293.3</v>
      </c>
      <c r="E30">
        <f t="shared" si="0"/>
        <v>3116</v>
      </c>
      <c r="F30" t="s">
        <v>168</v>
      </c>
    </row>
    <row r="31" spans="1:6" x14ac:dyDescent="0.15">
      <c r="A31" t="s">
        <v>137</v>
      </c>
      <c r="B31" s="40" cm="1">
        <f t="array" ref="B31">ReadRegf(Table14[[#This Row],[IP]],E31)</f>
        <v>1390.5</v>
      </c>
      <c r="E31">
        <f>E26+1024</f>
        <v>4129</v>
      </c>
      <c r="F31" t="s">
        <v>169</v>
      </c>
    </row>
    <row r="32" spans="1:6" x14ac:dyDescent="0.15">
      <c r="A32" t="s">
        <v>137</v>
      </c>
      <c r="B32" s="40" cm="1">
        <f t="array" ref="B32">ReadRegf(Table14[[#This Row],[IP]],E32)</f>
        <v>-96.2</v>
      </c>
      <c r="E32">
        <f t="shared" si="0"/>
        <v>4130</v>
      </c>
      <c r="F32" t="s">
        <v>170</v>
      </c>
    </row>
    <row r="33" spans="1:7" x14ac:dyDescent="0.15">
      <c r="A33" t="s">
        <v>137</v>
      </c>
      <c r="B33" s="40" cm="1">
        <f t="array" ref="B33">ReadRegf(Table14[[#This Row],[IP]],E33)</f>
        <v>23.1</v>
      </c>
      <c r="E33">
        <f t="shared" si="0"/>
        <v>4131</v>
      </c>
      <c r="F33" t="s">
        <v>171</v>
      </c>
    </row>
    <row r="34" spans="1:7" x14ac:dyDescent="0.15">
      <c r="A34" t="s">
        <v>137</v>
      </c>
      <c r="B34" s="40" cm="1">
        <f t="array" ref="B34">ReadRegf(Table14[[#This Row],[IP]],E34)</f>
        <v>-292.89999999999998</v>
      </c>
      <c r="E34">
        <f t="shared" si="0"/>
        <v>4139</v>
      </c>
      <c r="F34" t="s">
        <v>172</v>
      </c>
    </row>
    <row r="35" spans="1:7" x14ac:dyDescent="0.15">
      <c r="A35" t="s">
        <v>137</v>
      </c>
      <c r="B35" s="40" cm="1">
        <f t="array" ref="B35">ReadRegf(Table14[[#This Row],[IP]],E35)</f>
        <v>292.8</v>
      </c>
      <c r="E35">
        <f t="shared" si="0"/>
        <v>4140</v>
      </c>
      <c r="F35" t="s">
        <v>173</v>
      </c>
    </row>
    <row r="36" spans="1:7" x14ac:dyDescent="0.15">
      <c r="A36" t="s">
        <v>137</v>
      </c>
      <c r="B36" s="40" cm="1">
        <f t="array" ref="B36">ReadRegf(Table14[[#This Row],[IP]],E36)</f>
        <v>1390.8</v>
      </c>
      <c r="E36">
        <f>E31+1024</f>
        <v>5153</v>
      </c>
      <c r="F36" t="s">
        <v>174</v>
      </c>
    </row>
    <row r="37" spans="1:7" x14ac:dyDescent="0.15">
      <c r="A37" t="s">
        <v>137</v>
      </c>
      <c r="B37" s="40" cm="1">
        <f t="array" ref="B37">ReadRegf(Table14[[#This Row],[IP]],E37)</f>
        <v>-103.1</v>
      </c>
      <c r="E37">
        <f t="shared" si="0"/>
        <v>5154</v>
      </c>
      <c r="F37" t="s">
        <v>175</v>
      </c>
    </row>
    <row r="38" spans="1:7" x14ac:dyDescent="0.15">
      <c r="A38" t="s">
        <v>137</v>
      </c>
      <c r="B38" s="40" cm="1">
        <f t="array" ref="B38">ReadRegf(Table14[[#This Row],[IP]],E38)</f>
        <v>23.7</v>
      </c>
      <c r="E38">
        <f t="shared" si="0"/>
        <v>5155</v>
      </c>
      <c r="F38" t="s">
        <v>176</v>
      </c>
    </row>
    <row r="39" spans="1:7" x14ac:dyDescent="0.15">
      <c r="A39" t="s">
        <v>137</v>
      </c>
      <c r="B39" s="40" cm="1">
        <f t="array" ref="B39">ReadRegf(Table14[[#This Row],[IP]],E39)</f>
        <v>-292.8</v>
      </c>
      <c r="E39">
        <f t="shared" si="0"/>
        <v>5163</v>
      </c>
      <c r="F39" t="s">
        <v>177</v>
      </c>
    </row>
    <row r="40" spans="1:7" x14ac:dyDescent="0.15">
      <c r="A40" t="s">
        <v>137</v>
      </c>
      <c r="B40" s="40" cm="1">
        <f t="array" ref="B40">ReadRegf(Table14[[#This Row],[IP]],E40)</f>
        <v>292.7</v>
      </c>
      <c r="E40">
        <f t="shared" si="0"/>
        <v>5164</v>
      </c>
      <c r="F40" t="s">
        <v>178</v>
      </c>
    </row>
    <row r="41" spans="1:7" x14ac:dyDescent="0.15">
      <c r="A41" t="s">
        <v>137</v>
      </c>
      <c r="B41" s="40" cm="1">
        <f t="array" ref="B41">ReadRegf(Table14[[#This Row],[IP]],E41)</f>
        <v>1234.5</v>
      </c>
      <c r="E41">
        <v>279</v>
      </c>
      <c r="F41" t="s">
        <v>158</v>
      </c>
      <c r="G41" t="str">
        <f>DEC2HEX(Table14[[#This Row],[Value]]*10)</f>
        <v>3039</v>
      </c>
    </row>
  </sheetData>
  <phoneticPr fontId="17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集成工具</vt:lpstr>
      <vt:lpstr>批量读ETH</vt:lpstr>
      <vt:lpstr>批量读BCI</vt:lpstr>
      <vt:lpstr>批量读-测试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玮 王</dc:creator>
  <cp:lastModifiedBy>玮 王</cp:lastModifiedBy>
  <cp:lastPrinted>2024-07-18T07:37:16Z</cp:lastPrinted>
  <dcterms:created xsi:type="dcterms:W3CDTF">2024-07-04T13:48:16Z</dcterms:created>
  <dcterms:modified xsi:type="dcterms:W3CDTF">2024-11-19T09:48:47Z</dcterms:modified>
</cp:coreProperties>
</file>