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9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trlProps/ctrlProp20.xml" ContentType="application/vnd.ms-excel.controlproperties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09" codeName="{AB3344F7-D241-B141-7B5F-E26DF2BE0A9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\00-CATL\KBESS\HotCommissionTool\"/>
    </mc:Choice>
  </mc:AlternateContent>
  <xr:revisionPtr revIDLastSave="0" documentId="13_ncr:1_{986F76C7-BFB8-4177-B38D-AD1912B4A105}" xr6:coauthVersionLast="47" xr6:coauthVersionMax="47" xr10:uidLastSave="{00000000-0000-0000-0000-000000000000}"/>
  <bookViews>
    <workbookView xWindow="-120" yWindow="-120" windowWidth="29040" windowHeight="15720" xr2:uid="{69402E6D-338B-4842-BCA5-C578EAE77A3E}"/>
  </bookViews>
  <sheets>
    <sheet name="Overview" sheetId="3" r:id="rId1"/>
    <sheet name="HotComm" sheetId="1" r:id="rId2"/>
    <sheet name="ReadBCI-BMS" sheetId="10" r:id="rId3"/>
    <sheet name="ReadBCI-PCS" sheetId="11" r:id="rId4"/>
    <sheet name="ReadETH" sheetId="2" r:id="rId5"/>
    <sheet name="CalibrateH" sheetId="9" r:id="rId6"/>
    <sheet name="CalibrateL" sheetId="8" r:id="rId7"/>
    <sheet name="ReadSOC" sheetId="5" r:id="rId8"/>
    <sheet name="ReadCap" sheetId="6" r:id="rId9"/>
    <sheet name="ReadTest" sheetId="4" r:id="rId10"/>
  </sheets>
  <functionGroups builtInGroupCount="19"/>
  <definedNames>
    <definedName name="_xlnm._FilterDatabase" localSheetId="8" hidden="1">ReadCap!$A$1:$S$289</definedName>
    <definedName name="_xlnm._FilterDatabase" localSheetId="7" hidden="1">ReadSOC!$A$1:$S$290</definedName>
    <definedName name="_xleta.AND" hidden="1" xlm="1">#NAME?</definedName>
    <definedName name="_xleta.AVERAGE" hidden="1" xlm="1">#NAME?</definedName>
    <definedName name="_xleta.IFS" hidden="1" xlm="1">#NAME?</definedName>
    <definedName name="_xleta.MEDIAN" hidden="1" xlm="1">#NAME?</definedName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" i="5" l="1" a="1"/>
  <c r="AF2" i="5" s="1"/>
  <c r="AF4" i="5" s="1" a="1"/>
  <c r="AA4" i="10"/>
  <c r="AA5" i="10" s="1"/>
  <c r="AA3" i="10"/>
  <c r="AA2" i="10"/>
  <c r="Y8" i="5"/>
  <c r="Y9" i="5"/>
  <c r="AD2" i="11"/>
  <c r="AD3" i="11" s="1"/>
  <c r="AD4" i="11" s="1"/>
  <c r="AD5" i="11" s="1"/>
  <c r="I37" i="11"/>
  <c r="B37" i="11"/>
  <c r="I36" i="11"/>
  <c r="B36" i="11"/>
  <c r="I35" i="11"/>
  <c r="B35" i="11"/>
  <c r="I34" i="11"/>
  <c r="B34" i="11"/>
  <c r="I33" i="11"/>
  <c r="B33" i="11"/>
  <c r="I32" i="11"/>
  <c r="B32" i="11"/>
  <c r="I31" i="11"/>
  <c r="B31" i="11"/>
  <c r="I30" i="11"/>
  <c r="B30" i="11"/>
  <c r="I29" i="11"/>
  <c r="B29" i="11"/>
  <c r="I28" i="11"/>
  <c r="B28" i="11"/>
  <c r="I27" i="11"/>
  <c r="B27" i="11"/>
  <c r="I26" i="11"/>
  <c r="B26" i="11"/>
  <c r="I25" i="11"/>
  <c r="B25" i="11"/>
  <c r="I24" i="11"/>
  <c r="B24" i="11"/>
  <c r="I23" i="11"/>
  <c r="B23" i="11"/>
  <c r="I22" i="11"/>
  <c r="B22" i="11"/>
  <c r="I21" i="11"/>
  <c r="B21" i="11"/>
  <c r="I20" i="11"/>
  <c r="B20" i="11"/>
  <c r="I19" i="11"/>
  <c r="B19" i="11"/>
  <c r="I18" i="11"/>
  <c r="B18" i="11"/>
  <c r="I17" i="11"/>
  <c r="B17" i="11"/>
  <c r="I16" i="11"/>
  <c r="B16" i="11"/>
  <c r="I15" i="11"/>
  <c r="B15" i="11"/>
  <c r="I14" i="11"/>
  <c r="B14" i="11"/>
  <c r="I13" i="11"/>
  <c r="B13" i="11"/>
  <c r="I12" i="11"/>
  <c r="B12" i="11"/>
  <c r="I11" i="11"/>
  <c r="B11" i="11"/>
  <c r="I10" i="11"/>
  <c r="B10" i="11"/>
  <c r="I9" i="11"/>
  <c r="B9" i="11"/>
  <c r="I8" i="11"/>
  <c r="B8" i="11"/>
  <c r="I7" i="11"/>
  <c r="B7" i="11"/>
  <c r="I6" i="11"/>
  <c r="B6" i="11"/>
  <c r="I5" i="11"/>
  <c r="B5" i="11"/>
  <c r="I4" i="11"/>
  <c r="B4" i="11"/>
  <c r="I3" i="11"/>
  <c r="B3" i="11"/>
  <c r="I2" i="11"/>
  <c r="B2" i="11"/>
  <c r="AB2" i="10"/>
  <c r="AB3" i="10" s="1"/>
  <c r="AB4" i="10" s="1"/>
  <c r="AB5" i="10" s="1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2" i="10"/>
  <c r="AF7" i="6"/>
  <c r="AG7" i="6"/>
  <c r="AH7" i="6"/>
  <c r="AI7" i="6"/>
  <c r="AJ7" i="6"/>
  <c r="AF8" i="6"/>
  <c r="AG8" i="6"/>
  <c r="AH8" i="6"/>
  <c r="AI8" i="6"/>
  <c r="AJ8" i="6"/>
  <c r="AF9" i="6"/>
  <c r="AG9" i="6"/>
  <c r="AH9" i="6"/>
  <c r="AI9" i="6"/>
  <c r="AJ9" i="6"/>
  <c r="AF10" i="6"/>
  <c r="AG10" i="6"/>
  <c r="AH10" i="6"/>
  <c r="AI10" i="6"/>
  <c r="AJ10" i="6"/>
  <c r="AF11" i="6"/>
  <c r="AG11" i="6"/>
  <c r="AH11" i="6"/>
  <c r="AI11" i="6"/>
  <c r="AJ11" i="6"/>
  <c r="AF12" i="6"/>
  <c r="AG12" i="6"/>
  <c r="AH12" i="6"/>
  <c r="AI12" i="6"/>
  <c r="AJ12" i="6"/>
  <c r="AF13" i="6"/>
  <c r="AG13" i="6"/>
  <c r="AH13" i="6"/>
  <c r="AI13" i="6"/>
  <c r="AJ13" i="6"/>
  <c r="AF14" i="6"/>
  <c r="AG14" i="6"/>
  <c r="AH14" i="6"/>
  <c r="AI14" i="6"/>
  <c r="AJ14" i="6"/>
  <c r="AF15" i="6"/>
  <c r="AG15" i="6"/>
  <c r="AH15" i="6"/>
  <c r="AI15" i="6"/>
  <c r="AJ15" i="6"/>
  <c r="AF16" i="6"/>
  <c r="AG16" i="6"/>
  <c r="AH16" i="6"/>
  <c r="AI16" i="6"/>
  <c r="AJ16" i="6"/>
  <c r="AF17" i="6"/>
  <c r="AG17" i="6"/>
  <c r="AH17" i="6"/>
  <c r="AI17" i="6"/>
  <c r="AJ17" i="6"/>
  <c r="AF18" i="6"/>
  <c r="AG18" i="6"/>
  <c r="AH18" i="6"/>
  <c r="AI18" i="6"/>
  <c r="AJ18" i="6"/>
  <c r="AF19" i="6"/>
  <c r="AG19" i="6"/>
  <c r="AH19" i="6"/>
  <c r="AI19" i="6"/>
  <c r="AJ19" i="6"/>
  <c r="AF20" i="6"/>
  <c r="AG20" i="6"/>
  <c r="AH20" i="6"/>
  <c r="AI20" i="6"/>
  <c r="AJ20" i="6"/>
  <c r="AF21" i="6"/>
  <c r="AG21" i="6"/>
  <c r="AH21" i="6"/>
  <c r="AI21" i="6"/>
  <c r="AJ21" i="6"/>
  <c r="AF22" i="6"/>
  <c r="AG22" i="6"/>
  <c r="AH22" i="6"/>
  <c r="AI22" i="6"/>
  <c r="AJ22" i="6"/>
  <c r="AF23" i="6"/>
  <c r="AG23" i="6"/>
  <c r="AH23" i="6"/>
  <c r="AI23" i="6"/>
  <c r="AJ23" i="6"/>
  <c r="AF24" i="6"/>
  <c r="AG24" i="6"/>
  <c r="AH24" i="6"/>
  <c r="AI24" i="6"/>
  <c r="AJ24" i="6"/>
  <c r="AF25" i="6"/>
  <c r="AG25" i="6"/>
  <c r="AH25" i="6"/>
  <c r="AI25" i="6"/>
  <c r="AJ25" i="6"/>
  <c r="AF26" i="6"/>
  <c r="AG26" i="6"/>
  <c r="AH26" i="6"/>
  <c r="AI26" i="6"/>
  <c r="AJ26" i="6"/>
  <c r="AF27" i="6"/>
  <c r="AG27" i="6"/>
  <c r="AH27" i="6"/>
  <c r="AI27" i="6"/>
  <c r="AJ27" i="6"/>
  <c r="AF28" i="6"/>
  <c r="AG28" i="6"/>
  <c r="AH28" i="6"/>
  <c r="AI28" i="6"/>
  <c r="AJ28" i="6"/>
  <c r="AF29" i="6"/>
  <c r="AG29" i="6"/>
  <c r="AH29" i="6"/>
  <c r="AI29" i="6"/>
  <c r="AJ29" i="6"/>
  <c r="AF30" i="6"/>
  <c r="AG30" i="6"/>
  <c r="AH30" i="6"/>
  <c r="AI30" i="6"/>
  <c r="AJ30" i="6"/>
  <c r="AF31" i="6"/>
  <c r="AG31" i="6"/>
  <c r="AH31" i="6"/>
  <c r="AI31" i="6"/>
  <c r="AJ31" i="6"/>
  <c r="AF32" i="6"/>
  <c r="AG32" i="6"/>
  <c r="AH32" i="6"/>
  <c r="AI32" i="6"/>
  <c r="AJ32" i="6"/>
  <c r="AF33" i="6"/>
  <c r="AG33" i="6"/>
  <c r="AH33" i="6"/>
  <c r="AI33" i="6"/>
  <c r="AJ33" i="6"/>
  <c r="AF34" i="6"/>
  <c r="AG34" i="6"/>
  <c r="AH34" i="6"/>
  <c r="AI34" i="6"/>
  <c r="AJ34" i="6"/>
  <c r="AF35" i="6"/>
  <c r="AG35" i="6"/>
  <c r="AH35" i="6"/>
  <c r="AI35" i="6"/>
  <c r="AJ35" i="6"/>
  <c r="AF36" i="6"/>
  <c r="AG36" i="6"/>
  <c r="AH36" i="6"/>
  <c r="AI36" i="6"/>
  <c r="AJ36" i="6"/>
  <c r="AF37" i="6"/>
  <c r="AG37" i="6"/>
  <c r="AH37" i="6"/>
  <c r="AI37" i="6"/>
  <c r="AJ37" i="6"/>
  <c r="AF38" i="6"/>
  <c r="AG38" i="6"/>
  <c r="AH38" i="6"/>
  <c r="AI38" i="6"/>
  <c r="AJ38" i="6"/>
  <c r="AF39" i="6"/>
  <c r="AG39" i="6"/>
  <c r="AH39" i="6"/>
  <c r="AI39" i="6"/>
  <c r="AJ39" i="6"/>
  <c r="AF40" i="6"/>
  <c r="AG40" i="6"/>
  <c r="AH40" i="6"/>
  <c r="AI40" i="6"/>
  <c r="AJ40" i="6"/>
  <c r="AF41" i="6"/>
  <c r="AG41" i="6"/>
  <c r="AH41" i="6"/>
  <c r="AI41" i="6"/>
  <c r="AJ41" i="6"/>
  <c r="AF42" i="6"/>
  <c r="AG42" i="6"/>
  <c r="AH42" i="6"/>
  <c r="AI42" i="6"/>
  <c r="AJ42" i="6"/>
  <c r="AF43" i="6"/>
  <c r="AG43" i="6"/>
  <c r="AH43" i="6"/>
  <c r="AI43" i="6"/>
  <c r="AJ43" i="6"/>
  <c r="AF44" i="6"/>
  <c r="AG44" i="6"/>
  <c r="AH44" i="6"/>
  <c r="AI44" i="6"/>
  <c r="AJ44" i="6"/>
  <c r="AF45" i="6"/>
  <c r="AG45" i="6"/>
  <c r="AH45" i="6"/>
  <c r="AI45" i="6"/>
  <c r="AJ45" i="6"/>
  <c r="AF46" i="6"/>
  <c r="AG46" i="6"/>
  <c r="AH46" i="6"/>
  <c r="AI46" i="6"/>
  <c r="AJ46" i="6"/>
  <c r="AF47" i="6"/>
  <c r="AG47" i="6"/>
  <c r="AH47" i="6"/>
  <c r="AI47" i="6"/>
  <c r="AJ47" i="6"/>
  <c r="AF48" i="6"/>
  <c r="AG48" i="6"/>
  <c r="AH48" i="6"/>
  <c r="AI48" i="6"/>
  <c r="AJ48" i="6"/>
  <c r="AF49" i="6"/>
  <c r="AG49" i="6"/>
  <c r="AH49" i="6"/>
  <c r="AI49" i="6"/>
  <c r="AJ49" i="6"/>
  <c r="AF50" i="6"/>
  <c r="AG50" i="6"/>
  <c r="AH50" i="6"/>
  <c r="AI50" i="6"/>
  <c r="AJ50" i="6"/>
  <c r="AF51" i="6"/>
  <c r="AG51" i="6"/>
  <c r="AH51" i="6"/>
  <c r="AI51" i="6"/>
  <c r="AJ51" i="6"/>
  <c r="AF52" i="6"/>
  <c r="AG52" i="6"/>
  <c r="AH52" i="6"/>
  <c r="AI52" i="6"/>
  <c r="AJ52" i="6"/>
  <c r="AF53" i="6"/>
  <c r="AG53" i="6"/>
  <c r="AH53" i="6"/>
  <c r="AI53" i="6"/>
  <c r="AJ53" i="6"/>
  <c r="AF54" i="6"/>
  <c r="AG54" i="6"/>
  <c r="AH54" i="6"/>
  <c r="AI54" i="6"/>
  <c r="AJ54" i="6"/>
  <c r="AF55" i="6"/>
  <c r="AG55" i="6"/>
  <c r="AH55" i="6"/>
  <c r="AI55" i="6"/>
  <c r="AJ55" i="6"/>
  <c r="AF56" i="6"/>
  <c r="AG56" i="6"/>
  <c r="AH56" i="6"/>
  <c r="AI56" i="6"/>
  <c r="AJ56" i="6"/>
  <c r="AF57" i="6"/>
  <c r="AG57" i="6"/>
  <c r="AH57" i="6"/>
  <c r="AI57" i="6"/>
  <c r="AJ57" i="6"/>
  <c r="AF58" i="6"/>
  <c r="AG58" i="6"/>
  <c r="AH58" i="6"/>
  <c r="AI58" i="6"/>
  <c r="AJ58" i="6"/>
  <c r="AF59" i="6"/>
  <c r="AG59" i="6"/>
  <c r="AH59" i="6"/>
  <c r="AI59" i="6"/>
  <c r="AJ59" i="6"/>
  <c r="AF60" i="6"/>
  <c r="AG60" i="6"/>
  <c r="AH60" i="6"/>
  <c r="AI60" i="6"/>
  <c r="AJ60" i="6"/>
  <c r="AF61" i="6"/>
  <c r="AG61" i="6"/>
  <c r="AH61" i="6"/>
  <c r="AI61" i="6"/>
  <c r="AJ61" i="6"/>
  <c r="AF62" i="6"/>
  <c r="AG62" i="6"/>
  <c r="AH62" i="6"/>
  <c r="AI62" i="6"/>
  <c r="AJ62" i="6"/>
  <c r="AF63" i="6"/>
  <c r="AG63" i="6"/>
  <c r="AH63" i="6"/>
  <c r="AI63" i="6"/>
  <c r="AJ63" i="6"/>
  <c r="AF64" i="6"/>
  <c r="AG64" i="6"/>
  <c r="AH64" i="6"/>
  <c r="AI64" i="6"/>
  <c r="AJ64" i="6"/>
  <c r="AF65" i="6"/>
  <c r="AG65" i="6"/>
  <c r="AH65" i="6"/>
  <c r="AI65" i="6"/>
  <c r="AJ65" i="6"/>
  <c r="AF66" i="6"/>
  <c r="AG66" i="6"/>
  <c r="AH66" i="6"/>
  <c r="AI66" i="6"/>
  <c r="AJ66" i="6"/>
  <c r="AF67" i="6"/>
  <c r="AG67" i="6"/>
  <c r="AH67" i="6"/>
  <c r="AI67" i="6"/>
  <c r="AJ67" i="6"/>
  <c r="AF68" i="6"/>
  <c r="AG68" i="6"/>
  <c r="AH68" i="6"/>
  <c r="AI68" i="6"/>
  <c r="AJ68" i="6"/>
  <c r="AF69" i="6"/>
  <c r="AG69" i="6"/>
  <c r="AH69" i="6"/>
  <c r="AI69" i="6"/>
  <c r="AJ69" i="6"/>
  <c r="AF70" i="6"/>
  <c r="AG70" i="6"/>
  <c r="AH70" i="6"/>
  <c r="AI70" i="6"/>
  <c r="AJ70" i="6"/>
  <c r="AF71" i="6"/>
  <c r="AG71" i="6"/>
  <c r="AH71" i="6"/>
  <c r="AI71" i="6"/>
  <c r="AJ71" i="6"/>
  <c r="AF72" i="6"/>
  <c r="AG72" i="6"/>
  <c r="AH72" i="6"/>
  <c r="AI72" i="6"/>
  <c r="AJ72" i="6"/>
  <c r="AF73" i="6"/>
  <c r="AG73" i="6"/>
  <c r="AH73" i="6"/>
  <c r="AI73" i="6"/>
  <c r="AJ73" i="6"/>
  <c r="AF74" i="6"/>
  <c r="AG74" i="6"/>
  <c r="AH74" i="6"/>
  <c r="AI74" i="6"/>
  <c r="AJ74" i="6"/>
  <c r="AF75" i="6"/>
  <c r="AG75" i="6"/>
  <c r="AH75" i="6"/>
  <c r="AI75" i="6"/>
  <c r="AJ75" i="6"/>
  <c r="AF76" i="6"/>
  <c r="AG76" i="6"/>
  <c r="AH76" i="6"/>
  <c r="AI76" i="6"/>
  <c r="AJ76" i="6"/>
  <c r="AF77" i="6"/>
  <c r="AG77" i="6"/>
  <c r="AH77" i="6"/>
  <c r="AI77" i="6"/>
  <c r="AJ77" i="6"/>
  <c r="AF78" i="6"/>
  <c r="AG78" i="6"/>
  <c r="AH78" i="6"/>
  <c r="AI78" i="6"/>
  <c r="AJ78" i="6"/>
  <c r="AF79" i="6"/>
  <c r="AG79" i="6"/>
  <c r="AH79" i="6"/>
  <c r="AI79" i="6"/>
  <c r="AJ79" i="6"/>
  <c r="AF80" i="6"/>
  <c r="AG80" i="6"/>
  <c r="AH80" i="6"/>
  <c r="AI80" i="6"/>
  <c r="AJ80" i="6"/>
  <c r="AF81" i="6"/>
  <c r="AG81" i="6"/>
  <c r="AH81" i="6"/>
  <c r="AI81" i="6"/>
  <c r="AJ81" i="6"/>
  <c r="AF82" i="6"/>
  <c r="AG82" i="6"/>
  <c r="AH82" i="6"/>
  <c r="AI82" i="6"/>
  <c r="AJ82" i="6"/>
  <c r="AF83" i="6"/>
  <c r="AG83" i="6"/>
  <c r="AH83" i="6"/>
  <c r="AI83" i="6"/>
  <c r="AJ83" i="6"/>
  <c r="AF84" i="6"/>
  <c r="AG84" i="6"/>
  <c r="AH84" i="6"/>
  <c r="AI84" i="6"/>
  <c r="AJ84" i="6"/>
  <c r="AF85" i="6"/>
  <c r="AG85" i="6"/>
  <c r="AH85" i="6"/>
  <c r="AI85" i="6"/>
  <c r="AJ85" i="6"/>
  <c r="AF86" i="6"/>
  <c r="AG86" i="6"/>
  <c r="AH86" i="6"/>
  <c r="AI86" i="6"/>
  <c r="AJ86" i="6"/>
  <c r="AF87" i="6"/>
  <c r="AG87" i="6"/>
  <c r="AH87" i="6"/>
  <c r="AI87" i="6"/>
  <c r="AJ87" i="6"/>
  <c r="AF88" i="6"/>
  <c r="AG88" i="6"/>
  <c r="AH88" i="6"/>
  <c r="AI88" i="6"/>
  <c r="AJ88" i="6"/>
  <c r="AF89" i="6"/>
  <c r="AG89" i="6"/>
  <c r="AH89" i="6"/>
  <c r="AI89" i="6"/>
  <c r="AJ89" i="6"/>
  <c r="AF90" i="6"/>
  <c r="AG90" i="6"/>
  <c r="AH90" i="6"/>
  <c r="AI90" i="6"/>
  <c r="AJ90" i="6"/>
  <c r="AF91" i="6"/>
  <c r="AG91" i="6"/>
  <c r="AH91" i="6"/>
  <c r="AI91" i="6"/>
  <c r="AJ91" i="6"/>
  <c r="AF92" i="6"/>
  <c r="AG92" i="6"/>
  <c r="AH92" i="6"/>
  <c r="AI92" i="6"/>
  <c r="AJ92" i="6"/>
  <c r="AF93" i="6"/>
  <c r="AG93" i="6"/>
  <c r="AH93" i="6"/>
  <c r="AI93" i="6"/>
  <c r="AJ93" i="6"/>
  <c r="AF94" i="6"/>
  <c r="AG94" i="6"/>
  <c r="AH94" i="6"/>
  <c r="AI94" i="6"/>
  <c r="AJ94" i="6"/>
  <c r="AF95" i="6"/>
  <c r="AG95" i="6"/>
  <c r="AH95" i="6"/>
  <c r="AI95" i="6"/>
  <c r="AJ95" i="6"/>
  <c r="AF96" i="6"/>
  <c r="AG96" i="6"/>
  <c r="AH96" i="6"/>
  <c r="AI96" i="6"/>
  <c r="AJ96" i="6"/>
  <c r="AF97" i="6"/>
  <c r="AG97" i="6"/>
  <c r="AH97" i="6"/>
  <c r="AI97" i="6"/>
  <c r="AJ97" i="6"/>
  <c r="AF98" i="6"/>
  <c r="AG98" i="6"/>
  <c r="AH98" i="6"/>
  <c r="AI98" i="6"/>
  <c r="AJ98" i="6"/>
  <c r="AF99" i="6"/>
  <c r="AG99" i="6"/>
  <c r="AH99" i="6"/>
  <c r="AI99" i="6"/>
  <c r="AJ99" i="6"/>
  <c r="AF100" i="6"/>
  <c r="AG100" i="6"/>
  <c r="AH100" i="6"/>
  <c r="AI100" i="6"/>
  <c r="AJ100" i="6"/>
  <c r="AF101" i="6"/>
  <c r="AG101" i="6"/>
  <c r="AH101" i="6"/>
  <c r="AI101" i="6"/>
  <c r="AJ101" i="6"/>
  <c r="AF102" i="6"/>
  <c r="AG102" i="6"/>
  <c r="AH102" i="6"/>
  <c r="AI102" i="6"/>
  <c r="AJ102" i="6"/>
  <c r="AF103" i="6"/>
  <c r="AG103" i="6"/>
  <c r="AH103" i="6"/>
  <c r="AI103" i="6"/>
  <c r="AJ103" i="6"/>
  <c r="AF104" i="6"/>
  <c r="AG104" i="6"/>
  <c r="AH104" i="6"/>
  <c r="AI104" i="6"/>
  <c r="AJ104" i="6"/>
  <c r="AF105" i="6"/>
  <c r="AG105" i="6"/>
  <c r="AH105" i="6"/>
  <c r="AI105" i="6"/>
  <c r="AJ105" i="6"/>
  <c r="AF106" i="6"/>
  <c r="AG106" i="6"/>
  <c r="AH106" i="6"/>
  <c r="AI106" i="6"/>
  <c r="AJ106" i="6"/>
  <c r="AF107" i="6"/>
  <c r="AG107" i="6"/>
  <c r="AH107" i="6"/>
  <c r="AI107" i="6"/>
  <c r="AJ107" i="6"/>
  <c r="AF108" i="6"/>
  <c r="AG108" i="6"/>
  <c r="AH108" i="6"/>
  <c r="AI108" i="6"/>
  <c r="AJ108" i="6"/>
  <c r="AF109" i="6"/>
  <c r="AG109" i="6"/>
  <c r="AH109" i="6"/>
  <c r="AI109" i="6"/>
  <c r="AJ109" i="6"/>
  <c r="AF110" i="6"/>
  <c r="AG110" i="6"/>
  <c r="AH110" i="6"/>
  <c r="AI110" i="6"/>
  <c r="AJ110" i="6"/>
  <c r="AF111" i="6"/>
  <c r="AG111" i="6"/>
  <c r="AH111" i="6"/>
  <c r="AI111" i="6"/>
  <c r="AJ111" i="6"/>
  <c r="AF112" i="6"/>
  <c r="AG112" i="6"/>
  <c r="AH112" i="6"/>
  <c r="AI112" i="6"/>
  <c r="AJ112" i="6"/>
  <c r="AF113" i="6"/>
  <c r="AG113" i="6"/>
  <c r="AH113" i="6"/>
  <c r="AI113" i="6"/>
  <c r="AJ113" i="6"/>
  <c r="AF114" i="6"/>
  <c r="AG114" i="6"/>
  <c r="AH114" i="6"/>
  <c r="AI114" i="6"/>
  <c r="AJ114" i="6"/>
  <c r="AF115" i="6"/>
  <c r="AG115" i="6"/>
  <c r="AH115" i="6"/>
  <c r="AI115" i="6"/>
  <c r="AJ115" i="6"/>
  <c r="AF116" i="6"/>
  <c r="AG116" i="6"/>
  <c r="AH116" i="6"/>
  <c r="AI116" i="6"/>
  <c r="AJ116" i="6"/>
  <c r="AF117" i="6"/>
  <c r="AG117" i="6"/>
  <c r="AH117" i="6"/>
  <c r="AI117" i="6"/>
  <c r="AJ117" i="6"/>
  <c r="AF118" i="6"/>
  <c r="AG118" i="6"/>
  <c r="AH118" i="6"/>
  <c r="AI118" i="6"/>
  <c r="AJ118" i="6"/>
  <c r="AF119" i="6"/>
  <c r="AG119" i="6"/>
  <c r="AH119" i="6"/>
  <c r="AI119" i="6"/>
  <c r="AJ119" i="6"/>
  <c r="AF120" i="6"/>
  <c r="AG120" i="6"/>
  <c r="AH120" i="6"/>
  <c r="AI120" i="6"/>
  <c r="AJ120" i="6"/>
  <c r="AF121" i="6"/>
  <c r="AG121" i="6"/>
  <c r="AH121" i="6"/>
  <c r="AI121" i="6"/>
  <c r="AJ121" i="6"/>
  <c r="AF122" i="6"/>
  <c r="AG122" i="6"/>
  <c r="AH122" i="6"/>
  <c r="AI122" i="6"/>
  <c r="AJ122" i="6"/>
  <c r="AF123" i="6"/>
  <c r="AG123" i="6"/>
  <c r="AH123" i="6"/>
  <c r="AI123" i="6"/>
  <c r="AJ123" i="6"/>
  <c r="AF124" i="6"/>
  <c r="AG124" i="6"/>
  <c r="AH124" i="6"/>
  <c r="AI124" i="6"/>
  <c r="AJ124" i="6"/>
  <c r="AF125" i="6"/>
  <c r="AG125" i="6"/>
  <c r="AH125" i="6"/>
  <c r="AI125" i="6"/>
  <c r="AJ125" i="6"/>
  <c r="AF126" i="6"/>
  <c r="AG126" i="6"/>
  <c r="AH126" i="6"/>
  <c r="AI126" i="6"/>
  <c r="AJ126" i="6"/>
  <c r="AF127" i="6"/>
  <c r="AG127" i="6"/>
  <c r="AH127" i="6"/>
  <c r="AI127" i="6"/>
  <c r="AJ127" i="6"/>
  <c r="AF128" i="6"/>
  <c r="AG128" i="6"/>
  <c r="AH128" i="6"/>
  <c r="AI128" i="6"/>
  <c r="AJ128" i="6"/>
  <c r="AF129" i="6"/>
  <c r="AG129" i="6"/>
  <c r="AH129" i="6"/>
  <c r="AI129" i="6"/>
  <c r="AJ129" i="6"/>
  <c r="AF130" i="6"/>
  <c r="AG130" i="6"/>
  <c r="AH130" i="6"/>
  <c r="AI130" i="6"/>
  <c r="AJ130" i="6"/>
  <c r="AF131" i="6"/>
  <c r="AG131" i="6"/>
  <c r="AH131" i="6"/>
  <c r="AI131" i="6"/>
  <c r="AJ131" i="6"/>
  <c r="AF132" i="6"/>
  <c r="AG132" i="6"/>
  <c r="AH132" i="6"/>
  <c r="AI132" i="6"/>
  <c r="AJ132" i="6"/>
  <c r="AF133" i="6"/>
  <c r="AG133" i="6"/>
  <c r="AH133" i="6"/>
  <c r="AI133" i="6"/>
  <c r="AJ133" i="6"/>
  <c r="AF134" i="6"/>
  <c r="AG134" i="6"/>
  <c r="AH134" i="6"/>
  <c r="AI134" i="6"/>
  <c r="AJ134" i="6"/>
  <c r="AF135" i="6"/>
  <c r="AG135" i="6"/>
  <c r="AH135" i="6"/>
  <c r="AI135" i="6"/>
  <c r="AJ135" i="6"/>
  <c r="AF136" i="6"/>
  <c r="AG136" i="6"/>
  <c r="AH136" i="6"/>
  <c r="AI136" i="6"/>
  <c r="AJ136" i="6"/>
  <c r="AF137" i="6"/>
  <c r="AG137" i="6"/>
  <c r="AH137" i="6"/>
  <c r="AI137" i="6"/>
  <c r="AJ137" i="6"/>
  <c r="AF138" i="6"/>
  <c r="AG138" i="6"/>
  <c r="AH138" i="6"/>
  <c r="AI138" i="6"/>
  <c r="AJ138" i="6"/>
  <c r="AF139" i="6"/>
  <c r="AG139" i="6"/>
  <c r="AH139" i="6"/>
  <c r="AI139" i="6"/>
  <c r="AJ139" i="6"/>
  <c r="AF140" i="6"/>
  <c r="AG140" i="6"/>
  <c r="AH140" i="6"/>
  <c r="AI140" i="6"/>
  <c r="AJ140" i="6"/>
  <c r="AF141" i="6"/>
  <c r="AG141" i="6"/>
  <c r="AH141" i="6"/>
  <c r="AI141" i="6"/>
  <c r="AJ141" i="6"/>
  <c r="AF142" i="6"/>
  <c r="AG142" i="6"/>
  <c r="AH142" i="6"/>
  <c r="AI142" i="6"/>
  <c r="AJ142" i="6"/>
  <c r="AF143" i="6"/>
  <c r="AG143" i="6"/>
  <c r="AH143" i="6"/>
  <c r="AI143" i="6"/>
  <c r="AJ143" i="6"/>
  <c r="AF144" i="6"/>
  <c r="AG144" i="6"/>
  <c r="AH144" i="6"/>
  <c r="AI144" i="6"/>
  <c r="AJ144" i="6"/>
  <c r="AF145" i="6"/>
  <c r="AG145" i="6"/>
  <c r="AH145" i="6"/>
  <c r="AI145" i="6"/>
  <c r="AJ145" i="6"/>
  <c r="AF146" i="6"/>
  <c r="AG146" i="6"/>
  <c r="AH146" i="6"/>
  <c r="AI146" i="6"/>
  <c r="AJ146" i="6"/>
  <c r="AF147" i="6"/>
  <c r="AG147" i="6"/>
  <c r="AH147" i="6"/>
  <c r="AI147" i="6"/>
  <c r="AJ147" i="6"/>
  <c r="AF148" i="6"/>
  <c r="AG148" i="6"/>
  <c r="AH148" i="6"/>
  <c r="AI148" i="6"/>
  <c r="AJ148" i="6"/>
  <c r="AF149" i="6"/>
  <c r="AG149" i="6"/>
  <c r="AH149" i="6"/>
  <c r="AI149" i="6"/>
  <c r="AJ149" i="6"/>
  <c r="AF150" i="6"/>
  <c r="AG150" i="6"/>
  <c r="AH150" i="6"/>
  <c r="AI150" i="6"/>
  <c r="AJ150" i="6"/>
  <c r="AF151" i="6"/>
  <c r="AG151" i="6"/>
  <c r="AH151" i="6"/>
  <c r="AI151" i="6"/>
  <c r="AJ151" i="6"/>
  <c r="AF152" i="6"/>
  <c r="AG152" i="6"/>
  <c r="AH152" i="6"/>
  <c r="AI152" i="6"/>
  <c r="AJ152" i="6"/>
  <c r="AF153" i="6"/>
  <c r="AG153" i="6"/>
  <c r="AH153" i="6"/>
  <c r="AI153" i="6"/>
  <c r="AJ153" i="6"/>
  <c r="AF154" i="6"/>
  <c r="AG154" i="6"/>
  <c r="AH154" i="6"/>
  <c r="AI154" i="6"/>
  <c r="AJ154" i="6"/>
  <c r="AF155" i="6"/>
  <c r="AG155" i="6"/>
  <c r="AH155" i="6"/>
  <c r="AI155" i="6"/>
  <c r="AJ155" i="6"/>
  <c r="AF156" i="6"/>
  <c r="AG156" i="6"/>
  <c r="AH156" i="6"/>
  <c r="AI156" i="6"/>
  <c r="AJ156" i="6"/>
  <c r="AF157" i="6"/>
  <c r="AG157" i="6"/>
  <c r="AH157" i="6"/>
  <c r="AI157" i="6"/>
  <c r="AJ157" i="6"/>
  <c r="AF158" i="6"/>
  <c r="AG158" i="6"/>
  <c r="AH158" i="6"/>
  <c r="AI158" i="6"/>
  <c r="AJ158" i="6"/>
  <c r="AF159" i="6"/>
  <c r="AG159" i="6"/>
  <c r="AH159" i="6"/>
  <c r="AI159" i="6"/>
  <c r="AJ159" i="6"/>
  <c r="AF160" i="6"/>
  <c r="AG160" i="6"/>
  <c r="AH160" i="6"/>
  <c r="AI160" i="6"/>
  <c r="AJ160" i="6"/>
  <c r="AF161" i="6"/>
  <c r="AG161" i="6"/>
  <c r="AH161" i="6"/>
  <c r="AI161" i="6"/>
  <c r="AJ161" i="6"/>
  <c r="AF162" i="6"/>
  <c r="AG162" i="6"/>
  <c r="AH162" i="6"/>
  <c r="AI162" i="6"/>
  <c r="AJ162" i="6"/>
  <c r="AF163" i="6"/>
  <c r="AG163" i="6"/>
  <c r="AH163" i="6"/>
  <c r="AI163" i="6"/>
  <c r="AJ163" i="6"/>
  <c r="AF164" i="6"/>
  <c r="AG164" i="6"/>
  <c r="AH164" i="6"/>
  <c r="AI164" i="6"/>
  <c r="AJ164" i="6"/>
  <c r="AF165" i="6"/>
  <c r="AG165" i="6"/>
  <c r="AH165" i="6"/>
  <c r="AI165" i="6"/>
  <c r="AJ165" i="6"/>
  <c r="AF166" i="6"/>
  <c r="AG166" i="6"/>
  <c r="AH166" i="6"/>
  <c r="AI166" i="6"/>
  <c r="AJ166" i="6"/>
  <c r="AF167" i="6"/>
  <c r="AG167" i="6"/>
  <c r="AH167" i="6"/>
  <c r="AI167" i="6"/>
  <c r="AJ167" i="6"/>
  <c r="AF168" i="6"/>
  <c r="AG168" i="6"/>
  <c r="AH168" i="6"/>
  <c r="AI168" i="6"/>
  <c r="AJ168" i="6"/>
  <c r="AF169" i="6"/>
  <c r="AG169" i="6"/>
  <c r="AH169" i="6"/>
  <c r="AI169" i="6"/>
  <c r="AJ169" i="6"/>
  <c r="AF170" i="6"/>
  <c r="AG170" i="6"/>
  <c r="AH170" i="6"/>
  <c r="AI170" i="6"/>
  <c r="AJ170" i="6"/>
  <c r="AF171" i="6"/>
  <c r="AG171" i="6"/>
  <c r="AH171" i="6"/>
  <c r="AI171" i="6"/>
  <c r="AJ171" i="6"/>
  <c r="AF172" i="6"/>
  <c r="AG172" i="6"/>
  <c r="AH172" i="6"/>
  <c r="AI172" i="6"/>
  <c r="AJ172" i="6"/>
  <c r="AF173" i="6"/>
  <c r="AG173" i="6"/>
  <c r="AH173" i="6"/>
  <c r="AI173" i="6"/>
  <c r="AJ173" i="6"/>
  <c r="AF174" i="6"/>
  <c r="AG174" i="6"/>
  <c r="AH174" i="6"/>
  <c r="AI174" i="6"/>
  <c r="AJ174" i="6"/>
  <c r="AF175" i="6"/>
  <c r="AG175" i="6"/>
  <c r="AH175" i="6"/>
  <c r="AI175" i="6"/>
  <c r="AJ175" i="6"/>
  <c r="AF176" i="6"/>
  <c r="AG176" i="6"/>
  <c r="AH176" i="6"/>
  <c r="AI176" i="6"/>
  <c r="AJ176" i="6"/>
  <c r="AF177" i="6"/>
  <c r="AG177" i="6"/>
  <c r="AH177" i="6"/>
  <c r="AI177" i="6"/>
  <c r="AJ177" i="6"/>
  <c r="AF178" i="6"/>
  <c r="AG178" i="6"/>
  <c r="AH178" i="6"/>
  <c r="AI178" i="6"/>
  <c r="AJ178" i="6"/>
  <c r="AF179" i="6"/>
  <c r="AG179" i="6"/>
  <c r="AH179" i="6"/>
  <c r="AI179" i="6"/>
  <c r="AJ179" i="6"/>
  <c r="AF180" i="6"/>
  <c r="AG180" i="6"/>
  <c r="AH180" i="6"/>
  <c r="AI180" i="6"/>
  <c r="AJ180" i="6"/>
  <c r="AF181" i="6"/>
  <c r="AG181" i="6"/>
  <c r="AH181" i="6"/>
  <c r="AI181" i="6"/>
  <c r="AJ181" i="6"/>
  <c r="AF182" i="6"/>
  <c r="AG182" i="6"/>
  <c r="AH182" i="6"/>
  <c r="AI182" i="6"/>
  <c r="AJ182" i="6"/>
  <c r="AF183" i="6"/>
  <c r="AG183" i="6"/>
  <c r="AH183" i="6"/>
  <c r="AI183" i="6"/>
  <c r="AJ183" i="6"/>
  <c r="AF184" i="6"/>
  <c r="AG184" i="6"/>
  <c r="AH184" i="6"/>
  <c r="AI184" i="6"/>
  <c r="AJ184" i="6"/>
  <c r="AF185" i="6"/>
  <c r="AG185" i="6"/>
  <c r="AH185" i="6"/>
  <c r="AI185" i="6"/>
  <c r="AJ185" i="6"/>
  <c r="AF186" i="6"/>
  <c r="AG186" i="6"/>
  <c r="AH186" i="6"/>
  <c r="AI186" i="6"/>
  <c r="AJ186" i="6"/>
  <c r="AF187" i="6"/>
  <c r="AG187" i="6"/>
  <c r="AH187" i="6"/>
  <c r="AI187" i="6"/>
  <c r="AJ187" i="6"/>
  <c r="AF188" i="6"/>
  <c r="AG188" i="6"/>
  <c r="AH188" i="6"/>
  <c r="AI188" i="6"/>
  <c r="AJ188" i="6"/>
  <c r="AF189" i="6"/>
  <c r="AG189" i="6"/>
  <c r="AH189" i="6"/>
  <c r="AI189" i="6"/>
  <c r="AJ189" i="6"/>
  <c r="AF190" i="6"/>
  <c r="AG190" i="6"/>
  <c r="AH190" i="6"/>
  <c r="AI190" i="6"/>
  <c r="AJ190" i="6"/>
  <c r="AF191" i="6"/>
  <c r="AG191" i="6"/>
  <c r="AH191" i="6"/>
  <c r="AI191" i="6"/>
  <c r="AJ191" i="6"/>
  <c r="AF192" i="6"/>
  <c r="AG192" i="6"/>
  <c r="AH192" i="6"/>
  <c r="AI192" i="6"/>
  <c r="AJ192" i="6"/>
  <c r="AF193" i="6"/>
  <c r="AG193" i="6"/>
  <c r="AH193" i="6"/>
  <c r="AI193" i="6"/>
  <c r="AJ193" i="6"/>
  <c r="AF194" i="6"/>
  <c r="AG194" i="6"/>
  <c r="AH194" i="6"/>
  <c r="AI194" i="6"/>
  <c r="AJ194" i="6"/>
  <c r="AF195" i="6"/>
  <c r="AG195" i="6"/>
  <c r="AH195" i="6"/>
  <c r="AI195" i="6"/>
  <c r="AJ195" i="6"/>
  <c r="AF196" i="6"/>
  <c r="AG196" i="6"/>
  <c r="AH196" i="6"/>
  <c r="AI196" i="6"/>
  <c r="AJ196" i="6"/>
  <c r="AF197" i="6"/>
  <c r="AG197" i="6"/>
  <c r="AH197" i="6"/>
  <c r="AI197" i="6"/>
  <c r="AJ197" i="6"/>
  <c r="AF198" i="6"/>
  <c r="AG198" i="6"/>
  <c r="AH198" i="6"/>
  <c r="AI198" i="6"/>
  <c r="AJ198" i="6"/>
  <c r="AF199" i="6"/>
  <c r="AG199" i="6"/>
  <c r="AH199" i="6"/>
  <c r="AI199" i="6"/>
  <c r="AJ199" i="6"/>
  <c r="AF200" i="6"/>
  <c r="AG200" i="6"/>
  <c r="AH200" i="6"/>
  <c r="AI200" i="6"/>
  <c r="AJ200" i="6"/>
  <c r="AF201" i="6"/>
  <c r="AG201" i="6"/>
  <c r="AH201" i="6"/>
  <c r="AI201" i="6"/>
  <c r="AJ201" i="6"/>
  <c r="AF202" i="6"/>
  <c r="AG202" i="6"/>
  <c r="AH202" i="6"/>
  <c r="AI202" i="6"/>
  <c r="AJ202" i="6"/>
  <c r="AF203" i="6"/>
  <c r="AG203" i="6"/>
  <c r="AH203" i="6"/>
  <c r="AI203" i="6"/>
  <c r="AJ203" i="6"/>
  <c r="AF204" i="6"/>
  <c r="AG204" i="6"/>
  <c r="AH204" i="6"/>
  <c r="AI204" i="6"/>
  <c r="AJ204" i="6"/>
  <c r="AF205" i="6"/>
  <c r="AG205" i="6"/>
  <c r="AH205" i="6"/>
  <c r="AI205" i="6"/>
  <c r="AJ205" i="6"/>
  <c r="AF206" i="6"/>
  <c r="AG206" i="6"/>
  <c r="AH206" i="6"/>
  <c r="AI206" i="6"/>
  <c r="AJ206" i="6"/>
  <c r="AF207" i="6"/>
  <c r="AG207" i="6"/>
  <c r="AH207" i="6"/>
  <c r="AI207" i="6"/>
  <c r="AJ207" i="6"/>
  <c r="AF208" i="6"/>
  <c r="AG208" i="6"/>
  <c r="AH208" i="6"/>
  <c r="AI208" i="6"/>
  <c r="AJ208" i="6"/>
  <c r="AF209" i="6"/>
  <c r="AG209" i="6"/>
  <c r="AH209" i="6"/>
  <c r="AI209" i="6"/>
  <c r="AJ209" i="6"/>
  <c r="AF210" i="6"/>
  <c r="AG210" i="6"/>
  <c r="AH210" i="6"/>
  <c r="AI210" i="6"/>
  <c r="AJ210" i="6"/>
  <c r="AF211" i="6"/>
  <c r="AG211" i="6"/>
  <c r="AH211" i="6"/>
  <c r="AI211" i="6"/>
  <c r="AJ211" i="6"/>
  <c r="AF212" i="6"/>
  <c r="AG212" i="6"/>
  <c r="AH212" i="6"/>
  <c r="AI212" i="6"/>
  <c r="AJ212" i="6"/>
  <c r="AF213" i="6"/>
  <c r="AG213" i="6"/>
  <c r="AH213" i="6"/>
  <c r="AI213" i="6"/>
  <c r="AJ213" i="6"/>
  <c r="AF214" i="6"/>
  <c r="AG214" i="6"/>
  <c r="AH214" i="6"/>
  <c r="AI214" i="6"/>
  <c r="AJ214" i="6"/>
  <c r="AF215" i="6"/>
  <c r="AG215" i="6"/>
  <c r="AH215" i="6"/>
  <c r="AI215" i="6"/>
  <c r="AJ215" i="6"/>
  <c r="AF216" i="6"/>
  <c r="AG216" i="6"/>
  <c r="AH216" i="6"/>
  <c r="AI216" i="6"/>
  <c r="AJ216" i="6"/>
  <c r="AF217" i="6"/>
  <c r="AG217" i="6"/>
  <c r="AH217" i="6"/>
  <c r="AI217" i="6"/>
  <c r="AJ217" i="6"/>
  <c r="AF218" i="6"/>
  <c r="AG218" i="6"/>
  <c r="AH218" i="6"/>
  <c r="AI218" i="6"/>
  <c r="AJ218" i="6"/>
  <c r="AF219" i="6"/>
  <c r="AG219" i="6"/>
  <c r="AH219" i="6"/>
  <c r="AI219" i="6"/>
  <c r="AJ219" i="6"/>
  <c r="AF220" i="6"/>
  <c r="AG220" i="6"/>
  <c r="AH220" i="6"/>
  <c r="AI220" i="6"/>
  <c r="AJ220" i="6"/>
  <c r="AF221" i="6"/>
  <c r="AG221" i="6"/>
  <c r="AH221" i="6"/>
  <c r="AI221" i="6"/>
  <c r="AJ221" i="6"/>
  <c r="AF222" i="6"/>
  <c r="AG222" i="6"/>
  <c r="AH222" i="6"/>
  <c r="AI222" i="6"/>
  <c r="AJ222" i="6"/>
  <c r="AF223" i="6"/>
  <c r="AG223" i="6"/>
  <c r="AH223" i="6"/>
  <c r="AI223" i="6"/>
  <c r="AJ223" i="6"/>
  <c r="AF224" i="6"/>
  <c r="AG224" i="6"/>
  <c r="AH224" i="6"/>
  <c r="AI224" i="6"/>
  <c r="AJ224" i="6"/>
  <c r="AF225" i="6"/>
  <c r="AG225" i="6"/>
  <c r="AH225" i="6"/>
  <c r="AI225" i="6"/>
  <c r="AJ225" i="6"/>
  <c r="AF226" i="6"/>
  <c r="AG226" i="6"/>
  <c r="AH226" i="6"/>
  <c r="AI226" i="6"/>
  <c r="AJ226" i="6"/>
  <c r="AF227" i="6"/>
  <c r="AG227" i="6"/>
  <c r="AH227" i="6"/>
  <c r="AI227" i="6"/>
  <c r="AJ227" i="6"/>
  <c r="AF228" i="6"/>
  <c r="AG228" i="6"/>
  <c r="AH228" i="6"/>
  <c r="AI228" i="6"/>
  <c r="AJ228" i="6"/>
  <c r="AF229" i="6"/>
  <c r="AG229" i="6"/>
  <c r="AH229" i="6"/>
  <c r="AI229" i="6"/>
  <c r="AJ229" i="6"/>
  <c r="AF230" i="6"/>
  <c r="AG230" i="6"/>
  <c r="AH230" i="6"/>
  <c r="AI230" i="6"/>
  <c r="AJ230" i="6"/>
  <c r="AF231" i="6"/>
  <c r="AG231" i="6"/>
  <c r="AH231" i="6"/>
  <c r="AI231" i="6"/>
  <c r="AJ231" i="6"/>
  <c r="AF232" i="6"/>
  <c r="AG232" i="6"/>
  <c r="AH232" i="6"/>
  <c r="AI232" i="6"/>
  <c r="AJ232" i="6"/>
  <c r="AF233" i="6"/>
  <c r="AG233" i="6"/>
  <c r="AH233" i="6"/>
  <c r="AI233" i="6"/>
  <c r="AJ233" i="6"/>
  <c r="AF234" i="6"/>
  <c r="AG234" i="6"/>
  <c r="AH234" i="6"/>
  <c r="AI234" i="6"/>
  <c r="AJ234" i="6"/>
  <c r="AF235" i="6"/>
  <c r="AG235" i="6"/>
  <c r="AH235" i="6"/>
  <c r="AI235" i="6"/>
  <c r="AJ235" i="6"/>
  <c r="AF236" i="6"/>
  <c r="AG236" i="6"/>
  <c r="AH236" i="6"/>
  <c r="AI236" i="6"/>
  <c r="AJ236" i="6"/>
  <c r="AF237" i="6"/>
  <c r="AG237" i="6"/>
  <c r="AH237" i="6"/>
  <c r="AI237" i="6"/>
  <c r="AJ237" i="6"/>
  <c r="AF238" i="6"/>
  <c r="AG238" i="6"/>
  <c r="AH238" i="6"/>
  <c r="AI238" i="6"/>
  <c r="AJ238" i="6"/>
  <c r="AF239" i="6"/>
  <c r="AG239" i="6"/>
  <c r="AH239" i="6"/>
  <c r="AI239" i="6"/>
  <c r="AJ239" i="6"/>
  <c r="AF240" i="6"/>
  <c r="AG240" i="6"/>
  <c r="AH240" i="6"/>
  <c r="AI240" i="6"/>
  <c r="AJ240" i="6"/>
  <c r="AF241" i="6"/>
  <c r="AG241" i="6"/>
  <c r="AH241" i="6"/>
  <c r="AI241" i="6"/>
  <c r="AJ241" i="6"/>
  <c r="AF242" i="6"/>
  <c r="AG242" i="6"/>
  <c r="AH242" i="6"/>
  <c r="AI242" i="6"/>
  <c r="AJ242" i="6"/>
  <c r="AF243" i="6"/>
  <c r="AG243" i="6"/>
  <c r="AH243" i="6"/>
  <c r="AI243" i="6"/>
  <c r="AJ243" i="6"/>
  <c r="AF244" i="6"/>
  <c r="AG244" i="6"/>
  <c r="AH244" i="6"/>
  <c r="AI244" i="6"/>
  <c r="AJ244" i="6"/>
  <c r="AF245" i="6"/>
  <c r="AG245" i="6"/>
  <c r="AH245" i="6"/>
  <c r="AI245" i="6"/>
  <c r="AJ245" i="6"/>
  <c r="AF246" i="6"/>
  <c r="AG246" i="6"/>
  <c r="AH246" i="6"/>
  <c r="AI246" i="6"/>
  <c r="AJ246" i="6"/>
  <c r="AF247" i="6"/>
  <c r="AG247" i="6"/>
  <c r="AH247" i="6"/>
  <c r="AI247" i="6"/>
  <c r="AJ247" i="6"/>
  <c r="AF248" i="6"/>
  <c r="AG248" i="6"/>
  <c r="AH248" i="6"/>
  <c r="AI248" i="6"/>
  <c r="AJ248" i="6"/>
  <c r="AF249" i="6"/>
  <c r="AG249" i="6"/>
  <c r="AH249" i="6"/>
  <c r="AI249" i="6"/>
  <c r="AJ249" i="6"/>
  <c r="AF250" i="6"/>
  <c r="AG250" i="6"/>
  <c r="AH250" i="6"/>
  <c r="AI250" i="6"/>
  <c r="AJ250" i="6"/>
  <c r="AF251" i="6"/>
  <c r="AG251" i="6"/>
  <c r="AH251" i="6"/>
  <c r="AI251" i="6"/>
  <c r="AJ251" i="6"/>
  <c r="AF252" i="6"/>
  <c r="AG252" i="6"/>
  <c r="AH252" i="6"/>
  <c r="AI252" i="6"/>
  <c r="AJ252" i="6"/>
  <c r="AF253" i="6"/>
  <c r="AG253" i="6"/>
  <c r="AH253" i="6"/>
  <c r="AI253" i="6"/>
  <c r="AJ253" i="6"/>
  <c r="AF254" i="6"/>
  <c r="AG254" i="6"/>
  <c r="AH254" i="6"/>
  <c r="AI254" i="6"/>
  <c r="AJ254" i="6"/>
  <c r="AF255" i="6"/>
  <c r="AG255" i="6"/>
  <c r="AH255" i="6"/>
  <c r="AI255" i="6"/>
  <c r="AJ255" i="6"/>
  <c r="AF256" i="6"/>
  <c r="AG256" i="6"/>
  <c r="AH256" i="6"/>
  <c r="AI256" i="6"/>
  <c r="AJ256" i="6"/>
  <c r="AF257" i="6"/>
  <c r="AG257" i="6"/>
  <c r="AH257" i="6"/>
  <c r="AI257" i="6"/>
  <c r="AJ257" i="6"/>
  <c r="AF258" i="6"/>
  <c r="AG258" i="6"/>
  <c r="AH258" i="6"/>
  <c r="AI258" i="6"/>
  <c r="AJ258" i="6"/>
  <c r="AF259" i="6"/>
  <c r="AG259" i="6"/>
  <c r="AH259" i="6"/>
  <c r="AI259" i="6"/>
  <c r="AJ259" i="6"/>
  <c r="AF260" i="6"/>
  <c r="AG260" i="6"/>
  <c r="AH260" i="6"/>
  <c r="AI260" i="6"/>
  <c r="AJ260" i="6"/>
  <c r="AF261" i="6"/>
  <c r="AG261" i="6"/>
  <c r="AH261" i="6"/>
  <c r="AI261" i="6"/>
  <c r="AJ261" i="6"/>
  <c r="AF262" i="6"/>
  <c r="AG262" i="6"/>
  <c r="AH262" i="6"/>
  <c r="AI262" i="6"/>
  <c r="AJ262" i="6"/>
  <c r="AF263" i="6"/>
  <c r="AG263" i="6"/>
  <c r="AH263" i="6"/>
  <c r="AI263" i="6"/>
  <c r="AJ263" i="6"/>
  <c r="AF264" i="6"/>
  <c r="AG264" i="6"/>
  <c r="AH264" i="6"/>
  <c r="AI264" i="6"/>
  <c r="AJ264" i="6"/>
  <c r="AF265" i="6"/>
  <c r="AG265" i="6"/>
  <c r="AH265" i="6"/>
  <c r="AI265" i="6"/>
  <c r="AJ265" i="6"/>
  <c r="AF266" i="6"/>
  <c r="AG266" i="6"/>
  <c r="AH266" i="6"/>
  <c r="AI266" i="6"/>
  <c r="AJ266" i="6"/>
  <c r="AF267" i="6"/>
  <c r="AG267" i="6"/>
  <c r="AH267" i="6"/>
  <c r="AI267" i="6"/>
  <c r="AJ267" i="6"/>
  <c r="AF268" i="6"/>
  <c r="AG268" i="6"/>
  <c r="AH268" i="6"/>
  <c r="AI268" i="6"/>
  <c r="AJ268" i="6"/>
  <c r="AF269" i="6"/>
  <c r="AG269" i="6"/>
  <c r="AH269" i="6"/>
  <c r="AI269" i="6"/>
  <c r="AJ269" i="6"/>
  <c r="AF270" i="6"/>
  <c r="AG270" i="6"/>
  <c r="AH270" i="6"/>
  <c r="AI270" i="6"/>
  <c r="AJ270" i="6"/>
  <c r="AF271" i="6"/>
  <c r="AG271" i="6"/>
  <c r="AH271" i="6"/>
  <c r="AI271" i="6"/>
  <c r="AJ271" i="6"/>
  <c r="AF272" i="6"/>
  <c r="AG272" i="6"/>
  <c r="AH272" i="6"/>
  <c r="AI272" i="6"/>
  <c r="AJ272" i="6"/>
  <c r="AF273" i="6"/>
  <c r="AG273" i="6"/>
  <c r="AH273" i="6"/>
  <c r="AI273" i="6"/>
  <c r="AJ273" i="6"/>
  <c r="AF274" i="6"/>
  <c r="AG274" i="6"/>
  <c r="AH274" i="6"/>
  <c r="AI274" i="6"/>
  <c r="AJ274" i="6"/>
  <c r="AF275" i="6"/>
  <c r="AG275" i="6"/>
  <c r="AH275" i="6"/>
  <c r="AI275" i="6"/>
  <c r="AJ275" i="6"/>
  <c r="AF276" i="6"/>
  <c r="AG276" i="6"/>
  <c r="AH276" i="6"/>
  <c r="AI276" i="6"/>
  <c r="AJ276" i="6"/>
  <c r="AF277" i="6"/>
  <c r="AG277" i="6"/>
  <c r="AH277" i="6"/>
  <c r="AI277" i="6"/>
  <c r="AJ277" i="6"/>
  <c r="AF278" i="6"/>
  <c r="AG278" i="6"/>
  <c r="AH278" i="6"/>
  <c r="AI278" i="6"/>
  <c r="AJ278" i="6"/>
  <c r="AF279" i="6"/>
  <c r="AG279" i="6"/>
  <c r="AH279" i="6"/>
  <c r="AI279" i="6"/>
  <c r="AJ279" i="6"/>
  <c r="AF280" i="6"/>
  <c r="AG280" i="6"/>
  <c r="AH280" i="6"/>
  <c r="AI280" i="6"/>
  <c r="AJ280" i="6"/>
  <c r="AF281" i="6"/>
  <c r="AG281" i="6"/>
  <c r="AH281" i="6"/>
  <c r="AI281" i="6"/>
  <c r="AJ281" i="6"/>
  <c r="AF282" i="6"/>
  <c r="AG282" i="6"/>
  <c r="AH282" i="6"/>
  <c r="AI282" i="6"/>
  <c r="AJ282" i="6"/>
  <c r="AF283" i="6"/>
  <c r="AG283" i="6"/>
  <c r="AH283" i="6"/>
  <c r="AI283" i="6"/>
  <c r="AJ283" i="6"/>
  <c r="AF284" i="6"/>
  <c r="AG284" i="6"/>
  <c r="AH284" i="6"/>
  <c r="AI284" i="6"/>
  <c r="AJ284" i="6"/>
  <c r="AF285" i="6"/>
  <c r="AG285" i="6"/>
  <c r="AH285" i="6"/>
  <c r="AI285" i="6"/>
  <c r="AJ285" i="6"/>
  <c r="AF286" i="6"/>
  <c r="AG286" i="6"/>
  <c r="AH286" i="6"/>
  <c r="AI286" i="6"/>
  <c r="AJ286" i="6"/>
  <c r="AF287" i="6"/>
  <c r="AG287" i="6"/>
  <c r="AH287" i="6"/>
  <c r="AI287" i="6"/>
  <c r="AJ287" i="6"/>
  <c r="AF288" i="6"/>
  <c r="AG288" i="6"/>
  <c r="AH288" i="6"/>
  <c r="AI288" i="6"/>
  <c r="AJ288" i="6"/>
  <c r="AF289" i="6"/>
  <c r="AG289" i="6"/>
  <c r="AH289" i="6"/>
  <c r="AI289" i="6"/>
  <c r="AJ289" i="6"/>
  <c r="AF6" i="6"/>
  <c r="AJ6" i="6"/>
  <c r="AI6" i="6"/>
  <c r="AH6" i="6"/>
  <c r="AG6" i="6"/>
  <c r="X43" i="6"/>
  <c r="Y43" i="6"/>
  <c r="Z43" i="6"/>
  <c r="AA43" i="6"/>
  <c r="AB43" i="6"/>
  <c r="X44" i="6"/>
  <c r="Y44" i="6"/>
  <c r="Z44" i="6"/>
  <c r="AA44" i="6"/>
  <c r="AB44" i="6"/>
  <c r="X45" i="6"/>
  <c r="Y45" i="6"/>
  <c r="Z45" i="6"/>
  <c r="AA45" i="6"/>
  <c r="AB45" i="6"/>
  <c r="X46" i="6"/>
  <c r="Y46" i="6"/>
  <c r="Z46" i="6"/>
  <c r="AA46" i="6"/>
  <c r="AB46" i="6"/>
  <c r="X47" i="6"/>
  <c r="Y47" i="6"/>
  <c r="Z47" i="6"/>
  <c r="AA47" i="6"/>
  <c r="AB47" i="6"/>
  <c r="X48" i="6"/>
  <c r="Y48" i="6"/>
  <c r="Z48" i="6"/>
  <c r="AA48" i="6"/>
  <c r="AB48" i="6"/>
  <c r="X49" i="6"/>
  <c r="Y49" i="6"/>
  <c r="Z49" i="6"/>
  <c r="AA49" i="6"/>
  <c r="AB49" i="6"/>
  <c r="X50" i="6"/>
  <c r="Y50" i="6"/>
  <c r="Z50" i="6"/>
  <c r="AA50" i="6"/>
  <c r="AB50" i="6"/>
  <c r="X51" i="6"/>
  <c r="Y51" i="6"/>
  <c r="Z51" i="6"/>
  <c r="AA51" i="6"/>
  <c r="AB51" i="6"/>
  <c r="X52" i="6"/>
  <c r="Y52" i="6"/>
  <c r="Z52" i="6"/>
  <c r="AA52" i="6"/>
  <c r="AB52" i="6"/>
  <c r="X53" i="6"/>
  <c r="Y53" i="6"/>
  <c r="Z53" i="6"/>
  <c r="AA53" i="6"/>
  <c r="AB53" i="6"/>
  <c r="X54" i="6"/>
  <c r="Y54" i="6"/>
  <c r="Z54" i="6"/>
  <c r="AA54" i="6"/>
  <c r="AB54" i="6"/>
  <c r="X55" i="6"/>
  <c r="Y55" i="6"/>
  <c r="Z55" i="6"/>
  <c r="AA55" i="6"/>
  <c r="AB55" i="6"/>
  <c r="X56" i="6"/>
  <c r="Y56" i="6"/>
  <c r="Z56" i="6"/>
  <c r="AA56" i="6"/>
  <c r="AB56" i="6"/>
  <c r="X57" i="6"/>
  <c r="Y57" i="6"/>
  <c r="Z57" i="6"/>
  <c r="AA57" i="6"/>
  <c r="AB57" i="6"/>
  <c r="X58" i="6"/>
  <c r="Y58" i="6"/>
  <c r="Z58" i="6"/>
  <c r="AA58" i="6"/>
  <c r="AB58" i="6"/>
  <c r="X59" i="6"/>
  <c r="Y59" i="6"/>
  <c r="Z59" i="6"/>
  <c r="AA59" i="6"/>
  <c r="AB59" i="6"/>
  <c r="X60" i="6"/>
  <c r="Y60" i="6"/>
  <c r="Z60" i="6"/>
  <c r="AA60" i="6"/>
  <c r="AB60" i="6"/>
  <c r="X61" i="6"/>
  <c r="Y61" i="6"/>
  <c r="Z61" i="6"/>
  <c r="AA61" i="6"/>
  <c r="AB61" i="6"/>
  <c r="X62" i="6"/>
  <c r="Y62" i="6"/>
  <c r="Z62" i="6"/>
  <c r="AA62" i="6"/>
  <c r="AB62" i="6"/>
  <c r="X63" i="6"/>
  <c r="Y63" i="6"/>
  <c r="Z63" i="6"/>
  <c r="AA63" i="6"/>
  <c r="AB63" i="6"/>
  <c r="X64" i="6"/>
  <c r="Y64" i="6"/>
  <c r="Z64" i="6"/>
  <c r="AA64" i="6"/>
  <c r="AB64" i="6"/>
  <c r="X65" i="6"/>
  <c r="Y65" i="6"/>
  <c r="Z65" i="6"/>
  <c r="AA65" i="6"/>
  <c r="AB65" i="6"/>
  <c r="X66" i="6"/>
  <c r="Y66" i="6"/>
  <c r="Z66" i="6"/>
  <c r="AA66" i="6"/>
  <c r="AB66" i="6"/>
  <c r="X67" i="6"/>
  <c r="Y67" i="6"/>
  <c r="Z67" i="6"/>
  <c r="AA67" i="6"/>
  <c r="AB67" i="6"/>
  <c r="X68" i="6"/>
  <c r="Y68" i="6"/>
  <c r="Z68" i="6"/>
  <c r="AA68" i="6"/>
  <c r="AB68" i="6"/>
  <c r="X69" i="6"/>
  <c r="Y69" i="6"/>
  <c r="Z69" i="6"/>
  <c r="AA69" i="6"/>
  <c r="AB69" i="6"/>
  <c r="X70" i="6"/>
  <c r="Y70" i="6"/>
  <c r="Z70" i="6"/>
  <c r="AA70" i="6"/>
  <c r="AB70" i="6"/>
  <c r="X71" i="6"/>
  <c r="Y71" i="6"/>
  <c r="Z71" i="6"/>
  <c r="AA71" i="6"/>
  <c r="AB71" i="6"/>
  <c r="X72" i="6"/>
  <c r="Y72" i="6"/>
  <c r="Z72" i="6"/>
  <c r="AA72" i="6"/>
  <c r="AB72" i="6"/>
  <c r="X73" i="6"/>
  <c r="Y73" i="6"/>
  <c r="Z73" i="6"/>
  <c r="AA73" i="6"/>
  <c r="AB73" i="6"/>
  <c r="X74" i="6"/>
  <c r="Y74" i="6"/>
  <c r="Z74" i="6"/>
  <c r="AA74" i="6"/>
  <c r="AB74" i="6"/>
  <c r="X75" i="6"/>
  <c r="Y75" i="6"/>
  <c r="Z75" i="6"/>
  <c r="AA75" i="6"/>
  <c r="AB75" i="6"/>
  <c r="X76" i="6"/>
  <c r="Y76" i="6"/>
  <c r="Z76" i="6"/>
  <c r="AA76" i="6"/>
  <c r="AB76" i="6"/>
  <c r="X77" i="6"/>
  <c r="Y77" i="6"/>
  <c r="Z77" i="6"/>
  <c r="AA77" i="6"/>
  <c r="AB77" i="6"/>
  <c r="X78" i="6"/>
  <c r="Y78" i="6"/>
  <c r="Z78" i="6"/>
  <c r="AA78" i="6"/>
  <c r="AB78" i="6"/>
  <c r="X79" i="6"/>
  <c r="Y79" i="6"/>
  <c r="Z79" i="6"/>
  <c r="AA79" i="6"/>
  <c r="AB79" i="6"/>
  <c r="X80" i="6"/>
  <c r="Y80" i="6"/>
  <c r="Z80" i="6"/>
  <c r="AA80" i="6"/>
  <c r="AB80" i="6"/>
  <c r="X81" i="6"/>
  <c r="Y81" i="6"/>
  <c r="Z81" i="6"/>
  <c r="AA81" i="6"/>
  <c r="AB81" i="6"/>
  <c r="X82" i="6"/>
  <c r="Y82" i="6"/>
  <c r="Z82" i="6"/>
  <c r="AA82" i="6"/>
  <c r="AB82" i="6"/>
  <c r="X83" i="6"/>
  <c r="Y83" i="6"/>
  <c r="Z83" i="6"/>
  <c r="AA83" i="6"/>
  <c r="AB83" i="6"/>
  <c r="X84" i="6"/>
  <c r="Y84" i="6"/>
  <c r="Z84" i="6"/>
  <c r="AA84" i="6"/>
  <c r="AB84" i="6"/>
  <c r="X85" i="6"/>
  <c r="Y85" i="6"/>
  <c r="Z85" i="6"/>
  <c r="AA85" i="6"/>
  <c r="AB85" i="6"/>
  <c r="X86" i="6"/>
  <c r="Y86" i="6"/>
  <c r="Z86" i="6"/>
  <c r="AA86" i="6"/>
  <c r="AB86" i="6"/>
  <c r="X87" i="6"/>
  <c r="Y87" i="6"/>
  <c r="Z87" i="6"/>
  <c r="AA87" i="6"/>
  <c r="AB87" i="6"/>
  <c r="X88" i="6"/>
  <c r="Y88" i="6"/>
  <c r="Z88" i="6"/>
  <c r="AA88" i="6"/>
  <c r="AB88" i="6"/>
  <c r="X89" i="6"/>
  <c r="Y89" i="6"/>
  <c r="Z89" i="6"/>
  <c r="AA89" i="6"/>
  <c r="AB89" i="6"/>
  <c r="X90" i="6"/>
  <c r="Y90" i="6"/>
  <c r="Z90" i="6"/>
  <c r="AA90" i="6"/>
  <c r="AB90" i="6"/>
  <c r="X91" i="6"/>
  <c r="Y91" i="6"/>
  <c r="Z91" i="6"/>
  <c r="AA91" i="6"/>
  <c r="AB91" i="6"/>
  <c r="X92" i="6"/>
  <c r="Y92" i="6"/>
  <c r="Z92" i="6"/>
  <c r="AA92" i="6"/>
  <c r="AB92" i="6"/>
  <c r="X93" i="6"/>
  <c r="Y93" i="6"/>
  <c r="Z93" i="6"/>
  <c r="AA93" i="6"/>
  <c r="AB93" i="6"/>
  <c r="X94" i="6"/>
  <c r="Y94" i="6"/>
  <c r="Z94" i="6"/>
  <c r="AA94" i="6"/>
  <c r="AB94" i="6"/>
  <c r="X95" i="6"/>
  <c r="Y95" i="6"/>
  <c r="Z95" i="6"/>
  <c r="AA95" i="6"/>
  <c r="AB95" i="6"/>
  <c r="X96" i="6"/>
  <c r="Y96" i="6"/>
  <c r="Z96" i="6"/>
  <c r="AA96" i="6"/>
  <c r="AB96" i="6"/>
  <c r="X97" i="6"/>
  <c r="Y97" i="6"/>
  <c r="Z97" i="6"/>
  <c r="AA97" i="6"/>
  <c r="AB97" i="6"/>
  <c r="X98" i="6"/>
  <c r="Y98" i="6"/>
  <c r="Z98" i="6"/>
  <c r="AA98" i="6"/>
  <c r="AB98" i="6"/>
  <c r="X99" i="6"/>
  <c r="Y99" i="6"/>
  <c r="Z99" i="6"/>
  <c r="AA99" i="6"/>
  <c r="AB99" i="6"/>
  <c r="X100" i="6"/>
  <c r="Y100" i="6"/>
  <c r="Z100" i="6"/>
  <c r="AA100" i="6"/>
  <c r="AB100" i="6"/>
  <c r="X101" i="6"/>
  <c r="Y101" i="6"/>
  <c r="Z101" i="6"/>
  <c r="AA101" i="6"/>
  <c r="AB101" i="6"/>
  <c r="X102" i="6"/>
  <c r="Y102" i="6"/>
  <c r="Z102" i="6"/>
  <c r="AA102" i="6"/>
  <c r="AB102" i="6"/>
  <c r="X103" i="6"/>
  <c r="Y103" i="6"/>
  <c r="Z103" i="6"/>
  <c r="AA103" i="6"/>
  <c r="AB103" i="6"/>
  <c r="X104" i="6"/>
  <c r="Y104" i="6"/>
  <c r="Z104" i="6"/>
  <c r="AA104" i="6"/>
  <c r="AB104" i="6"/>
  <c r="X105" i="6"/>
  <c r="Y105" i="6"/>
  <c r="Z105" i="6"/>
  <c r="AA105" i="6"/>
  <c r="AB105" i="6"/>
  <c r="X106" i="6"/>
  <c r="Y106" i="6"/>
  <c r="Z106" i="6"/>
  <c r="AA106" i="6"/>
  <c r="AB106" i="6"/>
  <c r="X107" i="6"/>
  <c r="Y107" i="6"/>
  <c r="Z107" i="6"/>
  <c r="AA107" i="6"/>
  <c r="AB107" i="6"/>
  <c r="X108" i="6"/>
  <c r="Y108" i="6"/>
  <c r="Z108" i="6"/>
  <c r="AA108" i="6"/>
  <c r="AB108" i="6"/>
  <c r="X109" i="6"/>
  <c r="Y109" i="6"/>
  <c r="Z109" i="6"/>
  <c r="AA109" i="6"/>
  <c r="AB109" i="6"/>
  <c r="X110" i="6"/>
  <c r="Y110" i="6"/>
  <c r="Z110" i="6"/>
  <c r="AA110" i="6"/>
  <c r="AB110" i="6"/>
  <c r="X111" i="6"/>
  <c r="Y111" i="6"/>
  <c r="Z111" i="6"/>
  <c r="AA111" i="6"/>
  <c r="AB111" i="6"/>
  <c r="X112" i="6"/>
  <c r="Y112" i="6"/>
  <c r="Z112" i="6"/>
  <c r="AA112" i="6"/>
  <c r="AB112" i="6"/>
  <c r="X113" i="6"/>
  <c r="Y113" i="6"/>
  <c r="Z113" i="6"/>
  <c r="AA113" i="6"/>
  <c r="AB113" i="6"/>
  <c r="X114" i="6"/>
  <c r="Y114" i="6"/>
  <c r="Z114" i="6"/>
  <c r="AA114" i="6"/>
  <c r="AB114" i="6"/>
  <c r="X115" i="6"/>
  <c r="Y115" i="6"/>
  <c r="Z115" i="6"/>
  <c r="AA115" i="6"/>
  <c r="AB115" i="6"/>
  <c r="X116" i="6"/>
  <c r="Y116" i="6"/>
  <c r="Z116" i="6"/>
  <c r="AA116" i="6"/>
  <c r="AB116" i="6"/>
  <c r="X117" i="6"/>
  <c r="Y117" i="6"/>
  <c r="Z117" i="6"/>
  <c r="AA117" i="6"/>
  <c r="AB117" i="6"/>
  <c r="X118" i="6"/>
  <c r="Y118" i="6"/>
  <c r="Z118" i="6"/>
  <c r="AA118" i="6"/>
  <c r="AB118" i="6"/>
  <c r="X119" i="6"/>
  <c r="Y119" i="6"/>
  <c r="Z119" i="6"/>
  <c r="AA119" i="6"/>
  <c r="AB119" i="6"/>
  <c r="X120" i="6"/>
  <c r="Y120" i="6"/>
  <c r="Z120" i="6"/>
  <c r="AA120" i="6"/>
  <c r="AB120" i="6"/>
  <c r="X121" i="6"/>
  <c r="Y121" i="6"/>
  <c r="Z121" i="6"/>
  <c r="AA121" i="6"/>
  <c r="AB121" i="6"/>
  <c r="X122" i="6"/>
  <c r="Y122" i="6"/>
  <c r="Z122" i="6"/>
  <c r="AA122" i="6"/>
  <c r="AB122" i="6"/>
  <c r="X123" i="6"/>
  <c r="Y123" i="6"/>
  <c r="Z123" i="6"/>
  <c r="AA123" i="6"/>
  <c r="AB123" i="6"/>
  <c r="X124" i="6"/>
  <c r="Y124" i="6"/>
  <c r="Z124" i="6"/>
  <c r="AA124" i="6"/>
  <c r="AB124" i="6"/>
  <c r="X125" i="6"/>
  <c r="Y125" i="6"/>
  <c r="Z125" i="6"/>
  <c r="AA125" i="6"/>
  <c r="AB125" i="6"/>
  <c r="X126" i="6"/>
  <c r="Y126" i="6"/>
  <c r="Z126" i="6"/>
  <c r="AA126" i="6"/>
  <c r="AB126" i="6"/>
  <c r="X127" i="6"/>
  <c r="Y127" i="6"/>
  <c r="Z127" i="6"/>
  <c r="AA127" i="6"/>
  <c r="AB127" i="6"/>
  <c r="X128" i="6"/>
  <c r="Y128" i="6"/>
  <c r="Z128" i="6"/>
  <c r="AA128" i="6"/>
  <c r="AB128" i="6"/>
  <c r="X129" i="6"/>
  <c r="Y129" i="6"/>
  <c r="Z129" i="6"/>
  <c r="AA129" i="6"/>
  <c r="AB129" i="6"/>
  <c r="X130" i="6"/>
  <c r="Y130" i="6"/>
  <c r="Z130" i="6"/>
  <c r="AA130" i="6"/>
  <c r="AB130" i="6"/>
  <c r="X131" i="6"/>
  <c r="Y131" i="6"/>
  <c r="Z131" i="6"/>
  <c r="AA131" i="6"/>
  <c r="AB131" i="6"/>
  <c r="X132" i="6"/>
  <c r="Y132" i="6"/>
  <c r="Z132" i="6"/>
  <c r="AA132" i="6"/>
  <c r="AB132" i="6"/>
  <c r="X133" i="6"/>
  <c r="Y133" i="6"/>
  <c r="Z133" i="6"/>
  <c r="AA133" i="6"/>
  <c r="AB133" i="6"/>
  <c r="X134" i="6"/>
  <c r="Y134" i="6"/>
  <c r="Z134" i="6"/>
  <c r="AA134" i="6"/>
  <c r="AB134" i="6"/>
  <c r="X135" i="6"/>
  <c r="Y135" i="6"/>
  <c r="Z135" i="6"/>
  <c r="AA135" i="6"/>
  <c r="AB135" i="6"/>
  <c r="X136" i="6"/>
  <c r="Y136" i="6"/>
  <c r="Z136" i="6"/>
  <c r="AA136" i="6"/>
  <c r="AB136" i="6"/>
  <c r="X137" i="6"/>
  <c r="Y137" i="6"/>
  <c r="Z137" i="6"/>
  <c r="AA137" i="6"/>
  <c r="AB137" i="6"/>
  <c r="X138" i="6"/>
  <c r="Y138" i="6"/>
  <c r="Z138" i="6"/>
  <c r="AA138" i="6"/>
  <c r="AB138" i="6"/>
  <c r="X139" i="6"/>
  <c r="Y139" i="6"/>
  <c r="Z139" i="6"/>
  <c r="AA139" i="6"/>
  <c r="AB139" i="6"/>
  <c r="X140" i="6"/>
  <c r="Y140" i="6"/>
  <c r="Z140" i="6"/>
  <c r="AA140" i="6"/>
  <c r="AB140" i="6"/>
  <c r="X141" i="6"/>
  <c r="Y141" i="6"/>
  <c r="Z141" i="6"/>
  <c r="AA141" i="6"/>
  <c r="AB141" i="6"/>
  <c r="X142" i="6"/>
  <c r="Y142" i="6"/>
  <c r="Z142" i="6"/>
  <c r="AA142" i="6"/>
  <c r="AB142" i="6"/>
  <c r="X143" i="6"/>
  <c r="Y143" i="6"/>
  <c r="Z143" i="6"/>
  <c r="AA143" i="6"/>
  <c r="AB143" i="6"/>
  <c r="X144" i="6"/>
  <c r="Y144" i="6"/>
  <c r="Z144" i="6"/>
  <c r="AA144" i="6"/>
  <c r="AB144" i="6"/>
  <c r="X145" i="6"/>
  <c r="Y145" i="6"/>
  <c r="Z145" i="6"/>
  <c r="AA145" i="6"/>
  <c r="AB145" i="6"/>
  <c r="X146" i="6"/>
  <c r="Y146" i="6"/>
  <c r="Z146" i="6"/>
  <c r="AA146" i="6"/>
  <c r="AB146" i="6"/>
  <c r="X147" i="6"/>
  <c r="Y147" i="6"/>
  <c r="Z147" i="6"/>
  <c r="AA147" i="6"/>
  <c r="AB147" i="6"/>
  <c r="X148" i="6"/>
  <c r="Y148" i="6"/>
  <c r="Z148" i="6"/>
  <c r="AA148" i="6"/>
  <c r="AB148" i="6"/>
  <c r="X149" i="6"/>
  <c r="Y149" i="6"/>
  <c r="Z149" i="6"/>
  <c r="AA149" i="6"/>
  <c r="AB149" i="6"/>
  <c r="X150" i="6"/>
  <c r="Y150" i="6"/>
  <c r="Z150" i="6"/>
  <c r="AA150" i="6"/>
  <c r="AB150" i="6"/>
  <c r="X151" i="6"/>
  <c r="Y151" i="6"/>
  <c r="Z151" i="6"/>
  <c r="AA151" i="6"/>
  <c r="AB151" i="6"/>
  <c r="X152" i="6"/>
  <c r="Y152" i="6"/>
  <c r="Z152" i="6"/>
  <c r="AA152" i="6"/>
  <c r="AB152" i="6"/>
  <c r="X153" i="6"/>
  <c r="Y153" i="6"/>
  <c r="Z153" i="6"/>
  <c r="AA153" i="6"/>
  <c r="AB153" i="6"/>
  <c r="X154" i="6"/>
  <c r="Y154" i="6"/>
  <c r="Z154" i="6"/>
  <c r="AA154" i="6"/>
  <c r="AB154" i="6"/>
  <c r="X155" i="6"/>
  <c r="Y155" i="6"/>
  <c r="Z155" i="6"/>
  <c r="AA155" i="6"/>
  <c r="AB155" i="6"/>
  <c r="X156" i="6"/>
  <c r="Y156" i="6"/>
  <c r="Z156" i="6"/>
  <c r="AA156" i="6"/>
  <c r="AB156" i="6"/>
  <c r="X157" i="6"/>
  <c r="Y157" i="6"/>
  <c r="Z157" i="6"/>
  <c r="AA157" i="6"/>
  <c r="AB157" i="6"/>
  <c r="X158" i="6"/>
  <c r="Y158" i="6"/>
  <c r="Z158" i="6"/>
  <c r="AA158" i="6"/>
  <c r="AB158" i="6"/>
  <c r="X159" i="6"/>
  <c r="Y159" i="6"/>
  <c r="Z159" i="6"/>
  <c r="AA159" i="6"/>
  <c r="AB159" i="6"/>
  <c r="X160" i="6"/>
  <c r="Y160" i="6"/>
  <c r="Z160" i="6"/>
  <c r="AA160" i="6"/>
  <c r="AB160" i="6"/>
  <c r="X161" i="6"/>
  <c r="Y161" i="6"/>
  <c r="Z161" i="6"/>
  <c r="AA161" i="6"/>
  <c r="AB161" i="6"/>
  <c r="X162" i="6"/>
  <c r="Y162" i="6"/>
  <c r="Z162" i="6"/>
  <c r="AA162" i="6"/>
  <c r="AB162" i="6"/>
  <c r="X163" i="6"/>
  <c r="Y163" i="6"/>
  <c r="Z163" i="6"/>
  <c r="AA163" i="6"/>
  <c r="AB163" i="6"/>
  <c r="X164" i="6"/>
  <c r="Y164" i="6"/>
  <c r="Z164" i="6"/>
  <c r="AA164" i="6"/>
  <c r="AB164" i="6"/>
  <c r="X165" i="6"/>
  <c r="Y165" i="6"/>
  <c r="Z165" i="6"/>
  <c r="AA165" i="6"/>
  <c r="AB165" i="6"/>
  <c r="X166" i="6"/>
  <c r="Y166" i="6"/>
  <c r="Z166" i="6"/>
  <c r="AA166" i="6"/>
  <c r="AB166" i="6"/>
  <c r="X167" i="6"/>
  <c r="Y167" i="6"/>
  <c r="Z167" i="6"/>
  <c r="AA167" i="6"/>
  <c r="AB167" i="6"/>
  <c r="X168" i="6"/>
  <c r="Y168" i="6"/>
  <c r="Z168" i="6"/>
  <c r="AA168" i="6"/>
  <c r="AB168" i="6"/>
  <c r="X169" i="6"/>
  <c r="Y169" i="6"/>
  <c r="Z169" i="6"/>
  <c r="AA169" i="6"/>
  <c r="AB169" i="6"/>
  <c r="X170" i="6"/>
  <c r="Y170" i="6"/>
  <c r="Z170" i="6"/>
  <c r="AA170" i="6"/>
  <c r="AB170" i="6"/>
  <c r="X171" i="6"/>
  <c r="Y171" i="6"/>
  <c r="Z171" i="6"/>
  <c r="AA171" i="6"/>
  <c r="AB171" i="6"/>
  <c r="X172" i="6"/>
  <c r="Y172" i="6"/>
  <c r="Z172" i="6"/>
  <c r="AA172" i="6"/>
  <c r="AB172" i="6"/>
  <c r="X173" i="6"/>
  <c r="Y173" i="6"/>
  <c r="Z173" i="6"/>
  <c r="AA173" i="6"/>
  <c r="AB173" i="6"/>
  <c r="X174" i="6"/>
  <c r="Y174" i="6"/>
  <c r="Z174" i="6"/>
  <c r="AA174" i="6"/>
  <c r="AB174" i="6"/>
  <c r="X175" i="6"/>
  <c r="Y175" i="6"/>
  <c r="Z175" i="6"/>
  <c r="AA175" i="6"/>
  <c r="AB175" i="6"/>
  <c r="X176" i="6"/>
  <c r="Y176" i="6"/>
  <c r="Z176" i="6"/>
  <c r="AA176" i="6"/>
  <c r="AB176" i="6"/>
  <c r="X177" i="6"/>
  <c r="Y177" i="6"/>
  <c r="Z177" i="6"/>
  <c r="AA177" i="6"/>
  <c r="AB177" i="6"/>
  <c r="X178" i="6"/>
  <c r="Y178" i="6"/>
  <c r="Z178" i="6"/>
  <c r="AA178" i="6"/>
  <c r="AB178" i="6"/>
  <c r="X179" i="6"/>
  <c r="Y179" i="6"/>
  <c r="Z179" i="6"/>
  <c r="AA179" i="6"/>
  <c r="AB179" i="6"/>
  <c r="X180" i="6"/>
  <c r="Y180" i="6"/>
  <c r="Z180" i="6"/>
  <c r="AA180" i="6"/>
  <c r="AB180" i="6"/>
  <c r="X181" i="6"/>
  <c r="Y181" i="6"/>
  <c r="Z181" i="6"/>
  <c r="AA181" i="6"/>
  <c r="AB181" i="6"/>
  <c r="X182" i="6"/>
  <c r="Y182" i="6"/>
  <c r="Z182" i="6"/>
  <c r="AA182" i="6"/>
  <c r="AB182" i="6"/>
  <c r="X183" i="6"/>
  <c r="Y183" i="6"/>
  <c r="Z183" i="6"/>
  <c r="AA183" i="6"/>
  <c r="AB183" i="6"/>
  <c r="X184" i="6"/>
  <c r="Y184" i="6"/>
  <c r="Z184" i="6"/>
  <c r="AA184" i="6"/>
  <c r="AB184" i="6"/>
  <c r="X185" i="6"/>
  <c r="Y185" i="6"/>
  <c r="Z185" i="6"/>
  <c r="AA185" i="6"/>
  <c r="AB185" i="6"/>
  <c r="X186" i="6"/>
  <c r="Y186" i="6"/>
  <c r="Z186" i="6"/>
  <c r="AA186" i="6"/>
  <c r="AB186" i="6"/>
  <c r="X187" i="6"/>
  <c r="Y187" i="6"/>
  <c r="Z187" i="6"/>
  <c r="AA187" i="6"/>
  <c r="AB187" i="6"/>
  <c r="X188" i="6"/>
  <c r="Y188" i="6"/>
  <c r="Z188" i="6"/>
  <c r="AA188" i="6"/>
  <c r="AB188" i="6"/>
  <c r="X189" i="6"/>
  <c r="Y189" i="6"/>
  <c r="Z189" i="6"/>
  <c r="AA189" i="6"/>
  <c r="AB189" i="6"/>
  <c r="X190" i="6"/>
  <c r="Y190" i="6"/>
  <c r="Z190" i="6"/>
  <c r="AA190" i="6"/>
  <c r="AB190" i="6"/>
  <c r="X191" i="6"/>
  <c r="Y191" i="6"/>
  <c r="Z191" i="6"/>
  <c r="AA191" i="6"/>
  <c r="AB191" i="6"/>
  <c r="X192" i="6"/>
  <c r="Y192" i="6"/>
  <c r="Z192" i="6"/>
  <c r="AA192" i="6"/>
  <c r="AB192" i="6"/>
  <c r="X193" i="6"/>
  <c r="Y193" i="6"/>
  <c r="Z193" i="6"/>
  <c r="AA193" i="6"/>
  <c r="AB193" i="6"/>
  <c r="X194" i="6"/>
  <c r="Y194" i="6"/>
  <c r="Z194" i="6"/>
  <c r="AA194" i="6"/>
  <c r="AB194" i="6"/>
  <c r="X195" i="6"/>
  <c r="Y195" i="6"/>
  <c r="Z195" i="6"/>
  <c r="AA195" i="6"/>
  <c r="AB195" i="6"/>
  <c r="X196" i="6"/>
  <c r="Y196" i="6"/>
  <c r="Z196" i="6"/>
  <c r="AA196" i="6"/>
  <c r="AB196" i="6"/>
  <c r="X197" i="6"/>
  <c r="Y197" i="6"/>
  <c r="Z197" i="6"/>
  <c r="AA197" i="6"/>
  <c r="AB197" i="6"/>
  <c r="X198" i="6"/>
  <c r="Y198" i="6"/>
  <c r="Z198" i="6"/>
  <c r="AA198" i="6"/>
  <c r="AB198" i="6"/>
  <c r="X199" i="6"/>
  <c r="Y199" i="6"/>
  <c r="Z199" i="6"/>
  <c r="AA199" i="6"/>
  <c r="AB199" i="6"/>
  <c r="X200" i="6"/>
  <c r="Y200" i="6"/>
  <c r="Z200" i="6"/>
  <c r="AA200" i="6"/>
  <c r="AB200" i="6"/>
  <c r="X201" i="6"/>
  <c r="Y201" i="6"/>
  <c r="Z201" i="6"/>
  <c r="AA201" i="6"/>
  <c r="AB201" i="6"/>
  <c r="X202" i="6"/>
  <c r="Y202" i="6"/>
  <c r="Z202" i="6"/>
  <c r="AA202" i="6"/>
  <c r="AB202" i="6"/>
  <c r="X203" i="6"/>
  <c r="Y203" i="6"/>
  <c r="Z203" i="6"/>
  <c r="AA203" i="6"/>
  <c r="AB203" i="6"/>
  <c r="X204" i="6"/>
  <c r="Y204" i="6"/>
  <c r="Z204" i="6"/>
  <c r="AA204" i="6"/>
  <c r="AB204" i="6"/>
  <c r="X205" i="6"/>
  <c r="Y205" i="6"/>
  <c r="Z205" i="6"/>
  <c r="AA205" i="6"/>
  <c r="AB205" i="6"/>
  <c r="X206" i="6"/>
  <c r="Y206" i="6"/>
  <c r="Z206" i="6"/>
  <c r="AA206" i="6"/>
  <c r="AB206" i="6"/>
  <c r="X207" i="6"/>
  <c r="Y207" i="6"/>
  <c r="Z207" i="6"/>
  <c r="AA207" i="6"/>
  <c r="AB207" i="6"/>
  <c r="X208" i="6"/>
  <c r="Y208" i="6"/>
  <c r="Z208" i="6"/>
  <c r="AA208" i="6"/>
  <c r="AB208" i="6"/>
  <c r="X209" i="6"/>
  <c r="Y209" i="6"/>
  <c r="Z209" i="6"/>
  <c r="AA209" i="6"/>
  <c r="AB209" i="6"/>
  <c r="X210" i="6"/>
  <c r="Y210" i="6"/>
  <c r="Z210" i="6"/>
  <c r="AA210" i="6"/>
  <c r="AB210" i="6"/>
  <c r="X211" i="6"/>
  <c r="Y211" i="6"/>
  <c r="Z211" i="6"/>
  <c r="AA211" i="6"/>
  <c r="AB211" i="6"/>
  <c r="X212" i="6"/>
  <c r="Y212" i="6"/>
  <c r="Z212" i="6"/>
  <c r="AA212" i="6"/>
  <c r="AB212" i="6"/>
  <c r="X213" i="6"/>
  <c r="Y213" i="6"/>
  <c r="Z213" i="6"/>
  <c r="AA213" i="6"/>
  <c r="AB213" i="6"/>
  <c r="X214" i="6"/>
  <c r="Y214" i="6"/>
  <c r="Z214" i="6"/>
  <c r="AA214" i="6"/>
  <c r="AB214" i="6"/>
  <c r="X215" i="6"/>
  <c r="Y215" i="6"/>
  <c r="Z215" i="6"/>
  <c r="AA215" i="6"/>
  <c r="AB215" i="6"/>
  <c r="X216" i="6"/>
  <c r="Y216" i="6"/>
  <c r="Z216" i="6"/>
  <c r="AA216" i="6"/>
  <c r="AB216" i="6"/>
  <c r="X217" i="6"/>
  <c r="Y217" i="6"/>
  <c r="Z217" i="6"/>
  <c r="AA217" i="6"/>
  <c r="AB217" i="6"/>
  <c r="X218" i="6"/>
  <c r="Y218" i="6"/>
  <c r="Z218" i="6"/>
  <c r="AA218" i="6"/>
  <c r="AB218" i="6"/>
  <c r="X219" i="6"/>
  <c r="Y219" i="6"/>
  <c r="Z219" i="6"/>
  <c r="AA219" i="6"/>
  <c r="AB219" i="6"/>
  <c r="X220" i="6"/>
  <c r="Y220" i="6"/>
  <c r="Z220" i="6"/>
  <c r="AA220" i="6"/>
  <c r="AB220" i="6"/>
  <c r="X221" i="6"/>
  <c r="Y221" i="6"/>
  <c r="Z221" i="6"/>
  <c r="AA221" i="6"/>
  <c r="AB221" i="6"/>
  <c r="X222" i="6"/>
  <c r="Y222" i="6"/>
  <c r="Z222" i="6"/>
  <c r="AA222" i="6"/>
  <c r="AB222" i="6"/>
  <c r="X223" i="6"/>
  <c r="Y223" i="6"/>
  <c r="Z223" i="6"/>
  <c r="AA223" i="6"/>
  <c r="AB223" i="6"/>
  <c r="X224" i="6"/>
  <c r="Y224" i="6"/>
  <c r="Z224" i="6"/>
  <c r="AA224" i="6"/>
  <c r="AB224" i="6"/>
  <c r="X225" i="6"/>
  <c r="Y225" i="6"/>
  <c r="Z225" i="6"/>
  <c r="AA225" i="6"/>
  <c r="AB225" i="6"/>
  <c r="X226" i="6"/>
  <c r="Y226" i="6"/>
  <c r="Z226" i="6"/>
  <c r="AA226" i="6"/>
  <c r="AB226" i="6"/>
  <c r="X227" i="6"/>
  <c r="Y227" i="6"/>
  <c r="Z227" i="6"/>
  <c r="AA227" i="6"/>
  <c r="AB227" i="6"/>
  <c r="X228" i="6"/>
  <c r="Y228" i="6"/>
  <c r="Z228" i="6"/>
  <c r="AA228" i="6"/>
  <c r="AB228" i="6"/>
  <c r="X229" i="6"/>
  <c r="Y229" i="6"/>
  <c r="Z229" i="6"/>
  <c r="AA229" i="6"/>
  <c r="AB229" i="6"/>
  <c r="X230" i="6"/>
  <c r="Y230" i="6"/>
  <c r="Z230" i="6"/>
  <c r="AA230" i="6"/>
  <c r="AB230" i="6"/>
  <c r="X231" i="6"/>
  <c r="Y231" i="6"/>
  <c r="Z231" i="6"/>
  <c r="AA231" i="6"/>
  <c r="AB231" i="6"/>
  <c r="X232" i="6"/>
  <c r="Y232" i="6"/>
  <c r="Z232" i="6"/>
  <c r="AA232" i="6"/>
  <c r="AB232" i="6"/>
  <c r="X233" i="6"/>
  <c r="Y233" i="6"/>
  <c r="Z233" i="6"/>
  <c r="AA233" i="6"/>
  <c r="AB233" i="6"/>
  <c r="X234" i="6"/>
  <c r="Y234" i="6"/>
  <c r="Z234" i="6"/>
  <c r="AA234" i="6"/>
  <c r="AB234" i="6"/>
  <c r="X235" i="6"/>
  <c r="Y235" i="6"/>
  <c r="Z235" i="6"/>
  <c r="AA235" i="6"/>
  <c r="AB235" i="6"/>
  <c r="X236" i="6"/>
  <c r="Y236" i="6"/>
  <c r="Z236" i="6"/>
  <c r="AA236" i="6"/>
  <c r="AB236" i="6"/>
  <c r="X237" i="6"/>
  <c r="Y237" i="6"/>
  <c r="Z237" i="6"/>
  <c r="AA237" i="6"/>
  <c r="AB237" i="6"/>
  <c r="X238" i="6"/>
  <c r="Y238" i="6"/>
  <c r="Z238" i="6"/>
  <c r="AA238" i="6"/>
  <c r="AB238" i="6"/>
  <c r="X239" i="6"/>
  <c r="Y239" i="6"/>
  <c r="Z239" i="6"/>
  <c r="AA239" i="6"/>
  <c r="AB239" i="6"/>
  <c r="X240" i="6"/>
  <c r="Y240" i="6"/>
  <c r="Z240" i="6"/>
  <c r="AA240" i="6"/>
  <c r="AB240" i="6"/>
  <c r="X241" i="6"/>
  <c r="Y241" i="6"/>
  <c r="Z241" i="6"/>
  <c r="AA241" i="6"/>
  <c r="AB241" i="6"/>
  <c r="X242" i="6"/>
  <c r="Y242" i="6"/>
  <c r="Z242" i="6"/>
  <c r="AA242" i="6"/>
  <c r="AB242" i="6"/>
  <c r="X243" i="6"/>
  <c r="Y243" i="6"/>
  <c r="Z243" i="6"/>
  <c r="AA243" i="6"/>
  <c r="AB243" i="6"/>
  <c r="X244" i="6"/>
  <c r="Y244" i="6"/>
  <c r="Z244" i="6"/>
  <c r="AA244" i="6"/>
  <c r="AB244" i="6"/>
  <c r="X245" i="6"/>
  <c r="Y245" i="6"/>
  <c r="Z245" i="6"/>
  <c r="AA245" i="6"/>
  <c r="AB245" i="6"/>
  <c r="X246" i="6"/>
  <c r="Y246" i="6"/>
  <c r="Z246" i="6"/>
  <c r="AA246" i="6"/>
  <c r="AB246" i="6"/>
  <c r="X247" i="6"/>
  <c r="Y247" i="6"/>
  <c r="Z247" i="6"/>
  <c r="AA247" i="6"/>
  <c r="AB247" i="6"/>
  <c r="X248" i="6"/>
  <c r="Y248" i="6"/>
  <c r="Z248" i="6"/>
  <c r="AA248" i="6"/>
  <c r="AB248" i="6"/>
  <c r="X249" i="6"/>
  <c r="Y249" i="6"/>
  <c r="Z249" i="6"/>
  <c r="AA249" i="6"/>
  <c r="AB249" i="6"/>
  <c r="X250" i="6"/>
  <c r="Y250" i="6"/>
  <c r="Z250" i="6"/>
  <c r="AA250" i="6"/>
  <c r="AB250" i="6"/>
  <c r="X251" i="6"/>
  <c r="Y251" i="6"/>
  <c r="Z251" i="6"/>
  <c r="AA251" i="6"/>
  <c r="AB251" i="6"/>
  <c r="X252" i="6"/>
  <c r="Y252" i="6"/>
  <c r="Z252" i="6"/>
  <c r="AA252" i="6"/>
  <c r="AB252" i="6"/>
  <c r="X253" i="6"/>
  <c r="Y253" i="6"/>
  <c r="Z253" i="6"/>
  <c r="AA253" i="6"/>
  <c r="AB253" i="6"/>
  <c r="X254" i="6"/>
  <c r="Y254" i="6"/>
  <c r="Z254" i="6"/>
  <c r="AA254" i="6"/>
  <c r="AB254" i="6"/>
  <c r="X255" i="6"/>
  <c r="Y255" i="6"/>
  <c r="Z255" i="6"/>
  <c r="AA255" i="6"/>
  <c r="AB255" i="6"/>
  <c r="X256" i="6"/>
  <c r="Y256" i="6"/>
  <c r="Z256" i="6"/>
  <c r="AA256" i="6"/>
  <c r="AB256" i="6"/>
  <c r="X257" i="6"/>
  <c r="Y257" i="6"/>
  <c r="Z257" i="6"/>
  <c r="AA257" i="6"/>
  <c r="AB257" i="6"/>
  <c r="X258" i="6"/>
  <c r="Y258" i="6"/>
  <c r="Z258" i="6"/>
  <c r="AA258" i="6"/>
  <c r="AB258" i="6"/>
  <c r="X259" i="6"/>
  <c r="Y259" i="6"/>
  <c r="Z259" i="6"/>
  <c r="AA259" i="6"/>
  <c r="AB259" i="6"/>
  <c r="X260" i="6"/>
  <c r="Y260" i="6"/>
  <c r="Z260" i="6"/>
  <c r="AA260" i="6"/>
  <c r="AB260" i="6"/>
  <c r="X261" i="6"/>
  <c r="Y261" i="6"/>
  <c r="Z261" i="6"/>
  <c r="AA261" i="6"/>
  <c r="AB261" i="6"/>
  <c r="X262" i="6"/>
  <c r="Y262" i="6"/>
  <c r="Z262" i="6"/>
  <c r="AA262" i="6"/>
  <c r="AB262" i="6"/>
  <c r="X263" i="6"/>
  <c r="Y263" i="6"/>
  <c r="Z263" i="6"/>
  <c r="AA263" i="6"/>
  <c r="AB263" i="6"/>
  <c r="X264" i="6"/>
  <c r="Y264" i="6"/>
  <c r="Z264" i="6"/>
  <c r="AA264" i="6"/>
  <c r="AB264" i="6"/>
  <c r="X265" i="6"/>
  <c r="Y265" i="6"/>
  <c r="Z265" i="6"/>
  <c r="AA265" i="6"/>
  <c r="AB265" i="6"/>
  <c r="X266" i="6"/>
  <c r="Y266" i="6"/>
  <c r="Z266" i="6"/>
  <c r="AA266" i="6"/>
  <c r="AB266" i="6"/>
  <c r="X267" i="6"/>
  <c r="Y267" i="6"/>
  <c r="Z267" i="6"/>
  <c r="AA267" i="6"/>
  <c r="AB267" i="6"/>
  <c r="X268" i="6"/>
  <c r="Y268" i="6"/>
  <c r="Z268" i="6"/>
  <c r="AA268" i="6"/>
  <c r="AB268" i="6"/>
  <c r="X269" i="6"/>
  <c r="Y269" i="6"/>
  <c r="Z269" i="6"/>
  <c r="AA269" i="6"/>
  <c r="AB269" i="6"/>
  <c r="X270" i="6"/>
  <c r="Y270" i="6"/>
  <c r="Z270" i="6"/>
  <c r="AA270" i="6"/>
  <c r="AB270" i="6"/>
  <c r="X271" i="6"/>
  <c r="Y271" i="6"/>
  <c r="Z271" i="6"/>
  <c r="AA271" i="6"/>
  <c r="AB271" i="6"/>
  <c r="X272" i="6"/>
  <c r="Y272" i="6"/>
  <c r="Z272" i="6"/>
  <c r="AA272" i="6"/>
  <c r="AB272" i="6"/>
  <c r="X273" i="6"/>
  <c r="Y273" i="6"/>
  <c r="Z273" i="6"/>
  <c r="AA273" i="6"/>
  <c r="AB273" i="6"/>
  <c r="X274" i="6"/>
  <c r="Y274" i="6"/>
  <c r="Z274" i="6"/>
  <c r="AA274" i="6"/>
  <c r="AB274" i="6"/>
  <c r="X275" i="6"/>
  <c r="Y275" i="6"/>
  <c r="Z275" i="6"/>
  <c r="AA275" i="6"/>
  <c r="AB275" i="6"/>
  <c r="X276" i="6"/>
  <c r="Y276" i="6"/>
  <c r="Z276" i="6"/>
  <c r="AA276" i="6"/>
  <c r="AB276" i="6"/>
  <c r="X277" i="6"/>
  <c r="Y277" i="6"/>
  <c r="Z277" i="6"/>
  <c r="AA277" i="6"/>
  <c r="AB277" i="6"/>
  <c r="X278" i="6"/>
  <c r="Y278" i="6"/>
  <c r="Z278" i="6"/>
  <c r="AA278" i="6"/>
  <c r="AB278" i="6"/>
  <c r="X279" i="6"/>
  <c r="Y279" i="6"/>
  <c r="Z279" i="6"/>
  <c r="AA279" i="6"/>
  <c r="AB279" i="6"/>
  <c r="X280" i="6"/>
  <c r="Y280" i="6"/>
  <c r="Z280" i="6"/>
  <c r="AA280" i="6"/>
  <c r="AB280" i="6"/>
  <c r="X281" i="6"/>
  <c r="Y281" i="6"/>
  <c r="Z281" i="6"/>
  <c r="AA281" i="6"/>
  <c r="AB281" i="6"/>
  <c r="X282" i="6"/>
  <c r="Y282" i="6"/>
  <c r="Z282" i="6"/>
  <c r="AA282" i="6"/>
  <c r="AB282" i="6"/>
  <c r="X283" i="6"/>
  <c r="Y283" i="6"/>
  <c r="Z283" i="6"/>
  <c r="AA283" i="6"/>
  <c r="AB283" i="6"/>
  <c r="X284" i="6"/>
  <c r="Y284" i="6"/>
  <c r="Z284" i="6"/>
  <c r="AA284" i="6"/>
  <c r="AB284" i="6"/>
  <c r="X285" i="6"/>
  <c r="Y285" i="6"/>
  <c r="Z285" i="6"/>
  <c r="AA285" i="6"/>
  <c r="AB285" i="6"/>
  <c r="X286" i="6"/>
  <c r="Y286" i="6"/>
  <c r="Z286" i="6"/>
  <c r="AA286" i="6"/>
  <c r="AB286" i="6"/>
  <c r="X287" i="6"/>
  <c r="Y287" i="6"/>
  <c r="Z287" i="6"/>
  <c r="AA287" i="6"/>
  <c r="AB287" i="6"/>
  <c r="X288" i="6"/>
  <c r="Y288" i="6"/>
  <c r="Z288" i="6"/>
  <c r="AA288" i="6"/>
  <c r="AB288" i="6"/>
  <c r="X289" i="6"/>
  <c r="Y289" i="6"/>
  <c r="Z289" i="6"/>
  <c r="AA289" i="6"/>
  <c r="AB289" i="6"/>
  <c r="X6" i="6"/>
  <c r="Y6" i="6"/>
  <c r="Z6" i="6"/>
  <c r="AA6" i="6"/>
  <c r="AB6" i="6"/>
  <c r="X7" i="6"/>
  <c r="Y7" i="6"/>
  <c r="Z7" i="6"/>
  <c r="AA7" i="6"/>
  <c r="AB7" i="6"/>
  <c r="X8" i="6"/>
  <c r="Y8" i="6"/>
  <c r="Z8" i="6"/>
  <c r="AA8" i="6"/>
  <c r="AB8" i="6"/>
  <c r="X9" i="6"/>
  <c r="Y9" i="6"/>
  <c r="Z9" i="6"/>
  <c r="AA9" i="6"/>
  <c r="AB9" i="6"/>
  <c r="X10" i="6"/>
  <c r="Y10" i="6"/>
  <c r="Z10" i="6"/>
  <c r="AA10" i="6"/>
  <c r="AB10" i="6"/>
  <c r="X11" i="6"/>
  <c r="Y11" i="6"/>
  <c r="Z11" i="6"/>
  <c r="AA11" i="6"/>
  <c r="AB11" i="6"/>
  <c r="X12" i="6"/>
  <c r="Y12" i="6"/>
  <c r="Z12" i="6"/>
  <c r="AA12" i="6"/>
  <c r="AB12" i="6"/>
  <c r="X13" i="6"/>
  <c r="Y13" i="6"/>
  <c r="Z13" i="6"/>
  <c r="AA13" i="6"/>
  <c r="AB13" i="6"/>
  <c r="X14" i="6"/>
  <c r="Y14" i="6"/>
  <c r="Z14" i="6"/>
  <c r="AA14" i="6"/>
  <c r="AB14" i="6"/>
  <c r="X15" i="6"/>
  <c r="Y15" i="6"/>
  <c r="Z15" i="6"/>
  <c r="AA15" i="6"/>
  <c r="AB15" i="6"/>
  <c r="X16" i="6"/>
  <c r="Y16" i="6"/>
  <c r="Z16" i="6"/>
  <c r="AA16" i="6"/>
  <c r="AB16" i="6"/>
  <c r="X17" i="6"/>
  <c r="Y17" i="6"/>
  <c r="Z17" i="6"/>
  <c r="AA17" i="6"/>
  <c r="AB17" i="6"/>
  <c r="X18" i="6"/>
  <c r="Y18" i="6"/>
  <c r="Z18" i="6"/>
  <c r="AA18" i="6"/>
  <c r="AB18" i="6"/>
  <c r="X19" i="6"/>
  <c r="Y19" i="6"/>
  <c r="Z19" i="6"/>
  <c r="AA19" i="6"/>
  <c r="AB19" i="6"/>
  <c r="X20" i="6"/>
  <c r="Y20" i="6"/>
  <c r="Z20" i="6"/>
  <c r="AA20" i="6"/>
  <c r="AB20" i="6"/>
  <c r="X21" i="6"/>
  <c r="Y21" i="6"/>
  <c r="Z21" i="6"/>
  <c r="AA21" i="6"/>
  <c r="AB21" i="6"/>
  <c r="X22" i="6"/>
  <c r="Y22" i="6"/>
  <c r="Z22" i="6"/>
  <c r="AA22" i="6"/>
  <c r="AB22" i="6"/>
  <c r="X23" i="6"/>
  <c r="Y23" i="6"/>
  <c r="Z23" i="6"/>
  <c r="AA23" i="6"/>
  <c r="AB23" i="6"/>
  <c r="X24" i="6"/>
  <c r="Y24" i="6"/>
  <c r="Z24" i="6"/>
  <c r="AA24" i="6"/>
  <c r="AB24" i="6"/>
  <c r="X25" i="6"/>
  <c r="Y25" i="6"/>
  <c r="Z25" i="6"/>
  <c r="AA25" i="6"/>
  <c r="AB25" i="6"/>
  <c r="X26" i="6"/>
  <c r="Y26" i="6"/>
  <c r="Z26" i="6"/>
  <c r="AA26" i="6"/>
  <c r="AB26" i="6"/>
  <c r="X27" i="6"/>
  <c r="Y27" i="6"/>
  <c r="Z27" i="6"/>
  <c r="AA27" i="6"/>
  <c r="AB27" i="6"/>
  <c r="X28" i="6"/>
  <c r="Y28" i="6"/>
  <c r="Z28" i="6"/>
  <c r="AA28" i="6"/>
  <c r="AB28" i="6"/>
  <c r="X29" i="6"/>
  <c r="Y29" i="6"/>
  <c r="Z29" i="6"/>
  <c r="AA29" i="6"/>
  <c r="AB29" i="6"/>
  <c r="X30" i="6"/>
  <c r="Y30" i="6"/>
  <c r="Z30" i="6"/>
  <c r="AA30" i="6"/>
  <c r="AB30" i="6"/>
  <c r="X31" i="6"/>
  <c r="Y31" i="6"/>
  <c r="Z31" i="6"/>
  <c r="AA31" i="6"/>
  <c r="AB31" i="6"/>
  <c r="X32" i="6"/>
  <c r="Y32" i="6"/>
  <c r="Z32" i="6"/>
  <c r="AA32" i="6"/>
  <c r="AB32" i="6"/>
  <c r="X33" i="6"/>
  <c r="Y33" i="6"/>
  <c r="Z33" i="6"/>
  <c r="AA33" i="6"/>
  <c r="AB33" i="6"/>
  <c r="X34" i="6"/>
  <c r="Y34" i="6"/>
  <c r="Z34" i="6"/>
  <c r="AA34" i="6"/>
  <c r="AB34" i="6"/>
  <c r="X35" i="6"/>
  <c r="Y35" i="6"/>
  <c r="Z35" i="6"/>
  <c r="AA35" i="6"/>
  <c r="AB35" i="6"/>
  <c r="X36" i="6"/>
  <c r="Y36" i="6"/>
  <c r="Z36" i="6"/>
  <c r="AA36" i="6"/>
  <c r="AB36" i="6"/>
  <c r="X37" i="6"/>
  <c r="Y37" i="6"/>
  <c r="Z37" i="6"/>
  <c r="AA37" i="6"/>
  <c r="AB37" i="6"/>
  <c r="X38" i="6"/>
  <c r="Y38" i="6"/>
  <c r="Z38" i="6"/>
  <c r="AA38" i="6"/>
  <c r="AB38" i="6"/>
  <c r="X39" i="6"/>
  <c r="Y39" i="6"/>
  <c r="Z39" i="6"/>
  <c r="AA39" i="6"/>
  <c r="AB39" i="6"/>
  <c r="X40" i="6"/>
  <c r="Y40" i="6"/>
  <c r="Z40" i="6"/>
  <c r="AA40" i="6"/>
  <c r="AB40" i="6"/>
  <c r="X41" i="6"/>
  <c r="Y41" i="6"/>
  <c r="Z41" i="6"/>
  <c r="AA41" i="6"/>
  <c r="AB41" i="6"/>
  <c r="X42" i="6"/>
  <c r="Y42" i="6"/>
  <c r="Z42" i="6"/>
  <c r="AA42" i="6"/>
  <c r="AB42" i="6"/>
  <c r="AF4" i="6"/>
  <c r="AC4" i="6"/>
  <c r="AL3" i="8"/>
  <c r="AM3" i="8"/>
  <c r="AN3" i="8"/>
  <c r="AO3" i="8"/>
  <c r="AP3" i="8"/>
  <c r="AL4" i="8"/>
  <c r="AM4" i="8"/>
  <c r="AN4" i="8"/>
  <c r="AO4" i="8"/>
  <c r="AP4" i="8"/>
  <c r="AL5" i="8"/>
  <c r="AM5" i="8"/>
  <c r="AN5" i="8"/>
  <c r="AO5" i="8"/>
  <c r="AP5" i="8"/>
  <c r="AL6" i="8"/>
  <c r="AM6" i="8"/>
  <c r="AN6" i="8"/>
  <c r="AO6" i="8"/>
  <c r="AP6" i="8"/>
  <c r="AL7" i="8"/>
  <c r="AM7" i="8"/>
  <c r="AN7" i="8"/>
  <c r="AO7" i="8"/>
  <c r="AP7" i="8"/>
  <c r="AL8" i="8"/>
  <c r="AM8" i="8"/>
  <c r="AN8" i="8"/>
  <c r="AO8" i="8"/>
  <c r="AP8" i="8"/>
  <c r="AL9" i="8"/>
  <c r="AM9" i="8"/>
  <c r="AN9" i="8"/>
  <c r="AO9" i="8"/>
  <c r="AP9" i="8"/>
  <c r="AL10" i="8"/>
  <c r="AM10" i="8"/>
  <c r="AN10" i="8"/>
  <c r="AO10" i="8"/>
  <c r="AP10" i="8"/>
  <c r="AL11" i="8"/>
  <c r="AM11" i="8"/>
  <c r="AN11" i="8"/>
  <c r="AO11" i="8"/>
  <c r="AP11" i="8"/>
  <c r="AL12" i="8"/>
  <c r="AM12" i="8"/>
  <c r="AN12" i="8"/>
  <c r="AO12" i="8"/>
  <c r="AP12" i="8"/>
  <c r="AL13" i="8"/>
  <c r="AM13" i="8"/>
  <c r="AN13" i="8"/>
  <c r="AO13" i="8"/>
  <c r="AP13" i="8"/>
  <c r="AL14" i="8"/>
  <c r="AM14" i="8"/>
  <c r="AN14" i="8"/>
  <c r="AO14" i="8"/>
  <c r="AP14" i="8"/>
  <c r="AL15" i="8"/>
  <c r="AM15" i="8"/>
  <c r="AN15" i="8"/>
  <c r="AO15" i="8"/>
  <c r="AP15" i="8"/>
  <c r="AL16" i="8"/>
  <c r="AM16" i="8"/>
  <c r="AN16" i="8"/>
  <c r="AO16" i="8"/>
  <c r="AP16" i="8"/>
  <c r="AL17" i="8"/>
  <c r="AM17" i="8"/>
  <c r="AN17" i="8"/>
  <c r="AO17" i="8"/>
  <c r="AP17" i="8"/>
  <c r="AL18" i="8"/>
  <c r="AM18" i="8"/>
  <c r="AN18" i="8"/>
  <c r="AO18" i="8"/>
  <c r="AP18" i="8"/>
  <c r="AL19" i="8"/>
  <c r="AM19" i="8"/>
  <c r="AN19" i="8"/>
  <c r="AO19" i="8"/>
  <c r="AP19" i="8"/>
  <c r="AL20" i="8"/>
  <c r="AM20" i="8"/>
  <c r="AN20" i="8"/>
  <c r="AO20" i="8"/>
  <c r="AP20" i="8"/>
  <c r="AL21" i="8"/>
  <c r="AM21" i="8"/>
  <c r="AN21" i="8"/>
  <c r="AO21" i="8"/>
  <c r="AP21" i="8"/>
  <c r="AL22" i="8"/>
  <c r="AM22" i="8"/>
  <c r="AN22" i="8"/>
  <c r="AO22" i="8"/>
  <c r="AP22" i="8"/>
  <c r="AL23" i="8"/>
  <c r="AM23" i="8"/>
  <c r="AN23" i="8"/>
  <c r="AO23" i="8"/>
  <c r="AP23" i="8"/>
  <c r="AL24" i="8"/>
  <c r="AM24" i="8"/>
  <c r="AN24" i="8"/>
  <c r="AO24" i="8"/>
  <c r="AP24" i="8"/>
  <c r="AL25" i="8"/>
  <c r="AM25" i="8"/>
  <c r="AN25" i="8"/>
  <c r="AO25" i="8"/>
  <c r="AP25" i="8"/>
  <c r="AL26" i="8"/>
  <c r="AM26" i="8"/>
  <c r="AN26" i="8"/>
  <c r="AO26" i="8"/>
  <c r="AP26" i="8"/>
  <c r="AL27" i="8"/>
  <c r="AM27" i="8"/>
  <c r="AN27" i="8"/>
  <c r="AO27" i="8"/>
  <c r="AP27" i="8"/>
  <c r="AL28" i="8"/>
  <c r="AM28" i="8"/>
  <c r="AN28" i="8"/>
  <c r="AO28" i="8"/>
  <c r="AP28" i="8"/>
  <c r="AL29" i="8"/>
  <c r="AM29" i="8"/>
  <c r="AN29" i="8"/>
  <c r="AO29" i="8"/>
  <c r="AP29" i="8"/>
  <c r="AL30" i="8"/>
  <c r="AM30" i="8"/>
  <c r="AN30" i="8"/>
  <c r="AO30" i="8"/>
  <c r="AP30" i="8"/>
  <c r="AL31" i="8"/>
  <c r="AM31" i="8"/>
  <c r="AN31" i="8"/>
  <c r="AO31" i="8"/>
  <c r="AP31" i="8"/>
  <c r="AL32" i="8"/>
  <c r="AM32" i="8"/>
  <c r="AN32" i="8"/>
  <c r="AO32" i="8"/>
  <c r="AP32" i="8"/>
  <c r="AL33" i="8"/>
  <c r="AM33" i="8"/>
  <c r="AN33" i="8"/>
  <c r="AO33" i="8"/>
  <c r="AP33" i="8"/>
  <c r="AL34" i="8"/>
  <c r="AM34" i="8"/>
  <c r="AN34" i="8"/>
  <c r="AO34" i="8"/>
  <c r="AP34" i="8"/>
  <c r="AL35" i="8"/>
  <c r="AM35" i="8"/>
  <c r="AN35" i="8"/>
  <c r="AO35" i="8"/>
  <c r="AP35" i="8"/>
  <c r="AL36" i="8"/>
  <c r="AM36" i="8"/>
  <c r="AN36" i="8"/>
  <c r="AO36" i="8"/>
  <c r="AP36" i="8"/>
  <c r="AL37" i="8"/>
  <c r="AM37" i="8"/>
  <c r="AN37" i="8"/>
  <c r="AO37" i="8"/>
  <c r="AP37" i="8"/>
  <c r="AM2" i="8"/>
  <c r="AN2" i="8"/>
  <c r="AO2" i="8"/>
  <c r="AP2" i="8"/>
  <c r="AL2" i="8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6" i="5"/>
  <c r="T36" i="5"/>
  <c r="S37" i="5"/>
  <c r="T37" i="5"/>
  <c r="S38" i="5"/>
  <c r="T38" i="5"/>
  <c r="S39" i="5"/>
  <c r="T39" i="5"/>
  <c r="S40" i="5"/>
  <c r="T40" i="5"/>
  <c r="S41" i="5"/>
  <c r="T41" i="5"/>
  <c r="S42" i="5"/>
  <c r="T42" i="5"/>
  <c r="S43" i="5"/>
  <c r="T43" i="5"/>
  <c r="S44" i="5"/>
  <c r="T44" i="5"/>
  <c r="S45" i="5"/>
  <c r="T45" i="5"/>
  <c r="S46" i="5"/>
  <c r="T46" i="5"/>
  <c r="S47" i="5"/>
  <c r="T47" i="5"/>
  <c r="S48" i="5"/>
  <c r="T48" i="5"/>
  <c r="S49" i="5"/>
  <c r="T49" i="5"/>
  <c r="S50" i="5"/>
  <c r="T50" i="5"/>
  <c r="S51" i="5"/>
  <c r="T51" i="5"/>
  <c r="S52" i="5"/>
  <c r="T52" i="5"/>
  <c r="S53" i="5"/>
  <c r="T53" i="5"/>
  <c r="S54" i="5"/>
  <c r="T54" i="5"/>
  <c r="S55" i="5"/>
  <c r="T55" i="5"/>
  <c r="S56" i="5"/>
  <c r="T56" i="5"/>
  <c r="S57" i="5"/>
  <c r="T57" i="5"/>
  <c r="S58" i="5"/>
  <c r="T58" i="5"/>
  <c r="S59" i="5"/>
  <c r="T59" i="5"/>
  <c r="S60" i="5"/>
  <c r="T60" i="5"/>
  <c r="S61" i="5"/>
  <c r="T61" i="5"/>
  <c r="S62" i="5"/>
  <c r="T62" i="5"/>
  <c r="S63" i="5"/>
  <c r="T63" i="5"/>
  <c r="S64" i="5"/>
  <c r="T64" i="5"/>
  <c r="S65" i="5"/>
  <c r="T65" i="5"/>
  <c r="S66" i="5"/>
  <c r="T66" i="5"/>
  <c r="S67" i="5"/>
  <c r="T67" i="5"/>
  <c r="S68" i="5"/>
  <c r="T68" i="5"/>
  <c r="S69" i="5"/>
  <c r="T69" i="5"/>
  <c r="S70" i="5"/>
  <c r="T70" i="5"/>
  <c r="S71" i="5"/>
  <c r="T71" i="5"/>
  <c r="S72" i="5"/>
  <c r="T72" i="5"/>
  <c r="S73" i="5"/>
  <c r="T73" i="5"/>
  <c r="S74" i="5"/>
  <c r="T74" i="5"/>
  <c r="S75" i="5"/>
  <c r="T75" i="5"/>
  <c r="S76" i="5"/>
  <c r="T76" i="5"/>
  <c r="S77" i="5"/>
  <c r="T77" i="5"/>
  <c r="S78" i="5"/>
  <c r="T78" i="5"/>
  <c r="S79" i="5"/>
  <c r="T79" i="5"/>
  <c r="S80" i="5"/>
  <c r="T80" i="5"/>
  <c r="S81" i="5"/>
  <c r="T81" i="5"/>
  <c r="S82" i="5"/>
  <c r="T82" i="5"/>
  <c r="S83" i="5"/>
  <c r="T83" i="5"/>
  <c r="S84" i="5"/>
  <c r="T84" i="5"/>
  <c r="S85" i="5"/>
  <c r="T85" i="5"/>
  <c r="S86" i="5"/>
  <c r="T86" i="5"/>
  <c r="S87" i="5"/>
  <c r="T87" i="5"/>
  <c r="S88" i="5"/>
  <c r="T88" i="5"/>
  <c r="S89" i="5"/>
  <c r="T89" i="5"/>
  <c r="S90" i="5"/>
  <c r="T90" i="5"/>
  <c r="S91" i="5"/>
  <c r="T91" i="5"/>
  <c r="S92" i="5"/>
  <c r="T92" i="5"/>
  <c r="S93" i="5"/>
  <c r="T93" i="5"/>
  <c r="S94" i="5"/>
  <c r="T94" i="5"/>
  <c r="S95" i="5"/>
  <c r="T95" i="5"/>
  <c r="S96" i="5"/>
  <c r="T96" i="5"/>
  <c r="S97" i="5"/>
  <c r="T97" i="5"/>
  <c r="S98" i="5"/>
  <c r="T98" i="5"/>
  <c r="S99" i="5"/>
  <c r="T99" i="5"/>
  <c r="S100" i="5"/>
  <c r="T100" i="5"/>
  <c r="S101" i="5"/>
  <c r="T101" i="5"/>
  <c r="S102" i="5"/>
  <c r="T102" i="5"/>
  <c r="S103" i="5"/>
  <c r="T103" i="5"/>
  <c r="S104" i="5"/>
  <c r="T104" i="5"/>
  <c r="S105" i="5"/>
  <c r="T105" i="5"/>
  <c r="S106" i="5"/>
  <c r="T106" i="5"/>
  <c r="S107" i="5"/>
  <c r="T107" i="5"/>
  <c r="S108" i="5"/>
  <c r="T108" i="5"/>
  <c r="S109" i="5"/>
  <c r="T109" i="5"/>
  <c r="S110" i="5"/>
  <c r="T110" i="5"/>
  <c r="S111" i="5"/>
  <c r="T111" i="5"/>
  <c r="S112" i="5"/>
  <c r="T112" i="5"/>
  <c r="S113" i="5"/>
  <c r="T113" i="5"/>
  <c r="S114" i="5"/>
  <c r="T114" i="5"/>
  <c r="S115" i="5"/>
  <c r="T115" i="5"/>
  <c r="S116" i="5"/>
  <c r="T116" i="5"/>
  <c r="S117" i="5"/>
  <c r="T117" i="5"/>
  <c r="S118" i="5"/>
  <c r="T118" i="5"/>
  <c r="S119" i="5"/>
  <c r="T119" i="5"/>
  <c r="S120" i="5"/>
  <c r="T120" i="5"/>
  <c r="S121" i="5"/>
  <c r="T121" i="5"/>
  <c r="S122" i="5"/>
  <c r="T122" i="5"/>
  <c r="S123" i="5"/>
  <c r="T123" i="5"/>
  <c r="S124" i="5"/>
  <c r="T124" i="5"/>
  <c r="S125" i="5"/>
  <c r="T125" i="5"/>
  <c r="S126" i="5"/>
  <c r="T126" i="5"/>
  <c r="S127" i="5"/>
  <c r="T127" i="5"/>
  <c r="S128" i="5"/>
  <c r="T128" i="5"/>
  <c r="S129" i="5"/>
  <c r="T129" i="5"/>
  <c r="S130" i="5"/>
  <c r="T130" i="5"/>
  <c r="S131" i="5"/>
  <c r="T131" i="5"/>
  <c r="S132" i="5"/>
  <c r="T132" i="5"/>
  <c r="S133" i="5"/>
  <c r="T133" i="5"/>
  <c r="S134" i="5"/>
  <c r="T134" i="5"/>
  <c r="S135" i="5"/>
  <c r="T135" i="5"/>
  <c r="S136" i="5"/>
  <c r="T136" i="5"/>
  <c r="S137" i="5"/>
  <c r="T137" i="5"/>
  <c r="S138" i="5"/>
  <c r="T138" i="5"/>
  <c r="S139" i="5"/>
  <c r="T139" i="5"/>
  <c r="S140" i="5"/>
  <c r="T140" i="5"/>
  <c r="S141" i="5"/>
  <c r="T141" i="5"/>
  <c r="S142" i="5"/>
  <c r="T142" i="5"/>
  <c r="S143" i="5"/>
  <c r="T143" i="5"/>
  <c r="S144" i="5"/>
  <c r="T144" i="5"/>
  <c r="S145" i="5"/>
  <c r="T145" i="5"/>
  <c r="S146" i="5"/>
  <c r="T146" i="5"/>
  <c r="S147" i="5"/>
  <c r="T147" i="5"/>
  <c r="S148" i="5"/>
  <c r="T148" i="5"/>
  <c r="S149" i="5"/>
  <c r="T149" i="5"/>
  <c r="S150" i="5"/>
  <c r="T150" i="5"/>
  <c r="S151" i="5"/>
  <c r="T151" i="5"/>
  <c r="S152" i="5"/>
  <c r="T152" i="5"/>
  <c r="S153" i="5"/>
  <c r="T153" i="5"/>
  <c r="S154" i="5"/>
  <c r="T154" i="5"/>
  <c r="S155" i="5"/>
  <c r="T155" i="5"/>
  <c r="S156" i="5"/>
  <c r="T156" i="5"/>
  <c r="S157" i="5"/>
  <c r="T157" i="5"/>
  <c r="S158" i="5"/>
  <c r="T158" i="5"/>
  <c r="S159" i="5"/>
  <c r="T159" i="5"/>
  <c r="S160" i="5"/>
  <c r="T160" i="5"/>
  <c r="S161" i="5"/>
  <c r="T161" i="5"/>
  <c r="S162" i="5"/>
  <c r="T162" i="5"/>
  <c r="S163" i="5"/>
  <c r="T163" i="5"/>
  <c r="S164" i="5"/>
  <c r="T164" i="5"/>
  <c r="S165" i="5"/>
  <c r="T165" i="5"/>
  <c r="S166" i="5"/>
  <c r="T166" i="5"/>
  <c r="S167" i="5"/>
  <c r="T167" i="5"/>
  <c r="S168" i="5"/>
  <c r="T168" i="5"/>
  <c r="S169" i="5"/>
  <c r="T169" i="5"/>
  <c r="S170" i="5"/>
  <c r="T170" i="5"/>
  <c r="S171" i="5"/>
  <c r="T171" i="5"/>
  <c r="S172" i="5"/>
  <c r="T172" i="5"/>
  <c r="S173" i="5"/>
  <c r="T173" i="5"/>
  <c r="S174" i="5"/>
  <c r="T174" i="5"/>
  <c r="S175" i="5"/>
  <c r="T175" i="5"/>
  <c r="S176" i="5"/>
  <c r="T176" i="5"/>
  <c r="S177" i="5"/>
  <c r="T177" i="5"/>
  <c r="S178" i="5"/>
  <c r="T178" i="5"/>
  <c r="S179" i="5"/>
  <c r="T179" i="5"/>
  <c r="S180" i="5"/>
  <c r="T180" i="5"/>
  <c r="S181" i="5"/>
  <c r="T181" i="5"/>
  <c r="S182" i="5"/>
  <c r="T182" i="5"/>
  <c r="S183" i="5"/>
  <c r="T183" i="5"/>
  <c r="S184" i="5"/>
  <c r="T184" i="5"/>
  <c r="S185" i="5"/>
  <c r="T185" i="5"/>
  <c r="S186" i="5"/>
  <c r="T186" i="5"/>
  <c r="S187" i="5"/>
  <c r="T187" i="5"/>
  <c r="S188" i="5"/>
  <c r="T188" i="5"/>
  <c r="S189" i="5"/>
  <c r="T189" i="5"/>
  <c r="S190" i="5"/>
  <c r="T190" i="5"/>
  <c r="S191" i="5"/>
  <c r="T191" i="5"/>
  <c r="S192" i="5"/>
  <c r="T192" i="5"/>
  <c r="S193" i="5"/>
  <c r="T193" i="5"/>
  <c r="S194" i="5"/>
  <c r="T194" i="5"/>
  <c r="S195" i="5"/>
  <c r="T195" i="5"/>
  <c r="S196" i="5"/>
  <c r="T196" i="5"/>
  <c r="S197" i="5"/>
  <c r="T197" i="5"/>
  <c r="S198" i="5"/>
  <c r="T198" i="5"/>
  <c r="S199" i="5"/>
  <c r="T199" i="5"/>
  <c r="S200" i="5"/>
  <c r="T200" i="5"/>
  <c r="S201" i="5"/>
  <c r="T201" i="5"/>
  <c r="S202" i="5"/>
  <c r="T202" i="5"/>
  <c r="S203" i="5"/>
  <c r="T203" i="5"/>
  <c r="S204" i="5"/>
  <c r="T204" i="5"/>
  <c r="S205" i="5"/>
  <c r="T205" i="5"/>
  <c r="S206" i="5"/>
  <c r="T206" i="5"/>
  <c r="S207" i="5"/>
  <c r="T207" i="5"/>
  <c r="S208" i="5"/>
  <c r="T208" i="5"/>
  <c r="S209" i="5"/>
  <c r="T209" i="5"/>
  <c r="S210" i="5"/>
  <c r="T210" i="5"/>
  <c r="S211" i="5"/>
  <c r="T211" i="5"/>
  <c r="S212" i="5"/>
  <c r="T212" i="5"/>
  <c r="S213" i="5"/>
  <c r="T213" i="5"/>
  <c r="S214" i="5"/>
  <c r="T214" i="5"/>
  <c r="S215" i="5"/>
  <c r="T215" i="5"/>
  <c r="S216" i="5"/>
  <c r="T216" i="5"/>
  <c r="S217" i="5"/>
  <c r="T217" i="5"/>
  <c r="S218" i="5"/>
  <c r="T218" i="5"/>
  <c r="S219" i="5"/>
  <c r="T219" i="5"/>
  <c r="S220" i="5"/>
  <c r="T220" i="5"/>
  <c r="S221" i="5"/>
  <c r="T221" i="5"/>
  <c r="S222" i="5"/>
  <c r="T222" i="5"/>
  <c r="S223" i="5"/>
  <c r="T223" i="5"/>
  <c r="S224" i="5"/>
  <c r="T224" i="5"/>
  <c r="S225" i="5"/>
  <c r="T225" i="5"/>
  <c r="S226" i="5"/>
  <c r="T226" i="5"/>
  <c r="S227" i="5"/>
  <c r="T227" i="5"/>
  <c r="S228" i="5"/>
  <c r="T228" i="5"/>
  <c r="S229" i="5"/>
  <c r="T229" i="5"/>
  <c r="S230" i="5"/>
  <c r="T230" i="5"/>
  <c r="S231" i="5"/>
  <c r="T231" i="5"/>
  <c r="S232" i="5"/>
  <c r="T232" i="5"/>
  <c r="S233" i="5"/>
  <c r="T233" i="5"/>
  <c r="S234" i="5"/>
  <c r="T234" i="5"/>
  <c r="S235" i="5"/>
  <c r="T235" i="5"/>
  <c r="S236" i="5"/>
  <c r="T236" i="5"/>
  <c r="S237" i="5"/>
  <c r="T237" i="5"/>
  <c r="S238" i="5"/>
  <c r="T238" i="5"/>
  <c r="S239" i="5"/>
  <c r="T239" i="5"/>
  <c r="S240" i="5"/>
  <c r="T240" i="5"/>
  <c r="S241" i="5"/>
  <c r="T241" i="5"/>
  <c r="S242" i="5"/>
  <c r="T242" i="5"/>
  <c r="S243" i="5"/>
  <c r="T243" i="5"/>
  <c r="S244" i="5"/>
  <c r="T244" i="5"/>
  <c r="S245" i="5"/>
  <c r="T245" i="5"/>
  <c r="S246" i="5"/>
  <c r="T246" i="5"/>
  <c r="S247" i="5"/>
  <c r="T247" i="5"/>
  <c r="S248" i="5"/>
  <c r="T248" i="5"/>
  <c r="S249" i="5"/>
  <c r="T249" i="5"/>
  <c r="S250" i="5"/>
  <c r="T250" i="5"/>
  <c r="S251" i="5"/>
  <c r="T251" i="5"/>
  <c r="S252" i="5"/>
  <c r="T252" i="5"/>
  <c r="S253" i="5"/>
  <c r="T253" i="5"/>
  <c r="S254" i="5"/>
  <c r="T254" i="5"/>
  <c r="S255" i="5"/>
  <c r="T255" i="5"/>
  <c r="S256" i="5"/>
  <c r="T256" i="5"/>
  <c r="S257" i="5"/>
  <c r="T257" i="5"/>
  <c r="S258" i="5"/>
  <c r="T258" i="5"/>
  <c r="S259" i="5"/>
  <c r="T259" i="5"/>
  <c r="S260" i="5"/>
  <c r="T260" i="5"/>
  <c r="S261" i="5"/>
  <c r="T261" i="5"/>
  <c r="S262" i="5"/>
  <c r="T262" i="5"/>
  <c r="S263" i="5"/>
  <c r="T263" i="5"/>
  <c r="S264" i="5"/>
  <c r="T264" i="5"/>
  <c r="S265" i="5"/>
  <c r="T265" i="5"/>
  <c r="S266" i="5"/>
  <c r="T266" i="5"/>
  <c r="S267" i="5"/>
  <c r="T267" i="5"/>
  <c r="S268" i="5"/>
  <c r="T268" i="5"/>
  <c r="S269" i="5"/>
  <c r="T269" i="5"/>
  <c r="S270" i="5"/>
  <c r="T270" i="5"/>
  <c r="S271" i="5"/>
  <c r="T271" i="5"/>
  <c r="S272" i="5"/>
  <c r="T272" i="5"/>
  <c r="S273" i="5"/>
  <c r="T273" i="5"/>
  <c r="S274" i="5"/>
  <c r="T274" i="5"/>
  <c r="S275" i="5"/>
  <c r="T275" i="5"/>
  <c r="S276" i="5"/>
  <c r="T276" i="5"/>
  <c r="S277" i="5"/>
  <c r="T277" i="5"/>
  <c r="S278" i="5"/>
  <c r="T278" i="5"/>
  <c r="S279" i="5"/>
  <c r="T279" i="5"/>
  <c r="S280" i="5"/>
  <c r="T280" i="5"/>
  <c r="S281" i="5"/>
  <c r="T281" i="5"/>
  <c r="S282" i="5"/>
  <c r="T282" i="5"/>
  <c r="S283" i="5"/>
  <c r="T283" i="5"/>
  <c r="S284" i="5"/>
  <c r="T284" i="5"/>
  <c r="S285" i="5"/>
  <c r="T285" i="5"/>
  <c r="S286" i="5"/>
  <c r="T286" i="5"/>
  <c r="S287" i="5"/>
  <c r="T287" i="5"/>
  <c r="S288" i="5"/>
  <c r="T288" i="5"/>
  <c r="S289" i="5"/>
  <c r="T289" i="5"/>
  <c r="S290" i="5"/>
  <c r="T290" i="5"/>
  <c r="T3" i="5"/>
  <c r="S3" i="5"/>
  <c r="I14" i="9" a="1"/>
  <c r="I14" i="9" s="1"/>
  <c r="I15" i="9" a="1"/>
  <c r="I15" i="9" s="1"/>
  <c r="AL3" i="9"/>
  <c r="AM3" i="9"/>
  <c r="AN3" i="9"/>
  <c r="AO3" i="9"/>
  <c r="AP3" i="9"/>
  <c r="AL4" i="9"/>
  <c r="AM4" i="9"/>
  <c r="AN4" i="9"/>
  <c r="AO4" i="9"/>
  <c r="AP4" i="9"/>
  <c r="AL5" i="9"/>
  <c r="AM5" i="9"/>
  <c r="AN5" i="9"/>
  <c r="AO5" i="9"/>
  <c r="AP5" i="9"/>
  <c r="AL6" i="9"/>
  <c r="AM6" i="9"/>
  <c r="AN6" i="9"/>
  <c r="AO6" i="9"/>
  <c r="AP6" i="9"/>
  <c r="AL7" i="9"/>
  <c r="AM7" i="9"/>
  <c r="AN7" i="9"/>
  <c r="AO7" i="9"/>
  <c r="AP7" i="9"/>
  <c r="AL8" i="9"/>
  <c r="AM8" i="9"/>
  <c r="AN8" i="9"/>
  <c r="AO8" i="9"/>
  <c r="AP8" i="9"/>
  <c r="AL9" i="9"/>
  <c r="AM9" i="9"/>
  <c r="AN9" i="9"/>
  <c r="AO9" i="9"/>
  <c r="AP9" i="9"/>
  <c r="AL10" i="9"/>
  <c r="AM10" i="9"/>
  <c r="AN10" i="9"/>
  <c r="AO10" i="9"/>
  <c r="AP10" i="9"/>
  <c r="AL11" i="9"/>
  <c r="AM11" i="9"/>
  <c r="AN11" i="9"/>
  <c r="AO11" i="9"/>
  <c r="AP11" i="9"/>
  <c r="AL12" i="9"/>
  <c r="AM12" i="9"/>
  <c r="AN12" i="9"/>
  <c r="AO12" i="9"/>
  <c r="AP12" i="9"/>
  <c r="AL13" i="9"/>
  <c r="AM13" i="9"/>
  <c r="AN13" i="9"/>
  <c r="AO13" i="9"/>
  <c r="AP13" i="9"/>
  <c r="AL14" i="9"/>
  <c r="AM14" i="9"/>
  <c r="AN14" i="9"/>
  <c r="AO14" i="9"/>
  <c r="AP14" i="9"/>
  <c r="AL15" i="9"/>
  <c r="AM15" i="9"/>
  <c r="AN15" i="9"/>
  <c r="AO15" i="9"/>
  <c r="AP15" i="9"/>
  <c r="AL16" i="9"/>
  <c r="AM16" i="9"/>
  <c r="AN16" i="9"/>
  <c r="AO16" i="9"/>
  <c r="AP16" i="9"/>
  <c r="AL17" i="9"/>
  <c r="AM17" i="9"/>
  <c r="AN17" i="9"/>
  <c r="AO17" i="9"/>
  <c r="AP17" i="9"/>
  <c r="AL18" i="9"/>
  <c r="AM18" i="9"/>
  <c r="AN18" i="9"/>
  <c r="AO18" i="9"/>
  <c r="AP18" i="9"/>
  <c r="AL19" i="9"/>
  <c r="AM19" i="9"/>
  <c r="AN19" i="9"/>
  <c r="AO19" i="9"/>
  <c r="AP19" i="9"/>
  <c r="AL20" i="9"/>
  <c r="AM20" i="9"/>
  <c r="AN20" i="9"/>
  <c r="AO20" i="9"/>
  <c r="AP20" i="9"/>
  <c r="AL21" i="9"/>
  <c r="AM21" i="9"/>
  <c r="AN21" i="9"/>
  <c r="AO21" i="9"/>
  <c r="AP21" i="9"/>
  <c r="AL22" i="9"/>
  <c r="AM22" i="9"/>
  <c r="AN22" i="9"/>
  <c r="AO22" i="9"/>
  <c r="AP22" i="9"/>
  <c r="AL23" i="9"/>
  <c r="AM23" i="9"/>
  <c r="AN23" i="9"/>
  <c r="AO23" i="9"/>
  <c r="AP23" i="9"/>
  <c r="AL24" i="9"/>
  <c r="AM24" i="9"/>
  <c r="AN24" i="9"/>
  <c r="AO24" i="9"/>
  <c r="AP24" i="9"/>
  <c r="AL25" i="9"/>
  <c r="AM25" i="9"/>
  <c r="AN25" i="9"/>
  <c r="AO25" i="9"/>
  <c r="AP25" i="9"/>
  <c r="AL26" i="9"/>
  <c r="AM26" i="9"/>
  <c r="AN26" i="9"/>
  <c r="AO26" i="9"/>
  <c r="AP26" i="9"/>
  <c r="AL27" i="9"/>
  <c r="AM27" i="9"/>
  <c r="AN27" i="9"/>
  <c r="AO27" i="9"/>
  <c r="AP27" i="9"/>
  <c r="AL28" i="9"/>
  <c r="AM28" i="9"/>
  <c r="AN28" i="9"/>
  <c r="AO28" i="9"/>
  <c r="AP28" i="9"/>
  <c r="AL29" i="9"/>
  <c r="AM29" i="9"/>
  <c r="AN29" i="9"/>
  <c r="AO29" i="9"/>
  <c r="AP29" i="9"/>
  <c r="AL30" i="9"/>
  <c r="AM30" i="9"/>
  <c r="AN30" i="9"/>
  <c r="AO30" i="9"/>
  <c r="AP30" i="9"/>
  <c r="AL31" i="9"/>
  <c r="AM31" i="9"/>
  <c r="AN31" i="9"/>
  <c r="AO31" i="9"/>
  <c r="AP31" i="9"/>
  <c r="AL32" i="9"/>
  <c r="AM32" i="9"/>
  <c r="AN32" i="9"/>
  <c r="AO32" i="9"/>
  <c r="AP32" i="9"/>
  <c r="AL33" i="9"/>
  <c r="AM33" i="9"/>
  <c r="AN33" i="9"/>
  <c r="AO33" i="9"/>
  <c r="AP33" i="9"/>
  <c r="AL34" i="9"/>
  <c r="AM34" i="9"/>
  <c r="AN34" i="9"/>
  <c r="AO34" i="9"/>
  <c r="AP34" i="9"/>
  <c r="AL35" i="9"/>
  <c r="AM35" i="9"/>
  <c r="AN35" i="9"/>
  <c r="AO35" i="9"/>
  <c r="AP35" i="9"/>
  <c r="AL36" i="9"/>
  <c r="AM36" i="9"/>
  <c r="AN36" i="9"/>
  <c r="AO36" i="9"/>
  <c r="AP36" i="9"/>
  <c r="AL37" i="9"/>
  <c r="AM37" i="9"/>
  <c r="AN37" i="9"/>
  <c r="AO37" i="9"/>
  <c r="AP37" i="9"/>
  <c r="AM2" i="9"/>
  <c r="AN2" i="9"/>
  <c r="AO2" i="9"/>
  <c r="AP2" i="9"/>
  <c r="AL2" i="9"/>
  <c r="I2" i="9" a="1"/>
  <c r="I2" i="9" s="1"/>
  <c r="I3" i="9" a="1"/>
  <c r="I3" i="9" s="1"/>
  <c r="I4" i="9" a="1"/>
  <c r="I4" i="9" s="1"/>
  <c r="I5" i="9" a="1"/>
  <c r="I5" i="9" s="1"/>
  <c r="I6" i="9" a="1"/>
  <c r="I6" i="9" s="1"/>
  <c r="I7" i="9" a="1"/>
  <c r="I7" i="9" s="1"/>
  <c r="I8" i="9" a="1"/>
  <c r="I8" i="9" s="1"/>
  <c r="I9" i="9" a="1"/>
  <c r="I9" i="9" s="1"/>
  <c r="I10" i="9" a="1"/>
  <c r="I10" i="9" s="1"/>
  <c r="I11" i="9" a="1"/>
  <c r="I11" i="9" s="1"/>
  <c r="I12" i="9" a="1"/>
  <c r="I12" i="9" s="1"/>
  <c r="I13" i="9" a="1"/>
  <c r="I13" i="9" s="1"/>
  <c r="I16" i="9" a="1"/>
  <c r="I16" i="9" s="1"/>
  <c r="I17" i="9" a="1"/>
  <c r="I17" i="9" s="1"/>
  <c r="I18" i="9" a="1"/>
  <c r="I18" i="9" s="1"/>
  <c r="I19" i="9" a="1"/>
  <c r="I19" i="9" s="1"/>
  <c r="I20" i="9" a="1"/>
  <c r="I20" i="9" s="1"/>
  <c r="I21" i="9" a="1"/>
  <c r="I21" i="9" s="1"/>
  <c r="I22" i="9" a="1"/>
  <c r="I22" i="9" s="1"/>
  <c r="I23" i="9" a="1"/>
  <c r="I23" i="9" s="1"/>
  <c r="I24" i="9" a="1"/>
  <c r="I24" i="9" s="1"/>
  <c r="I25" i="9" a="1"/>
  <c r="I25" i="9" s="1"/>
  <c r="I26" i="9" a="1"/>
  <c r="I26" i="9" s="1"/>
  <c r="I27" i="9" a="1"/>
  <c r="I27" i="9" s="1"/>
  <c r="I28" i="9" a="1"/>
  <c r="I28" i="9" s="1"/>
  <c r="I29" i="9" a="1"/>
  <c r="I29" i="9" s="1"/>
  <c r="I30" i="9" a="1"/>
  <c r="I30" i="9" s="1"/>
  <c r="I31" i="9" a="1"/>
  <c r="I31" i="9" s="1"/>
  <c r="I32" i="9" a="1"/>
  <c r="I32" i="9" s="1"/>
  <c r="I33" i="9" a="1"/>
  <c r="I33" i="9" s="1"/>
  <c r="I34" i="9" a="1"/>
  <c r="I34" i="9" s="1"/>
  <c r="I35" i="9" a="1"/>
  <c r="I35" i="9" s="1"/>
  <c r="I36" i="9" a="1"/>
  <c r="I36" i="9" s="1"/>
  <c r="I37" i="9" a="1"/>
  <c r="I37" i="9" s="1"/>
  <c r="M37" i="9"/>
  <c r="A37" i="9"/>
  <c r="B37" i="9" s="1"/>
  <c r="M36" i="9"/>
  <c r="A36" i="9"/>
  <c r="B36" i="9" s="1"/>
  <c r="M35" i="9"/>
  <c r="A35" i="9"/>
  <c r="B35" i="9" s="1"/>
  <c r="M34" i="9"/>
  <c r="A34" i="9"/>
  <c r="B34" i="9" s="1"/>
  <c r="M33" i="9"/>
  <c r="A33" i="9"/>
  <c r="B33" i="9" s="1"/>
  <c r="M32" i="9"/>
  <c r="A32" i="9"/>
  <c r="B32" i="9" s="1"/>
  <c r="M31" i="9"/>
  <c r="A31" i="9"/>
  <c r="B31" i="9" s="1"/>
  <c r="M30" i="9"/>
  <c r="A30" i="9"/>
  <c r="B30" i="9" s="1"/>
  <c r="M29" i="9"/>
  <c r="A29" i="9"/>
  <c r="B29" i="9" s="1"/>
  <c r="M28" i="9"/>
  <c r="A28" i="9"/>
  <c r="B28" i="9" s="1"/>
  <c r="M27" i="9"/>
  <c r="A27" i="9"/>
  <c r="B27" i="9" s="1"/>
  <c r="M26" i="9"/>
  <c r="A26" i="9"/>
  <c r="B26" i="9" s="1"/>
  <c r="M25" i="9"/>
  <c r="A25" i="9"/>
  <c r="B25" i="9" s="1"/>
  <c r="M24" i="9"/>
  <c r="A24" i="9"/>
  <c r="B24" i="9" s="1"/>
  <c r="M23" i="9"/>
  <c r="A23" i="9"/>
  <c r="B23" i="9" s="1"/>
  <c r="M22" i="9"/>
  <c r="A22" i="9"/>
  <c r="B22" i="9" s="1"/>
  <c r="M21" i="9"/>
  <c r="A21" i="9"/>
  <c r="B21" i="9" s="1"/>
  <c r="M20" i="9"/>
  <c r="A20" i="9"/>
  <c r="B20" i="9" s="1"/>
  <c r="M19" i="9"/>
  <c r="A19" i="9"/>
  <c r="B19" i="9" s="1"/>
  <c r="M18" i="9"/>
  <c r="A18" i="9"/>
  <c r="B18" i="9" s="1"/>
  <c r="M17" i="9"/>
  <c r="A17" i="9"/>
  <c r="B17" i="9" s="1"/>
  <c r="M16" i="9"/>
  <c r="A16" i="9"/>
  <c r="B16" i="9" s="1"/>
  <c r="M15" i="9"/>
  <c r="A15" i="9"/>
  <c r="B15" i="9" s="1"/>
  <c r="M14" i="9"/>
  <c r="A14" i="9"/>
  <c r="B14" i="9" s="1"/>
  <c r="M13" i="9"/>
  <c r="A13" i="9"/>
  <c r="B13" i="9" s="1"/>
  <c r="M12" i="9"/>
  <c r="A12" i="9"/>
  <c r="B12" i="9" s="1"/>
  <c r="M11" i="9"/>
  <c r="A11" i="9"/>
  <c r="B11" i="9" s="1"/>
  <c r="M10" i="9"/>
  <c r="A10" i="9"/>
  <c r="B10" i="9" s="1"/>
  <c r="M9" i="9"/>
  <c r="A9" i="9"/>
  <c r="B9" i="9" s="1"/>
  <c r="M8" i="9"/>
  <c r="A8" i="9"/>
  <c r="B8" i="9" s="1"/>
  <c r="M7" i="9"/>
  <c r="A7" i="9"/>
  <c r="B7" i="9" s="1"/>
  <c r="M6" i="9"/>
  <c r="A6" i="9"/>
  <c r="B6" i="9" s="1"/>
  <c r="M5" i="9"/>
  <c r="A5" i="9"/>
  <c r="B5" i="9" s="1"/>
  <c r="M4" i="9"/>
  <c r="A4" i="9"/>
  <c r="B4" i="9" s="1"/>
  <c r="M3" i="9"/>
  <c r="A3" i="9"/>
  <c r="B3" i="9" s="1"/>
  <c r="AD2" i="9"/>
  <c r="AD3" i="9" s="1"/>
  <c r="AD4" i="9" s="1"/>
  <c r="AD5" i="9" s="1"/>
  <c r="AD6" i="9" s="1"/>
  <c r="AC2" i="9"/>
  <c r="AC3" i="9" s="1"/>
  <c r="AC4" i="9" s="1"/>
  <c r="AC5" i="9" s="1"/>
  <c r="AC6" i="9" s="1"/>
  <c r="M2" i="9"/>
  <c r="A2" i="9"/>
  <c r="B2" i="9" s="1"/>
  <c r="Z30" i="5"/>
  <c r="A37" i="1"/>
  <c r="A38" i="1"/>
  <c r="A39" i="1"/>
  <c r="A40" i="1"/>
  <c r="A36" i="1"/>
  <c r="A32" i="1"/>
  <c r="A33" i="1"/>
  <c r="A34" i="1"/>
  <c r="A35" i="1"/>
  <c r="A31" i="1"/>
  <c r="A27" i="1"/>
  <c r="A28" i="1"/>
  <c r="A29" i="1"/>
  <c r="A30" i="1"/>
  <c r="A26" i="1"/>
  <c r="A22" i="1"/>
  <c r="A23" i="1"/>
  <c r="A24" i="1"/>
  <c r="A25" i="1"/>
  <c r="A21" i="1"/>
  <c r="AC2" i="8"/>
  <c r="AC3" i="8" s="1"/>
  <c r="AC4" i="8" s="1"/>
  <c r="AC5" i="8" s="1"/>
  <c r="AC6" i="8" s="1"/>
  <c r="I2" i="8" a="1"/>
  <c r="I2" i="8" s="1"/>
  <c r="I3" i="8" a="1"/>
  <c r="I3" i="8" s="1"/>
  <c r="I4" i="8" a="1"/>
  <c r="I4" i="8" s="1"/>
  <c r="I5" i="8" a="1"/>
  <c r="I5" i="8" s="1"/>
  <c r="I6" i="8" a="1"/>
  <c r="I6" i="8" s="1"/>
  <c r="I7" i="8" a="1"/>
  <c r="I7" i="8" s="1"/>
  <c r="I8" i="8" a="1"/>
  <c r="I8" i="8" s="1"/>
  <c r="I9" i="8" a="1"/>
  <c r="I9" i="8" s="1"/>
  <c r="I10" i="8" a="1"/>
  <c r="I10" i="8" s="1"/>
  <c r="I11" i="8" a="1"/>
  <c r="I11" i="8" s="1"/>
  <c r="I12" i="8" a="1"/>
  <c r="I12" i="8" s="1"/>
  <c r="I13" i="8" a="1"/>
  <c r="I13" i="8" s="1"/>
  <c r="I14" i="8" a="1"/>
  <c r="I14" i="8" s="1"/>
  <c r="I15" i="8" a="1"/>
  <c r="I15" i="8" s="1"/>
  <c r="I16" i="8" a="1"/>
  <c r="I16" i="8" s="1"/>
  <c r="I17" i="8" a="1"/>
  <c r="I17" i="8" s="1"/>
  <c r="I18" i="8" a="1"/>
  <c r="I18" i="8" s="1"/>
  <c r="I19" i="8" a="1"/>
  <c r="I19" i="8" s="1"/>
  <c r="I20" i="8" a="1"/>
  <c r="I20" i="8" s="1"/>
  <c r="I21" i="8" a="1"/>
  <c r="I21" i="8" s="1"/>
  <c r="I22" i="8" a="1"/>
  <c r="I22" i="8" s="1"/>
  <c r="I23" i="8" a="1"/>
  <c r="I23" i="8" s="1"/>
  <c r="I24" i="8" a="1"/>
  <c r="I24" i="8" s="1"/>
  <c r="I25" i="8" a="1"/>
  <c r="I25" i="8" s="1"/>
  <c r="I26" i="8" a="1"/>
  <c r="I26" i="8" s="1"/>
  <c r="I27" i="8" a="1"/>
  <c r="I27" i="8" s="1"/>
  <c r="I28" i="8" a="1"/>
  <c r="I28" i="8" s="1"/>
  <c r="I29" i="8" a="1"/>
  <c r="I29" i="8" s="1"/>
  <c r="I30" i="8" a="1"/>
  <c r="I30" i="8" s="1"/>
  <c r="I31" i="8" a="1"/>
  <c r="I31" i="8" s="1"/>
  <c r="I32" i="8" a="1"/>
  <c r="I32" i="8" s="1"/>
  <c r="I33" i="8" a="1"/>
  <c r="I33" i="8" s="1"/>
  <c r="I34" i="8" a="1"/>
  <c r="I34" i="8" s="1"/>
  <c r="I35" i="8" a="1"/>
  <c r="I35" i="8" s="1"/>
  <c r="I36" i="8" a="1"/>
  <c r="I36" i="8" s="1"/>
  <c r="I37" i="8" a="1"/>
  <c r="I37" i="8" s="1"/>
  <c r="H1" i="1"/>
  <c r="G1" i="1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AD2" i="8"/>
  <c r="AD3" i="8" s="1"/>
  <c r="AD4" i="8" s="1"/>
  <c r="AD5" i="8" s="1"/>
  <c r="AD6" i="8" s="1"/>
  <c r="A37" i="8"/>
  <c r="B37" i="8" s="1"/>
  <c r="AE37" i="8" s="1"/>
  <c r="A36" i="8"/>
  <c r="B36" i="8" s="1"/>
  <c r="AE36" i="8" s="1"/>
  <c r="A35" i="8"/>
  <c r="B35" i="8" s="1"/>
  <c r="AE35" i="8" s="1"/>
  <c r="A34" i="8"/>
  <c r="B34" i="8" s="1"/>
  <c r="AE34" i="8" s="1"/>
  <c r="A33" i="8"/>
  <c r="B33" i="8" s="1"/>
  <c r="AE33" i="8" s="1"/>
  <c r="A32" i="8"/>
  <c r="B32" i="8" s="1"/>
  <c r="AE32" i="8" s="1"/>
  <c r="A31" i="8"/>
  <c r="B31" i="8" s="1"/>
  <c r="AE31" i="8" s="1"/>
  <c r="A30" i="8"/>
  <c r="B30" i="8" s="1"/>
  <c r="AE30" i="8" s="1"/>
  <c r="A29" i="8"/>
  <c r="B29" i="8" s="1"/>
  <c r="AE29" i="8" s="1"/>
  <c r="A28" i="8"/>
  <c r="B28" i="8" s="1"/>
  <c r="AE28" i="8" s="1"/>
  <c r="A27" i="8"/>
  <c r="B27" i="8" s="1"/>
  <c r="AE27" i="8" s="1"/>
  <c r="A26" i="8"/>
  <c r="B26" i="8" s="1"/>
  <c r="AE26" i="8" s="1"/>
  <c r="A25" i="8"/>
  <c r="B25" i="8" s="1"/>
  <c r="AE25" i="8" s="1"/>
  <c r="A24" i="8"/>
  <c r="B24" i="8" s="1"/>
  <c r="AE24" i="8" s="1"/>
  <c r="A23" i="8"/>
  <c r="B23" i="8" s="1"/>
  <c r="AE23" i="8" s="1"/>
  <c r="A22" i="8"/>
  <c r="B22" i="8" s="1"/>
  <c r="AE22" i="8" s="1"/>
  <c r="A21" i="8"/>
  <c r="B21" i="8" s="1"/>
  <c r="AE21" i="8" s="1"/>
  <c r="A20" i="8"/>
  <c r="B20" i="8" s="1"/>
  <c r="AE20" i="8" s="1"/>
  <c r="A19" i="8"/>
  <c r="B19" i="8" s="1"/>
  <c r="AE19" i="8" s="1"/>
  <c r="A18" i="8"/>
  <c r="B18" i="8" s="1"/>
  <c r="AE18" i="8" s="1"/>
  <c r="A17" i="8"/>
  <c r="B17" i="8" s="1"/>
  <c r="AE17" i="8" s="1"/>
  <c r="A16" i="8"/>
  <c r="B16" i="8" s="1"/>
  <c r="AE16" i="8" s="1"/>
  <c r="A15" i="8"/>
  <c r="B15" i="8" s="1"/>
  <c r="AE15" i="8" s="1"/>
  <c r="A14" i="8"/>
  <c r="B14" i="8" s="1"/>
  <c r="AE14" i="8" s="1"/>
  <c r="A13" i="8"/>
  <c r="B13" i="8" s="1"/>
  <c r="AE13" i="8" s="1"/>
  <c r="A12" i="8"/>
  <c r="B12" i="8" s="1"/>
  <c r="AE12" i="8" s="1"/>
  <c r="A11" i="8"/>
  <c r="B11" i="8" s="1"/>
  <c r="AE11" i="8" s="1"/>
  <c r="A10" i="8"/>
  <c r="B10" i="8" s="1"/>
  <c r="AE10" i="8" s="1"/>
  <c r="A9" i="8"/>
  <c r="B9" i="8" s="1"/>
  <c r="AE9" i="8" s="1"/>
  <c r="A8" i="8"/>
  <c r="A7" i="8"/>
  <c r="B7" i="8" s="1"/>
  <c r="AE7" i="8" s="1"/>
  <c r="A6" i="8"/>
  <c r="A5" i="8"/>
  <c r="B5" i="8" s="1"/>
  <c r="AE5" i="8" s="1"/>
  <c r="A4" i="8"/>
  <c r="B4" i="8" s="1"/>
  <c r="AE4" i="8" s="1"/>
  <c r="A3" i="8"/>
  <c r="B3" i="8" s="1"/>
  <c r="AE3" i="8" s="1"/>
  <c r="A2" i="8"/>
  <c r="B2" i="8" s="1"/>
  <c r="AE2" i="8" s="1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C156" i="4"/>
  <c r="C157" i="4"/>
  <c r="C158" i="4"/>
  <c r="C159" i="4"/>
  <c r="C160" i="4"/>
  <c r="C161" i="4"/>
  <c r="C162" i="4"/>
  <c r="C155" i="4"/>
  <c r="I2" i="4"/>
  <c r="F154" i="4"/>
  <c r="G154" i="4" s="1"/>
  <c r="F107" i="4"/>
  <c r="G107" i="4" s="1"/>
  <c r="F108" i="4"/>
  <c r="G108" i="4" s="1"/>
  <c r="F109" i="4"/>
  <c r="G109" i="4" s="1"/>
  <c r="F110" i="4"/>
  <c r="G110" i="4" s="1"/>
  <c r="F111" i="4"/>
  <c r="G111" i="4" s="1"/>
  <c r="F112" i="4"/>
  <c r="G112" i="4" s="1"/>
  <c r="F113" i="4"/>
  <c r="G113" i="4" s="1"/>
  <c r="F114" i="4"/>
  <c r="G114" i="4" s="1"/>
  <c r="F115" i="4"/>
  <c r="G115" i="4" s="1"/>
  <c r="F116" i="4"/>
  <c r="G116" i="4" s="1"/>
  <c r="F117" i="4"/>
  <c r="G117" i="4" s="1"/>
  <c r="F118" i="4"/>
  <c r="G118" i="4" s="1"/>
  <c r="F119" i="4"/>
  <c r="G119" i="4" s="1"/>
  <c r="F120" i="4"/>
  <c r="G120" i="4" s="1"/>
  <c r="F121" i="4"/>
  <c r="G121" i="4" s="1"/>
  <c r="F122" i="4"/>
  <c r="G122" i="4" s="1"/>
  <c r="F123" i="4"/>
  <c r="G123" i="4" s="1"/>
  <c r="F124" i="4"/>
  <c r="G124" i="4" s="1"/>
  <c r="F125" i="4"/>
  <c r="G125" i="4" s="1"/>
  <c r="F126" i="4"/>
  <c r="G126" i="4" s="1"/>
  <c r="F127" i="4"/>
  <c r="G127" i="4" s="1"/>
  <c r="F128" i="4"/>
  <c r="G128" i="4" s="1"/>
  <c r="F129" i="4"/>
  <c r="G129" i="4" s="1"/>
  <c r="F130" i="4"/>
  <c r="G130" i="4" s="1"/>
  <c r="F131" i="4"/>
  <c r="G131" i="4" s="1"/>
  <c r="F132" i="4"/>
  <c r="G132" i="4" s="1"/>
  <c r="F133" i="4"/>
  <c r="G133" i="4" s="1"/>
  <c r="F134" i="4"/>
  <c r="G134" i="4" s="1"/>
  <c r="F135" i="4"/>
  <c r="G135" i="4" s="1"/>
  <c r="F136" i="4"/>
  <c r="G136" i="4" s="1"/>
  <c r="F137" i="4"/>
  <c r="G137" i="4" s="1"/>
  <c r="F138" i="4"/>
  <c r="G138" i="4" s="1"/>
  <c r="F139" i="4"/>
  <c r="G139" i="4" s="1"/>
  <c r="F140" i="4"/>
  <c r="G140" i="4" s="1"/>
  <c r="F141" i="4"/>
  <c r="G141" i="4" s="1"/>
  <c r="F142" i="4"/>
  <c r="G142" i="4" s="1"/>
  <c r="F143" i="4"/>
  <c r="G143" i="4" s="1"/>
  <c r="F144" i="4"/>
  <c r="G144" i="4" s="1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G151" i="4" s="1"/>
  <c r="F152" i="4"/>
  <c r="G152" i="4" s="1"/>
  <c r="F153" i="4"/>
  <c r="G153" i="4" s="1"/>
  <c r="F100" i="4"/>
  <c r="G100" i="4" s="1"/>
  <c r="F101" i="4"/>
  <c r="G101" i="4" s="1"/>
  <c r="F102" i="4"/>
  <c r="G102" i="4" s="1"/>
  <c r="F103" i="4"/>
  <c r="G103" i="4" s="1"/>
  <c r="F104" i="4"/>
  <c r="G104" i="4" s="1"/>
  <c r="F105" i="4"/>
  <c r="G105" i="4" s="1"/>
  <c r="F106" i="4"/>
  <c r="G106" i="4" s="1"/>
  <c r="F99" i="4"/>
  <c r="G99" i="4" s="1"/>
  <c r="A130" i="4"/>
  <c r="A124" i="4"/>
  <c r="A125" i="4"/>
  <c r="A126" i="4"/>
  <c r="A127" i="4"/>
  <c r="A128" i="4"/>
  <c r="A129" i="4"/>
  <c r="A123" i="4"/>
  <c r="A131" i="4" s="1"/>
  <c r="C115" i="4"/>
  <c r="C116" i="4"/>
  <c r="C117" i="4"/>
  <c r="C118" i="4"/>
  <c r="C119" i="4"/>
  <c r="C120" i="4"/>
  <c r="C121" i="4"/>
  <c r="C122" i="4"/>
  <c r="C123" i="4"/>
  <c r="C107" i="4"/>
  <c r="C108" i="4"/>
  <c r="C109" i="4"/>
  <c r="C110" i="4"/>
  <c r="C111" i="4"/>
  <c r="C112" i="4"/>
  <c r="C113" i="4"/>
  <c r="C100" i="4"/>
  <c r="C101" i="4"/>
  <c r="C102" i="4"/>
  <c r="C103" i="4"/>
  <c r="C104" i="4"/>
  <c r="C105" i="4"/>
  <c r="C106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98" i="4"/>
  <c r="C99" i="4"/>
  <c r="C114" i="4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21" i="1"/>
  <c r="A18" i="4"/>
  <c r="C18" i="4" s="1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X2" i="5" a="1"/>
  <c r="H17" i="1" a="1"/>
  <c r="H17" i="1" s="1"/>
  <c r="G17" i="1" a="1"/>
  <c r="G17" i="1" s="1"/>
  <c r="G44" i="4"/>
  <c r="H44" i="4" s="1"/>
  <c r="I44" i="4" s="1"/>
  <c r="J44" i="4" s="1"/>
  <c r="G45" i="4"/>
  <c r="H45" i="4" s="1"/>
  <c r="I45" i="4" s="1"/>
  <c r="J45" i="4" s="1"/>
  <c r="G46" i="4"/>
  <c r="H46" i="4" s="1"/>
  <c r="I46" i="4" s="1"/>
  <c r="J46" i="4" s="1"/>
  <c r="G47" i="4"/>
  <c r="H47" i="4" s="1"/>
  <c r="I47" i="4" s="1"/>
  <c r="J47" i="4" s="1"/>
  <c r="G48" i="4"/>
  <c r="H48" i="4" s="1"/>
  <c r="I48" i="4" s="1"/>
  <c r="J48" i="4" s="1"/>
  <c r="G43" i="4"/>
  <c r="H43" i="4" s="1"/>
  <c r="I43" i="4" s="1"/>
  <c r="J43" i="4" s="1"/>
  <c r="Z34" i="5"/>
  <c r="Y34" i="5"/>
  <c r="X34" i="5"/>
  <c r="M3" i="3"/>
  <c r="M4" i="3" s="1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N3" i="3"/>
  <c r="N4" i="3" s="1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O3" i="3"/>
  <c r="O4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I3" i="3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C3" i="3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G3" i="3"/>
  <c r="G4" i="3" s="1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L3" i="3"/>
  <c r="L4" i="3" s="1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R3" i="3"/>
  <c r="R4" i="3" s="1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S3" i="3"/>
  <c r="S4" i="3" s="1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T3" i="3"/>
  <c r="T4" i="3" s="1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Q3" i="3"/>
  <c r="Q4" i="3" s="1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G41" i="4"/>
  <c r="Z2" i="5" a="1"/>
  <c r="K2" i="5"/>
  <c r="F2" i="5"/>
  <c r="G2" i="5" s="1"/>
  <c r="H2" i="5" s="1"/>
  <c r="I2" i="5" s="1"/>
  <c r="A2" i="2"/>
  <c r="E21" i="4"/>
  <c r="E26" i="4" s="1"/>
  <c r="E31" i="4" s="1"/>
  <c r="E22" i="4"/>
  <c r="E27" i="4" s="1"/>
  <c r="E32" i="4" s="1"/>
  <c r="E23" i="4"/>
  <c r="E28" i="4" s="1"/>
  <c r="E33" i="4" s="1"/>
  <c r="E24" i="4"/>
  <c r="E29" i="4" s="1"/>
  <c r="E34" i="4" s="1"/>
  <c r="E25" i="4"/>
  <c r="E30" i="4" s="1"/>
  <c r="E35" i="4" s="1"/>
  <c r="A3" i="2"/>
  <c r="A4" i="2"/>
  <c r="Q4" i="2" s="1"/>
  <c r="A5" i="2"/>
  <c r="Q5" i="2" s="1"/>
  <c r="A6" i="2"/>
  <c r="Q6" i="2" s="1"/>
  <c r="A7" i="2"/>
  <c r="Q7" i="2" s="1"/>
  <c r="A8" i="2"/>
  <c r="Q8" i="2" s="1"/>
  <c r="A9" i="2"/>
  <c r="Q9" i="2" s="1"/>
  <c r="A10" i="2"/>
  <c r="Q10" i="2" s="1"/>
  <c r="A11" i="2"/>
  <c r="Q11" i="2" s="1"/>
  <c r="A12" i="2"/>
  <c r="Q12" i="2" s="1"/>
  <c r="A13" i="2"/>
  <c r="Q13" i="2" s="1"/>
  <c r="A14" i="2"/>
  <c r="Q14" i="2" s="1"/>
  <c r="A15" i="2"/>
  <c r="Q15" i="2" s="1"/>
  <c r="A16" i="2"/>
  <c r="Q16" i="2" s="1"/>
  <c r="A17" i="2"/>
  <c r="Q17" i="2" s="1"/>
  <c r="A18" i="2"/>
  <c r="Q18" i="2" s="1"/>
  <c r="A19" i="2"/>
  <c r="Q19" i="2" s="1"/>
  <c r="A20" i="2"/>
  <c r="C20" i="2" s="1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C18" i="2"/>
  <c r="C19" i="2"/>
  <c r="C21" i="2"/>
  <c r="C26" i="2"/>
  <c r="K1" i="1"/>
  <c r="Z10" i="1"/>
  <c r="Z11" i="1"/>
  <c r="Z12" i="1"/>
  <c r="Z9" i="1"/>
  <c r="F17" i="1" a="1"/>
  <c r="F17" i="1" s="1"/>
  <c r="E17" i="1" a="1"/>
  <c r="E17" i="1" s="1"/>
  <c r="O5" i="1"/>
  <c r="O6" i="1"/>
  <c r="O3" i="1"/>
  <c r="G3" i="1"/>
  <c r="I3" i="1" s="1"/>
  <c r="H11" i="1"/>
  <c r="H9" i="1"/>
  <c r="H6" i="1"/>
  <c r="O4" i="1"/>
  <c r="Y5" i="5" l="1"/>
  <c r="AD6" i="6"/>
  <c r="AF4" i="5"/>
  <c r="AB1" i="5"/>
  <c r="AB1" i="6" s="1"/>
  <c r="AD10" i="6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AD9" i="6"/>
  <c r="AD8" i="6"/>
  <c r="AA3" i="5"/>
  <c r="AA5" i="5"/>
  <c r="B1" i="1"/>
  <c r="X18" i="9"/>
  <c r="AE18" i="9"/>
  <c r="AE37" i="9"/>
  <c r="X37" i="9"/>
  <c r="X36" i="9"/>
  <c r="AE36" i="9"/>
  <c r="AE35" i="9"/>
  <c r="X35" i="9"/>
  <c r="AE34" i="9"/>
  <c r="X34" i="9"/>
  <c r="AE33" i="9"/>
  <c r="X33" i="9"/>
  <c r="X32" i="9"/>
  <c r="AE32" i="9"/>
  <c r="AE31" i="9"/>
  <c r="X31" i="9"/>
  <c r="X30" i="9"/>
  <c r="AE30" i="9"/>
  <c r="AE29" i="9"/>
  <c r="X29" i="9"/>
  <c r="AE28" i="9"/>
  <c r="X28" i="9"/>
  <c r="AE27" i="9"/>
  <c r="X27" i="9"/>
  <c r="X26" i="9"/>
  <c r="AE26" i="9"/>
  <c r="X25" i="9"/>
  <c r="AE25" i="9"/>
  <c r="AE24" i="9"/>
  <c r="X24" i="9"/>
  <c r="X23" i="9"/>
  <c r="AE23" i="9"/>
  <c r="X22" i="9"/>
  <c r="AE22" i="9"/>
  <c r="X21" i="9"/>
  <c r="AE21" i="9"/>
  <c r="AE20" i="9"/>
  <c r="X20" i="9"/>
  <c r="X19" i="9"/>
  <c r="AE19" i="9"/>
  <c r="AE17" i="9"/>
  <c r="X17" i="9"/>
  <c r="X16" i="9"/>
  <c r="AE16" i="9"/>
  <c r="X15" i="9"/>
  <c r="AE15" i="9"/>
  <c r="AE14" i="9"/>
  <c r="X14" i="9"/>
  <c r="AE13" i="9"/>
  <c r="X13" i="9"/>
  <c r="X12" i="9"/>
  <c r="AE12" i="9"/>
  <c r="AE11" i="9"/>
  <c r="X11" i="9"/>
  <c r="AE10" i="9"/>
  <c r="X10" i="9"/>
  <c r="AE9" i="9"/>
  <c r="X9" i="9"/>
  <c r="AE8" i="9"/>
  <c r="X8" i="9"/>
  <c r="X7" i="9"/>
  <c r="AE7" i="9"/>
  <c r="AE6" i="9"/>
  <c r="X6" i="9"/>
  <c r="X5" i="9"/>
  <c r="AE5" i="9"/>
  <c r="X4" i="9"/>
  <c r="AE4" i="9"/>
  <c r="AE3" i="9"/>
  <c r="X3" i="9"/>
  <c r="AE2" i="9"/>
  <c r="X2" i="9"/>
  <c r="H162" i="4"/>
  <c r="A35" i="4"/>
  <c r="C19" i="4"/>
  <c r="A36" i="4"/>
  <c r="C20" i="4"/>
  <c r="A37" i="4"/>
  <c r="C21" i="4"/>
  <c r="A38" i="4"/>
  <c r="C22" i="4"/>
  <c r="A39" i="4"/>
  <c r="C23" i="4"/>
  <c r="A40" i="4"/>
  <c r="C24" i="4"/>
  <c r="A41" i="4"/>
  <c r="C25" i="4"/>
  <c r="A42" i="4"/>
  <c r="C26" i="4"/>
  <c r="A43" i="4"/>
  <c r="C27" i="4"/>
  <c r="A44" i="4"/>
  <c r="C28" i="4"/>
  <c r="A45" i="4"/>
  <c r="C29" i="4"/>
  <c r="A46" i="4"/>
  <c r="C30" i="4"/>
  <c r="A47" i="4"/>
  <c r="C31" i="4"/>
  <c r="A48" i="4"/>
  <c r="C32" i="4"/>
  <c r="A49" i="4"/>
  <c r="C33" i="4"/>
  <c r="A50" i="4"/>
  <c r="C34" i="4"/>
  <c r="X8" i="8"/>
  <c r="B8" i="8"/>
  <c r="AE8" i="8" s="1"/>
  <c r="B6" i="8"/>
  <c r="AE6" i="8" s="1"/>
  <c r="X6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7" i="8"/>
  <c r="X5" i="8"/>
  <c r="X4" i="8"/>
  <c r="X3" i="8"/>
  <c r="X2" i="8"/>
  <c r="T4" i="1"/>
  <c r="T3" i="1"/>
  <c r="T2" i="1"/>
  <c r="T1" i="1"/>
  <c r="H106" i="4"/>
  <c r="H154" i="4"/>
  <c r="H130" i="4"/>
  <c r="H146" i="4"/>
  <c r="H122" i="4"/>
  <c r="H138" i="4"/>
  <c r="H114" i="4"/>
  <c r="C130" i="4"/>
  <c r="A138" i="4"/>
  <c r="A132" i="4"/>
  <c r="C124" i="4"/>
  <c r="A133" i="4"/>
  <c r="C125" i="4"/>
  <c r="A134" i="4"/>
  <c r="C126" i="4"/>
  <c r="A135" i="4"/>
  <c r="C127" i="4"/>
  <c r="A136" i="4"/>
  <c r="C128" i="4"/>
  <c r="C129" i="4"/>
  <c r="A137" i="4"/>
  <c r="C131" i="4"/>
  <c r="A139" i="4"/>
  <c r="L2" i="5"/>
  <c r="M2" i="5" s="1"/>
  <c r="N2" i="5" s="1"/>
  <c r="Y4" i="5"/>
  <c r="Y3" i="5"/>
  <c r="AA4" i="5"/>
  <c r="X2" i="5"/>
  <c r="Y2" i="5" s="1"/>
  <c r="Z2" i="5"/>
  <c r="AA2" i="5" s="1"/>
  <c r="Q20" i="2"/>
  <c r="Q21" i="2"/>
  <c r="Q26" i="2"/>
  <c r="E40" i="4"/>
  <c r="E39" i="4"/>
  <c r="E38" i="4"/>
  <c r="E37" i="4"/>
  <c r="E36" i="4"/>
  <c r="C4" i="2"/>
  <c r="C17" i="2"/>
  <c r="Q22" i="2"/>
  <c r="C22" i="2"/>
  <c r="Q23" i="2"/>
  <c r="C23" i="2"/>
  <c r="Q25" i="2"/>
  <c r="C25" i="2"/>
  <c r="Q27" i="2"/>
  <c r="C27" i="2"/>
  <c r="Q34" i="2"/>
  <c r="C34" i="2"/>
  <c r="Q35" i="2"/>
  <c r="C35" i="2"/>
  <c r="Q3" i="2"/>
  <c r="C3" i="2"/>
  <c r="Q36" i="2"/>
  <c r="C36" i="2"/>
  <c r="Q37" i="2"/>
  <c r="C37" i="2"/>
  <c r="C16" i="2"/>
  <c r="C13" i="2"/>
  <c r="C14" i="2"/>
  <c r="C15" i="2"/>
  <c r="C5" i="2"/>
  <c r="C6" i="2"/>
  <c r="C7" i="2"/>
  <c r="C8" i="2"/>
  <c r="C9" i="2"/>
  <c r="C10" i="2"/>
  <c r="C11" i="2"/>
  <c r="C12" i="2"/>
  <c r="Q28" i="2"/>
  <c r="C28" i="2"/>
  <c r="Q29" i="2"/>
  <c r="C29" i="2"/>
  <c r="Q30" i="2"/>
  <c r="C30" i="2"/>
  <c r="Q31" i="2"/>
  <c r="C31" i="2"/>
  <c r="Q32" i="2"/>
  <c r="C32" i="2"/>
  <c r="Q33" i="2"/>
  <c r="C33" i="2"/>
  <c r="Q24" i="2"/>
  <c r="C24" i="2"/>
  <c r="Q2" i="2"/>
  <c r="C2" i="2"/>
  <c r="E18" i="1"/>
  <c r="P3" i="1"/>
  <c r="B2" i="1" l="1"/>
  <c r="A2" i="1"/>
  <c r="A3" i="1"/>
  <c r="A4" i="1"/>
  <c r="R1" i="1"/>
  <c r="S1" i="1"/>
  <c r="D1" i="1"/>
  <c r="E1" i="1"/>
  <c r="B4" i="1"/>
  <c r="B3" i="1"/>
  <c r="C35" i="4"/>
  <c r="A51" i="4"/>
  <c r="C36" i="4"/>
  <c r="A52" i="4"/>
  <c r="C37" i="4"/>
  <c r="A53" i="4"/>
  <c r="C38" i="4"/>
  <c r="A54" i="4"/>
  <c r="C39" i="4"/>
  <c r="A55" i="4"/>
  <c r="C40" i="4"/>
  <c r="A56" i="4"/>
  <c r="C41" i="4"/>
  <c r="A57" i="4"/>
  <c r="C42" i="4"/>
  <c r="A58" i="4"/>
  <c r="C43" i="4"/>
  <c r="A59" i="4"/>
  <c r="C44" i="4"/>
  <c r="A60" i="4"/>
  <c r="C45" i="4"/>
  <c r="A61" i="4"/>
  <c r="C46" i="4"/>
  <c r="A62" i="4"/>
  <c r="C47" i="4"/>
  <c r="A63" i="4"/>
  <c r="C48" i="4"/>
  <c r="A64" i="4"/>
  <c r="C49" i="4"/>
  <c r="A65" i="4"/>
  <c r="C50" i="4"/>
  <c r="A66" i="4"/>
  <c r="C138" i="4"/>
  <c r="A146" i="4"/>
  <c r="C132" i="4"/>
  <c r="A140" i="4"/>
  <c r="C133" i="4"/>
  <c r="A141" i="4"/>
  <c r="C134" i="4"/>
  <c r="A142" i="4"/>
  <c r="C135" i="4"/>
  <c r="A143" i="4"/>
  <c r="C136" i="4"/>
  <c r="A144" i="4"/>
  <c r="C137" i="4"/>
  <c r="A145" i="4"/>
  <c r="C139" i="4"/>
  <c r="A147" i="4"/>
  <c r="C147" i="4" s="1"/>
  <c r="C55" i="4"/>
  <c r="A71" i="4"/>
  <c r="C56" i="4"/>
  <c r="A72" i="4"/>
  <c r="C57" i="4"/>
  <c r="A73" i="4"/>
  <c r="C58" i="4"/>
  <c r="A74" i="4"/>
  <c r="C59" i="4"/>
  <c r="A75" i="4"/>
  <c r="D2" i="1" l="1"/>
  <c r="R2" i="1"/>
  <c r="S2" i="1"/>
  <c r="E2" i="1"/>
  <c r="E4" i="1"/>
  <c r="R4" i="1"/>
  <c r="S4" i="1"/>
  <c r="D4" i="1"/>
  <c r="E3" i="1"/>
  <c r="D3" i="1"/>
  <c r="R3" i="1"/>
  <c r="S3" i="1"/>
  <c r="C51" i="4"/>
  <c r="A67" i="4"/>
  <c r="C52" i="4"/>
  <c r="A68" i="4"/>
  <c r="C53" i="4"/>
  <c r="A69" i="4"/>
  <c r="C54" i="4"/>
  <c r="A70" i="4"/>
  <c r="C60" i="4"/>
  <c r="A76" i="4"/>
  <c r="C61" i="4"/>
  <c r="A77" i="4"/>
  <c r="C62" i="4"/>
  <c r="A78" i="4"/>
  <c r="C63" i="4"/>
  <c r="A79" i="4"/>
  <c r="C64" i="4"/>
  <c r="A80" i="4"/>
  <c r="C65" i="4"/>
  <c r="A81" i="4"/>
  <c r="C66" i="4"/>
  <c r="A82" i="4"/>
  <c r="C82" i="4" s="1"/>
  <c r="C146" i="4"/>
  <c r="A154" i="4"/>
  <c r="C154" i="4" s="1"/>
  <c r="C140" i="4"/>
  <c r="A148" i="4"/>
  <c r="C148" i="4" s="1"/>
  <c r="C141" i="4"/>
  <c r="A149" i="4"/>
  <c r="C149" i="4" s="1"/>
  <c r="C142" i="4"/>
  <c r="A150" i="4"/>
  <c r="C150" i="4" s="1"/>
  <c r="C143" i="4"/>
  <c r="A151" i="4"/>
  <c r="C151" i="4" s="1"/>
  <c r="C144" i="4"/>
  <c r="A152" i="4"/>
  <c r="C152" i="4" s="1"/>
  <c r="C145" i="4"/>
  <c r="A153" i="4"/>
  <c r="C153" i="4" s="1"/>
  <c r="C67" i="4"/>
  <c r="A83" i="4"/>
  <c r="C83" i="4" s="1"/>
  <c r="C68" i="4"/>
  <c r="A84" i="4"/>
  <c r="C84" i="4" s="1"/>
  <c r="C69" i="4"/>
  <c r="A85" i="4"/>
  <c r="C85" i="4" s="1"/>
  <c r="C71" i="4"/>
  <c r="A87" i="4"/>
  <c r="C87" i="4" s="1"/>
  <c r="C72" i="4"/>
  <c r="A88" i="4"/>
  <c r="C88" i="4" s="1"/>
  <c r="C73" i="4"/>
  <c r="A89" i="4"/>
  <c r="C89" i="4" s="1"/>
  <c r="C74" i="4"/>
  <c r="A90" i="4"/>
  <c r="C90" i="4" s="1"/>
  <c r="C75" i="4"/>
  <c r="A91" i="4"/>
  <c r="C91" i="4" s="1"/>
  <c r="C70" i="4" l="1"/>
  <c r="A86" i="4"/>
  <c r="C86" i="4" s="1"/>
  <c r="A96" i="4"/>
  <c r="C96" i="4" s="1"/>
  <c r="C80" i="4"/>
  <c r="A97" i="4"/>
  <c r="C97" i="4" s="1"/>
  <c r="C81" i="4"/>
  <c r="C76" i="4"/>
  <c r="A92" i="4"/>
  <c r="C92" i="4" s="1"/>
  <c r="C77" i="4"/>
  <c r="A93" i="4"/>
  <c r="C93" i="4" s="1"/>
  <c r="C78" i="4"/>
  <c r="A94" i="4"/>
  <c r="C94" i="4" s="1"/>
  <c r="C79" i="4"/>
  <c r="A95" i="4"/>
  <c r="C9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</author>
  </authors>
  <commentList>
    <comment ref="AD6" authorId="0" shapeId="0" xr:uid="{98B1F933-9AB5-4F95-AD8F-CB3EF0873A98}">
      <text>
        <r>
          <rPr>
            <b/>
            <sz val="9"/>
            <color indexed="81"/>
            <rFont val="Tahoma"/>
            <family val="2"/>
          </rPr>
          <t>Albert:</t>
        </r>
        <r>
          <rPr>
            <sz val="9"/>
            <color indexed="81"/>
            <rFont val="Tahoma"/>
            <family val="2"/>
          </rPr>
          <t xml:space="preserve">
储能效率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</author>
  </authors>
  <commentList>
    <comment ref="C7" authorId="0" shapeId="0" xr:uid="{B1D355CC-EAF0-48F4-A173-0D6D8A62FAFF}">
      <text>
        <r>
          <rPr>
            <b/>
            <sz val="9"/>
            <color indexed="81"/>
            <rFont val="Tahoma"/>
            <family val="2"/>
          </rPr>
          <t>Albert:</t>
        </r>
        <r>
          <rPr>
            <sz val="9"/>
            <color indexed="81"/>
            <rFont val="Tahoma"/>
            <family val="2"/>
          </rPr>
          <t xml:space="preserve">
1-Isolator off
64-Batt door open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<sst xmlns="http://schemas.openxmlformats.org/spreadsheetml/2006/main" count="1991" uniqueCount="884">
  <si>
    <t>Register</t>
  </si>
  <si>
    <t>Data</t>
  </si>
  <si>
    <t>HeartBeat</t>
  </si>
  <si>
    <t>HV Relay On</t>
  </si>
  <si>
    <t>ClearAlarm</t>
  </si>
  <si>
    <t>0-255</t>
  </si>
  <si>
    <t>Volt</t>
  </si>
  <si>
    <t>Current</t>
  </si>
  <si>
    <t>Power(KW)</t>
  </si>
  <si>
    <t>SOC(%）</t>
  </si>
  <si>
    <t>Current(A)</t>
  </si>
  <si>
    <t>I</t>
  </si>
  <si>
    <t>KW</t>
  </si>
  <si>
    <t>IP Address:</t>
  </si>
  <si>
    <t>Racks</t>
  </si>
  <si>
    <t>0 then 1</t>
  </si>
  <si>
    <t>2 then 1</t>
  </si>
  <si>
    <t>Function</t>
  </si>
  <si>
    <t>Total(MW)</t>
  </si>
  <si>
    <t>Limit point</t>
  </si>
  <si>
    <t>I reading</t>
  </si>
  <si>
    <t>Hex</t>
  </si>
  <si>
    <t>Dec</t>
  </si>
  <si>
    <t>Group ID:</t>
  </si>
  <si>
    <t>Temp</t>
  </si>
  <si>
    <t>Power</t>
  </si>
  <si>
    <t>No.</t>
  </si>
  <si>
    <t>IP</t>
  </si>
  <si>
    <t>PI</t>
  </si>
  <si>
    <t>D</t>
  </si>
  <si>
    <t>C</t>
  </si>
  <si>
    <t>B</t>
  </si>
  <si>
    <t>A</t>
  </si>
  <si>
    <t>Flag</t>
  </si>
  <si>
    <t>Std</t>
  </si>
  <si>
    <t>Max</t>
  </si>
  <si>
    <t>Min</t>
  </si>
  <si>
    <t>Med</t>
  </si>
  <si>
    <t>REG</t>
  </si>
  <si>
    <t>36,37</t>
  </si>
  <si>
    <t>16,17</t>
  </si>
  <si>
    <t>IMM set</t>
  </si>
  <si>
    <t>10.238.8.16</t>
  </si>
  <si>
    <t>10.238.8.17</t>
  </si>
  <si>
    <t>10.238.8.18</t>
  </si>
  <si>
    <t>10.238.8.19</t>
  </si>
  <si>
    <t>10.238.8.26</t>
  </si>
  <si>
    <t>10.238.8.27</t>
  </si>
  <si>
    <t>10.238.8.28</t>
  </si>
  <si>
    <t>10.238.8.29</t>
  </si>
  <si>
    <t>10.238.8.36</t>
  </si>
  <si>
    <t>10.238.8.37</t>
  </si>
  <si>
    <t>10.238.8.38</t>
  </si>
  <si>
    <t>10.238.8.39</t>
  </si>
  <si>
    <t>10.238.8.46</t>
  </si>
  <si>
    <t>10.238.8.47</t>
  </si>
  <si>
    <t>10.238.8.48</t>
  </si>
  <si>
    <t>10.238.8.49</t>
  </si>
  <si>
    <t>10.238.8.56</t>
  </si>
  <si>
    <t>10.238.8.57</t>
  </si>
  <si>
    <t>10.238.8.58</t>
  </si>
  <si>
    <t>10.238.8.59</t>
  </si>
  <si>
    <t>10.238.8.66</t>
  </si>
  <si>
    <t>10.238.8.67</t>
  </si>
  <si>
    <t>10.238.8.68</t>
  </si>
  <si>
    <t>10.238.8.69</t>
  </si>
  <si>
    <t>10.238.8.76</t>
  </si>
  <si>
    <t>10.238.8.77</t>
  </si>
  <si>
    <t>10.238.8.78</t>
  </si>
  <si>
    <t>10.238.8.79</t>
  </si>
  <si>
    <t>10.238.8.86</t>
  </si>
  <si>
    <t>10.238.8.87</t>
  </si>
  <si>
    <t>10.238.8.88</t>
  </si>
  <si>
    <t>10.238.8.89</t>
  </si>
  <si>
    <t>10.238.8.96</t>
  </si>
  <si>
    <t>10.238.8.97</t>
  </si>
  <si>
    <t>10.238.8.98</t>
  </si>
  <si>
    <t>10.238.8.99</t>
  </si>
  <si>
    <t>Value</t>
  </si>
  <si>
    <t>PG</t>
  </si>
  <si>
    <t>说明</t>
  </si>
  <si>
    <t>告警</t>
  </si>
  <si>
    <t>状态</t>
  </si>
  <si>
    <t>电流</t>
  </si>
  <si>
    <t>SOC</t>
  </si>
  <si>
    <t>最大单体电压</t>
  </si>
  <si>
    <t>平均</t>
  </si>
  <si>
    <t>心跳包</t>
  </si>
  <si>
    <t>HV relay控制</t>
  </si>
  <si>
    <t>AuxPowerLost</t>
  </si>
  <si>
    <t>IMM状态控制</t>
  </si>
  <si>
    <t>告警清除</t>
  </si>
  <si>
    <t>SBMU01电流</t>
  </si>
  <si>
    <t>SBMU01 SOC</t>
  </si>
  <si>
    <t>SBMU01 充电限流点</t>
  </si>
  <si>
    <t>SBMU01 放电限流点</t>
  </si>
  <si>
    <t>SBMU01电压</t>
  </si>
  <si>
    <t>ETH版本</t>
  </si>
  <si>
    <t>SBMU02电压</t>
  </si>
  <si>
    <t>SBMU02电流</t>
  </si>
  <si>
    <t>SBMU02 SOC</t>
  </si>
  <si>
    <t>SBMU02 充电限流点</t>
  </si>
  <si>
    <t>SBMU02 放电限流点</t>
  </si>
  <si>
    <t>SBMU03电压</t>
  </si>
  <si>
    <t>SBMU03电流</t>
  </si>
  <si>
    <t>SBMU03 SOC</t>
  </si>
  <si>
    <t>SBMU03 充电限流点</t>
  </si>
  <si>
    <t>SBMU03 放电限流点</t>
  </si>
  <si>
    <t>SBMU04电压</t>
  </si>
  <si>
    <t>SBMU04电流</t>
  </si>
  <si>
    <t>SBMU04 SOC</t>
  </si>
  <si>
    <t>SBMU04 充电限流点</t>
  </si>
  <si>
    <t>SBMU04 放电限流点</t>
  </si>
  <si>
    <t>SBMU05电压</t>
  </si>
  <si>
    <t>SBMU05电流</t>
  </si>
  <si>
    <t>SBMU05 SOC</t>
  </si>
  <si>
    <t>SBMU05 充电限流点</t>
  </si>
  <si>
    <t>SBMU05 放电限流点</t>
  </si>
  <si>
    <t>10.238.7.86</t>
  </si>
  <si>
    <t>soc</t>
  </si>
  <si>
    <t>volt</t>
  </si>
  <si>
    <t>soc-sbmu1</t>
  </si>
  <si>
    <t>soc-sbmu2</t>
  </si>
  <si>
    <t>soc-sbmu3</t>
  </si>
  <si>
    <t>soc-sbmu4</t>
  </si>
  <si>
    <t>soc-sbmu5</t>
  </si>
  <si>
    <t>volt-sbmu1</t>
  </si>
  <si>
    <t>volt-sbmu2</t>
  </si>
  <si>
    <t>volt-sbmu3</t>
  </si>
  <si>
    <t>volt-sbmu4</t>
  </si>
  <si>
    <t>volt-sbmu5</t>
  </si>
  <si>
    <t>10.238.5.36</t>
  </si>
  <si>
    <t>10.238.1.16</t>
  </si>
  <si>
    <t>10.238.1.17</t>
  </si>
  <si>
    <t>10.238.1.18</t>
  </si>
  <si>
    <t>10.238.1.19</t>
  </si>
  <si>
    <t>10.238.1.26</t>
  </si>
  <si>
    <t>10.238.1.27</t>
  </si>
  <si>
    <t>10.238.1.28</t>
  </si>
  <si>
    <t>10.238.1.29</t>
  </si>
  <si>
    <t>10.238.1.36</t>
  </si>
  <si>
    <t>10.238.1.37</t>
  </si>
  <si>
    <t>10.238.1.38</t>
  </si>
  <si>
    <t>10.238.1.39</t>
  </si>
  <si>
    <t>10.238.1.46</t>
  </si>
  <si>
    <t>10.238.1.47</t>
  </si>
  <si>
    <t>10.238.1.48</t>
  </si>
  <si>
    <t>10.238.1.49</t>
  </si>
  <si>
    <t>10.238.1.56</t>
  </si>
  <si>
    <t>10.238.1.57</t>
  </si>
  <si>
    <t>10.238.1.58</t>
  </si>
  <si>
    <t>10.238.1.59</t>
  </si>
  <si>
    <t>10.238.1.66</t>
  </si>
  <si>
    <t>10.238.1.67</t>
  </si>
  <si>
    <t>10.238.1.68</t>
  </si>
  <si>
    <t>10.238.1.69</t>
  </si>
  <si>
    <t>10.238.1.76</t>
  </si>
  <si>
    <t>10.238.1.77</t>
  </si>
  <si>
    <t>10.238.1.78</t>
  </si>
  <si>
    <t>10.238.1.79</t>
  </si>
  <si>
    <t>10.238.1.86</t>
  </si>
  <si>
    <t>10.238.1.87</t>
  </si>
  <si>
    <t>10.238.1.88</t>
  </si>
  <si>
    <t>10.238.1.89</t>
  </si>
  <si>
    <t>10.238.1.96</t>
  </si>
  <si>
    <t>10.238.1.97</t>
  </si>
  <si>
    <t>10.238.1.98</t>
  </si>
  <si>
    <t>10.238.1.99</t>
  </si>
  <si>
    <t>10.238.2.16</t>
  </si>
  <si>
    <t>10.238.2.17</t>
  </si>
  <si>
    <t>10.238.2.18</t>
  </si>
  <si>
    <t>10.238.2.19</t>
  </si>
  <si>
    <t>10.238.2.26</t>
  </si>
  <si>
    <t>10.238.2.27</t>
  </si>
  <si>
    <t>10.238.2.28</t>
  </si>
  <si>
    <t>10.238.2.29</t>
  </si>
  <si>
    <t>10.238.2.36</t>
  </si>
  <si>
    <t>10.238.2.37</t>
  </si>
  <si>
    <t>10.238.2.38</t>
  </si>
  <si>
    <t>10.238.2.39</t>
  </si>
  <si>
    <t>10.238.2.46</t>
  </si>
  <si>
    <t>10.238.2.47</t>
  </si>
  <si>
    <t>10.238.2.48</t>
  </si>
  <si>
    <t>10.238.2.49</t>
  </si>
  <si>
    <t>10.238.2.56</t>
  </si>
  <si>
    <t>10.238.2.57</t>
  </si>
  <si>
    <t>10.238.2.58</t>
  </si>
  <si>
    <t>10.238.2.59</t>
  </si>
  <si>
    <t>10.238.2.66</t>
  </si>
  <si>
    <t>10.238.2.67</t>
  </si>
  <si>
    <t>10.238.2.68</t>
  </si>
  <si>
    <t>10.238.2.69</t>
  </si>
  <si>
    <t>10.238.2.76</t>
  </si>
  <si>
    <t>10.238.2.77</t>
  </si>
  <si>
    <t>10.238.2.78</t>
  </si>
  <si>
    <t>10.238.2.79</t>
  </si>
  <si>
    <t>10.238.2.86</t>
  </si>
  <si>
    <t>10.238.2.87</t>
  </si>
  <si>
    <t>10.238.2.88</t>
  </si>
  <si>
    <t>10.238.2.89</t>
  </si>
  <si>
    <t>10.238.2.96</t>
  </si>
  <si>
    <t>10.238.2.97</t>
  </si>
  <si>
    <t>10.238.2.98</t>
  </si>
  <si>
    <t>10.238.2.99</t>
  </si>
  <si>
    <t>10.238.3.16</t>
  </si>
  <si>
    <t>10.238.3.17</t>
  </si>
  <si>
    <t>10.238.3.18</t>
  </si>
  <si>
    <t>10.238.3.19</t>
  </si>
  <si>
    <t>10.238.3.26</t>
  </si>
  <si>
    <t>10.238.3.27</t>
  </si>
  <si>
    <t>10.238.3.28</t>
  </si>
  <si>
    <t>10.238.3.29</t>
  </si>
  <si>
    <t>10.238.3.36</t>
  </si>
  <si>
    <t>10.238.3.37</t>
  </si>
  <si>
    <t>10.238.3.38</t>
  </si>
  <si>
    <t>10.238.3.39</t>
  </si>
  <si>
    <t>10.238.3.46</t>
  </si>
  <si>
    <t>10.238.3.47</t>
  </si>
  <si>
    <t>10.238.3.48</t>
  </si>
  <si>
    <t>10.238.3.49</t>
  </si>
  <si>
    <t>10.238.3.56</t>
  </si>
  <si>
    <t>10.238.3.57</t>
  </si>
  <si>
    <t>10.238.3.58</t>
  </si>
  <si>
    <t>10.238.3.59</t>
  </si>
  <si>
    <t>10.238.3.66</t>
  </si>
  <si>
    <t>10.238.3.67</t>
  </si>
  <si>
    <t>10.238.3.68</t>
  </si>
  <si>
    <t>10.238.3.69</t>
  </si>
  <si>
    <t>10.238.3.76</t>
  </si>
  <si>
    <t>10.238.3.77</t>
  </si>
  <si>
    <t>10.238.3.78</t>
  </si>
  <si>
    <t>10.238.3.79</t>
  </si>
  <si>
    <t>10.238.3.86</t>
  </si>
  <si>
    <t>10.238.3.87</t>
  </si>
  <si>
    <t>10.238.3.88</t>
  </si>
  <si>
    <t>10.238.3.89</t>
  </si>
  <si>
    <t>10.238.3.96</t>
  </si>
  <si>
    <t>10.238.3.97</t>
  </si>
  <si>
    <t>10.238.3.98</t>
  </si>
  <si>
    <t>10.238.3.99</t>
  </si>
  <si>
    <t>10.238.4.16</t>
  </si>
  <si>
    <t>10.238.4.17</t>
  </si>
  <si>
    <t>10.238.4.18</t>
  </si>
  <si>
    <t>10.238.4.19</t>
  </si>
  <si>
    <t>10.238.4.26</t>
  </si>
  <si>
    <t>10.238.4.27</t>
  </si>
  <si>
    <t>10.238.4.28</t>
  </si>
  <si>
    <t>10.238.4.29</t>
  </si>
  <si>
    <t>10.238.4.36</t>
  </si>
  <si>
    <t>10.238.4.37</t>
  </si>
  <si>
    <t>10.238.4.38</t>
  </si>
  <si>
    <t>10.238.4.39</t>
  </si>
  <si>
    <t>10.238.4.46</t>
  </si>
  <si>
    <t>10.238.4.47</t>
  </si>
  <si>
    <t>10.238.4.48</t>
  </si>
  <si>
    <t>10.238.4.49</t>
  </si>
  <si>
    <t>10.238.4.56</t>
  </si>
  <si>
    <t>10.238.4.57</t>
  </si>
  <si>
    <t>10.238.4.58</t>
  </si>
  <si>
    <t>10.238.4.59</t>
  </si>
  <si>
    <t>10.238.4.66</t>
  </si>
  <si>
    <t>10.238.4.67</t>
  </si>
  <si>
    <t>10.238.4.68</t>
  </si>
  <si>
    <t>10.238.4.69</t>
  </si>
  <si>
    <t>10.238.4.76</t>
  </si>
  <si>
    <t>10.238.4.77</t>
  </si>
  <si>
    <t>10.238.4.78</t>
  </si>
  <si>
    <t>10.238.4.79</t>
  </si>
  <si>
    <t>10.238.4.86</t>
  </si>
  <si>
    <t>10.238.4.87</t>
  </si>
  <si>
    <t>10.238.4.88</t>
  </si>
  <si>
    <t>10.238.4.89</t>
  </si>
  <si>
    <t>10.238.4.96</t>
  </si>
  <si>
    <t>10.238.4.97</t>
  </si>
  <si>
    <t>10.238.4.98</t>
  </si>
  <si>
    <t>10.238.4.99</t>
  </si>
  <si>
    <t>10.238.5.16</t>
  </si>
  <si>
    <t>10.238.5.17</t>
  </si>
  <si>
    <t>10.238.5.18</t>
  </si>
  <si>
    <t>10.238.5.19</t>
  </si>
  <si>
    <t>10.238.5.26</t>
  </si>
  <si>
    <t>10.238.5.27</t>
  </si>
  <si>
    <t>10.238.5.28</t>
  </si>
  <si>
    <t>10.238.5.29</t>
  </si>
  <si>
    <t>10.238.5.37</t>
  </si>
  <si>
    <t>10.238.5.38</t>
  </si>
  <si>
    <t>10.238.5.39</t>
  </si>
  <si>
    <t>10.238.5.46</t>
  </si>
  <si>
    <t>10.238.5.47</t>
  </si>
  <si>
    <t>10.238.5.48</t>
  </si>
  <si>
    <t>10.238.5.49</t>
  </si>
  <si>
    <t>10.238.5.56</t>
  </si>
  <si>
    <t>10.238.5.57</t>
  </si>
  <si>
    <t>10.238.5.58</t>
  </si>
  <si>
    <t>10.238.5.59</t>
  </si>
  <si>
    <t>10.238.5.66</t>
  </si>
  <si>
    <t>10.238.5.67</t>
  </si>
  <si>
    <t>10.238.5.68</t>
  </si>
  <si>
    <t>10.238.5.69</t>
  </si>
  <si>
    <t>10.238.5.76</t>
  </si>
  <si>
    <t>10.238.5.77</t>
  </si>
  <si>
    <t>10.238.5.78</t>
  </si>
  <si>
    <t>10.238.5.79</t>
  </si>
  <si>
    <t>10.238.5.86</t>
  </si>
  <si>
    <t>10.238.5.87</t>
  </si>
  <si>
    <t>10.238.5.88</t>
  </si>
  <si>
    <t>10.238.5.89</t>
  </si>
  <si>
    <t>10.238.5.96</t>
  </si>
  <si>
    <t>10.238.5.97</t>
  </si>
  <si>
    <t>10.238.5.98</t>
  </si>
  <si>
    <t>10.238.5.99</t>
  </si>
  <si>
    <t>10.238.6.16</t>
  </si>
  <si>
    <t>10.238.6.17</t>
  </si>
  <si>
    <t>10.238.6.18</t>
  </si>
  <si>
    <t>10.238.6.19</t>
  </si>
  <si>
    <t>10.238.6.26</t>
  </si>
  <si>
    <t>10.238.6.27</t>
  </si>
  <si>
    <t>10.238.6.28</t>
  </si>
  <si>
    <t>10.238.6.29</t>
  </si>
  <si>
    <t>10.238.6.36</t>
  </si>
  <si>
    <t>10.238.6.37</t>
  </si>
  <si>
    <t>10.238.6.38</t>
  </si>
  <si>
    <t>10.238.6.39</t>
  </si>
  <si>
    <t>10.238.6.46</t>
  </si>
  <si>
    <t>10.238.6.47</t>
  </si>
  <si>
    <t>10.238.6.48</t>
  </si>
  <si>
    <t>10.238.6.49</t>
  </si>
  <si>
    <t>10.238.6.56</t>
  </si>
  <si>
    <t>10.238.6.57</t>
  </si>
  <si>
    <t>10.238.6.58</t>
  </si>
  <si>
    <t>10.238.6.59</t>
  </si>
  <si>
    <t>10.238.6.66</t>
  </si>
  <si>
    <t>10.238.6.67</t>
  </si>
  <si>
    <t>10.238.6.68</t>
  </si>
  <si>
    <t>10.238.6.69</t>
  </si>
  <si>
    <t>10.238.6.76</t>
  </si>
  <si>
    <t>10.238.6.77</t>
  </si>
  <si>
    <t>10.238.6.78</t>
  </si>
  <si>
    <t>10.238.6.79</t>
  </si>
  <si>
    <t>10.238.6.86</t>
  </si>
  <si>
    <t>10.238.6.87</t>
  </si>
  <si>
    <t>10.238.6.88</t>
  </si>
  <si>
    <t>10.238.6.89</t>
  </si>
  <si>
    <t>10.238.6.96</t>
  </si>
  <si>
    <t>10.238.6.97</t>
  </si>
  <si>
    <t>10.238.6.98</t>
  </si>
  <si>
    <t>10.238.6.99</t>
  </si>
  <si>
    <t>10.238.7.16</t>
  </si>
  <si>
    <t>10.238.7.17</t>
  </si>
  <si>
    <t>10.238.7.18</t>
  </si>
  <si>
    <t>10.238.7.19</t>
  </si>
  <si>
    <t>10.238.7.26</t>
  </si>
  <si>
    <t>10.238.7.27</t>
  </si>
  <si>
    <t>10.238.7.28</t>
  </si>
  <si>
    <t>10.238.7.29</t>
  </si>
  <si>
    <t>10.238.7.36</t>
  </si>
  <si>
    <t>10.238.7.37</t>
  </si>
  <si>
    <t>10.238.7.38</t>
  </si>
  <si>
    <t>10.238.7.39</t>
  </si>
  <si>
    <t>10.238.7.46</t>
  </si>
  <si>
    <t>10.238.7.47</t>
  </si>
  <si>
    <t>10.238.7.48</t>
  </si>
  <si>
    <t>10.238.7.49</t>
  </si>
  <si>
    <t>10.238.7.56</t>
  </si>
  <si>
    <t>10.238.7.57</t>
  </si>
  <si>
    <t>10.238.7.58</t>
  </si>
  <si>
    <t>10.238.7.59</t>
  </si>
  <si>
    <t>10.238.7.66</t>
  </si>
  <si>
    <t>10.238.7.67</t>
  </si>
  <si>
    <t>10.238.7.68</t>
  </si>
  <si>
    <t>10.238.7.69</t>
  </si>
  <si>
    <t>10.238.7.76</t>
  </si>
  <si>
    <t>10.238.7.77</t>
  </si>
  <si>
    <t>10.238.7.78</t>
  </si>
  <si>
    <t>10.238.7.79</t>
  </si>
  <si>
    <t>10.238.7.87</t>
  </si>
  <si>
    <t>10.238.7.88</t>
  </si>
  <si>
    <t>10.238.7.89</t>
  </si>
  <si>
    <t>10.238.7.96</t>
  </si>
  <si>
    <t>10.238.7.97</t>
  </si>
  <si>
    <t>10.238.7.98</t>
  </si>
  <si>
    <t>10.238.7.99</t>
  </si>
  <si>
    <t>Fault</t>
  </si>
  <si>
    <t>Warning</t>
  </si>
  <si>
    <t>Normal</t>
  </si>
  <si>
    <t>MBMU-w1</t>
  </si>
  <si>
    <t>MBMU-w2</t>
  </si>
  <si>
    <t>SysSta</t>
  </si>
  <si>
    <t>status</t>
  </si>
  <si>
    <t>warn1</t>
  </si>
  <si>
    <t>warn2</t>
  </si>
  <si>
    <t>DiffVcell</t>
  </si>
  <si>
    <t>Max,Min Vcell</t>
  </si>
  <si>
    <t>bmu, FireSys Status</t>
  </si>
  <si>
    <t>Isotator Status</t>
  </si>
  <si>
    <t>1OK,4Warn,5Fault</t>
  </si>
  <si>
    <t>System Status</t>
  </si>
  <si>
    <t>0 enable, 2 disable</t>
  </si>
  <si>
    <t>Isolator status</t>
  </si>
  <si>
    <t>Offline</t>
  </si>
  <si>
    <t>37D</t>
  </si>
  <si>
    <t>37C</t>
  </si>
  <si>
    <t>37B</t>
  </si>
  <si>
    <t>37A</t>
  </si>
  <si>
    <t>55A</t>
  </si>
  <si>
    <t>55B</t>
  </si>
  <si>
    <t>55C</t>
  </si>
  <si>
    <t>55D</t>
  </si>
  <si>
    <t>01D</t>
  </si>
  <si>
    <t>01C</t>
  </si>
  <si>
    <t>01B</t>
  </si>
  <si>
    <t>01A</t>
  </si>
  <si>
    <t>19A</t>
  </si>
  <si>
    <t>19B</t>
  </si>
  <si>
    <t>19C</t>
  </si>
  <si>
    <t>19D</t>
  </si>
  <si>
    <t>Office</t>
  </si>
  <si>
    <t>PG7</t>
  </si>
  <si>
    <t>PG8</t>
  </si>
  <si>
    <t>PG1</t>
  </si>
  <si>
    <t>PG2</t>
  </si>
  <si>
    <t>PG6</t>
  </si>
  <si>
    <t>PG4</t>
  </si>
  <si>
    <t>02D</t>
  </si>
  <si>
    <t>02C</t>
  </si>
  <si>
    <t>02B</t>
  </si>
  <si>
    <t>02A</t>
  </si>
  <si>
    <t>03D</t>
  </si>
  <si>
    <t>03C</t>
  </si>
  <si>
    <t>03B</t>
  </si>
  <si>
    <t>03A</t>
  </si>
  <si>
    <t>04D</t>
  </si>
  <si>
    <t>04C</t>
  </si>
  <si>
    <t>04B</t>
  </si>
  <si>
    <t>04A</t>
  </si>
  <si>
    <t>05D</t>
  </si>
  <si>
    <t>05C</t>
  </si>
  <si>
    <t>05B</t>
  </si>
  <si>
    <t>05A</t>
  </si>
  <si>
    <t>06D</t>
  </si>
  <si>
    <t>06C</t>
  </si>
  <si>
    <t>06B</t>
  </si>
  <si>
    <t>06A</t>
  </si>
  <si>
    <t>07D</t>
  </si>
  <si>
    <t>07C</t>
  </si>
  <si>
    <t>07B</t>
  </si>
  <si>
    <t>07A</t>
  </si>
  <si>
    <t>08D</t>
  </si>
  <si>
    <t>08C</t>
  </si>
  <si>
    <t>08B</t>
  </si>
  <si>
    <t>08A</t>
  </si>
  <si>
    <t>09D</t>
  </si>
  <si>
    <t>09C</t>
  </si>
  <si>
    <t>09B</t>
  </si>
  <si>
    <t>09A</t>
  </si>
  <si>
    <t>10D</t>
  </si>
  <si>
    <t>10C</t>
  </si>
  <si>
    <t>10B</t>
  </si>
  <si>
    <t>10A</t>
  </si>
  <si>
    <t>11D</t>
  </si>
  <si>
    <t>11C</t>
  </si>
  <si>
    <t>11B</t>
  </si>
  <si>
    <t>11A</t>
  </si>
  <si>
    <t>12D</t>
  </si>
  <si>
    <t>12C</t>
  </si>
  <si>
    <t>12B</t>
  </si>
  <si>
    <t>12A</t>
  </si>
  <si>
    <t>13D</t>
  </si>
  <si>
    <t>13C</t>
  </si>
  <si>
    <t>13B</t>
  </si>
  <si>
    <t>13A</t>
  </si>
  <si>
    <t>14D</t>
  </si>
  <si>
    <t>14C</t>
  </si>
  <si>
    <t>14B</t>
  </si>
  <si>
    <t>14A</t>
  </si>
  <si>
    <t>15D</t>
  </si>
  <si>
    <t>15C</t>
  </si>
  <si>
    <t>15B</t>
  </si>
  <si>
    <t>15A</t>
  </si>
  <si>
    <t>16D</t>
  </si>
  <si>
    <t>16C</t>
  </si>
  <si>
    <t>16B</t>
  </si>
  <si>
    <t>16A</t>
  </si>
  <si>
    <t>17D</t>
  </si>
  <si>
    <t>17C</t>
  </si>
  <si>
    <t>17B</t>
  </si>
  <si>
    <t>17A</t>
  </si>
  <si>
    <t>18D</t>
  </si>
  <si>
    <t>18C</t>
  </si>
  <si>
    <t>18B</t>
  </si>
  <si>
    <t>18A</t>
  </si>
  <si>
    <t>20D</t>
  </si>
  <si>
    <t>20C</t>
  </si>
  <si>
    <t>20B</t>
  </si>
  <si>
    <t>20A</t>
  </si>
  <si>
    <t>21D</t>
  </si>
  <si>
    <t>21C</t>
  </si>
  <si>
    <t>21B</t>
  </si>
  <si>
    <t>21A</t>
  </si>
  <si>
    <t>22D</t>
  </si>
  <si>
    <t>22C</t>
  </si>
  <si>
    <t>22B</t>
  </si>
  <si>
    <t>22A</t>
  </si>
  <si>
    <t>23D</t>
  </si>
  <si>
    <t>23C</t>
  </si>
  <si>
    <t>23B</t>
  </si>
  <si>
    <t>23A</t>
  </si>
  <si>
    <t>24D</t>
  </si>
  <si>
    <t>24C</t>
  </si>
  <si>
    <t>24B</t>
  </si>
  <si>
    <t>24A</t>
  </si>
  <si>
    <t>25D</t>
  </si>
  <si>
    <t>25C</t>
  </si>
  <si>
    <t>25B</t>
  </si>
  <si>
    <t>25A</t>
  </si>
  <si>
    <t>26D</t>
  </si>
  <si>
    <t>26C</t>
  </si>
  <si>
    <t>26B</t>
  </si>
  <si>
    <t>26A</t>
  </si>
  <si>
    <t>27D</t>
  </si>
  <si>
    <t>27C</t>
  </si>
  <si>
    <t>27B</t>
  </si>
  <si>
    <t>27A</t>
  </si>
  <si>
    <t>28D</t>
  </si>
  <si>
    <t>28C</t>
  </si>
  <si>
    <t>28B</t>
  </si>
  <si>
    <t>28A</t>
  </si>
  <si>
    <t>29D</t>
  </si>
  <si>
    <t>29C</t>
  </si>
  <si>
    <t>29B</t>
  </si>
  <si>
    <t>29A</t>
  </si>
  <si>
    <t>30D</t>
  </si>
  <si>
    <t>30C</t>
  </si>
  <si>
    <t>30B</t>
  </si>
  <si>
    <t>30A</t>
  </si>
  <si>
    <t>31D</t>
  </si>
  <si>
    <t>31C</t>
  </si>
  <si>
    <t>31B</t>
  </si>
  <si>
    <t>31A</t>
  </si>
  <si>
    <t>32D</t>
  </si>
  <si>
    <t>32C</t>
  </si>
  <si>
    <t>32B</t>
  </si>
  <si>
    <t>32A</t>
  </si>
  <si>
    <t>33D</t>
  </si>
  <si>
    <t>33C</t>
  </si>
  <si>
    <t>33B</t>
  </si>
  <si>
    <t>33A</t>
  </si>
  <si>
    <t>34D</t>
  </si>
  <si>
    <t>34C</t>
  </si>
  <si>
    <t>34B</t>
  </si>
  <si>
    <t>34A</t>
  </si>
  <si>
    <t>35D</t>
  </si>
  <si>
    <t>35C</t>
  </si>
  <si>
    <t>35B</t>
  </si>
  <si>
    <t>35A</t>
  </si>
  <si>
    <t>36D</t>
  </si>
  <si>
    <t>36C</t>
  </si>
  <si>
    <t>36B</t>
  </si>
  <si>
    <t>36A</t>
  </si>
  <si>
    <t>38D</t>
  </si>
  <si>
    <t>38C</t>
  </si>
  <si>
    <t>38B</t>
  </si>
  <si>
    <t>38A</t>
  </si>
  <si>
    <t>39D</t>
  </si>
  <si>
    <t>39C</t>
  </si>
  <si>
    <t>39B</t>
  </si>
  <si>
    <t>39A</t>
  </si>
  <si>
    <t>40D</t>
  </si>
  <si>
    <t>40C</t>
  </si>
  <si>
    <t>40B</t>
  </si>
  <si>
    <t>40A</t>
  </si>
  <si>
    <t>41D</t>
  </si>
  <si>
    <t>41C</t>
  </si>
  <si>
    <t>41B</t>
  </si>
  <si>
    <t>41A</t>
  </si>
  <si>
    <t>42D</t>
  </si>
  <si>
    <t>42C</t>
  </si>
  <si>
    <t>42B</t>
  </si>
  <si>
    <t>42A</t>
  </si>
  <si>
    <t>43D</t>
  </si>
  <si>
    <t>43C</t>
  </si>
  <si>
    <t>43B</t>
  </si>
  <si>
    <t>43A</t>
  </si>
  <si>
    <t>44D</t>
  </si>
  <si>
    <t>44C</t>
  </si>
  <si>
    <t>44B</t>
  </si>
  <si>
    <t>44A</t>
  </si>
  <si>
    <t>45D</t>
  </si>
  <si>
    <t>45C</t>
  </si>
  <si>
    <t>45B</t>
  </si>
  <si>
    <t>45A</t>
  </si>
  <si>
    <t>46D</t>
  </si>
  <si>
    <t>46C</t>
  </si>
  <si>
    <t>46B</t>
  </si>
  <si>
    <t>46A</t>
  </si>
  <si>
    <t>47D</t>
  </si>
  <si>
    <t>47C</t>
  </si>
  <si>
    <t>47B</t>
  </si>
  <si>
    <t>47A</t>
  </si>
  <si>
    <t>48D</t>
  </si>
  <si>
    <t>48C</t>
  </si>
  <si>
    <t>48B</t>
  </si>
  <si>
    <t>48A</t>
  </si>
  <si>
    <t>49D</t>
  </si>
  <si>
    <t>49C</t>
  </si>
  <si>
    <t>49B</t>
  </si>
  <si>
    <t>49A</t>
  </si>
  <si>
    <t>50D</t>
  </si>
  <si>
    <t>50C</t>
  </si>
  <si>
    <t>50B</t>
  </si>
  <si>
    <t>50A</t>
  </si>
  <si>
    <t>51D</t>
  </si>
  <si>
    <t>51C</t>
  </si>
  <si>
    <t>51B</t>
  </si>
  <si>
    <t>51A</t>
  </si>
  <si>
    <t>52D</t>
  </si>
  <si>
    <t>52C</t>
  </si>
  <si>
    <t>52B</t>
  </si>
  <si>
    <t>52A</t>
  </si>
  <si>
    <t>53D</t>
  </si>
  <si>
    <t>53C</t>
  </si>
  <si>
    <t>53B</t>
  </si>
  <si>
    <t>53A</t>
  </si>
  <si>
    <t>54D</t>
  </si>
  <si>
    <t>54C</t>
  </si>
  <si>
    <t>54B</t>
  </si>
  <si>
    <t>54A</t>
  </si>
  <si>
    <t>56D</t>
  </si>
  <si>
    <t>56C</t>
  </si>
  <si>
    <t>56B</t>
  </si>
  <si>
    <t>56A</t>
  </si>
  <si>
    <t>57D</t>
  </si>
  <si>
    <t>57C</t>
  </si>
  <si>
    <t>57B</t>
  </si>
  <si>
    <t>57A</t>
  </si>
  <si>
    <t>58D</t>
  </si>
  <si>
    <t>58C</t>
  </si>
  <si>
    <t>58B</t>
  </si>
  <si>
    <t>58A</t>
  </si>
  <si>
    <t>59D</t>
  </si>
  <si>
    <t>59C</t>
  </si>
  <si>
    <t>59B</t>
  </si>
  <si>
    <t>59A</t>
  </si>
  <si>
    <t>60D</t>
  </si>
  <si>
    <t>60C</t>
  </si>
  <si>
    <t>60B</t>
  </si>
  <si>
    <t>60A</t>
  </si>
  <si>
    <t>61D</t>
  </si>
  <si>
    <t>61C</t>
  </si>
  <si>
    <t>61B</t>
  </si>
  <si>
    <t>61A</t>
  </si>
  <si>
    <t>62D</t>
  </si>
  <si>
    <t>62C</t>
  </si>
  <si>
    <t>62B</t>
  </si>
  <si>
    <t>62A</t>
  </si>
  <si>
    <t>63D</t>
  </si>
  <si>
    <t>63C</t>
  </si>
  <si>
    <t>63B</t>
  </si>
  <si>
    <t>63A</t>
  </si>
  <si>
    <t>64D</t>
  </si>
  <si>
    <t>64C</t>
  </si>
  <si>
    <t>64B</t>
  </si>
  <si>
    <t>64A</t>
  </si>
  <si>
    <t>65D</t>
  </si>
  <si>
    <t>65C</t>
  </si>
  <si>
    <t>65B</t>
  </si>
  <si>
    <t>65A</t>
  </si>
  <si>
    <t>66D</t>
  </si>
  <si>
    <t>66C</t>
  </si>
  <si>
    <t>66B</t>
  </si>
  <si>
    <t>66A</t>
  </si>
  <si>
    <t>67D</t>
  </si>
  <si>
    <t>67C</t>
  </si>
  <si>
    <t>67B</t>
  </si>
  <si>
    <t>67A</t>
  </si>
  <si>
    <t>68D</t>
  </si>
  <si>
    <t>68C</t>
  </si>
  <si>
    <t>68B</t>
  </si>
  <si>
    <t>68A</t>
  </si>
  <si>
    <t>69D</t>
  </si>
  <si>
    <t>69C</t>
  </si>
  <si>
    <t>69B</t>
  </si>
  <si>
    <t>69A</t>
  </si>
  <si>
    <t>70D</t>
  </si>
  <si>
    <t>70C</t>
  </si>
  <si>
    <t>70B</t>
  </si>
  <si>
    <t>70A</t>
  </si>
  <si>
    <t>71D</t>
  </si>
  <si>
    <t>71C</t>
  </si>
  <si>
    <t>71B</t>
  </si>
  <si>
    <t>71A</t>
  </si>
  <si>
    <t>72D</t>
  </si>
  <si>
    <t>72C</t>
  </si>
  <si>
    <t>72B</t>
  </si>
  <si>
    <t>72A</t>
  </si>
  <si>
    <t>可充电电量</t>
  </si>
  <si>
    <t>可放电电量</t>
  </si>
  <si>
    <t>累计充电电量-低位</t>
  </si>
  <si>
    <t>累计充电电量-高位</t>
  </si>
  <si>
    <t>累计放电电量-低位</t>
  </si>
  <si>
    <t>累计放电电量-高位</t>
  </si>
  <si>
    <t>最小单体电压</t>
  </si>
  <si>
    <t>EnvTemp</t>
  </si>
  <si>
    <t>E-stop</t>
  </si>
  <si>
    <t>Door open</t>
  </si>
  <si>
    <t>MBMU fan fault</t>
  </si>
  <si>
    <t>Fire system warning</t>
  </si>
  <si>
    <t>EMS comm fault</t>
  </si>
  <si>
    <t>SBMU comm fault</t>
  </si>
  <si>
    <t>RegHex</t>
  </si>
  <si>
    <t>SumValue</t>
  </si>
  <si>
    <t>TMS mode conflict fault</t>
  </si>
  <si>
    <t>TMS fault level 2</t>
  </si>
  <si>
    <t>MBMU ver</t>
  </si>
  <si>
    <t>ETH ver</t>
  </si>
  <si>
    <t>PG3</t>
  </si>
  <si>
    <t>PG5</t>
  </si>
  <si>
    <t>VoltDif</t>
  </si>
  <si>
    <t>SocDif</t>
  </si>
  <si>
    <t>RelayPCS侧输出电压</t>
  </si>
  <si>
    <t>已闭合relay数量</t>
  </si>
  <si>
    <t>Sbmu01 Ver</t>
  </si>
  <si>
    <t>Sbmu05 Ver</t>
  </si>
  <si>
    <t>Sbmu04 Ver</t>
  </si>
  <si>
    <t>Sbmu03 Ver</t>
  </si>
  <si>
    <t>Sbmu02 Ver</t>
  </si>
  <si>
    <t>0x0400-0x40F</t>
  </si>
  <si>
    <t>SBMU告警和故障</t>
  </si>
  <si>
    <t>SBMU03告警和故障</t>
  </si>
  <si>
    <t>SBMU04告警和故障</t>
  </si>
  <si>
    <t>SBMU05告警和故障</t>
  </si>
  <si>
    <t>IMM ver</t>
  </si>
  <si>
    <t>SBMU01</t>
  </si>
  <si>
    <t>SBMU02</t>
  </si>
  <si>
    <t>SBMU03</t>
  </si>
  <si>
    <t>SBMU04</t>
  </si>
  <si>
    <t>SBMU05</t>
  </si>
  <si>
    <t xml:space="preserve"> Connect fail</t>
  </si>
  <si>
    <t>RackEn</t>
  </si>
  <si>
    <t>No</t>
  </si>
  <si>
    <t>Max allowed charge current</t>
  </si>
  <si>
    <t>Max allowed discharge current</t>
  </si>
  <si>
    <t>Charge SOE</t>
  </si>
  <si>
    <t>Discharge SOE</t>
  </si>
  <si>
    <t>subsystem remain charge energy</t>
  </si>
  <si>
    <t>subsystem remain discharge energy</t>
  </si>
  <si>
    <t>Sum of cell voltage</t>
  </si>
  <si>
    <t>SBMU enable</t>
  </si>
  <si>
    <t>Max Vcell</t>
  </si>
  <si>
    <t>Min Vcell</t>
  </si>
  <si>
    <t>Max Tcell</t>
  </si>
  <si>
    <t>Comment</t>
  </si>
  <si>
    <t>W-Val</t>
  </si>
  <si>
    <t>REG1</t>
  </si>
  <si>
    <t>REG2</t>
  </si>
  <si>
    <t>Y</t>
  </si>
  <si>
    <t>W-Val2</t>
  </si>
  <si>
    <t>Connect fail</t>
  </si>
  <si>
    <t>Write successful</t>
  </si>
  <si>
    <t>ReadVal</t>
  </si>
  <si>
    <t>04abcd</t>
  </si>
  <si>
    <t>SF6维修被隔离</t>
  </si>
  <si>
    <t>CC1</t>
  </si>
  <si>
    <t>DC1</t>
  </si>
  <si>
    <t>CC2</t>
  </si>
  <si>
    <t>DC2</t>
  </si>
  <si>
    <t>CC3</t>
  </si>
  <si>
    <t>DC3</t>
  </si>
  <si>
    <t>CC4</t>
  </si>
  <si>
    <t>DC4</t>
  </si>
  <si>
    <t>CC5</t>
  </si>
  <si>
    <t>DC5</t>
  </si>
  <si>
    <t>HCC1</t>
  </si>
  <si>
    <t>HDC1</t>
  </si>
  <si>
    <t>HCC2</t>
  </si>
  <si>
    <t>HDC2</t>
  </si>
  <si>
    <t>HCC3</t>
  </si>
  <si>
    <t>HDC3</t>
  </si>
  <si>
    <t>HCC4</t>
  </si>
  <si>
    <t>HDC4</t>
  </si>
  <si>
    <t>HCC5</t>
  </si>
  <si>
    <t>HDC5</t>
  </si>
  <si>
    <t>MEDIAN</t>
  </si>
  <si>
    <t>HdisChrg/Hchrg</t>
  </si>
  <si>
    <t>SBMU-Iso</t>
  </si>
  <si>
    <t>min</t>
  </si>
  <si>
    <t>max</t>
  </si>
  <si>
    <t>median</t>
  </si>
  <si>
    <t>6b</t>
  </si>
  <si>
    <t>10.238.1.11</t>
  </si>
  <si>
    <t>10.238.1.21</t>
  </si>
  <si>
    <t>10.238.1.31</t>
  </si>
  <si>
    <t>10.238.1.41</t>
  </si>
  <si>
    <t>10.238.1.51</t>
  </si>
  <si>
    <t>10.238.1.61</t>
  </si>
  <si>
    <t>10.238.1.71</t>
  </si>
  <si>
    <t>10.238.1.81</t>
  </si>
  <si>
    <t>10.238.1.91</t>
  </si>
  <si>
    <t>10.238.2.11</t>
  </si>
  <si>
    <t>10.238.2.21</t>
  </si>
  <si>
    <t>10.238.2.31</t>
  </si>
  <si>
    <t>10.238.2.41</t>
  </si>
  <si>
    <t>10.238.2.51</t>
  </si>
  <si>
    <t>10.238.2.61</t>
  </si>
  <si>
    <t>10.238.2.71</t>
  </si>
  <si>
    <t>10.238.2.81</t>
  </si>
  <si>
    <t>10.238.2.91</t>
  </si>
  <si>
    <t>10.238.3.11</t>
  </si>
  <si>
    <t>10.238.3.21</t>
  </si>
  <si>
    <t>10.238.3.31</t>
  </si>
  <si>
    <t>10.238.3.41</t>
  </si>
  <si>
    <t>10.238.3.51</t>
  </si>
  <si>
    <t>10.238.3.61</t>
  </si>
  <si>
    <t>10.238.3.71</t>
  </si>
  <si>
    <t>10.238.3.81</t>
  </si>
  <si>
    <t>10.238.3.91</t>
  </si>
  <si>
    <t>10.238.4.11</t>
  </si>
  <si>
    <t>10.238.4.21</t>
  </si>
  <si>
    <t>10.238.4.31</t>
  </si>
  <si>
    <t>10.238.4.41</t>
  </si>
  <si>
    <t>10.238.4.51</t>
  </si>
  <si>
    <t>10.238.4.61</t>
  </si>
  <si>
    <t>10.238.4.71</t>
  </si>
  <si>
    <t>10.238.4.81</t>
  </si>
  <si>
    <t>10.238.4.91</t>
  </si>
  <si>
    <t>10.238.5.11</t>
  </si>
  <si>
    <t>10.238.5.21</t>
  </si>
  <si>
    <t>10.238.5.31</t>
  </si>
  <si>
    <t>10.238.5.41</t>
  </si>
  <si>
    <t>10.238.5.51</t>
  </si>
  <si>
    <t>10.238.5.61</t>
  </si>
  <si>
    <t>10.238.5.71</t>
  </si>
  <si>
    <t>10.238.5.81</t>
  </si>
  <si>
    <t>10.238.5.91</t>
  </si>
  <si>
    <t>10.238.6.11</t>
  </si>
  <si>
    <t>10.238.6.21</t>
  </si>
  <si>
    <t>10.238.6.31</t>
  </si>
  <si>
    <t>10.238.6.41</t>
  </si>
  <si>
    <t>10.238.6.51</t>
  </si>
  <si>
    <t>10.238.6.61</t>
  </si>
  <si>
    <t>10.238.6.71</t>
  </si>
  <si>
    <t>10.238.6.81</t>
  </si>
  <si>
    <t>10.238.6.91</t>
  </si>
  <si>
    <t>10.238.7.11</t>
  </si>
  <si>
    <t>10.238.7.21</t>
  </si>
  <si>
    <t>10.238.7.31</t>
  </si>
  <si>
    <t>10.238.7.41</t>
  </si>
  <si>
    <t>10.238.7.51</t>
  </si>
  <si>
    <t>10.238.7.61</t>
  </si>
  <si>
    <t>10.238.7.71</t>
  </si>
  <si>
    <t>10.238.7.81</t>
  </si>
  <si>
    <t>10.238.7.91</t>
  </si>
  <si>
    <t>10.238.8.11</t>
  </si>
  <si>
    <t>10.238.8.21</t>
  </si>
  <si>
    <t>10.238.8.31</t>
  </si>
  <si>
    <t>10.238.8.41</t>
  </si>
  <si>
    <t>10.238.8.51</t>
  </si>
  <si>
    <t>10.238.8.61</t>
  </si>
  <si>
    <t>10.238.8.71</t>
  </si>
  <si>
    <t>10.238.8.81</t>
  </si>
  <si>
    <t>10.238.8.91</t>
  </si>
  <si>
    <t>BMS status</t>
  </si>
  <si>
    <t>Num of Subsys</t>
  </si>
  <si>
    <t>Soc</t>
  </si>
  <si>
    <t>Max_Charge_Curr_Allowed</t>
  </si>
  <si>
    <t>Max_Discharge_Curr_Allowed</t>
  </si>
  <si>
    <t>Remaining_Charge_Energy</t>
  </si>
  <si>
    <t>Remaining_Discharge_Energy</t>
  </si>
  <si>
    <t>Ambient_Temp_Average</t>
  </si>
  <si>
    <t>Cell_Volt_Max</t>
  </si>
  <si>
    <t>Cell_Volt_Min</t>
  </si>
  <si>
    <t>Cell_Volt_Avg</t>
  </si>
  <si>
    <t>Cell_Temp_Max</t>
  </si>
  <si>
    <t>Cell_Temp_Min</t>
  </si>
  <si>
    <t>Cell_Temp_Avg</t>
  </si>
  <si>
    <t>MBMU_Warn_Fault_16</t>
  </si>
  <si>
    <t>MBMU_Warn_Fault_17</t>
  </si>
  <si>
    <t>SBMU1_Warn_Fault_Bitmap_6</t>
  </si>
  <si>
    <t>Soc Avg</t>
  </si>
  <si>
    <t>Volt med</t>
  </si>
  <si>
    <t>Sys_Soc_Maintenance_Req</t>
  </si>
  <si>
    <t>TMS_Fault_Code</t>
  </si>
  <si>
    <t>Aux_Power_Lost</t>
  </si>
  <si>
    <t>SocVolt-20250211-153846.csv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</si>
</sst>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/mmm\ h:mm"/>
  </numFmts>
  <fonts count="28">
    <font>
      <sz val="11"/>
      <color theme="1"/>
      <name val="Aptos Narrow"/>
      <family val="2"/>
      <charset val="134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2"/>
      <charset val="134"/>
      <scheme val="minor"/>
    </font>
    <font>
      <sz val="11"/>
      <color rgb="FF0061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color theme="3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sz val="10"/>
      <color theme="1"/>
      <name val="Aptos Narrow"/>
      <family val="2"/>
      <charset val="134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000000"/>
      <name val="等线"/>
    </font>
    <font>
      <b/>
      <sz val="11"/>
      <color rgb="FFFF0000"/>
      <name val="等线"/>
    </font>
    <font>
      <sz val="11"/>
      <color rgb="FF000000"/>
      <name val="Aptos Narrow"/>
      <family val="2"/>
      <charset val="134"/>
      <scheme val="minor"/>
    </font>
    <font>
      <b/>
      <sz val="16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rgb="FF000000"/>
      <name val="Aptos Narrow"/>
      <family val="2"/>
      <charset val="134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5" tint="0.39997558519241921"/>
      </bottom>
      <diagonal/>
    </border>
    <border>
      <left/>
      <right/>
      <top style="medium">
        <color indexed="64"/>
      </top>
      <bottom style="thin">
        <color theme="5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5" tint="0.39997558519241921"/>
      </bottom>
      <diagonal/>
    </border>
    <border>
      <left style="medium">
        <color indexed="64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medium">
        <color indexed="64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thin">
        <color theme="5" tint="0.39997558519241921"/>
      </top>
      <bottom style="medium">
        <color indexed="64"/>
      </bottom>
      <diagonal/>
    </border>
    <border>
      <left/>
      <right/>
      <top style="thin">
        <color theme="5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5" tint="0.39997558519241921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0" applyNumberFormat="0" applyBorder="0" applyAlignment="0" applyProtection="0"/>
  </cellStyleXfs>
  <cellXfs count="167">
    <xf numFmtId="0" fontId="0" fillId="0" borderId="0" xfId="0">
      <alignment vertical="center"/>
    </xf>
    <xf numFmtId="0" fontId="6" fillId="6" borderId="10" xfId="0" applyFont="1" applyFill="1" applyBorder="1">
      <alignment vertical="center"/>
    </xf>
    <xf numFmtId="0" fontId="6" fillId="6" borderId="11" xfId="0" applyFont="1" applyFill="1" applyBorder="1" applyAlignment="1">
      <alignment vertical="center" wrapText="1"/>
    </xf>
    <xf numFmtId="0" fontId="6" fillId="6" borderId="12" xfId="0" applyFont="1" applyFill="1" applyBorder="1">
      <alignment vertical="center"/>
    </xf>
    <xf numFmtId="0" fontId="7" fillId="7" borderId="10" xfId="0" applyFont="1" applyFill="1" applyBorder="1">
      <alignment vertical="center"/>
    </xf>
    <xf numFmtId="164" fontId="7" fillId="7" borderId="11" xfId="0" applyNumberFormat="1" applyFont="1" applyFill="1" applyBorder="1">
      <alignment vertical="center"/>
    </xf>
    <xf numFmtId="0" fontId="7" fillId="7" borderId="12" xfId="0" applyFont="1" applyFill="1" applyBorder="1">
      <alignment vertical="center"/>
    </xf>
    <xf numFmtId="164" fontId="7" fillId="0" borderId="11" xfId="0" applyNumberFormat="1" applyFont="1" applyBorder="1">
      <alignment vertical="center"/>
    </xf>
    <xf numFmtId="0" fontId="7" fillId="0" borderId="12" xfId="0" applyFont="1" applyBorder="1">
      <alignment vertical="center"/>
    </xf>
    <xf numFmtId="164" fontId="7" fillId="0" borderId="2" xfId="0" applyNumberFormat="1" applyFont="1" applyBorder="1">
      <alignment vertical="center"/>
    </xf>
    <xf numFmtId="0" fontId="7" fillId="0" borderId="3" xfId="0" applyFont="1" applyBorder="1">
      <alignment vertical="center"/>
    </xf>
    <xf numFmtId="0" fontId="6" fillId="8" borderId="4" xfId="0" applyFont="1" applyFill="1" applyBorder="1">
      <alignment vertical="center"/>
    </xf>
    <xf numFmtId="0" fontId="6" fillId="8" borderId="5" xfId="0" applyFont="1" applyFill="1" applyBorder="1">
      <alignment vertical="center"/>
    </xf>
    <xf numFmtId="0" fontId="6" fillId="8" borderId="6" xfId="0" applyFont="1" applyFill="1" applyBorder="1">
      <alignment vertical="center"/>
    </xf>
    <xf numFmtId="0" fontId="8" fillId="0" borderId="6" xfId="0" applyFont="1" applyBorder="1">
      <alignment vertical="center"/>
    </xf>
    <xf numFmtId="0" fontId="8" fillId="0" borderId="9" xfId="0" applyFont="1" applyBorder="1">
      <alignment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6" fillId="6" borderId="11" xfId="0" applyFont="1" applyFill="1" applyBorder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10" fillId="5" borderId="0" xfId="2" applyFont="1" applyFill="1" applyBorder="1" applyAlignment="1">
      <alignment horizontal="right" vertical="center"/>
    </xf>
    <xf numFmtId="0" fontId="9" fillId="5" borderId="0" xfId="2" applyFont="1" applyFill="1" applyBorder="1" applyAlignment="1">
      <alignment vertical="center"/>
    </xf>
    <xf numFmtId="0" fontId="6" fillId="6" borderId="0" xfId="0" applyFont="1" applyFill="1">
      <alignment vertical="center"/>
    </xf>
    <xf numFmtId="165" fontId="0" fillId="0" borderId="0" xfId="0" applyNumberFormat="1">
      <alignment vertical="center"/>
    </xf>
    <xf numFmtId="0" fontId="7" fillId="10" borderId="11" xfId="0" applyFont="1" applyFill="1" applyBorder="1" applyAlignment="1">
      <alignment horizontal="center" vertical="center" wrapText="1"/>
    </xf>
    <xf numFmtId="0" fontId="7" fillId="11" borderId="2" xfId="0" applyFont="1" applyFill="1" applyBorder="1" applyAlignment="1">
      <alignment horizontal="center" vertical="center" wrapText="1"/>
    </xf>
    <xf numFmtId="0" fontId="3" fillId="9" borderId="0" xfId="1" applyFill="1" applyAlignment="1" applyProtection="1">
      <alignment vertical="center"/>
      <protection locked="0"/>
    </xf>
    <xf numFmtId="0" fontId="5" fillId="4" borderId="1" xfId="3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65" fontId="7" fillId="2" borderId="12" xfId="0" applyNumberFormat="1" applyFont="1" applyFill="1" applyBorder="1" applyAlignment="1">
      <alignment horizontal="center" vertical="center"/>
    </xf>
    <xf numFmtId="1" fontId="7" fillId="7" borderId="10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Border="1" applyAlignment="1">
      <alignment horizontal="center" vertical="center" wrapText="1"/>
    </xf>
    <xf numFmtId="1" fontId="7" fillId="7" borderId="12" xfId="0" applyNumberFormat="1" applyFont="1" applyFill="1" applyBorder="1">
      <alignment vertical="center"/>
    </xf>
    <xf numFmtId="1" fontId="7" fillId="0" borderId="12" xfId="0" applyNumberFormat="1" applyFont="1" applyBorder="1">
      <alignment vertical="center"/>
    </xf>
    <xf numFmtId="1" fontId="7" fillId="0" borderId="3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11" fillId="6" borderId="10" xfId="0" applyFont="1" applyFill="1" applyBorder="1">
      <alignment vertical="center"/>
    </xf>
    <xf numFmtId="0" fontId="11" fillId="6" borderId="11" xfId="0" applyFont="1" applyFill="1" applyBorder="1">
      <alignment vertical="center"/>
    </xf>
    <xf numFmtId="0" fontId="11" fillId="6" borderId="12" xfId="0" applyFont="1" applyFill="1" applyBorder="1">
      <alignment vertical="center"/>
    </xf>
    <xf numFmtId="0" fontId="11" fillId="6" borderId="0" xfId="0" applyFont="1" applyFill="1">
      <alignment vertical="center"/>
    </xf>
    <xf numFmtId="2" fontId="0" fillId="7" borderId="3" xfId="0" applyNumberFormat="1" applyFill="1" applyBorder="1">
      <alignment vertical="center"/>
    </xf>
    <xf numFmtId="0" fontId="0" fillId="9" borderId="0" xfId="0" applyFill="1">
      <alignment vertical="center"/>
    </xf>
    <xf numFmtId="0" fontId="13" fillId="0" borderId="0" xfId="0" applyFont="1">
      <alignment vertical="center"/>
    </xf>
    <xf numFmtId="0" fontId="7" fillId="9" borderId="0" xfId="0" applyFont="1" applyFill="1">
      <alignment vertical="center"/>
    </xf>
    <xf numFmtId="0" fontId="0" fillId="12" borderId="13" xfId="0" applyFill="1" applyBorder="1">
      <alignment vertical="center"/>
    </xf>
    <xf numFmtId="0" fontId="0" fillId="12" borderId="14" xfId="0" applyFill="1" applyBorder="1">
      <alignment vertical="center"/>
    </xf>
    <xf numFmtId="0" fontId="0" fillId="12" borderId="15" xfId="0" applyFill="1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12" borderId="14" xfId="0" applyFill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13" borderId="0" xfId="0" applyFill="1">
      <alignment vertical="center"/>
    </xf>
    <xf numFmtId="164" fontId="0" fillId="0" borderId="0" xfId="0" applyNumberFormat="1">
      <alignment vertical="center"/>
    </xf>
    <xf numFmtId="0" fontId="15" fillId="0" borderId="0" xfId="0" applyFont="1" applyAlignment="1"/>
    <xf numFmtId="0" fontId="14" fillId="0" borderId="0" xfId="0" applyFont="1" applyAlignment="1"/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8" fillId="0" borderId="5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17" borderId="17" xfId="0" applyFont="1" applyFill="1" applyBorder="1" applyAlignment="1">
      <alignment horizontal="center" vertical="center"/>
    </xf>
    <xf numFmtId="0" fontId="7" fillId="17" borderId="18" xfId="0" applyFont="1" applyFill="1" applyBorder="1" applyAlignment="1">
      <alignment horizontal="center" vertical="center"/>
    </xf>
    <xf numFmtId="0" fontId="7" fillId="17" borderId="19" xfId="0" applyFont="1" applyFill="1" applyBorder="1" applyAlignment="1">
      <alignment horizontal="center" vertical="center"/>
    </xf>
    <xf numFmtId="0" fontId="7" fillId="17" borderId="20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22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0" fillId="0" borderId="0" xfId="0" applyAlignment="1"/>
    <xf numFmtId="0" fontId="7" fillId="17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7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66" fontId="0" fillId="0" borderId="0" xfId="0" applyNumberFormat="1" applyAlignment="1">
      <alignment vertical="center" wrapText="1"/>
    </xf>
    <xf numFmtId="164" fontId="0" fillId="0" borderId="0" xfId="0" applyNumberFormat="1" applyAlignment="1"/>
    <xf numFmtId="0" fontId="7" fillId="9" borderId="19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7" fillId="0" borderId="0" xfId="0" applyFont="1" applyAlignment="1"/>
    <xf numFmtId="0" fontId="17" fillId="0" borderId="0" xfId="0" applyFont="1" applyAlignment="1">
      <alignment horizontal="center"/>
    </xf>
    <xf numFmtId="0" fontId="0" fillId="19" borderId="0" xfId="0" applyFill="1">
      <alignment vertical="center"/>
    </xf>
    <xf numFmtId="0" fontId="7" fillId="9" borderId="2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0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11" fillId="8" borderId="14" xfId="0" applyFont="1" applyFill="1" applyBorder="1">
      <alignment vertical="center"/>
    </xf>
    <xf numFmtId="0" fontId="21" fillId="13" borderId="0" xfId="0" applyFont="1" applyFill="1" applyAlignment="1">
      <alignment horizontal="center" vertical="center"/>
    </xf>
    <xf numFmtId="0" fontId="0" fillId="12" borderId="14" xfId="0" quotePrefix="1" applyFill="1" applyBorder="1">
      <alignment vertical="center"/>
    </xf>
    <xf numFmtId="0" fontId="0" fillId="0" borderId="14" xfId="0" quotePrefix="1" applyBorder="1">
      <alignment vertical="center"/>
    </xf>
    <xf numFmtId="0" fontId="11" fillId="8" borderId="14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22" fillId="0" borderId="14" xfId="0" quotePrefix="1" applyFont="1" applyBorder="1" applyAlignment="1">
      <alignment horizontal="center" vertical="center"/>
    </xf>
    <xf numFmtId="0" fontId="22" fillId="12" borderId="14" xfId="0" quotePrefix="1" applyFont="1" applyFill="1" applyBorder="1" applyAlignment="1">
      <alignment horizontal="center" vertical="center"/>
    </xf>
    <xf numFmtId="0" fontId="0" fillId="0" borderId="16" xfId="0" quotePrefix="1" applyBorder="1">
      <alignment vertical="center"/>
    </xf>
    <xf numFmtId="0" fontId="0" fillId="0" borderId="17" xfId="0" quotePrefix="1" applyBorder="1">
      <alignment vertical="center"/>
    </xf>
    <xf numFmtId="0" fontId="0" fillId="0" borderId="18" xfId="0" quotePrefix="1" applyBorder="1">
      <alignment vertical="center"/>
    </xf>
    <xf numFmtId="0" fontId="0" fillId="0" borderId="19" xfId="0" quotePrefix="1" applyBorder="1">
      <alignment vertical="center"/>
    </xf>
    <xf numFmtId="0" fontId="0" fillId="0" borderId="20" xfId="0" quotePrefix="1" applyBorder="1">
      <alignment vertical="center"/>
    </xf>
    <xf numFmtId="0" fontId="0" fillId="0" borderId="21" xfId="0" quotePrefix="1" applyBorder="1">
      <alignment vertical="center"/>
    </xf>
    <xf numFmtId="0" fontId="0" fillId="0" borderId="22" xfId="0" quotePrefix="1" applyBorder="1">
      <alignment vertical="center"/>
    </xf>
    <xf numFmtId="0" fontId="0" fillId="0" borderId="23" xfId="0" quotePrefix="1" applyBorder="1">
      <alignment vertical="center"/>
    </xf>
    <xf numFmtId="0" fontId="22" fillId="22" borderId="0" xfId="0" applyFont="1" applyFill="1">
      <alignment vertical="center"/>
    </xf>
    <xf numFmtId="0" fontId="6" fillId="6" borderId="0" xfId="0" applyFont="1" applyFill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23" fillId="9" borderId="0" xfId="0" applyFont="1" applyFill="1">
      <alignment vertical="center"/>
    </xf>
    <xf numFmtId="0" fontId="17" fillId="0" borderId="16" xfId="0" applyFont="1" applyBorder="1" applyAlignment="1"/>
    <xf numFmtId="0" fontId="17" fillId="0" borderId="17" xfId="0" applyFont="1" applyBorder="1" applyAlignment="1"/>
    <xf numFmtId="0" fontId="17" fillId="0" borderId="18" xfId="0" applyFont="1" applyBorder="1" applyAlignment="1"/>
    <xf numFmtId="0" fontId="0" fillId="0" borderId="19" xfId="0" applyBorder="1" applyAlignment="1"/>
    <xf numFmtId="0" fontId="0" fillId="0" borderId="21" xfId="0" applyBorder="1" applyAlignment="1"/>
    <xf numFmtId="0" fontId="0" fillId="0" borderId="22" xfId="0" applyBorder="1" applyAlignment="1"/>
    <xf numFmtId="0" fontId="22" fillId="12" borderId="14" xfId="0" applyFont="1" applyFill="1" applyBorder="1">
      <alignment vertical="center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9" xfId="0" quotePrefix="1" applyBorder="1" applyAlignment="1">
      <alignment horizontal="center" vertical="center"/>
    </xf>
    <xf numFmtId="0" fontId="0" fillId="0" borderId="21" xfId="0" quotePrefix="1" applyBorder="1" applyAlignment="1">
      <alignment horizontal="center" vertical="center"/>
    </xf>
    <xf numFmtId="0" fontId="0" fillId="0" borderId="22" xfId="0" quotePrefix="1" applyBorder="1" applyAlignment="1">
      <alignment horizontal="center" vertical="center"/>
    </xf>
    <xf numFmtId="0" fontId="0" fillId="12" borderId="24" xfId="0" quotePrefix="1" applyFill="1" applyBorder="1" applyAlignment="1">
      <alignment horizontal="center" vertical="center"/>
    </xf>
    <xf numFmtId="0" fontId="0" fillId="12" borderId="25" xfId="0" quotePrefix="1" applyFill="1" applyBorder="1" applyAlignment="1">
      <alignment horizontal="center" vertical="center"/>
    </xf>
    <xf numFmtId="0" fontId="0" fillId="0" borderId="27" xfId="0" quotePrefix="1" applyBorder="1" applyAlignment="1">
      <alignment horizontal="center" vertical="center"/>
    </xf>
    <xf numFmtId="0" fontId="0" fillId="0" borderId="14" xfId="0" quotePrefix="1" applyBorder="1" applyAlignment="1">
      <alignment horizontal="center" vertical="center"/>
    </xf>
    <xf numFmtId="0" fontId="0" fillId="12" borderId="27" xfId="0" quotePrefix="1" applyFill="1" applyBorder="1" applyAlignment="1">
      <alignment horizontal="center" vertical="center"/>
    </xf>
    <xf numFmtId="0" fontId="0" fillId="12" borderId="14" xfId="0" quotePrefix="1" applyFill="1" applyBorder="1" applyAlignment="1">
      <alignment horizontal="center" vertical="center"/>
    </xf>
    <xf numFmtId="0" fontId="0" fillId="0" borderId="29" xfId="0" quotePrefix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11" fillId="8" borderId="13" xfId="0" applyFont="1" applyFill="1" applyBorder="1" applyAlignment="1">
      <alignment horizontal="center" vertical="center"/>
    </xf>
    <xf numFmtId="0" fontId="11" fillId="8" borderId="15" xfId="0" applyFont="1" applyFill="1" applyBorder="1" applyAlignment="1">
      <alignment horizontal="center" vertical="center"/>
    </xf>
    <xf numFmtId="0" fontId="0" fillId="0" borderId="18" xfId="0" quotePrefix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20" xfId="0" quotePrefix="1" applyBorder="1" applyAlignment="1">
      <alignment horizontal="center" vertical="center"/>
    </xf>
    <xf numFmtId="0" fontId="0" fillId="0" borderId="23" xfId="0" quotePrefix="1" applyBorder="1" applyAlignment="1">
      <alignment horizontal="center" vertical="center"/>
    </xf>
    <xf numFmtId="0" fontId="0" fillId="12" borderId="26" xfId="0" quotePrefix="1" applyFill="1" applyBorder="1" applyAlignment="1">
      <alignment horizontal="center" vertical="center"/>
    </xf>
    <xf numFmtId="0" fontId="0" fillId="0" borderId="28" xfId="0" quotePrefix="1" applyBorder="1" applyAlignment="1">
      <alignment horizontal="center" vertical="center"/>
    </xf>
    <xf numFmtId="0" fontId="0" fillId="12" borderId="28" xfId="0" quotePrefix="1" applyFill="1" applyBorder="1" applyAlignment="1">
      <alignment horizontal="center" vertical="center"/>
    </xf>
    <xf numFmtId="0" fontId="0" fillId="0" borderId="31" xfId="0" quotePrefix="1" applyBorder="1" applyAlignment="1">
      <alignment horizontal="center" vertical="center"/>
    </xf>
    <xf numFmtId="0" fontId="0" fillId="23" borderId="0" xfId="0" applyFill="1">
      <alignment vertical="center"/>
    </xf>
    <xf numFmtId="1" fontId="0" fillId="0" borderId="0" xfId="0" applyNumberFormat="1" applyAlignment="1"/>
    <xf numFmtId="1" fontId="0" fillId="0" borderId="20" xfId="0" applyNumberFormat="1" applyBorder="1" applyAlignment="1"/>
    <xf numFmtId="1" fontId="0" fillId="0" borderId="22" xfId="0" applyNumberFormat="1" applyBorder="1" applyAlignment="1"/>
    <xf numFmtId="1" fontId="0" fillId="0" borderId="23" xfId="0" applyNumberFormat="1" applyBorder="1" applyAlignment="1"/>
    <xf numFmtId="0" fontId="7" fillId="18" borderId="16" xfId="0" applyFont="1" applyFill="1" applyBorder="1" applyAlignment="1">
      <alignment horizontal="center" vertical="center"/>
    </xf>
    <xf numFmtId="0" fontId="7" fillId="14" borderId="17" xfId="0" applyFont="1" applyFill="1" applyBorder="1" applyAlignment="1">
      <alignment horizontal="center" vertical="center"/>
    </xf>
    <xf numFmtId="0" fontId="7" fillId="14" borderId="18" xfId="0" applyFont="1" applyFill="1" applyBorder="1" applyAlignment="1">
      <alignment horizontal="center" vertical="center"/>
    </xf>
    <xf numFmtId="0" fontId="7" fillId="14" borderId="19" xfId="0" applyFont="1" applyFill="1" applyBorder="1" applyAlignment="1">
      <alignment horizontal="center" vertical="center"/>
    </xf>
    <xf numFmtId="0" fontId="7" fillId="14" borderId="20" xfId="0" applyFont="1" applyFill="1" applyBorder="1" applyAlignment="1">
      <alignment horizontal="center" vertical="center"/>
    </xf>
    <xf numFmtId="0" fontId="7" fillId="14" borderId="21" xfId="0" applyFont="1" applyFill="1" applyBorder="1" applyAlignment="1">
      <alignment horizontal="center" vertical="center"/>
    </xf>
    <xf numFmtId="0" fontId="7" fillId="14" borderId="22" xfId="0" applyFont="1" applyFill="1" applyBorder="1" applyAlignment="1">
      <alignment horizontal="center" vertical="center"/>
    </xf>
    <xf numFmtId="0" fontId="7" fillId="14" borderId="23" xfId="0" applyFont="1" applyFill="1" applyBorder="1" applyAlignment="1">
      <alignment horizontal="center" vertical="center"/>
    </xf>
    <xf numFmtId="0" fontId="7" fillId="14" borderId="16" xfId="0" applyFont="1" applyFill="1" applyBorder="1" applyAlignment="1">
      <alignment horizontal="center" vertical="center"/>
    </xf>
  </cellXfs>
  <cellStyles count="4">
    <cellStyle name="Good" xfId="1" builtinId="26"/>
    <cellStyle name="Heading 4" xfId="2" builtinId="19"/>
    <cellStyle name="Neutral" xfId="3" builtinId="28"/>
    <cellStyle name="Normal" xfId="0" builtinId="0"/>
  </cellStyles>
  <dxfs count="109">
    <dxf>
      <numFmt numFmtId="0" formatCode="General"/>
    </dxf>
    <dxf>
      <numFmt numFmtId="0" formatCode="General"/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000"/>
        </patternFill>
      </fill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font>
        <b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font>
        <b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SBMU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HotComm!$C$20</c:f>
              <c:strCache>
                <c:ptCount val="1"/>
                <c:pt idx="0">
                  <c:v>SOC(%）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HotComm!$A$21:$A$40</c:f>
              <c:strCache>
                <c:ptCount val="20"/>
                <c:pt idx="0">
                  <c:v>D-SBMU-01</c:v>
                </c:pt>
                <c:pt idx="1">
                  <c:v>D-SBMU-02</c:v>
                </c:pt>
                <c:pt idx="2">
                  <c:v>D-SBMU-03</c:v>
                </c:pt>
                <c:pt idx="3">
                  <c:v>D-SBMU-04</c:v>
                </c:pt>
                <c:pt idx="4">
                  <c:v>D-SBMU-05</c:v>
                </c:pt>
                <c:pt idx="5">
                  <c:v>C-SBMU-01</c:v>
                </c:pt>
                <c:pt idx="6">
                  <c:v>C-SBMU-02</c:v>
                </c:pt>
                <c:pt idx="7">
                  <c:v>C-SBMU-03</c:v>
                </c:pt>
                <c:pt idx="8">
                  <c:v>C-SBMU-04</c:v>
                </c:pt>
                <c:pt idx="9">
                  <c:v>C-SBMU-05</c:v>
                </c:pt>
                <c:pt idx="10">
                  <c:v>B-SBMU-01</c:v>
                </c:pt>
                <c:pt idx="11">
                  <c:v>B-SBMU-02</c:v>
                </c:pt>
                <c:pt idx="12">
                  <c:v>B-SBMU-03</c:v>
                </c:pt>
                <c:pt idx="13">
                  <c:v>B-SBMU-04</c:v>
                </c:pt>
                <c:pt idx="14">
                  <c:v>B-SBMU-05</c:v>
                </c:pt>
                <c:pt idx="15">
                  <c:v>A-SBMU-01</c:v>
                </c:pt>
                <c:pt idx="16">
                  <c:v>A-SBMU-02</c:v>
                </c:pt>
                <c:pt idx="17">
                  <c:v>A-SBMU-03</c:v>
                </c:pt>
                <c:pt idx="18">
                  <c:v>A-SBMU-04</c:v>
                </c:pt>
                <c:pt idx="19">
                  <c:v>A-SBMU-05</c:v>
                </c:pt>
              </c:strCache>
            </c:strRef>
          </c:cat>
          <c:val>
            <c:numRef>
              <c:f>HotComm!$C$21:$C$40</c:f>
              <c:numCache>
                <c:formatCode>0.0</c:formatCode>
                <c:ptCount val="20"/>
                <c:pt idx="0">
                  <c:v>83</c:v>
                </c:pt>
                <c:pt idx="1">
                  <c:v>81.900000000000006</c:v>
                </c:pt>
                <c:pt idx="2">
                  <c:v>82</c:v>
                </c:pt>
                <c:pt idx="3">
                  <c:v>82.2</c:v>
                </c:pt>
                <c:pt idx="4">
                  <c:v>82.1</c:v>
                </c:pt>
                <c:pt idx="5">
                  <c:v>90.2</c:v>
                </c:pt>
                <c:pt idx="6">
                  <c:v>89.8</c:v>
                </c:pt>
                <c:pt idx="7">
                  <c:v>92.1</c:v>
                </c:pt>
                <c:pt idx="8">
                  <c:v>90.2</c:v>
                </c:pt>
                <c:pt idx="9">
                  <c:v>89.7</c:v>
                </c:pt>
                <c:pt idx="10">
                  <c:v>82.9</c:v>
                </c:pt>
                <c:pt idx="11">
                  <c:v>82.3</c:v>
                </c:pt>
                <c:pt idx="12">
                  <c:v>83.1</c:v>
                </c:pt>
                <c:pt idx="13">
                  <c:v>81.900000000000006</c:v>
                </c:pt>
                <c:pt idx="14">
                  <c:v>81.8</c:v>
                </c:pt>
                <c:pt idx="15">
                  <c:v>82.6</c:v>
                </c:pt>
                <c:pt idx="16">
                  <c:v>82.4</c:v>
                </c:pt>
                <c:pt idx="17">
                  <c:v>82.2</c:v>
                </c:pt>
                <c:pt idx="18">
                  <c:v>81.900000000000006</c:v>
                </c:pt>
                <c:pt idx="19">
                  <c:v>81.3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027311"/>
        <c:axId val="2134251407"/>
      </c:barChart>
      <c:lineChart>
        <c:grouping val="stacked"/>
        <c:varyColors val="0"/>
        <c:ser>
          <c:idx val="0"/>
          <c:order val="0"/>
          <c:tx>
            <c:strRef>
              <c:f>HotComm!$B$20</c:f>
              <c:strCache>
                <c:ptCount val="1"/>
                <c:pt idx="0">
                  <c:v>Current(A)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HotComm!$A$21:$A$40</c:f>
              <c:strCache>
                <c:ptCount val="20"/>
                <c:pt idx="0">
                  <c:v>D-SBMU-01</c:v>
                </c:pt>
                <c:pt idx="1">
                  <c:v>D-SBMU-02</c:v>
                </c:pt>
                <c:pt idx="2">
                  <c:v>D-SBMU-03</c:v>
                </c:pt>
                <c:pt idx="3">
                  <c:v>D-SBMU-04</c:v>
                </c:pt>
                <c:pt idx="4">
                  <c:v>D-SBMU-05</c:v>
                </c:pt>
                <c:pt idx="5">
                  <c:v>C-SBMU-01</c:v>
                </c:pt>
                <c:pt idx="6">
                  <c:v>C-SBMU-02</c:v>
                </c:pt>
                <c:pt idx="7">
                  <c:v>C-SBMU-03</c:v>
                </c:pt>
                <c:pt idx="8">
                  <c:v>C-SBMU-04</c:v>
                </c:pt>
                <c:pt idx="9">
                  <c:v>C-SBMU-05</c:v>
                </c:pt>
                <c:pt idx="10">
                  <c:v>B-SBMU-01</c:v>
                </c:pt>
                <c:pt idx="11">
                  <c:v>B-SBMU-02</c:v>
                </c:pt>
                <c:pt idx="12">
                  <c:v>B-SBMU-03</c:v>
                </c:pt>
                <c:pt idx="13">
                  <c:v>B-SBMU-04</c:v>
                </c:pt>
                <c:pt idx="14">
                  <c:v>B-SBMU-05</c:v>
                </c:pt>
                <c:pt idx="15">
                  <c:v>A-SBMU-01</c:v>
                </c:pt>
                <c:pt idx="16">
                  <c:v>A-SBMU-02</c:v>
                </c:pt>
                <c:pt idx="17">
                  <c:v>A-SBMU-03</c:v>
                </c:pt>
                <c:pt idx="18">
                  <c:v>A-SBMU-04</c:v>
                </c:pt>
                <c:pt idx="19">
                  <c:v>A-SBMU-05</c:v>
                </c:pt>
              </c:strCache>
            </c:strRef>
          </c:cat>
          <c:val>
            <c:numRef>
              <c:f>HotComm!$B$21:$B$40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01087"/>
        <c:axId val="2137900127"/>
      </c:lineChart>
      <c:catAx>
        <c:axId val="213302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251407"/>
        <c:crosses val="autoZero"/>
        <c:auto val="1"/>
        <c:lblAlgn val="ctr"/>
        <c:lblOffset val="100"/>
        <c:noMultiLvlLbl val="0"/>
      </c:catAx>
      <c:valAx>
        <c:axId val="21342514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27311"/>
        <c:crosses val="autoZero"/>
        <c:crossBetween val="between"/>
      </c:valAx>
      <c:valAx>
        <c:axId val="2137900127"/>
        <c:scaling>
          <c:orientation val="minMax"/>
          <c:max val="200"/>
          <c:min val="-20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01087"/>
        <c:crosses val="max"/>
        <c:crossBetween val="between"/>
      </c:valAx>
      <c:catAx>
        <c:axId val="2137901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90012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8E-437C-9A54-9682D962129D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8E-437C-9A54-9682D962129D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8E-437C-9A54-9682D96212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ReadSOC!$X$33:$Z$33</c:f>
              <c:strCache>
                <c:ptCount val="3"/>
                <c:pt idx="0">
                  <c:v>Fault</c:v>
                </c:pt>
                <c:pt idx="1">
                  <c:v>Warning</c:v>
                </c:pt>
                <c:pt idx="2">
                  <c:v>Normal</c:v>
                </c:pt>
              </c:strCache>
            </c:strRef>
          </c:cat>
          <c:val>
            <c:numRef>
              <c:f>ReadSOC!$X$34:$Z$34</c:f>
              <c:numCache>
                <c:formatCode>General</c:formatCode>
                <c:ptCount val="3"/>
                <c:pt idx="0">
                  <c:v>44</c:v>
                </c:pt>
                <c:pt idx="1">
                  <c:v>6</c:v>
                </c:pt>
                <c:pt idx="2">
                  <c:v>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2B8-9E7C-8ED7AA881A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2.xml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1</xdr:row>
          <xdr:rowOff>38100</xdr:rowOff>
        </xdr:from>
        <xdr:to>
          <xdr:col>24</xdr:col>
          <xdr:colOff>323850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4</xdr:row>
          <xdr:rowOff>0</xdr:rowOff>
        </xdr:from>
        <xdr:to>
          <xdr:col>5</xdr:col>
          <xdr:colOff>304800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6</xdr:row>
          <xdr:rowOff>66675</xdr:rowOff>
        </xdr:from>
        <xdr:to>
          <xdr:col>5</xdr:col>
          <xdr:colOff>304800</xdr:colOff>
          <xdr:row>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HV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133350</xdr:rowOff>
        </xdr:from>
        <xdr:to>
          <xdr:col>5</xdr:col>
          <xdr:colOff>304800</xdr:colOff>
          <xdr:row>10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HV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11</xdr:row>
          <xdr:rowOff>9525</xdr:rowOff>
        </xdr:from>
        <xdr:to>
          <xdr:col>5</xdr:col>
          <xdr:colOff>304800</xdr:colOff>
          <xdr:row>12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Heart Beat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390525</xdr:colOff>
          <xdr:row>4</xdr:row>
          <xdr:rowOff>57150</xdr:rowOff>
        </xdr:from>
        <xdr:to>
          <xdr:col>17</xdr:col>
          <xdr:colOff>142875</xdr:colOff>
          <xdr:row>5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MBMU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304800</xdr:colOff>
          <xdr:row>16</xdr:row>
          <xdr:rowOff>38100</xdr:rowOff>
        </xdr:from>
        <xdr:to>
          <xdr:col>3</xdr:col>
          <xdr:colOff>352425</xdr:colOff>
          <xdr:row>17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SBMU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14286</xdr:colOff>
      <xdr:row>19</xdr:row>
      <xdr:rowOff>47625</xdr:rowOff>
    </xdr:from>
    <xdr:to>
      <xdr:col>18</xdr:col>
      <xdr:colOff>676275</xdr:colOff>
      <xdr:row>36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4682A-0394-D769-62EF-2D2C11FFE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209550</xdr:colOff>
          <xdr:row>5</xdr:row>
          <xdr:rowOff>19050</xdr:rowOff>
        </xdr:from>
        <xdr:to>
          <xdr:col>24</xdr:col>
          <xdr:colOff>104775</xdr:colOff>
          <xdr:row>6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276225</xdr:colOff>
          <xdr:row>1</xdr:row>
          <xdr:rowOff>57150</xdr:rowOff>
        </xdr:from>
        <xdr:to>
          <xdr:col>21</xdr:col>
          <xdr:colOff>266700</xdr:colOff>
          <xdr:row>3</xdr:row>
          <xdr:rowOff>57150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276225</xdr:colOff>
          <xdr:row>1</xdr:row>
          <xdr:rowOff>57150</xdr:rowOff>
        </xdr:from>
        <xdr:to>
          <xdr:col>21</xdr:col>
          <xdr:colOff>266700</xdr:colOff>
          <xdr:row>3</xdr:row>
          <xdr:rowOff>57150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3</xdr:row>
          <xdr:rowOff>9525</xdr:rowOff>
        </xdr:from>
        <xdr:to>
          <xdr:col>8</xdr:col>
          <xdr:colOff>19050</xdr:colOff>
          <xdr:row>5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7</xdr:row>
          <xdr:rowOff>38100</xdr:rowOff>
        </xdr:from>
        <xdr:to>
          <xdr:col>8</xdr:col>
          <xdr:colOff>19050</xdr:colOff>
          <xdr:row>9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2</xdr:row>
          <xdr:rowOff>171450</xdr:rowOff>
        </xdr:from>
        <xdr:to>
          <xdr:col>14</xdr:col>
          <xdr:colOff>533400</xdr:colOff>
          <xdr:row>4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6</xdr:row>
          <xdr:rowOff>47625</xdr:rowOff>
        </xdr:from>
        <xdr:to>
          <xdr:col>14</xdr:col>
          <xdr:colOff>533400</xdr:colOff>
          <xdr:row>8</xdr:row>
          <xdr:rowOff>47625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2</xdr:row>
          <xdr:rowOff>171450</xdr:rowOff>
        </xdr:from>
        <xdr:to>
          <xdr:col>14</xdr:col>
          <xdr:colOff>533400</xdr:colOff>
          <xdr:row>4</xdr:row>
          <xdr:rowOff>171450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6</xdr:row>
          <xdr:rowOff>47625</xdr:rowOff>
        </xdr:from>
        <xdr:to>
          <xdr:col>14</xdr:col>
          <xdr:colOff>533400</xdr:colOff>
          <xdr:row>8</xdr:row>
          <xdr:rowOff>47625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142875</xdr:colOff>
          <xdr:row>1</xdr:row>
          <xdr:rowOff>0</xdr:rowOff>
        </xdr:from>
        <xdr:to>
          <xdr:col>30</xdr:col>
          <xdr:colOff>352425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SOC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9525</xdr:colOff>
      <xdr:row>16</xdr:row>
      <xdr:rowOff>0</xdr:rowOff>
    </xdr:from>
    <xdr:to>
      <xdr:col>27</xdr:col>
      <xdr:colOff>0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48DB3-69E8-E1D5-CC28-4A7BAAC6C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</xdr:row>
          <xdr:rowOff>38100</xdr:rowOff>
        </xdr:from>
        <xdr:to>
          <xdr:col>28</xdr:col>
          <xdr:colOff>133350</xdr:colOff>
          <xdr:row>3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255270</xdr:colOff>
          <xdr:row>43</xdr:row>
          <xdr:rowOff>146686</xdr:rowOff>
        </xdr:from>
        <xdr:to>
          <xdr:col>31</xdr:col>
          <xdr:colOff>506248</xdr:colOff>
          <xdr:row>60</xdr:row>
          <xdr:rowOff>85726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7A65A8-4507-EA14-552C-8510EA8750C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verview!$A$1:$T$20" spid="_x0000_s587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570845" y="7595236"/>
              <a:ext cx="6594628" cy="31775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552450</xdr:colOff>
          <xdr:row>1</xdr:row>
          <xdr:rowOff>0</xdr:rowOff>
        </xdr:from>
        <xdr:to>
          <xdr:col>32</xdr:col>
          <xdr:colOff>85725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Cap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133350</xdr:rowOff>
        </xdr:from>
        <xdr:to>
          <xdr:col>8</xdr:col>
          <xdr:colOff>161925</xdr:colOff>
          <xdr:row>5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ReadSbmuWarn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F62EC6-26F4-4915-8C58-B22BF3FA4C69}" name="Table1896" displayName="Table1896" ref="A1:F37" totalsRowShown="0" headerRowDxfId="102">
  <tableColumns count="6">
    <tableColumn id="1" xr3:uid="{C8822275-3754-4020-B348-B043EBA10E11}" name="IP">
      <calculatedColumnFormula>SUBSTITUTE(T2,".8.","."&amp;$P$1&amp;".")</calculatedColumnFormula>
    </tableColumn>
    <tableColumn id="4" xr3:uid="{60B6D9F2-8F49-4C22-B7E9-8B08C6803AE1}" name="PI" dataDxfId="101">
      <calculatedColumnFormula>TEXT(MID(Table1896[[#This Row],[IP]],LEN(Table1896[[#This Row],[IP]])-1,1)+(--MID(Table1896[[#This Row],[IP]],8,1)-1)*9,"00")</calculatedColumnFormula>
    </tableColumn>
    <tableColumn id="2" xr3:uid="{832E870E-56F8-4D1C-B337-01D08F2FA759}" name="D" dataDxfId="100"/>
    <tableColumn id="3" xr3:uid="{22422C57-263D-44AB-A726-3EBA79A4F944}" name="C" dataDxfId="99"/>
    <tableColumn id="6" xr3:uid="{C9B5CA5E-B309-44BB-B362-DE27887F554D}" name="B" dataDxfId="98"/>
    <tableColumn id="7" xr3:uid="{4146567D-B352-46F3-8728-65E84A4D82A5}" name="A" dataDxfId="97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E779415-4D7E-4C90-BB9B-3E8B388A0A95}" name="Table18967" displayName="Table18967" ref="A1:F37" totalsRowShown="0" headerRowDxfId="93">
  <tableColumns count="6">
    <tableColumn id="1" xr3:uid="{D1BC5CF4-FF6D-41A5-9671-D713208CE904}" name="IP">
      <calculatedColumnFormula>SUBSTITUTE(T2,".8.","."&amp;$P$1&amp;".")</calculatedColumnFormula>
    </tableColumn>
    <tableColumn id="4" xr3:uid="{570B266B-951C-4CEB-AD68-0019724EB53F}" name="PI" dataDxfId="92">
      <calculatedColumnFormula>TEXT(MID(Table18967[[#This Row],[IP]],LEN(Table18967[[#This Row],[IP]])-1,1)+(--MID(Table18967[[#This Row],[IP]],8,1)-1)*9,"00")</calculatedColumnFormula>
    </tableColumn>
    <tableColumn id="2" xr3:uid="{25B881EC-9B22-45B5-A5B4-C8FC1D48CF0D}" name="D" dataDxfId="91"/>
    <tableColumn id="3" xr3:uid="{17B0454C-4C80-464B-9C67-5054A86335AC}" name="C" dataDxfId="90"/>
    <tableColumn id="6" xr3:uid="{7FC234CE-75AD-4C7D-BE81-E50509A52FAF}" name="B" dataDxfId="89"/>
    <tableColumn id="7" xr3:uid="{A3523F4F-332E-4878-A435-55B5DC2B9F16}" name="A" dataDxfId="88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F01A80-F4C1-4B54-9E66-CB02343A45E2}" name="Table1" displayName="Table1" ref="A1:D37" totalsRowShown="0">
  <autoFilter ref="A1:D37" xr:uid="{6BF01A80-F4C1-4B54-9E66-CB02343A45E2}"/>
  <tableColumns count="4">
    <tableColumn id="1" xr3:uid="{4FD0E23D-23B1-41CE-899F-3286882EA83F}" name="IP">
      <calculatedColumnFormula>SUBSTITUTE(O2,".8.","."&amp;$K$1&amp;".")</calculatedColumnFormula>
    </tableColumn>
    <tableColumn id="2" xr3:uid="{5439F5C0-F0B2-48FB-AB6B-FB86820C3444}" name="Value" dataDxfId="84"/>
    <tableColumn id="4" xr3:uid="{A2B1FA6A-B545-420E-A549-FC37C36A5448}" name="PI" dataDxfId="83">
      <calculatedColumnFormula>MID(Table1[[#This Row],[IP]],LEN(Table1[[#This Row],[IP]])-1,1)+(--MID(Table1[[#This Row],[IP]],8,1)-1)*9</calculatedColumnFormula>
    </tableColumn>
    <tableColumn id="5" xr3:uid="{13F536C0-4C92-4BCE-B560-261020941708}" name="Flag" dataDxfId="82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0298B9-4166-4440-87AD-98DA76F2334D}" name="Table189" displayName="Table189" ref="A1:M37" totalsRowShown="0">
  <tableColumns count="13">
    <tableColumn id="1" xr3:uid="{949E7BDE-EE17-4BE4-86C2-D8131E65C28D}" name="IP">
      <calculatedColumnFormula>SUBSTITUTE(V2,".8.","."&amp;$R$1&amp;".")</calculatedColumnFormula>
    </tableColumn>
    <tableColumn id="4" xr3:uid="{A5712228-1AE7-48E2-9EE7-A2C76AD2FC21}" name="PI" dataDxfId="72">
      <calculatedColumnFormula>TEXT(MID(Table189[[#This Row],[IP]],LEN(Table189[[#This Row],[IP]])-1,1)+(--MID(Table189[[#This Row],[IP]],8,1)-1)*9,"00")</calculatedColumnFormula>
    </tableColumn>
    <tableColumn id="5" xr3:uid="{14B82461-0517-4EB9-A5E8-5A1D37762C4A}" name="No" dataDxfId="71"/>
    <tableColumn id="2" xr3:uid="{23CCBE8E-EC8B-426D-89F4-EC023AFCA0FF}" name="SBMU01" dataDxfId="70"/>
    <tableColumn id="3" xr3:uid="{D22C8EBA-DDE9-4B7C-B0CF-7A7C5CF620B3}" name="SBMU02" dataDxfId="69"/>
    <tableColumn id="6" xr3:uid="{57114C91-5DE2-4E72-B9D8-951AED0A7A55}" name="SBMU03" dataDxfId="68"/>
    <tableColumn id="7" xr3:uid="{9CAC7DF8-CC8E-46F3-896C-4AF3088C4E52}" name="SBMU04" dataDxfId="67"/>
    <tableColumn id="8" xr3:uid="{8CF5B5E6-E000-4C9F-AE97-C6D71DF8900A}" name="SBMU05" dataDxfId="66"/>
    <tableColumn id="9" xr3:uid="{1F8096D0-3D2B-48B9-84FE-04DF27E324AA}" name="W-Val" dataDxfId="65">
      <calculatedColumnFormula array="1">IF(SUM(Table189[[#This Row],[SBMU01]:[SBMU05]])=0,0,SUMPRODUCT(IF(Table189[[#This Row],[SBMU01]:[SBMU05]]=0,1,0),{1,2,4,8,16}))</calculatedColumnFormula>
    </tableColumn>
    <tableColumn id="10" xr3:uid="{5A4CBD6B-F625-4AD0-9004-71391C214426}" name="ReadVal"/>
    <tableColumn id="11" xr3:uid="{EA8E0F7C-8169-46FD-BD5B-1BE7B3484AD9}" name="W-Val2"/>
    <tableColumn id="12" xr3:uid="{599ADD7A-80AE-4C4A-AB8A-152DE123A753}" name="Comment"/>
    <tableColumn id="13" xr3:uid="{783F1EED-FF33-4D53-B8D1-4CAF69E5C9B2}" name="Flag" dataDxfId="64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C08855-BEC7-43CF-8A53-FE5F99CF3610}" name="Table18" displayName="Table18" ref="A1:M37" totalsRowShown="0">
  <tableColumns count="13">
    <tableColumn id="1" xr3:uid="{39FFCFBA-A0E1-4CC2-992B-D5D36640D660}" name="IP">
      <calculatedColumnFormula>SUBSTITUTE(V2,".8.","."&amp;$R$1&amp;".")</calculatedColumnFormula>
    </tableColumn>
    <tableColumn id="4" xr3:uid="{576EFA27-CDCF-4195-B6EF-D86AC718F657}" name="PI" dataDxfId="54">
      <calculatedColumnFormula>MID(Table18[[#This Row],[IP]],LEN(Table18[[#This Row],[IP]])-1,1)+(--MID(Table18[[#This Row],[IP]],8,1)-1)*9</calculatedColumnFormula>
    </tableColumn>
    <tableColumn id="5" xr3:uid="{1E5E3C45-B8A6-475B-9BA1-1207E1F1E029}" name="No" dataDxfId="53"/>
    <tableColumn id="2" xr3:uid="{4D830C53-96D4-4064-9F8E-FD143E2BD378}" name="SBMU01" dataDxfId="52"/>
    <tableColumn id="3" xr3:uid="{77C00579-1858-43E6-81A6-F7D88017D042}" name="SBMU02" dataDxfId="51"/>
    <tableColumn id="6" xr3:uid="{D14FA460-C871-43F6-BFD4-44137C3900CC}" name="SBMU03" dataDxfId="50"/>
    <tableColumn id="7" xr3:uid="{EABF08BC-BE37-484F-95EA-57CE24C3977E}" name="SBMU04" dataDxfId="49"/>
    <tableColumn id="8" xr3:uid="{3E2DC931-5BB6-4CE9-A92D-91E2B370EA7F}" name="SBMU05" dataDxfId="48"/>
    <tableColumn id="9" xr3:uid="{E4D3E3B5-5B20-4C72-8B25-30F661AD138E}" name="W-Val" dataDxfId="47">
      <calculatedColumnFormula array="1">IF(SUM((Table18[[#This Row],[SBMU01]:[SBMU05]]&lt;3)*1)=5,0,SUMPRODUCT(IF(Table18[[#This Row],[SBMU01]:[SBMU05]]&lt;3,1,0),{1,2,4,8,16}))</calculatedColumnFormula>
    </tableColumn>
    <tableColumn id="10" xr3:uid="{C51BD675-D564-4D02-993E-7B6BEA172E38}" name=" Connect fail"/>
    <tableColumn id="11" xr3:uid="{834459DC-7591-4A7E-A83E-75918FB4524E}" name="W-Val2"/>
    <tableColumn id="12" xr3:uid="{4E03E88F-9FD5-4AA8-9B34-3B5683FBA350}" name="Comment"/>
    <tableColumn id="13" xr3:uid="{515A2160-17CD-4FFC-BCF2-B8B0A90E19C5}" name="Flag" dataDxfId="46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23A373-9076-473E-99F5-B4E42383EEC0}" name="Table2" displayName="Table2" ref="A1:R290" totalsRowShown="0" headerRowDxfId="45" dataDxfId="44">
  <tableColumns count="18">
    <tableColumn id="1" xr3:uid="{F3DBCFFA-E7E4-4BAA-B00B-D02CB9A0BB3A}" name="IP"/>
    <tableColumn id="2" xr3:uid="{58A779C5-2473-40A2-A8F3-F8860947CE1D}" name="PI"/>
    <tableColumn id="3" xr3:uid="{CA941A5E-61B8-4A56-BB03-7220F958D439}" name="soc" dataDxfId="43"/>
    <tableColumn id="4" xr3:uid="{0934FFEF-AEA4-4AFA-84A9-03971CB51DCD}" name="volt" dataDxfId="42"/>
    <tableColumn id="5" xr3:uid="{97CC8103-0533-4DFE-8FDC-C9D655A38AE2}" name="soc-sbmu1" dataDxfId="41"/>
    <tableColumn id="6" xr3:uid="{B35101E3-E05E-436A-AA4B-ACC7B3E1657D}" name="soc-sbmu2" dataDxfId="40"/>
    <tableColumn id="7" xr3:uid="{E5161365-7F69-468C-9136-D274F404B8D0}" name="soc-sbmu3" dataDxfId="39"/>
    <tableColumn id="8" xr3:uid="{F636EADD-9846-4BCE-B8F7-B95773DD7A55}" name="soc-sbmu4" dataDxfId="38"/>
    <tableColumn id="9" xr3:uid="{7F9457CF-55AF-440E-8B34-2EA455A25D6A}" name="soc-sbmu5" dataDxfId="37"/>
    <tableColumn id="10" xr3:uid="{C4B4BDDD-6A70-4832-B519-1578833F4F00}" name="volt-sbmu1" dataDxfId="36"/>
    <tableColumn id="11" xr3:uid="{8E5CC521-3908-4F8B-9A75-32E462A58E77}" name="volt-sbmu2" dataDxfId="35"/>
    <tableColumn id="12" xr3:uid="{BBABF8EA-DEED-46DA-A0AE-01285656C7D5}" name="volt-sbmu3" dataDxfId="34"/>
    <tableColumn id="13" xr3:uid="{4C12796D-17F3-48CC-BD9D-C0714EE6772E}" name="volt-sbmu4" dataDxfId="33"/>
    <tableColumn id="14" xr3:uid="{73F3D9ED-096A-4BEE-8DDA-26FE3E417E22}" name="volt-sbmu5" dataDxfId="32"/>
    <tableColumn id="15" xr3:uid="{27093570-A5A7-449C-AD8D-65A525575503}" name="MBMU-w1" dataDxfId="31"/>
    <tableColumn id="16" xr3:uid="{669FE3B6-FB06-4893-AC5B-2494821F77EC}" name="MBMU-w2" dataDxfId="30"/>
    <tableColumn id="17" xr3:uid="{F8FAD4FD-300B-47A9-B5C7-135217218542}" name="SysSta" dataDxfId="29"/>
    <tableColumn id="18" xr3:uid="{0E7845DD-6EE1-4990-8BC3-CC23539C2002}" name="EnvTemp" dataDxfId="2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71E106-2572-42A1-BD19-785B65B214CD}" name="Table25" displayName="Table25" ref="A1:V289" totalsRowShown="0" headerRowDxfId="24" dataDxfId="23">
  <tableColumns count="22">
    <tableColumn id="1" xr3:uid="{34D02EE5-3B82-452D-B270-83BA0F38CB4B}" name="IP"/>
    <tableColumn id="2" xr3:uid="{12557C64-D24F-46A4-8589-E3ADAB212A98}" name="PI"/>
    <tableColumn id="3" xr3:uid="{84994ABA-7B75-4D8B-8AB4-02D8E6ACA53A}" name="CC1" dataDxfId="22"/>
    <tableColumn id="4" xr3:uid="{B3B7D8BE-9D1F-4A19-B003-A4FAEFAB3F58}" name="DC1" dataDxfId="21"/>
    <tableColumn id="5" xr3:uid="{386C01C2-4978-4918-8374-E86C84158063}" name="CC2" dataDxfId="20"/>
    <tableColumn id="6" xr3:uid="{1D2C7DFF-5E32-4DFE-8773-E14E2E051C90}" name="DC2" dataDxfId="19"/>
    <tableColumn id="7" xr3:uid="{B0BF21DE-6253-4E4F-A638-A1CA6EA6E556}" name="CC3" dataDxfId="18"/>
    <tableColumn id="8" xr3:uid="{AB948932-6A17-4511-B3A6-C14F8640159F}" name="DC3" dataDxfId="17"/>
    <tableColumn id="9" xr3:uid="{D7FF23A6-5568-49F4-997D-51A88B78C0CA}" name="CC4" dataDxfId="16"/>
    <tableColumn id="10" xr3:uid="{F6F6B019-6255-4C5E-9161-59797D0B1F74}" name="DC4" dataDxfId="15"/>
    <tableColumn id="11" xr3:uid="{8553F600-1944-401F-922C-47A11E2C7651}" name="CC5" dataDxfId="14"/>
    <tableColumn id="12" xr3:uid="{44CC7D7E-17D8-4623-BA27-06CD3FAA3D37}" name="DC5" dataDxfId="13"/>
    <tableColumn id="13" xr3:uid="{694DE6A5-90D6-4F37-ADED-DCBFC8421E12}" name="HCC1" dataDxfId="12"/>
    <tableColumn id="14" xr3:uid="{BB5E69D5-8881-4139-B93A-A1B79F4F0B09}" name="HDC1" dataDxfId="11"/>
    <tableColumn id="15" xr3:uid="{03571738-541D-4A0C-B686-20C3EFD99D5E}" name="HCC2" dataDxfId="10"/>
    <tableColumn id="16" xr3:uid="{B05A3A33-104D-4276-83C1-92D1746E2A5A}" name="HDC2" dataDxfId="9"/>
    <tableColumn id="17" xr3:uid="{E9CC9C51-5919-46CB-88B9-D807A3602B61}" name="HCC3" dataDxfId="8"/>
    <tableColumn id="18" xr3:uid="{EEC03120-96F9-4E86-AF82-B19E7AA5466C}" name="HDC3" dataDxfId="7"/>
    <tableColumn id="19" xr3:uid="{3FB67C26-4CD5-4F3E-A382-B79484F1B984}" name="HCC4" dataDxfId="6"/>
    <tableColumn id="20" xr3:uid="{C3E20C3A-3E95-4350-9B4C-56058FBE54E0}" name="HDC4" dataDxfId="5"/>
    <tableColumn id="21" xr3:uid="{7E1F61D9-0A72-402A-AB20-58FCAB843140}" name="HCC5" dataDxfId="4"/>
    <tableColumn id="22" xr3:uid="{FC8661CA-286E-4D41-B846-5812F6943E90}" name="HDC5" dataDxfId="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07BBC6-7879-4002-BE85-18A8D635E7E4}" name="Table14" displayName="Table14" ref="A1:C162" totalsRowShown="0">
  <autoFilter ref="A1:C162" xr:uid="{6BF01A80-F4C1-4B54-9E66-CB02343A45E2}"/>
  <tableColumns count="3">
    <tableColumn id="1" xr3:uid="{FCD3BE6D-E329-4356-9875-78E237BAA940}" name="Register"/>
    <tableColumn id="2" xr3:uid="{518E3209-C8C1-4828-A9B2-E04B105710F3}" name="Value" dataDxfId="1"/>
    <tableColumn id="3" xr3:uid="{881F40ED-3DA4-4E62-893B-D8DAA9B5F037}" name="RegHex" dataDxfId="0">
      <calculatedColumnFormula>"0x"&amp;REPT("0",4-LEN(DEC2HEX(Table14[[#This Row],[Register]])))&amp;DEC2HEX(Table14[[#This Row],[Register]])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3346-E92A-4DCE-8B85-7FBC41BCDB95}">
  <sheetPr codeName="Sheet3"/>
  <dimension ref="B1:Y20"/>
  <sheetViews>
    <sheetView tabSelected="1" workbookViewId="0">
      <selection activeCell="B2" sqref="B2"/>
    </sheetView>
  </sheetViews>
  <sheetFormatPr defaultRowHeight="13.5"/>
  <cols>
    <col min="1" max="10" width="5.625" customWidth="1"/>
    <col min="11" max="11" width="10.125" customWidth="1"/>
    <col min="12" max="24" width="5.625" customWidth="1"/>
  </cols>
  <sheetData>
    <row r="1" spans="2:25" ht="66.75" customHeight="1" thickBot="1">
      <c r="C1" s="90" t="s">
        <v>417</v>
      </c>
      <c r="H1" s="90" t="s">
        <v>716</v>
      </c>
      <c r="K1" t="s">
        <v>416</v>
      </c>
      <c r="M1" s="90" t="s">
        <v>715</v>
      </c>
      <c r="R1" s="90" t="s">
        <v>419</v>
      </c>
    </row>
    <row r="2" spans="2:25" ht="14.25">
      <c r="B2" s="158" t="s">
        <v>407</v>
      </c>
      <c r="C2" s="159" t="s">
        <v>406</v>
      </c>
      <c r="D2" s="159" t="s">
        <v>405</v>
      </c>
      <c r="E2" s="160" t="s">
        <v>404</v>
      </c>
      <c r="F2" s="80"/>
      <c r="G2" s="67" t="s">
        <v>403</v>
      </c>
      <c r="H2" s="68" t="s">
        <v>402</v>
      </c>
      <c r="I2" s="68" t="s">
        <v>401</v>
      </c>
      <c r="J2" s="69" t="s">
        <v>400</v>
      </c>
      <c r="K2" s="80"/>
      <c r="L2" s="67" t="s">
        <v>415</v>
      </c>
      <c r="M2" s="68" t="s">
        <v>414</v>
      </c>
      <c r="N2" s="68" t="s">
        <v>413</v>
      </c>
      <c r="O2" s="69" t="s">
        <v>412</v>
      </c>
      <c r="P2" s="80"/>
      <c r="Q2" s="67" t="s">
        <v>411</v>
      </c>
      <c r="R2" s="68" t="s">
        <v>410</v>
      </c>
      <c r="S2" s="68" t="s">
        <v>409</v>
      </c>
      <c r="T2" s="69" t="s">
        <v>408</v>
      </c>
    </row>
    <row r="3" spans="2:25" ht="14.25">
      <c r="B3" s="161" t="str">
        <f>TEXT(LEFT(B2,2)+1,"00")&amp;RIGHT(B2,1)</f>
        <v>56D</v>
      </c>
      <c r="C3" s="78" t="str">
        <f t="shared" ref="C3:E18" si="0">TEXT(LEFT(C2,2)+1,"00")&amp;RIGHT(C2,1)</f>
        <v>56C</v>
      </c>
      <c r="D3" s="78" t="str">
        <f t="shared" si="0"/>
        <v>56B</v>
      </c>
      <c r="E3" s="162" t="str">
        <f t="shared" si="0"/>
        <v>56A</v>
      </c>
      <c r="F3" s="80"/>
      <c r="G3" s="70" t="str">
        <f>TEXT(LEFT(G2,2)+1,"00")&amp;RIGHT(G2,1)</f>
        <v>38A</v>
      </c>
      <c r="H3" s="76" t="str">
        <f t="shared" ref="H3:J18" si="1">TEXT(LEFT(H2,2)+1,"00")&amp;RIGHT(H2,1)</f>
        <v>38B</v>
      </c>
      <c r="I3" s="77" t="str">
        <f t="shared" si="1"/>
        <v>38C</v>
      </c>
      <c r="J3" s="89" t="str">
        <f t="shared" si="1"/>
        <v>38D</v>
      </c>
      <c r="K3" s="80"/>
      <c r="L3" s="70" t="str">
        <f>TEXT(LEFT(L2,2)+1,"00")&amp;RIGHT(L2,1)</f>
        <v>20D</v>
      </c>
      <c r="M3" s="76" t="str">
        <f>TEXT(LEFT(M2,2)+1,"00")&amp;RIGHT(M2,1)</f>
        <v>20C</v>
      </c>
      <c r="N3" s="76" t="str">
        <f>TEXT(LEFT(N2,2)+1,"00")&amp;RIGHT(N2,1)</f>
        <v>20B</v>
      </c>
      <c r="O3" s="71" t="str">
        <f>TEXT(LEFT(O2,2)+1,"00")&amp;RIGHT(O2,1)</f>
        <v>20A</v>
      </c>
      <c r="P3" s="80"/>
      <c r="Q3" s="70" t="str">
        <f>TEXT(LEFT(Q2,2)+1,"00")&amp;RIGHT(Q2,1)</f>
        <v>02A</v>
      </c>
      <c r="R3" s="76" t="str">
        <f t="shared" ref="R3:T18" si="2">TEXT(LEFT(R2,2)+1,"00")&amp;RIGHT(R2,1)</f>
        <v>02B</v>
      </c>
      <c r="S3" s="76" t="str">
        <f t="shared" si="2"/>
        <v>02C</v>
      </c>
      <c r="T3" s="71" t="str">
        <f t="shared" si="2"/>
        <v>02D</v>
      </c>
    </row>
    <row r="4" spans="2:25" ht="14.25">
      <c r="B4" s="161" t="str">
        <f t="shared" ref="B4:B19" si="3">TEXT(LEFT(B3,2)+1,"00")&amp;RIGHT(B3,1)</f>
        <v>57D</v>
      </c>
      <c r="C4" s="78" t="str">
        <f t="shared" si="0"/>
        <v>57C</v>
      </c>
      <c r="D4" s="78" t="str">
        <f t="shared" si="0"/>
        <v>57B</v>
      </c>
      <c r="E4" s="162" t="str">
        <f t="shared" si="0"/>
        <v>57A</v>
      </c>
      <c r="F4" s="80"/>
      <c r="G4" s="70" t="str">
        <f t="shared" ref="G4:G19" si="4">TEXT(LEFT(G3,2)+1,"00")&amp;RIGHT(G3,1)</f>
        <v>39A</v>
      </c>
      <c r="H4" s="76" t="str">
        <f t="shared" si="1"/>
        <v>39B</v>
      </c>
      <c r="I4" s="76" t="str">
        <f t="shared" si="1"/>
        <v>39C</v>
      </c>
      <c r="J4" s="71" t="str">
        <f t="shared" si="1"/>
        <v>39D</v>
      </c>
      <c r="K4" s="80"/>
      <c r="L4" s="70" t="str">
        <f t="shared" ref="L4:L19" si="5">TEXT(LEFT(L3,2)+1,"00")&amp;RIGHT(L3,1)</f>
        <v>21D</v>
      </c>
      <c r="M4" s="76" t="str">
        <f t="shared" ref="M4:M19" si="6">TEXT(LEFT(M3,2)+1,"00")&amp;RIGHT(M3,1)</f>
        <v>21C</v>
      </c>
      <c r="N4" s="76" t="str">
        <f t="shared" ref="N4:N19" si="7">TEXT(LEFT(N3,2)+1,"00")&amp;RIGHT(N3,1)</f>
        <v>21B</v>
      </c>
      <c r="O4" s="71" t="str">
        <f t="shared" ref="O4:O19" si="8">TEXT(LEFT(O3,2)+1,"00")&amp;RIGHT(O3,1)</f>
        <v>21A</v>
      </c>
      <c r="P4" s="80"/>
      <c r="Q4" s="70" t="str">
        <f t="shared" ref="Q4:Q19" si="9">TEXT(LEFT(Q3,2)+1,"00")&amp;RIGHT(Q3,1)</f>
        <v>03A</v>
      </c>
      <c r="R4" s="76" t="str">
        <f t="shared" si="2"/>
        <v>03B</v>
      </c>
      <c r="S4" s="76" t="str">
        <f t="shared" si="2"/>
        <v>03C</v>
      </c>
      <c r="T4" s="71" t="str">
        <f t="shared" si="2"/>
        <v>03D</v>
      </c>
    </row>
    <row r="5" spans="2:25" ht="14.25">
      <c r="B5" s="161" t="str">
        <f t="shared" si="3"/>
        <v>58D</v>
      </c>
      <c r="C5" s="78" t="str">
        <f t="shared" si="0"/>
        <v>58C</v>
      </c>
      <c r="D5" s="78" t="str">
        <f t="shared" si="0"/>
        <v>58B</v>
      </c>
      <c r="E5" s="162" t="str">
        <f t="shared" si="0"/>
        <v>58A</v>
      </c>
      <c r="F5" s="80"/>
      <c r="G5" s="70" t="str">
        <f t="shared" si="4"/>
        <v>40A</v>
      </c>
      <c r="H5" s="76" t="str">
        <f t="shared" si="1"/>
        <v>40B</v>
      </c>
      <c r="I5" s="76" t="str">
        <f t="shared" si="1"/>
        <v>40C</v>
      </c>
      <c r="J5" s="71" t="str">
        <f t="shared" si="1"/>
        <v>40D</v>
      </c>
      <c r="K5" s="80"/>
      <c r="L5" s="70" t="str">
        <f t="shared" si="5"/>
        <v>22D</v>
      </c>
      <c r="M5" s="76" t="str">
        <f t="shared" si="6"/>
        <v>22C</v>
      </c>
      <c r="N5" s="76" t="str">
        <f t="shared" si="7"/>
        <v>22B</v>
      </c>
      <c r="O5" s="71" t="str">
        <f t="shared" si="8"/>
        <v>22A</v>
      </c>
      <c r="P5" s="80"/>
      <c r="Q5" s="84" t="str">
        <f t="shared" si="9"/>
        <v>04A</v>
      </c>
      <c r="R5" s="77" t="str">
        <f t="shared" si="2"/>
        <v>04B</v>
      </c>
      <c r="S5" s="77" t="str">
        <f t="shared" si="2"/>
        <v>04C</v>
      </c>
      <c r="T5" s="89" t="str">
        <f t="shared" si="2"/>
        <v>04D</v>
      </c>
      <c r="X5" s="76"/>
      <c r="Y5" t="s">
        <v>384</v>
      </c>
    </row>
    <row r="6" spans="2:25" ht="14.25">
      <c r="B6" s="161" t="str">
        <f t="shared" si="3"/>
        <v>59D</v>
      </c>
      <c r="C6" s="78" t="str">
        <f t="shared" si="0"/>
        <v>59C</v>
      </c>
      <c r="D6" s="78" t="str">
        <f t="shared" si="0"/>
        <v>59B</v>
      </c>
      <c r="E6" s="162" t="str">
        <f t="shared" si="0"/>
        <v>59A</v>
      </c>
      <c r="F6" s="80"/>
      <c r="G6" s="70" t="str">
        <f t="shared" si="4"/>
        <v>41A</v>
      </c>
      <c r="H6" s="76" t="str">
        <f t="shared" si="1"/>
        <v>41B</v>
      </c>
      <c r="I6" s="76" t="str">
        <f t="shared" si="1"/>
        <v>41C</v>
      </c>
      <c r="J6" s="71" t="str">
        <f t="shared" si="1"/>
        <v>41D</v>
      </c>
      <c r="K6" s="80"/>
      <c r="L6" s="70" t="str">
        <f t="shared" si="5"/>
        <v>23D</v>
      </c>
      <c r="M6" s="76" t="str">
        <f t="shared" si="6"/>
        <v>23C</v>
      </c>
      <c r="N6" s="76" t="str">
        <f t="shared" si="7"/>
        <v>23B</v>
      </c>
      <c r="O6" s="71" t="str">
        <f t="shared" si="8"/>
        <v>23A</v>
      </c>
      <c r="P6" s="80"/>
      <c r="Q6" s="70" t="str">
        <f t="shared" si="9"/>
        <v>05A</v>
      </c>
      <c r="R6" s="76" t="str">
        <f t="shared" si="2"/>
        <v>05B</v>
      </c>
      <c r="S6" s="76" t="str">
        <f t="shared" si="2"/>
        <v>05C</v>
      </c>
      <c r="T6" s="71" t="str">
        <f t="shared" si="2"/>
        <v>05D</v>
      </c>
      <c r="X6" s="77"/>
      <c r="Y6" t="s">
        <v>383</v>
      </c>
    </row>
    <row r="7" spans="2:25" ht="14.25">
      <c r="B7" s="161" t="str">
        <f t="shared" si="3"/>
        <v>60D</v>
      </c>
      <c r="C7" s="78" t="str">
        <f t="shared" si="0"/>
        <v>60C</v>
      </c>
      <c r="D7" s="78" t="str">
        <f t="shared" si="0"/>
        <v>60B</v>
      </c>
      <c r="E7" s="162" t="str">
        <f t="shared" si="0"/>
        <v>60A</v>
      </c>
      <c r="F7" s="80"/>
      <c r="G7" s="70" t="str">
        <f t="shared" si="4"/>
        <v>42A</v>
      </c>
      <c r="H7" s="76" t="str">
        <f t="shared" si="1"/>
        <v>42B</v>
      </c>
      <c r="I7" s="76" t="str">
        <f t="shared" si="1"/>
        <v>42C</v>
      </c>
      <c r="J7" s="71" t="str">
        <f t="shared" si="1"/>
        <v>42D</v>
      </c>
      <c r="K7" s="80"/>
      <c r="L7" s="70" t="str">
        <f t="shared" si="5"/>
        <v>24D</v>
      </c>
      <c r="M7" s="76" t="str">
        <f t="shared" si="6"/>
        <v>24C</v>
      </c>
      <c r="N7" s="76" t="str">
        <f t="shared" si="7"/>
        <v>24B</v>
      </c>
      <c r="O7" s="71" t="str">
        <f t="shared" si="8"/>
        <v>24A</v>
      </c>
      <c r="P7" s="80"/>
      <c r="Q7" s="70" t="str">
        <f t="shared" si="9"/>
        <v>06A</v>
      </c>
      <c r="R7" s="76" t="str">
        <f t="shared" si="2"/>
        <v>06B</v>
      </c>
      <c r="S7" s="76" t="str">
        <f t="shared" si="2"/>
        <v>06C</v>
      </c>
      <c r="T7" s="71" t="str">
        <f t="shared" si="2"/>
        <v>06D</v>
      </c>
      <c r="X7" s="78"/>
      <c r="Y7" t="s">
        <v>382</v>
      </c>
    </row>
    <row r="8" spans="2:25" ht="14.25">
      <c r="B8" s="161" t="str">
        <f t="shared" si="3"/>
        <v>61D</v>
      </c>
      <c r="C8" s="78" t="str">
        <f t="shared" si="0"/>
        <v>61C</v>
      </c>
      <c r="D8" s="78" t="str">
        <f t="shared" si="0"/>
        <v>61B</v>
      </c>
      <c r="E8" s="162" t="str">
        <f t="shared" si="0"/>
        <v>61A</v>
      </c>
      <c r="F8" s="80"/>
      <c r="G8" s="70" t="str">
        <f t="shared" si="4"/>
        <v>43A</v>
      </c>
      <c r="H8" s="76" t="str">
        <f t="shared" si="1"/>
        <v>43B</v>
      </c>
      <c r="I8" s="76" t="str">
        <f t="shared" si="1"/>
        <v>43C</v>
      </c>
      <c r="J8" s="71" t="str">
        <f t="shared" si="1"/>
        <v>43D</v>
      </c>
      <c r="K8" s="80"/>
      <c r="L8" s="70" t="str">
        <f t="shared" si="5"/>
        <v>25D</v>
      </c>
      <c r="M8" s="76" t="str">
        <f t="shared" si="6"/>
        <v>25C</v>
      </c>
      <c r="N8" s="76" t="str">
        <f t="shared" si="7"/>
        <v>25B</v>
      </c>
      <c r="O8" s="71" t="str">
        <f t="shared" si="8"/>
        <v>25A</v>
      </c>
      <c r="P8" s="80"/>
      <c r="Q8" s="70" t="str">
        <f t="shared" si="9"/>
        <v>07A</v>
      </c>
      <c r="R8" s="76" t="str">
        <f t="shared" si="2"/>
        <v>07B</v>
      </c>
      <c r="S8" s="76" t="str">
        <f t="shared" si="2"/>
        <v>07C</v>
      </c>
      <c r="T8" s="71" t="str">
        <f t="shared" si="2"/>
        <v>07D</v>
      </c>
      <c r="X8" s="79"/>
      <c r="Y8" t="s">
        <v>399</v>
      </c>
    </row>
    <row r="9" spans="2:25" ht="14.25">
      <c r="B9" s="161" t="str">
        <f t="shared" si="3"/>
        <v>62D</v>
      </c>
      <c r="C9" s="78" t="str">
        <f t="shared" si="0"/>
        <v>62C</v>
      </c>
      <c r="D9" s="78" t="str">
        <f t="shared" si="0"/>
        <v>62B</v>
      </c>
      <c r="E9" s="162" t="str">
        <f t="shared" si="0"/>
        <v>62A</v>
      </c>
      <c r="F9" s="80"/>
      <c r="G9" s="70" t="str">
        <f t="shared" si="4"/>
        <v>44A</v>
      </c>
      <c r="H9" s="76" t="str">
        <f t="shared" si="1"/>
        <v>44B</v>
      </c>
      <c r="I9" s="76" t="str">
        <f t="shared" si="1"/>
        <v>44C</v>
      </c>
      <c r="J9" s="71" t="str">
        <f t="shared" si="1"/>
        <v>44D</v>
      </c>
      <c r="K9" s="80"/>
      <c r="L9" s="70" t="str">
        <f t="shared" si="5"/>
        <v>26D</v>
      </c>
      <c r="M9" s="76" t="str">
        <f t="shared" si="6"/>
        <v>26C</v>
      </c>
      <c r="N9" s="76" t="str">
        <f t="shared" si="7"/>
        <v>26B</v>
      </c>
      <c r="O9" s="71" t="str">
        <f t="shared" si="8"/>
        <v>26A</v>
      </c>
      <c r="P9" s="80"/>
      <c r="Q9" s="70" t="str">
        <f t="shared" si="9"/>
        <v>08A</v>
      </c>
      <c r="R9" s="78" t="str">
        <f t="shared" si="2"/>
        <v>08B</v>
      </c>
      <c r="S9" s="76" t="str">
        <f t="shared" si="2"/>
        <v>08C</v>
      </c>
      <c r="T9" s="71" t="str">
        <f t="shared" si="2"/>
        <v>08D</v>
      </c>
    </row>
    <row r="10" spans="2:25" ht="15" thickBot="1">
      <c r="B10" s="163" t="str">
        <f t="shared" si="3"/>
        <v>63D</v>
      </c>
      <c r="C10" s="164" t="str">
        <f t="shared" si="0"/>
        <v>63C</v>
      </c>
      <c r="D10" s="164" t="str">
        <f t="shared" si="0"/>
        <v>63B</v>
      </c>
      <c r="E10" s="165" t="str">
        <f t="shared" si="0"/>
        <v>63A</v>
      </c>
      <c r="F10" s="80"/>
      <c r="G10" s="72" t="str">
        <f t="shared" si="4"/>
        <v>45A</v>
      </c>
      <c r="H10" s="73" t="str">
        <f t="shared" si="1"/>
        <v>45B</v>
      </c>
      <c r="I10" s="73" t="str">
        <f t="shared" si="1"/>
        <v>45C</v>
      </c>
      <c r="J10" s="74" t="str">
        <f t="shared" si="1"/>
        <v>45D</v>
      </c>
      <c r="K10" s="80"/>
      <c r="L10" s="72" t="str">
        <f t="shared" si="5"/>
        <v>27D</v>
      </c>
      <c r="M10" s="73" t="str">
        <f t="shared" si="6"/>
        <v>27C</v>
      </c>
      <c r="N10" s="73" t="str">
        <f t="shared" si="7"/>
        <v>27B</v>
      </c>
      <c r="O10" s="74" t="str">
        <f t="shared" si="8"/>
        <v>27A</v>
      </c>
      <c r="P10" s="80"/>
      <c r="Q10" s="72" t="str">
        <f t="shared" si="9"/>
        <v>09A</v>
      </c>
      <c r="R10" s="73" t="str">
        <f t="shared" si="2"/>
        <v>09B</v>
      </c>
      <c r="S10" s="73" t="str">
        <f t="shared" si="2"/>
        <v>09C</v>
      </c>
      <c r="T10" s="74" t="str">
        <f t="shared" si="2"/>
        <v>09D</v>
      </c>
    </row>
    <row r="11" spans="2:25" ht="14.25">
      <c r="B11" s="166" t="str">
        <f t="shared" si="3"/>
        <v>64D</v>
      </c>
      <c r="C11" s="159" t="str">
        <f t="shared" si="0"/>
        <v>64C</v>
      </c>
      <c r="D11" s="159" t="str">
        <f t="shared" si="0"/>
        <v>64B</v>
      </c>
      <c r="E11" s="160" t="str">
        <f t="shared" si="0"/>
        <v>64A</v>
      </c>
      <c r="F11" s="80"/>
      <c r="G11" s="67" t="str">
        <f t="shared" si="4"/>
        <v>46A</v>
      </c>
      <c r="H11" s="68" t="str">
        <f t="shared" si="1"/>
        <v>46B</v>
      </c>
      <c r="I11" s="68" t="str">
        <f t="shared" si="1"/>
        <v>46C</v>
      </c>
      <c r="J11" s="69" t="str">
        <f t="shared" si="1"/>
        <v>46D</v>
      </c>
      <c r="K11" s="80"/>
      <c r="L11" s="67" t="str">
        <f t="shared" si="5"/>
        <v>28D</v>
      </c>
      <c r="M11" s="68" t="str">
        <f t="shared" si="6"/>
        <v>28C</v>
      </c>
      <c r="N11" s="68" t="str">
        <f t="shared" si="7"/>
        <v>28B</v>
      </c>
      <c r="O11" s="69" t="str">
        <f t="shared" si="8"/>
        <v>28A</v>
      </c>
      <c r="P11" s="80"/>
      <c r="Q11" s="67" t="str">
        <f t="shared" si="9"/>
        <v>10A</v>
      </c>
      <c r="R11" s="68" t="str">
        <f t="shared" si="2"/>
        <v>10B</v>
      </c>
      <c r="S11" s="68" t="str">
        <f t="shared" si="2"/>
        <v>10C</v>
      </c>
      <c r="T11" s="69" t="str">
        <f t="shared" si="2"/>
        <v>10D</v>
      </c>
    </row>
    <row r="12" spans="2:25" ht="14.25">
      <c r="B12" s="70" t="str">
        <f t="shared" si="3"/>
        <v>65D</v>
      </c>
      <c r="C12" s="76" t="str">
        <f t="shared" si="0"/>
        <v>65C</v>
      </c>
      <c r="D12" s="76" t="str">
        <f t="shared" si="0"/>
        <v>65B</v>
      </c>
      <c r="E12" s="71" t="str">
        <f t="shared" si="0"/>
        <v>65A</v>
      </c>
      <c r="F12" s="80"/>
      <c r="G12" s="70" t="str">
        <f t="shared" si="4"/>
        <v>47A</v>
      </c>
      <c r="H12" s="76" t="str">
        <f t="shared" si="1"/>
        <v>47B</v>
      </c>
      <c r="I12" s="76" t="str">
        <f t="shared" si="1"/>
        <v>47C</v>
      </c>
      <c r="J12" s="71" t="str">
        <f t="shared" si="1"/>
        <v>47D</v>
      </c>
      <c r="K12" s="80"/>
      <c r="L12" s="70" t="str">
        <f t="shared" si="5"/>
        <v>29D</v>
      </c>
      <c r="M12" s="76" t="str">
        <f t="shared" si="6"/>
        <v>29C</v>
      </c>
      <c r="N12" s="76" t="str">
        <f t="shared" si="7"/>
        <v>29B</v>
      </c>
      <c r="O12" s="71" t="str">
        <f t="shared" si="8"/>
        <v>29A</v>
      </c>
      <c r="P12" s="80"/>
      <c r="Q12" s="70" t="str">
        <f t="shared" si="9"/>
        <v>11A</v>
      </c>
      <c r="R12" s="76" t="str">
        <f t="shared" si="2"/>
        <v>11B</v>
      </c>
      <c r="S12" s="76" t="str">
        <f t="shared" si="2"/>
        <v>11C</v>
      </c>
      <c r="T12" s="71" t="str">
        <f t="shared" si="2"/>
        <v>11D</v>
      </c>
    </row>
    <row r="13" spans="2:25" ht="14.25">
      <c r="B13" s="70" t="str">
        <f t="shared" si="3"/>
        <v>66D</v>
      </c>
      <c r="C13" s="76" t="str">
        <f t="shared" si="0"/>
        <v>66C</v>
      </c>
      <c r="D13" s="76" t="str">
        <f t="shared" si="0"/>
        <v>66B</v>
      </c>
      <c r="E13" s="71" t="str">
        <f t="shared" si="0"/>
        <v>66A</v>
      </c>
      <c r="F13" s="80"/>
      <c r="G13" s="70" t="str">
        <f t="shared" si="4"/>
        <v>48A</v>
      </c>
      <c r="H13" s="76" t="str">
        <f t="shared" si="1"/>
        <v>48B</v>
      </c>
      <c r="I13" s="76" t="str">
        <f t="shared" si="1"/>
        <v>48C</v>
      </c>
      <c r="J13" s="71" t="str">
        <f t="shared" si="1"/>
        <v>48D</v>
      </c>
      <c r="K13" s="80"/>
      <c r="L13" s="70" t="str">
        <f t="shared" si="5"/>
        <v>30D</v>
      </c>
      <c r="M13" s="76" t="str">
        <f t="shared" si="6"/>
        <v>30C</v>
      </c>
      <c r="N13" s="76" t="str">
        <f t="shared" si="7"/>
        <v>30B</v>
      </c>
      <c r="O13" s="71" t="str">
        <f t="shared" si="8"/>
        <v>30A</v>
      </c>
      <c r="P13" s="80"/>
      <c r="Q13" s="70" t="str">
        <f t="shared" si="9"/>
        <v>12A</v>
      </c>
      <c r="R13" s="76" t="str">
        <f t="shared" si="2"/>
        <v>12B</v>
      </c>
      <c r="S13" s="76" t="str">
        <f t="shared" si="2"/>
        <v>12C</v>
      </c>
      <c r="T13" s="71" t="str">
        <f t="shared" si="2"/>
        <v>12D</v>
      </c>
    </row>
    <row r="14" spans="2:25" ht="14.25">
      <c r="B14" s="70" t="str">
        <f t="shared" si="3"/>
        <v>67D</v>
      </c>
      <c r="C14" s="76" t="str">
        <f t="shared" si="0"/>
        <v>67C</v>
      </c>
      <c r="D14" s="76" t="str">
        <f t="shared" si="0"/>
        <v>67B</v>
      </c>
      <c r="E14" s="71" t="str">
        <f t="shared" si="0"/>
        <v>67A</v>
      </c>
      <c r="F14" s="80"/>
      <c r="G14" s="70" t="str">
        <f t="shared" si="4"/>
        <v>49A</v>
      </c>
      <c r="H14" s="76" t="str">
        <f t="shared" si="1"/>
        <v>49B</v>
      </c>
      <c r="I14" s="76" t="str">
        <f t="shared" si="1"/>
        <v>49C</v>
      </c>
      <c r="J14" s="71" t="str">
        <f t="shared" si="1"/>
        <v>49D</v>
      </c>
      <c r="K14" s="80"/>
      <c r="L14" s="70" t="str">
        <f t="shared" si="5"/>
        <v>31D</v>
      </c>
      <c r="M14" s="76" t="str">
        <f t="shared" si="6"/>
        <v>31C</v>
      </c>
      <c r="N14" s="76" t="str">
        <f t="shared" si="7"/>
        <v>31B</v>
      </c>
      <c r="O14" s="71" t="str">
        <f t="shared" si="8"/>
        <v>31A</v>
      </c>
      <c r="P14" s="80"/>
      <c r="Q14" s="70" t="str">
        <f t="shared" si="9"/>
        <v>13A</v>
      </c>
      <c r="R14" s="76" t="str">
        <f t="shared" si="2"/>
        <v>13B</v>
      </c>
      <c r="S14" s="76" t="str">
        <f t="shared" si="2"/>
        <v>13C</v>
      </c>
      <c r="T14" s="71" t="str">
        <f t="shared" si="2"/>
        <v>13D</v>
      </c>
    </row>
    <row r="15" spans="2:25" ht="14.25">
      <c r="B15" s="70" t="str">
        <f t="shared" si="3"/>
        <v>68D</v>
      </c>
      <c r="C15" s="76" t="str">
        <f t="shared" si="0"/>
        <v>68C</v>
      </c>
      <c r="D15" s="76" t="str">
        <f t="shared" si="0"/>
        <v>68B</v>
      </c>
      <c r="E15" s="71" t="str">
        <f t="shared" si="0"/>
        <v>68A</v>
      </c>
      <c r="F15" s="80"/>
      <c r="G15" s="161" t="str">
        <f t="shared" si="4"/>
        <v>50A</v>
      </c>
      <c r="H15" s="78" t="str">
        <f t="shared" si="1"/>
        <v>50B</v>
      </c>
      <c r="I15" s="78" t="str">
        <f t="shared" si="1"/>
        <v>50C</v>
      </c>
      <c r="J15" s="162" t="str">
        <f t="shared" si="1"/>
        <v>50D</v>
      </c>
      <c r="K15" s="80"/>
      <c r="L15" s="70" t="str">
        <f t="shared" si="5"/>
        <v>32D</v>
      </c>
      <c r="M15" s="76" t="str">
        <f t="shared" si="6"/>
        <v>32C</v>
      </c>
      <c r="N15" s="76" t="str">
        <f t="shared" si="7"/>
        <v>32B</v>
      </c>
      <c r="O15" s="71" t="str">
        <f t="shared" si="8"/>
        <v>32A</v>
      </c>
      <c r="P15" s="80"/>
      <c r="Q15" s="70" t="str">
        <f t="shared" si="9"/>
        <v>14A</v>
      </c>
      <c r="R15" s="76" t="str">
        <f t="shared" si="2"/>
        <v>14B</v>
      </c>
      <c r="S15" s="76" t="str">
        <f t="shared" si="2"/>
        <v>14C</v>
      </c>
      <c r="T15" s="71" t="str">
        <f t="shared" si="2"/>
        <v>14D</v>
      </c>
    </row>
    <row r="16" spans="2:25" ht="14.25">
      <c r="B16" s="70" t="str">
        <f t="shared" si="3"/>
        <v>69D</v>
      </c>
      <c r="C16" s="76" t="str">
        <f t="shared" si="0"/>
        <v>69C</v>
      </c>
      <c r="D16" s="76" t="str">
        <f t="shared" si="0"/>
        <v>69B</v>
      </c>
      <c r="E16" s="71" t="str">
        <f t="shared" si="0"/>
        <v>69A</v>
      </c>
      <c r="F16" s="80"/>
      <c r="G16" s="70" t="str">
        <f t="shared" si="4"/>
        <v>51A</v>
      </c>
      <c r="H16" s="76" t="str">
        <f t="shared" si="1"/>
        <v>51B</v>
      </c>
      <c r="I16" s="76" t="str">
        <f t="shared" si="1"/>
        <v>51C</v>
      </c>
      <c r="J16" s="71" t="str">
        <f t="shared" si="1"/>
        <v>51D</v>
      </c>
      <c r="K16" s="80"/>
      <c r="L16" s="70" t="str">
        <f t="shared" si="5"/>
        <v>33D</v>
      </c>
      <c r="M16" s="76" t="str">
        <f t="shared" si="6"/>
        <v>33C</v>
      </c>
      <c r="N16" s="76" t="str">
        <f t="shared" si="7"/>
        <v>33B</v>
      </c>
      <c r="O16" s="71" t="str">
        <f t="shared" si="8"/>
        <v>33A</v>
      </c>
      <c r="P16" s="80"/>
      <c r="Q16" s="70" t="str">
        <f t="shared" si="9"/>
        <v>15A</v>
      </c>
      <c r="R16" s="76" t="str">
        <f t="shared" si="2"/>
        <v>15B</v>
      </c>
      <c r="S16" s="76" t="str">
        <f t="shared" si="2"/>
        <v>15C</v>
      </c>
      <c r="T16" s="71" t="str">
        <f t="shared" si="2"/>
        <v>15D</v>
      </c>
    </row>
    <row r="17" spans="2:20" ht="14.25">
      <c r="B17" s="70" t="str">
        <f t="shared" si="3"/>
        <v>70D</v>
      </c>
      <c r="C17" s="76" t="str">
        <f t="shared" si="0"/>
        <v>70C</v>
      </c>
      <c r="D17" s="76" t="str">
        <f t="shared" si="0"/>
        <v>70B</v>
      </c>
      <c r="E17" s="71" t="str">
        <f t="shared" si="0"/>
        <v>70A</v>
      </c>
      <c r="F17" s="80"/>
      <c r="G17" s="70" t="str">
        <f t="shared" si="4"/>
        <v>52A</v>
      </c>
      <c r="H17" s="76" t="str">
        <f t="shared" si="1"/>
        <v>52B</v>
      </c>
      <c r="I17" s="76" t="str">
        <f t="shared" si="1"/>
        <v>52C</v>
      </c>
      <c r="J17" s="71" t="str">
        <f t="shared" si="1"/>
        <v>52D</v>
      </c>
      <c r="K17" s="80"/>
      <c r="L17" s="70" t="str">
        <f t="shared" si="5"/>
        <v>34D</v>
      </c>
      <c r="M17" s="76" t="str">
        <f t="shared" si="6"/>
        <v>34C</v>
      </c>
      <c r="N17" s="76" t="str">
        <f t="shared" si="7"/>
        <v>34B</v>
      </c>
      <c r="O17" s="71" t="str">
        <f t="shared" si="8"/>
        <v>34A</v>
      </c>
      <c r="P17" s="80"/>
      <c r="Q17" s="70" t="str">
        <f t="shared" si="9"/>
        <v>16A</v>
      </c>
      <c r="R17" s="76" t="str">
        <f t="shared" si="2"/>
        <v>16B</v>
      </c>
      <c r="S17" s="76" t="str">
        <f t="shared" si="2"/>
        <v>16C</v>
      </c>
      <c r="T17" s="71" t="str">
        <f t="shared" si="2"/>
        <v>16D</v>
      </c>
    </row>
    <row r="18" spans="2:20" ht="14.25">
      <c r="B18" s="70" t="str">
        <f t="shared" si="3"/>
        <v>71D</v>
      </c>
      <c r="C18" s="76" t="str">
        <f t="shared" si="0"/>
        <v>71C</v>
      </c>
      <c r="D18" s="76" t="str">
        <f t="shared" si="0"/>
        <v>71B</v>
      </c>
      <c r="E18" s="71" t="str">
        <f t="shared" si="0"/>
        <v>71A</v>
      </c>
      <c r="F18" s="80"/>
      <c r="G18" s="70" t="str">
        <f t="shared" si="4"/>
        <v>53A</v>
      </c>
      <c r="H18" s="76" t="str">
        <f t="shared" si="1"/>
        <v>53B</v>
      </c>
      <c r="I18" s="76" t="str">
        <f t="shared" si="1"/>
        <v>53C</v>
      </c>
      <c r="J18" s="71" t="str">
        <f t="shared" si="1"/>
        <v>53D</v>
      </c>
      <c r="K18" s="80"/>
      <c r="L18" s="70" t="str">
        <f t="shared" si="5"/>
        <v>35D</v>
      </c>
      <c r="M18" s="76" t="str">
        <f t="shared" si="6"/>
        <v>35C</v>
      </c>
      <c r="N18" s="76" t="str">
        <f t="shared" si="7"/>
        <v>35B</v>
      </c>
      <c r="O18" s="71" t="str">
        <f t="shared" si="8"/>
        <v>35A</v>
      </c>
      <c r="P18" s="80"/>
      <c r="Q18" s="70" t="str">
        <f t="shared" si="9"/>
        <v>17A</v>
      </c>
      <c r="R18" s="76" t="str">
        <f t="shared" si="2"/>
        <v>17B</v>
      </c>
      <c r="S18" s="76" t="str">
        <f t="shared" si="2"/>
        <v>17C</v>
      </c>
      <c r="T18" s="71" t="str">
        <f t="shared" si="2"/>
        <v>17D</v>
      </c>
    </row>
    <row r="19" spans="2:20" ht="15" thickBot="1">
      <c r="B19" s="72" t="str">
        <f t="shared" si="3"/>
        <v>72D</v>
      </c>
      <c r="C19" s="73" t="str">
        <f>TEXT(LEFT(C18,2)+1,"00")&amp;RIGHT(C18,1)</f>
        <v>72C</v>
      </c>
      <c r="D19" s="73" t="str">
        <f>TEXT(LEFT(D18,2)+1,"00")&amp;RIGHT(D18,1)</f>
        <v>72B</v>
      </c>
      <c r="E19" s="74" t="str">
        <f>TEXT(LEFT(E18,2)+1,"00")&amp;RIGHT(E18,1)</f>
        <v>72A</v>
      </c>
      <c r="F19" s="80"/>
      <c r="G19" s="72" t="str">
        <f t="shared" si="4"/>
        <v>54A</v>
      </c>
      <c r="H19" s="73" t="str">
        <f>TEXT(LEFT(H18,2)+1,"00")&amp;RIGHT(H18,1)</f>
        <v>54B</v>
      </c>
      <c r="I19" s="73" t="str">
        <f>TEXT(LEFT(I18,2)+1,"00")&amp;RIGHT(I18,1)</f>
        <v>54C</v>
      </c>
      <c r="J19" s="74" t="str">
        <f>TEXT(LEFT(J18,2)+1,"00")&amp;RIGHT(J18,1)</f>
        <v>54D</v>
      </c>
      <c r="K19" s="80"/>
      <c r="L19" s="72" t="str">
        <f t="shared" si="5"/>
        <v>36D</v>
      </c>
      <c r="M19" s="73" t="str">
        <f t="shared" si="6"/>
        <v>36C</v>
      </c>
      <c r="N19" s="73" t="str">
        <f t="shared" si="7"/>
        <v>36B</v>
      </c>
      <c r="O19" s="74" t="str">
        <f t="shared" si="8"/>
        <v>36A</v>
      </c>
      <c r="P19" s="80"/>
      <c r="Q19" s="72" t="str">
        <f t="shared" si="9"/>
        <v>18A</v>
      </c>
      <c r="R19" s="73" t="str">
        <f>TEXT(LEFT(R18,2)+1,"00")&amp;RIGHT(R18,1)</f>
        <v>18B</v>
      </c>
      <c r="S19" s="73" t="str">
        <f>TEXT(LEFT(S18,2)+1,"00")&amp;RIGHT(S18,1)</f>
        <v>18C</v>
      </c>
      <c r="T19" s="74" t="str">
        <f>TEXT(LEFT(T18,2)+1,"00")&amp;RIGHT(T18,1)</f>
        <v>18D</v>
      </c>
    </row>
    <row r="20" spans="2:20">
      <c r="C20" t="s">
        <v>418</v>
      </c>
      <c r="H20" t="s">
        <v>421</v>
      </c>
      <c r="M20" t="s">
        <v>422</v>
      </c>
      <c r="R20" t="s">
        <v>420</v>
      </c>
    </row>
  </sheetData>
  <sortState xmlns:xlrd2="http://schemas.microsoft.com/office/spreadsheetml/2017/richdata2" ref="L25:O42">
    <sortCondition ref="L25:L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3.LiveTest">
                <anchor moveWithCells="1" sizeWithCells="1">
                  <from>
                    <xdr:col>22</xdr:col>
                    <xdr:colOff>209550</xdr:colOff>
                    <xdr:row>1</xdr:row>
                    <xdr:rowOff>38100</xdr:rowOff>
                  </from>
                  <to>
                    <xdr:col>24</xdr:col>
                    <xdr:colOff>323850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102D-F35C-4514-ADED-40EA91EBA57A}">
  <sheetPr codeName="Sheet1">
    <pageSetUpPr fitToPage="1"/>
  </sheetPr>
  <dimension ref="A1:Z40"/>
  <sheetViews>
    <sheetView zoomScaleNormal="100" workbookViewId="0">
      <selection activeCell="J14" sqref="J14"/>
    </sheetView>
  </sheetViews>
  <sheetFormatPr defaultRowHeight="13.5"/>
  <cols>
    <col min="1" max="1" width="11.5" bestFit="1" customWidth="1"/>
    <col min="2" max="2" width="10.125" bestFit="1" customWidth="1"/>
    <col min="3" max="3" width="11.125" bestFit="1" customWidth="1"/>
    <col min="4" max="4" width="10.125" bestFit="1" customWidth="1"/>
    <col min="6" max="6" width="6" bestFit="1" customWidth="1"/>
    <col min="7" max="7" width="8.875" bestFit="1" customWidth="1"/>
    <col min="11" max="11" width="12.75" bestFit="1" customWidth="1"/>
    <col min="12" max="13" width="5.375" bestFit="1" customWidth="1"/>
    <col min="14" max="14" width="7.75" bestFit="1" customWidth="1"/>
    <col min="15" max="15" width="10.75" bestFit="1" customWidth="1"/>
    <col min="16" max="16" width="9.875" bestFit="1" customWidth="1"/>
    <col min="17" max="21" width="5.125" customWidth="1"/>
    <col min="22" max="24" width="4.375" customWidth="1"/>
  </cols>
  <sheetData>
    <row r="1" spans="1:26" ht="21">
      <c r="A1" s="25" t="s">
        <v>13</v>
      </c>
      <c r="B1" s="30" t="str">
        <f>"10.238."&amp;G1&amp;"."&amp;H1&amp;"6"</f>
        <v>10.238.5.96</v>
      </c>
      <c r="C1" s="24" t="s">
        <v>23</v>
      </c>
      <c r="D1" s="81">
        <f>(MID(B1,8,1)-1)*9+QUOTIENT(RIGHT(B1,2),10)</f>
        <v>45</v>
      </c>
      <c r="E1" t="str">
        <f>VLOOKUP(--RIGHT(B1,1),{9,"A";8,"B";7,"C";6,"D"},2,0)</f>
        <v>D</v>
      </c>
      <c r="F1" s="97">
        <v>45</v>
      </c>
      <c r="G1">
        <f>QUOTIENT(F1-1,9)+1</f>
        <v>5</v>
      </c>
      <c r="H1">
        <f>MOD(F1-1,9)+1</f>
        <v>9</v>
      </c>
      <c r="K1" s="82">
        <f ca="1">NOW()</f>
        <v>45699.707333101855</v>
      </c>
      <c r="M1">
        <v>32</v>
      </c>
      <c r="N1">
        <v>33</v>
      </c>
      <c r="R1">
        <f>(MID(B1,8,1)-1)*9+QUOTIENT(RIGHT(B1,2),10)</f>
        <v>45</v>
      </c>
      <c r="S1" t="str">
        <f>VLOOKUP(--RIGHT(B1,1),{9,"A";8,"B";7,"C";6,"D"},2,0)</f>
        <v>D</v>
      </c>
      <c r="T1">
        <f>J21</f>
        <v>0</v>
      </c>
      <c r="V1" t="s">
        <v>758</v>
      </c>
    </row>
    <row r="2" spans="1:26" ht="15">
      <c r="A2" s="48" t="str">
        <f>REPLACE($B$1,LEN($B$1),1,"7")</f>
        <v>10.238.5.97</v>
      </c>
      <c r="B2" s="48" t="str">
        <f>REPLACE($B$1,LEN($B$1),1,"7")</f>
        <v>10.238.5.97</v>
      </c>
      <c r="D2" s="81">
        <f>(MID(B2,8,1)-1)*9+QUOTIENT(RIGHT(B2,2),10)</f>
        <v>45</v>
      </c>
      <c r="E2" t="str">
        <f>VLOOKUP(--RIGHT(B2,1),{9,"A";8,"B";7,"C";6,"D"},2,0)</f>
        <v>C</v>
      </c>
      <c r="G2" s="16" t="s">
        <v>11</v>
      </c>
      <c r="H2" s="17" t="s">
        <v>14</v>
      </c>
      <c r="I2" s="18" t="s">
        <v>12</v>
      </c>
      <c r="M2" s="1" t="s">
        <v>6</v>
      </c>
      <c r="N2" s="21" t="s">
        <v>7</v>
      </c>
      <c r="O2" s="2" t="s">
        <v>8</v>
      </c>
      <c r="P2" s="3" t="s">
        <v>18</v>
      </c>
      <c r="R2">
        <f>(MID(B2,8,1)-1)*9+QUOTIENT(RIGHT(B2,2),10)</f>
        <v>45</v>
      </c>
      <c r="S2" t="str">
        <f>VLOOKUP(--RIGHT(B2,1),{9,"A";8,"B";7,"C";6,"D"},2,0)</f>
        <v>C</v>
      </c>
      <c r="T2">
        <f>J26</f>
        <v>0</v>
      </c>
      <c r="V2" t="s">
        <v>758</v>
      </c>
    </row>
    <row r="3" spans="1:26" ht="15">
      <c r="A3" s="48" t="str">
        <f>REPLACE($B$1,LEN($B$1),1,"8")</f>
        <v>10.238.5.98</v>
      </c>
      <c r="B3" s="48" t="str">
        <f>REPLACE($B$1,LEN($B$1),1,"8")</f>
        <v>10.238.5.98</v>
      </c>
      <c r="D3" s="81">
        <f>(MID(B3,8,1)-1)*9+QUOTIENT(RIGHT(B3,2),10)</f>
        <v>45</v>
      </c>
      <c r="E3" t="str">
        <f>VLOOKUP(--RIGHT(B3,1),{9,"A";8,"B";7,"C";6,"D"},2,0)</f>
        <v>B</v>
      </c>
      <c r="G3" s="31">
        <f>INT(ABS(MAX(D21:D24))-ABS(MIN(B21:B24)))</f>
        <v>257</v>
      </c>
      <c r="H3" s="19">
        <v>9</v>
      </c>
      <c r="I3" s="20">
        <f>G3*H3*1.4</f>
        <v>3238.2</v>
      </c>
      <c r="M3" s="34">
        <v>0</v>
      </c>
      <c r="N3" s="28">
        <v>0</v>
      </c>
      <c r="O3" s="22">
        <f>ABS(INT(M3*N3/1000))</f>
        <v>0</v>
      </c>
      <c r="P3" s="33">
        <f>SUM(O3:O6)/1000</f>
        <v>0</v>
      </c>
      <c r="R3">
        <f>(MID(B3,8,1)-1)*9+QUOTIENT(RIGHT(B3,2),10)</f>
        <v>45</v>
      </c>
      <c r="S3" t="str">
        <f>VLOOKUP(--RIGHT(B3,1),{9,"A";8,"B";7,"C";6,"D"},2,0)</f>
        <v>B</v>
      </c>
      <c r="T3">
        <f>J31</f>
        <v>0</v>
      </c>
      <c r="V3" t="s">
        <v>758</v>
      </c>
    </row>
    <row r="4" spans="1:26" ht="15">
      <c r="A4" s="48" t="str">
        <f>REPLACE($B$1,LEN($B$1),1,"9")</f>
        <v>10.238.5.99</v>
      </c>
      <c r="B4" s="48" t="str">
        <f>REPLACE($B$1,LEN($B$1),1,"9")</f>
        <v>10.238.5.99</v>
      </c>
      <c r="D4" s="81">
        <f>(MID(B4,8,1)-1)*9+QUOTIENT(RIGHT(B4,2),10)</f>
        <v>45</v>
      </c>
      <c r="E4" t="str">
        <f>VLOOKUP(--RIGHT(B4,1),{9,"A";8,"B";7,"C";6,"D"},2,0)</f>
        <v>A</v>
      </c>
      <c r="M4" s="35">
        <v>0</v>
      </c>
      <c r="N4" s="29">
        <v>0</v>
      </c>
      <c r="O4" s="22">
        <f>ABS(INT(M4*N4/1000))</f>
        <v>0</v>
      </c>
      <c r="P4" s="23"/>
      <c r="R4">
        <f>(MID(B4,8,1)-1)*9+QUOTIENT(RIGHT(B4,2),10)</f>
        <v>45</v>
      </c>
      <c r="S4" t="str">
        <f>VLOOKUP(--RIGHT(B4,1),{9,"A";8,"B";7,"C";6,"D"},2,0)</f>
        <v>A</v>
      </c>
      <c r="T4">
        <f>J36</f>
        <v>0</v>
      </c>
      <c r="V4" t="s">
        <v>758</v>
      </c>
    </row>
    <row r="5" spans="1:26" ht="15">
      <c r="G5" s="16" t="s">
        <v>20</v>
      </c>
      <c r="H5" s="17" t="s">
        <v>7</v>
      </c>
      <c r="M5" s="34">
        <v>0</v>
      </c>
      <c r="N5" s="28">
        <v>0</v>
      </c>
      <c r="O5" s="22">
        <f>ABS(INT(M5*N5/1000))</f>
        <v>0</v>
      </c>
    </row>
    <row r="6" spans="1:26" ht="15">
      <c r="A6" s="11" t="s">
        <v>0</v>
      </c>
      <c r="B6" s="12" t="s">
        <v>1</v>
      </c>
      <c r="C6" s="13" t="s">
        <v>17</v>
      </c>
      <c r="G6" s="31">
        <v>18031</v>
      </c>
      <c r="H6" s="19">
        <f>(G6-20000)/10</f>
        <v>-196.9</v>
      </c>
      <c r="M6" s="35">
        <v>0</v>
      </c>
      <c r="N6" s="29">
        <v>0</v>
      </c>
      <c r="O6" s="22">
        <f>ABS(INT(M6*N6/1000))</f>
        <v>0</v>
      </c>
    </row>
    <row r="7" spans="1:26" ht="15">
      <c r="A7" s="65">
        <v>896</v>
      </c>
      <c r="B7" s="63" t="s">
        <v>5</v>
      </c>
      <c r="C7" s="14" t="s">
        <v>2</v>
      </c>
    </row>
    <row r="8" spans="1:26" ht="15">
      <c r="A8" s="65">
        <v>897</v>
      </c>
      <c r="B8" s="63" t="s">
        <v>16</v>
      </c>
      <c r="C8" s="14" t="s">
        <v>3</v>
      </c>
      <c r="G8" s="16" t="s">
        <v>21</v>
      </c>
      <c r="H8" s="17" t="s">
        <v>22</v>
      </c>
      <c r="L8" s="17">
        <v>36</v>
      </c>
      <c r="M8" s="17">
        <v>37</v>
      </c>
      <c r="N8" s="17">
        <v>770</v>
      </c>
      <c r="O8" s="17">
        <v>16</v>
      </c>
      <c r="P8" s="17">
        <v>17</v>
      </c>
      <c r="Q8" s="17">
        <v>909</v>
      </c>
      <c r="R8" s="17">
        <v>34</v>
      </c>
      <c r="S8" s="113">
        <v>5</v>
      </c>
      <c r="T8" s="113"/>
      <c r="U8" s="113"/>
      <c r="V8" s="113"/>
      <c r="W8" s="113"/>
      <c r="X8" s="113"/>
      <c r="Z8" t="s">
        <v>391</v>
      </c>
    </row>
    <row r="9" spans="1:26" ht="15">
      <c r="A9" s="65">
        <v>907</v>
      </c>
      <c r="B9" s="63" t="s">
        <v>397</v>
      </c>
      <c r="C9" s="14" t="s">
        <v>41</v>
      </c>
      <c r="G9" s="31" t="s">
        <v>788</v>
      </c>
      <c r="H9" s="19">
        <f>HEX2DEC(G9)</f>
        <v>107</v>
      </c>
      <c r="L9" s="19">
        <v>3337</v>
      </c>
      <c r="M9" s="19">
        <v>3333</v>
      </c>
      <c r="N9" s="19">
        <v>1</v>
      </c>
      <c r="O9" s="19">
        <v>0</v>
      </c>
      <c r="P9">
        <v>0</v>
      </c>
      <c r="Q9">
        <v>0</v>
      </c>
      <c r="R9">
        <v>886</v>
      </c>
      <c r="S9">
        <v>0</v>
      </c>
      <c r="Z9">
        <f>CLEAN(L9)*1-CLEAN(M9)*1</f>
        <v>4</v>
      </c>
    </row>
    <row r="10" spans="1:26" ht="15">
      <c r="A10" s="65">
        <v>908</v>
      </c>
      <c r="B10" s="63" t="s">
        <v>15</v>
      </c>
      <c r="C10" s="14" t="s">
        <v>4</v>
      </c>
      <c r="G10" s="17" t="s">
        <v>22</v>
      </c>
      <c r="H10" s="16" t="s">
        <v>21</v>
      </c>
      <c r="L10" s="19">
        <v>3330</v>
      </c>
      <c r="M10" s="19">
        <v>3327</v>
      </c>
      <c r="N10" s="19">
        <v>1</v>
      </c>
      <c r="O10" s="19">
        <v>0</v>
      </c>
      <c r="P10">
        <v>0</v>
      </c>
      <c r="Q10">
        <v>0</v>
      </c>
      <c r="R10">
        <v>916</v>
      </c>
      <c r="S10">
        <v>0</v>
      </c>
      <c r="Z10">
        <f>CLEAN(L10)*1-CLEAN(M10)*1</f>
        <v>3</v>
      </c>
    </row>
    <row r="11" spans="1:26" ht="15">
      <c r="A11" s="66" t="s">
        <v>39</v>
      </c>
      <c r="B11" s="64"/>
      <c r="C11" s="15" t="s">
        <v>392</v>
      </c>
      <c r="G11" s="31">
        <v>56</v>
      </c>
      <c r="H11" s="19" t="str">
        <f>DEC2HEX(G11)</f>
        <v>38</v>
      </c>
      <c r="L11" s="19">
        <v>3335</v>
      </c>
      <c r="M11" s="19">
        <v>3331</v>
      </c>
      <c r="N11" s="19">
        <v>1</v>
      </c>
      <c r="O11" s="19">
        <v>0</v>
      </c>
      <c r="P11">
        <v>0</v>
      </c>
      <c r="Q11">
        <v>0</v>
      </c>
      <c r="R11">
        <v>903</v>
      </c>
      <c r="S11">
        <v>0</v>
      </c>
      <c r="Z11">
        <f>CLEAN(L11)*1-CLEAN(M11)*1</f>
        <v>4</v>
      </c>
    </row>
    <row r="12" spans="1:26" ht="15">
      <c r="A12" s="66" t="s">
        <v>40</v>
      </c>
      <c r="B12" s="64"/>
      <c r="C12" s="15" t="s">
        <v>393</v>
      </c>
      <c r="L12" s="19">
        <v>3335</v>
      </c>
      <c r="M12" s="19">
        <v>3331</v>
      </c>
      <c r="N12" s="19">
        <v>1</v>
      </c>
      <c r="O12" s="19">
        <v>0</v>
      </c>
      <c r="P12">
        <v>0</v>
      </c>
      <c r="Q12">
        <v>0</v>
      </c>
      <c r="R12">
        <v>900</v>
      </c>
      <c r="S12">
        <v>0</v>
      </c>
      <c r="Z12">
        <f>CLEAN(L12)*1-CLEAN(M12)*1</f>
        <v>4</v>
      </c>
    </row>
    <row r="13" spans="1:26" ht="15">
      <c r="A13" s="66">
        <v>5</v>
      </c>
      <c r="B13" s="64"/>
      <c r="C13" s="15" t="s">
        <v>394</v>
      </c>
      <c r="L13" t="s">
        <v>35</v>
      </c>
      <c r="M13" t="s">
        <v>36</v>
      </c>
      <c r="N13" t="s">
        <v>388</v>
      </c>
      <c r="O13" t="s">
        <v>389</v>
      </c>
      <c r="P13" t="s">
        <v>390</v>
      </c>
      <c r="Q13" t="s">
        <v>738</v>
      </c>
      <c r="R13" t="s">
        <v>84</v>
      </c>
      <c r="S13" t="s">
        <v>784</v>
      </c>
    </row>
    <row r="14" spans="1:26" ht="15">
      <c r="A14" s="66">
        <v>770</v>
      </c>
      <c r="B14" s="64" t="s">
        <v>395</v>
      </c>
      <c r="C14" s="15" t="s">
        <v>396</v>
      </c>
    </row>
    <row r="15" spans="1:26">
      <c r="G15" s="27"/>
    </row>
    <row r="16" spans="1:26">
      <c r="E16" s="42" t="s">
        <v>35</v>
      </c>
      <c r="F16" s="43" t="s">
        <v>36</v>
      </c>
      <c r="G16" s="44" t="s">
        <v>37</v>
      </c>
      <c r="H16" s="45" t="s">
        <v>34</v>
      </c>
    </row>
    <row r="17" spans="1:9">
      <c r="E17" s="39" cm="1">
        <f t="array" ref="E17">MAX(IF(ABS(B21:B40)&gt;1,B21:B40))</f>
        <v>0</v>
      </c>
      <c r="F17" s="40" cm="1">
        <f t="array" ref="F17">MIN(IF(ABS(B21:B40)&gt;1,B21:B40))</f>
        <v>0</v>
      </c>
      <c r="G17" s="41" cm="1">
        <f t="array" ref="G17">MEDIAN(IF(ABS(B21:B40)&gt;1,B21:B40,0))</f>
        <v>0</v>
      </c>
      <c r="H17" s="46" cm="1">
        <f t="array" ref="H17">_xlfn.STDEV.P(IF(ABS(B21:B40)&gt;1,B21:B40,0))</f>
        <v>0</v>
      </c>
    </row>
    <row r="18" spans="1:9" ht="14.25">
      <c r="E18" s="49">
        <f>E17-F17</f>
        <v>0</v>
      </c>
    </row>
    <row r="20" spans="1:9" ht="15">
      <c r="A20" s="1" t="s">
        <v>26</v>
      </c>
      <c r="B20" s="2" t="s">
        <v>10</v>
      </c>
      <c r="C20" s="2" t="s">
        <v>9</v>
      </c>
      <c r="D20" s="3" t="s">
        <v>19</v>
      </c>
      <c r="E20" s="3" t="s">
        <v>6</v>
      </c>
      <c r="F20" s="26" t="s">
        <v>24</v>
      </c>
      <c r="G20" s="26" t="s">
        <v>25</v>
      </c>
    </row>
    <row r="21" spans="1:9" ht="14.25">
      <c r="A21" s="4" t="str">
        <f>"D-SBMU-0"&amp;MOD(ROW()-1,5)+1</f>
        <v>D-SBMU-01</v>
      </c>
      <c r="B21" s="5">
        <v>0</v>
      </c>
      <c r="C21" s="5">
        <v>83</v>
      </c>
      <c r="D21" s="36">
        <v>-257</v>
      </c>
      <c r="E21" s="36">
        <v>1387.1</v>
      </c>
      <c r="F21" s="6">
        <v>22</v>
      </c>
      <c r="G21" s="6">
        <f>IFERROR(INT(E21*B21/1000),0)</f>
        <v>0</v>
      </c>
      <c r="I21" s="58"/>
    </row>
    <row r="22" spans="1:9" ht="14.25">
      <c r="A22" s="4" t="str">
        <f>"D-SBMU-0"&amp;MOD(ROW()-1,5)+1</f>
        <v>D-SBMU-02</v>
      </c>
      <c r="B22" s="7">
        <v>0</v>
      </c>
      <c r="C22" s="7">
        <v>81.900000000000006</v>
      </c>
      <c r="D22" s="37">
        <v>-260.60000000000002</v>
      </c>
      <c r="E22" s="37">
        <v>1387.3</v>
      </c>
      <c r="F22" s="8">
        <v>21</v>
      </c>
      <c r="G22" s="6">
        <f t="shared" ref="G22:G40" si="0">IFERROR(INT(E22*B22/1000),0)</f>
        <v>0</v>
      </c>
      <c r="I22" s="58"/>
    </row>
    <row r="23" spans="1:9" ht="14.25">
      <c r="A23" s="4" t="str">
        <f>"D-SBMU-0"&amp;MOD(ROW()-1,5)+1</f>
        <v>D-SBMU-03</v>
      </c>
      <c r="B23" s="5">
        <v>0</v>
      </c>
      <c r="C23" s="5">
        <v>82</v>
      </c>
      <c r="D23" s="36">
        <v>-260.39999999999998</v>
      </c>
      <c r="E23" s="36">
        <v>1385.8</v>
      </c>
      <c r="F23" s="6">
        <v>21</v>
      </c>
      <c r="G23" s="6">
        <f t="shared" si="0"/>
        <v>0</v>
      </c>
      <c r="I23" s="58"/>
    </row>
    <row r="24" spans="1:9" ht="14.25">
      <c r="A24" s="4" t="str">
        <f>"D-SBMU-0"&amp;MOD(ROW()-1,5)+1</f>
        <v>D-SBMU-04</v>
      </c>
      <c r="B24" s="7">
        <v>0</v>
      </c>
      <c r="C24" s="7">
        <v>82.2</v>
      </c>
      <c r="D24" s="37">
        <v>-259.60000000000002</v>
      </c>
      <c r="E24" s="37">
        <v>1386.6</v>
      </c>
      <c r="F24" s="8">
        <v>21</v>
      </c>
      <c r="G24" s="6">
        <f t="shared" si="0"/>
        <v>0</v>
      </c>
      <c r="I24" s="58"/>
    </row>
    <row r="25" spans="1:9" ht="14.25">
      <c r="A25" s="4" t="str">
        <f>"D-SBMU-0"&amp;MOD(ROW()-1,5)+1</f>
        <v>D-SBMU-05</v>
      </c>
      <c r="B25" s="5">
        <v>0</v>
      </c>
      <c r="C25" s="5">
        <v>82.1</v>
      </c>
      <c r="D25" s="36">
        <v>-260.5</v>
      </c>
      <c r="E25" s="36">
        <v>1387.2</v>
      </c>
      <c r="F25" s="6">
        <v>21</v>
      </c>
      <c r="G25" s="6">
        <f t="shared" si="0"/>
        <v>0</v>
      </c>
      <c r="I25" s="58"/>
    </row>
    <row r="26" spans="1:9" ht="14.25">
      <c r="A26" s="4" t="str">
        <f>"C-SBMU-0"&amp;MOD(ROW()-1,5)+1</f>
        <v>C-SBMU-01</v>
      </c>
      <c r="B26" s="7">
        <v>0</v>
      </c>
      <c r="C26" s="7">
        <v>90.2</v>
      </c>
      <c r="D26" s="37">
        <v>-244</v>
      </c>
      <c r="E26" s="37">
        <v>1385.7</v>
      </c>
      <c r="F26" s="8">
        <v>21</v>
      </c>
      <c r="G26" s="6">
        <f t="shared" si="0"/>
        <v>0</v>
      </c>
      <c r="I26" s="58"/>
    </row>
    <row r="27" spans="1:9" ht="14.25">
      <c r="A27" s="4" t="str">
        <f>"C-SBMU-0"&amp;MOD(ROW()-1,5)+1</f>
        <v>C-SBMU-02</v>
      </c>
      <c r="B27" s="5">
        <v>0</v>
      </c>
      <c r="C27" s="5">
        <v>89.8</v>
      </c>
      <c r="D27" s="36">
        <v>-244.1</v>
      </c>
      <c r="E27" s="36">
        <v>1385.8</v>
      </c>
      <c r="F27" s="6">
        <v>20</v>
      </c>
      <c r="G27" s="6">
        <f t="shared" si="0"/>
        <v>0</v>
      </c>
      <c r="I27" s="58"/>
    </row>
    <row r="28" spans="1:9" ht="14.25">
      <c r="A28" s="4" t="str">
        <f>"C-SBMU-0"&amp;MOD(ROW()-1,5)+1</f>
        <v>C-SBMU-03</v>
      </c>
      <c r="B28" s="7">
        <v>0</v>
      </c>
      <c r="C28" s="7">
        <v>92.1</v>
      </c>
      <c r="D28" s="37">
        <v>-134.6</v>
      </c>
      <c r="E28" s="37">
        <v>1386.4</v>
      </c>
      <c r="F28" s="8">
        <v>16</v>
      </c>
      <c r="G28" s="6">
        <f t="shared" si="0"/>
        <v>0</v>
      </c>
      <c r="I28" s="58"/>
    </row>
    <row r="29" spans="1:9" ht="14.25">
      <c r="A29" s="4" t="str">
        <f>"C-SBMU-0"&amp;MOD(ROW()-1,5)+1</f>
        <v>C-SBMU-04</v>
      </c>
      <c r="B29" s="5">
        <v>0</v>
      </c>
      <c r="C29" s="5">
        <v>90.2</v>
      </c>
      <c r="D29" s="36">
        <v>-243.9</v>
      </c>
      <c r="E29" s="36">
        <v>1386.6</v>
      </c>
      <c r="F29" s="6">
        <v>20</v>
      </c>
      <c r="G29" s="6">
        <f t="shared" si="0"/>
        <v>0</v>
      </c>
      <c r="I29" s="58"/>
    </row>
    <row r="30" spans="1:9" ht="14.25">
      <c r="A30" s="4" t="str">
        <f>"C-SBMU-0"&amp;MOD(ROW()-1,5)+1</f>
        <v>C-SBMU-05</v>
      </c>
      <c r="B30" s="9">
        <v>0</v>
      </c>
      <c r="C30" s="9">
        <v>89.7</v>
      </c>
      <c r="D30" s="38">
        <v>-244.1</v>
      </c>
      <c r="E30" s="38">
        <v>1385.6</v>
      </c>
      <c r="F30" s="10">
        <v>20</v>
      </c>
      <c r="G30" s="6">
        <f t="shared" si="0"/>
        <v>0</v>
      </c>
      <c r="I30" s="58"/>
    </row>
    <row r="31" spans="1:9" ht="14.25">
      <c r="A31" s="4" t="str">
        <f>"B-SBMU-0"&amp;MOD(ROW()-1,5)+1</f>
        <v>B-SBMU-01</v>
      </c>
      <c r="B31" s="5">
        <v>0</v>
      </c>
      <c r="C31" s="5">
        <v>82.9</v>
      </c>
      <c r="D31" s="36">
        <v>-286.39999999999998</v>
      </c>
      <c r="E31" s="36">
        <v>1386.6</v>
      </c>
      <c r="F31" s="6">
        <v>23</v>
      </c>
      <c r="G31" s="6">
        <f t="shared" si="0"/>
        <v>0</v>
      </c>
      <c r="I31" s="58"/>
    </row>
    <row r="32" spans="1:9" ht="14.25">
      <c r="A32" s="4" t="str">
        <f>"B-SBMU-0"&amp;MOD(ROW()-1,5)+1</f>
        <v>B-SBMU-02</v>
      </c>
      <c r="B32" s="9">
        <v>0</v>
      </c>
      <c r="C32" s="9">
        <v>82.3</v>
      </c>
      <c r="D32" s="38">
        <v>-287.5</v>
      </c>
      <c r="E32" s="38">
        <v>1387.4</v>
      </c>
      <c r="F32" s="10">
        <v>23</v>
      </c>
      <c r="G32" s="6">
        <f t="shared" si="0"/>
        <v>0</v>
      </c>
      <c r="I32" s="58"/>
    </row>
    <row r="33" spans="1:9" ht="14.25">
      <c r="A33" s="4" t="str">
        <f>"B-SBMU-0"&amp;MOD(ROW()-1,5)+1</f>
        <v>B-SBMU-03</v>
      </c>
      <c r="B33" s="5">
        <v>0</v>
      </c>
      <c r="C33" s="5">
        <v>83.1</v>
      </c>
      <c r="D33" s="36">
        <v>-285.60000000000002</v>
      </c>
      <c r="E33" s="36">
        <v>1385.5</v>
      </c>
      <c r="F33" s="6">
        <v>23</v>
      </c>
      <c r="G33" s="6">
        <f t="shared" si="0"/>
        <v>0</v>
      </c>
      <c r="I33" s="58"/>
    </row>
    <row r="34" spans="1:9" ht="14.25">
      <c r="A34" s="4" t="str">
        <f>"B-SBMU-0"&amp;MOD(ROW()-1,5)+1</f>
        <v>B-SBMU-04</v>
      </c>
      <c r="B34" s="9">
        <v>0</v>
      </c>
      <c r="C34" s="9">
        <v>81.900000000000006</v>
      </c>
      <c r="D34" s="38">
        <v>-288</v>
      </c>
      <c r="E34" s="38">
        <v>1388.7</v>
      </c>
      <c r="F34" s="10">
        <v>23</v>
      </c>
      <c r="G34" s="6">
        <f t="shared" si="0"/>
        <v>0</v>
      </c>
      <c r="I34" s="58"/>
    </row>
    <row r="35" spans="1:9" ht="14.25">
      <c r="A35" s="4" t="str">
        <f>"B-SBMU-0"&amp;MOD(ROW()-1,5)+1</f>
        <v>B-SBMU-05</v>
      </c>
      <c r="B35" s="5">
        <v>0</v>
      </c>
      <c r="C35" s="5">
        <v>81.8</v>
      </c>
      <c r="D35" s="36">
        <v>-287.10000000000002</v>
      </c>
      <c r="E35" s="36">
        <v>1385.8</v>
      </c>
      <c r="F35" s="6">
        <v>23</v>
      </c>
      <c r="G35" s="6">
        <f t="shared" si="0"/>
        <v>0</v>
      </c>
      <c r="I35" s="58"/>
    </row>
    <row r="36" spans="1:9" ht="14.25">
      <c r="A36" s="4" t="str">
        <f>"A-SBMU-0"&amp;MOD(ROW()-1,5)+1</f>
        <v>A-SBMU-01</v>
      </c>
      <c r="B36" s="9">
        <v>0</v>
      </c>
      <c r="C36" s="9">
        <v>82.6</v>
      </c>
      <c r="D36" s="38">
        <v>-259.39999999999998</v>
      </c>
      <c r="E36" s="38">
        <v>1387</v>
      </c>
      <c r="F36" s="10">
        <v>21</v>
      </c>
      <c r="G36" s="6">
        <f t="shared" si="0"/>
        <v>0</v>
      </c>
      <c r="I36" s="58"/>
    </row>
    <row r="37" spans="1:9" ht="14.25">
      <c r="A37" s="4" t="str">
        <f>"A-SBMU-0"&amp;MOD(ROW()-1,5)+1</f>
        <v>A-SBMU-02</v>
      </c>
      <c r="B37" s="5">
        <v>0</v>
      </c>
      <c r="C37" s="5">
        <v>82.4</v>
      </c>
      <c r="D37" s="36">
        <v>-260.10000000000002</v>
      </c>
      <c r="E37" s="36">
        <v>1387.2</v>
      </c>
      <c r="F37" s="6">
        <v>21</v>
      </c>
      <c r="G37" s="6">
        <f t="shared" si="0"/>
        <v>0</v>
      </c>
      <c r="I37" s="58"/>
    </row>
    <row r="38" spans="1:9" ht="14.25">
      <c r="A38" s="4" t="str">
        <f>"A-SBMU-0"&amp;MOD(ROW()-1,5)+1</f>
        <v>A-SBMU-03</v>
      </c>
      <c r="B38" s="9">
        <v>0</v>
      </c>
      <c r="C38" s="9">
        <v>82.2</v>
      </c>
      <c r="D38" s="38">
        <v>-260.39999999999998</v>
      </c>
      <c r="E38" s="38">
        <v>1387.4</v>
      </c>
      <c r="F38" s="10">
        <v>21</v>
      </c>
      <c r="G38" s="6">
        <f t="shared" si="0"/>
        <v>0</v>
      </c>
      <c r="I38" s="58"/>
    </row>
    <row r="39" spans="1:9" ht="14.25">
      <c r="A39" s="4" t="str">
        <f>"A-SBMU-0"&amp;MOD(ROW()-1,5)+1</f>
        <v>A-SBMU-04</v>
      </c>
      <c r="B39" s="5">
        <v>0</v>
      </c>
      <c r="C39" s="5">
        <v>81.900000000000006</v>
      </c>
      <c r="D39" s="36">
        <v>-261.60000000000002</v>
      </c>
      <c r="E39" s="36">
        <v>1386.4</v>
      </c>
      <c r="F39" s="6">
        <v>21</v>
      </c>
      <c r="G39" s="6">
        <f t="shared" si="0"/>
        <v>0</v>
      </c>
      <c r="I39" s="58"/>
    </row>
    <row r="40" spans="1:9" ht="14.25">
      <c r="A40" s="4" t="str">
        <f>"A-SBMU-0"&amp;MOD(ROW()-1,5)+1</f>
        <v>A-SBMU-05</v>
      </c>
      <c r="B40" s="9">
        <v>0</v>
      </c>
      <c r="C40" s="9">
        <v>81.3</v>
      </c>
      <c r="D40" s="38">
        <v>-263.39999999999998</v>
      </c>
      <c r="E40" s="38">
        <v>1388.1</v>
      </c>
      <c r="F40" s="10">
        <v>21</v>
      </c>
      <c r="G40" s="6">
        <f t="shared" si="0"/>
        <v>0</v>
      </c>
      <c r="I40" s="58"/>
    </row>
  </sheetData>
  <phoneticPr fontId="2" type="noConversion"/>
  <conditionalFormatting sqref="B21:B40">
    <cfRule type="expression" dxfId="108" priority="2">
      <formula>AND(ABS(B21)&gt;100,ABS(B21)&gt;ABS(D21*0.9))</formula>
    </cfRule>
    <cfRule type="expression" dxfId="107" priority="3">
      <formula>AND(ABS(B21)&gt;100,ABS(B21)&gt;ABS(D21*0.8))</formula>
    </cfRule>
  </conditionalFormatting>
  <conditionalFormatting sqref="E21:E40">
    <cfRule type="top10" dxfId="106" priority="1" percent="1" bottom="1" rank="1"/>
  </conditionalFormatting>
  <dataValidations count="1">
    <dataValidation type="list" allowBlank="1" showInputMessage="1" sqref="B1" xr:uid="{2D57F4C9-69DB-46B3-9C06-1E496882296A}">
      <formula1>$B$1:$B$4</formula1>
    </dataValidation>
  </dataValidations>
  <pageMargins left="0.7" right="0.7" top="0.75" bottom="0.75" header="0.3" footer="0.3"/>
  <pageSetup paperSize="9"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F">
                <anchor>
                  <from>
                    <xdr:col>4</xdr:col>
                    <xdr:colOff>95250</xdr:colOff>
                    <xdr:row>4</xdr:row>
                    <xdr:rowOff>0</xdr:rowOff>
                  </from>
                  <to>
                    <xdr:col>5</xdr:col>
                    <xdr:colOff>304800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Von">
                <anchor>
                  <from>
                    <xdr:col>4</xdr:col>
                    <xdr:colOff>95250</xdr:colOff>
                    <xdr:row>6</xdr:row>
                    <xdr:rowOff>66675</xdr:rowOff>
                  </from>
                  <to>
                    <xdr:col>5</xdr:col>
                    <xdr:colOff>304800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Voff">
                <anchor>
                  <from>
                    <xdr:col>4</xdr:col>
                    <xdr:colOff>95250</xdr:colOff>
                    <xdr:row>8</xdr:row>
                    <xdr:rowOff>133350</xdr:rowOff>
                  </from>
                  <to>
                    <xdr:col>5</xdr:col>
                    <xdr:colOff>304800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B">
                <anchor>
                  <from>
                    <xdr:col>4</xdr:col>
                    <xdr:colOff>95250</xdr:colOff>
                    <xdr:row>11</xdr:row>
                    <xdr:rowOff>9525</xdr:rowOff>
                  </from>
                  <to>
                    <xdr:col>5</xdr:col>
                    <xdr:colOff>304800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adMBMU">
                <anchor>
                  <from>
                    <xdr:col>15</xdr:col>
                    <xdr:colOff>390525</xdr:colOff>
                    <xdr:row>4</xdr:row>
                    <xdr:rowOff>57150</xdr:rowOff>
                  </from>
                  <to>
                    <xdr:col>17</xdr:col>
                    <xdr:colOff>142875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adSBMU">
                <anchor>
                  <from>
                    <xdr:col>2</xdr:col>
                    <xdr:colOff>304800</xdr:colOff>
                    <xdr:row>16</xdr:row>
                    <xdr:rowOff>38100</xdr:rowOff>
                  </from>
                  <to>
                    <xdr:col>3</xdr:col>
                    <xdr:colOff>352425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Register">
                <anchor moveWithCells="1">
                  <from>
                    <xdr:col>21</xdr:col>
                    <xdr:colOff>209550</xdr:colOff>
                    <xdr:row>5</xdr:row>
                    <xdr:rowOff>19050</xdr:rowOff>
                  </from>
                  <to>
                    <xdr:col>24</xdr:col>
                    <xdr:colOff>104775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F3752-CF24-4D22-AE22-1C4E1B5AEE6C}">
  <sheetPr codeName="Sheet10"/>
  <dimension ref="A1:AB37"/>
  <sheetViews>
    <sheetView zoomScaleNormal="100" workbookViewId="0">
      <pane ySplit="1" topLeftCell="A2" activePane="bottomLeft" state="frozen"/>
      <selection activeCell="AH10" sqref="AH10"/>
      <selection pane="bottomLeft" activeCell="K10" sqref="K10"/>
    </sheetView>
  </sheetViews>
  <sheetFormatPr defaultRowHeight="13.5"/>
  <cols>
    <col min="1" max="1" width="11.875" bestFit="1" customWidth="1"/>
    <col min="2" max="2" width="3.375" bestFit="1" customWidth="1"/>
    <col min="3" max="6" width="6.875" bestFit="1" customWidth="1"/>
    <col min="7" max="7" width="7.875" customWidth="1"/>
    <col min="8" max="8" width="11.875" bestFit="1" customWidth="1"/>
    <col min="9" max="9" width="2.875" bestFit="1" customWidth="1"/>
    <col min="10" max="13" width="6.875" bestFit="1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1.8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28" ht="14.25" thickBot="1">
      <c r="A1" s="92" t="s">
        <v>27</v>
      </c>
      <c r="B1" s="92" t="s">
        <v>28</v>
      </c>
      <c r="C1" s="92" t="s">
        <v>29</v>
      </c>
      <c r="D1" s="92" t="s">
        <v>30</v>
      </c>
      <c r="E1" s="92" t="s">
        <v>31</v>
      </c>
      <c r="F1" s="92" t="s">
        <v>32</v>
      </c>
      <c r="G1" s="92"/>
      <c r="H1" s="143" t="s">
        <v>27</v>
      </c>
      <c r="I1" s="100" t="s">
        <v>28</v>
      </c>
      <c r="J1" s="100" t="s">
        <v>29</v>
      </c>
      <c r="K1" s="100" t="s">
        <v>30</v>
      </c>
      <c r="L1" s="100" t="s">
        <v>31</v>
      </c>
      <c r="M1" s="144" t="s">
        <v>32</v>
      </c>
      <c r="P1" s="47">
        <v>8039</v>
      </c>
    </row>
    <row r="2" spans="1:28" ht="15">
      <c r="A2" t="s">
        <v>789</v>
      </c>
      <c r="B2" s="101" t="str">
        <f>TEXT(MID(Table1896[[#This Row],[IP]],LEN(Table1896[[#This Row],[IP]])-1,1)+(--MID(Table1896[[#This Row],[IP]],8,1)-1)*9,"00")</f>
        <v>01</v>
      </c>
      <c r="C2" s="130">
        <v>1</v>
      </c>
      <c r="D2" s="131">
        <v>1</v>
      </c>
      <c r="E2" s="131">
        <v>1</v>
      </c>
      <c r="F2" s="145">
        <v>1</v>
      </c>
      <c r="G2" s="92"/>
      <c r="H2" s="50" t="s">
        <v>825</v>
      </c>
      <c r="I2" s="129" t="str">
        <f>TEXT(MID(H2,LEN(H2)-1,1)+(--MID(H2,8,1)-1)*9,"00")</f>
        <v>37</v>
      </c>
      <c r="J2" s="135">
        <v>1</v>
      </c>
      <c r="K2" s="136">
        <v>1</v>
      </c>
      <c r="L2" s="136">
        <v>1</v>
      </c>
      <c r="M2" s="149">
        <v>1</v>
      </c>
      <c r="N2" s="92"/>
      <c r="AA2">
        <f>T27</f>
        <v>470</v>
      </c>
      <c r="AB2">
        <f>P1</f>
        <v>8039</v>
      </c>
    </row>
    <row r="3" spans="1:28" ht="15">
      <c r="A3" t="s">
        <v>790</v>
      </c>
      <c r="B3" s="101" t="str">
        <f>TEXT(MID(Table1896[[#This Row],[IP]],LEN(Table1896[[#This Row],[IP]])-1,1)+(--MID(Table1896[[#This Row],[IP]],8,1)-1)*9,"00")</f>
        <v>02</v>
      </c>
      <c r="C3" s="132">
        <v>1</v>
      </c>
      <c r="D3" s="146">
        <v>1</v>
      </c>
      <c r="E3" s="146">
        <v>1</v>
      </c>
      <c r="F3" s="147">
        <v>1</v>
      </c>
      <c r="G3" s="92"/>
      <c r="H3" s="53" t="s">
        <v>826</v>
      </c>
      <c r="I3" s="129" t="str">
        <f t="shared" ref="I3:I37" si="0">TEXT(MID(H3,LEN(H3)-1,1)+(--MID(H3,8,1)-1)*9,"00")</f>
        <v>38</v>
      </c>
      <c r="J3" s="137">
        <v>4</v>
      </c>
      <c r="K3" s="138">
        <v>4</v>
      </c>
      <c r="L3" s="138">
        <v>1</v>
      </c>
      <c r="M3" s="150">
        <v>1</v>
      </c>
      <c r="AA3">
        <f>AA2+400</f>
        <v>870</v>
      </c>
      <c r="AB3">
        <f>AB2+4000</f>
        <v>12039</v>
      </c>
    </row>
    <row r="4" spans="1:28" ht="15">
      <c r="A4" t="s">
        <v>791</v>
      </c>
      <c r="B4" s="101" t="str">
        <f>TEXT(MID(Table1896[[#This Row],[IP]],LEN(Table1896[[#This Row],[IP]])-1,1)+(--MID(Table1896[[#This Row],[IP]],8,1)-1)*9,"00")</f>
        <v>03</v>
      </c>
      <c r="C4" s="132">
        <v>1</v>
      </c>
      <c r="D4" s="146">
        <v>1</v>
      </c>
      <c r="E4" s="146">
        <v>1</v>
      </c>
      <c r="F4" s="147">
        <v>1</v>
      </c>
      <c r="G4" s="92"/>
      <c r="H4" s="50" t="s">
        <v>827</v>
      </c>
      <c r="I4" s="129" t="str">
        <f t="shared" si="0"/>
        <v>39</v>
      </c>
      <c r="J4" s="139">
        <v>1</v>
      </c>
      <c r="K4" s="140">
        <v>1</v>
      </c>
      <c r="L4" s="140">
        <v>1</v>
      </c>
      <c r="M4" s="151">
        <v>1</v>
      </c>
      <c r="AA4">
        <f t="shared" ref="AA4:AA5" si="1">AA3+400</f>
        <v>1270</v>
      </c>
      <c r="AB4">
        <f>AB3+4000</f>
        <v>16039</v>
      </c>
    </row>
    <row r="5" spans="1:28" ht="15">
      <c r="A5" t="s">
        <v>792</v>
      </c>
      <c r="B5" s="101" t="str">
        <f>TEXT(MID(Table1896[[#This Row],[IP]],LEN(Table1896[[#This Row],[IP]])-1,1)+(--MID(Table1896[[#This Row],[IP]],8,1)-1)*9,"00")</f>
        <v>04</v>
      </c>
      <c r="C5" s="132">
        <v>4</v>
      </c>
      <c r="D5" s="146">
        <v>4</v>
      </c>
      <c r="E5" s="146">
        <v>4</v>
      </c>
      <c r="F5" s="147">
        <v>4</v>
      </c>
      <c r="G5" s="92"/>
      <c r="H5" s="53" t="s">
        <v>828</v>
      </c>
      <c r="I5" s="129" t="str">
        <f t="shared" si="0"/>
        <v>40</v>
      </c>
      <c r="J5" s="137">
        <v>1</v>
      </c>
      <c r="K5" s="138">
        <v>1</v>
      </c>
      <c r="L5" s="138">
        <v>1</v>
      </c>
      <c r="M5" s="150">
        <v>1</v>
      </c>
      <c r="AA5">
        <f t="shared" si="1"/>
        <v>1670</v>
      </c>
      <c r="AB5">
        <f>AB4+4000</f>
        <v>20039</v>
      </c>
    </row>
    <row r="6" spans="1:28" ht="13.5" customHeight="1">
      <c r="A6" t="s">
        <v>793</v>
      </c>
      <c r="B6" s="101" t="str">
        <f>TEXT(MID(Table1896[[#This Row],[IP]],LEN(Table1896[[#This Row],[IP]])-1,1)+(--MID(Table1896[[#This Row],[IP]],8,1)-1)*9,"00")</f>
        <v>05</v>
      </c>
      <c r="C6" s="132">
        <v>1</v>
      </c>
      <c r="D6" s="146">
        <v>1</v>
      </c>
      <c r="E6" s="146">
        <v>1</v>
      </c>
      <c r="F6" s="147">
        <v>1</v>
      </c>
      <c r="G6" s="92"/>
      <c r="H6" s="50" t="s">
        <v>829</v>
      </c>
      <c r="I6" s="129" t="str">
        <f t="shared" si="0"/>
        <v>41</v>
      </c>
      <c r="J6" s="139">
        <v>1</v>
      </c>
      <c r="K6" s="140">
        <v>1</v>
      </c>
      <c r="L6" s="140">
        <v>1</v>
      </c>
      <c r="M6" s="151">
        <v>1</v>
      </c>
      <c r="T6">
        <v>8039</v>
      </c>
      <c r="U6" t="s">
        <v>861</v>
      </c>
    </row>
    <row r="7" spans="1:28" ht="15">
      <c r="A7" t="s">
        <v>794</v>
      </c>
      <c r="B7" s="101" t="str">
        <f>TEXT(MID(Table1896[[#This Row],[IP]],LEN(Table1896[[#This Row],[IP]])-1,1)+(--MID(Table1896[[#This Row],[IP]],8,1)-1)*9,"00")</f>
        <v>06</v>
      </c>
      <c r="C7" s="132">
        <v>1</v>
      </c>
      <c r="D7" s="146">
        <v>1</v>
      </c>
      <c r="E7" s="146">
        <v>1</v>
      </c>
      <c r="F7" s="147">
        <v>1</v>
      </c>
      <c r="G7" s="92"/>
      <c r="H7" s="53" t="s">
        <v>830</v>
      </c>
      <c r="I7" s="129" t="str">
        <f t="shared" si="0"/>
        <v>42</v>
      </c>
      <c r="J7" s="137">
        <v>1</v>
      </c>
      <c r="K7" s="138">
        <v>1</v>
      </c>
      <c r="L7" s="138">
        <v>1</v>
      </c>
      <c r="M7" s="150">
        <v>1</v>
      </c>
      <c r="T7">
        <v>8037</v>
      </c>
      <c r="U7" t="s">
        <v>862</v>
      </c>
    </row>
    <row r="8" spans="1:28" ht="15">
      <c r="A8" t="s">
        <v>795</v>
      </c>
      <c r="B8" s="101" t="str">
        <f>TEXT(MID(Table1896[[#This Row],[IP]],LEN(Table1896[[#This Row],[IP]])-1,1)+(--MID(Table1896[[#This Row],[IP]],8,1)-1)*9,"00")</f>
        <v>07</v>
      </c>
      <c r="C8" s="132">
        <v>1</v>
      </c>
      <c r="D8" s="146">
        <v>1</v>
      </c>
      <c r="E8" s="146">
        <v>1</v>
      </c>
      <c r="F8" s="147">
        <v>1</v>
      </c>
      <c r="G8" s="92"/>
      <c r="H8" s="50" t="s">
        <v>831</v>
      </c>
      <c r="I8" s="129" t="str">
        <f t="shared" si="0"/>
        <v>43</v>
      </c>
      <c r="J8" s="139">
        <v>1</v>
      </c>
      <c r="K8" s="140">
        <v>1</v>
      </c>
      <c r="L8" s="140">
        <v>1</v>
      </c>
      <c r="M8" s="151">
        <v>1</v>
      </c>
      <c r="T8">
        <v>8059</v>
      </c>
      <c r="U8" t="s">
        <v>6</v>
      </c>
    </row>
    <row r="9" spans="1:28" ht="15">
      <c r="A9" t="s">
        <v>796</v>
      </c>
      <c r="B9" s="101" t="str">
        <f>TEXT(MID(Table1896[[#This Row],[IP]],LEN(Table1896[[#This Row],[IP]])-1,1)+(--MID(Table1896[[#This Row],[IP]],8,1)-1)*9,"00")</f>
        <v>08</v>
      </c>
      <c r="C9" s="132">
        <v>1</v>
      </c>
      <c r="D9" s="146">
        <v>1</v>
      </c>
      <c r="E9" s="146">
        <v>5</v>
      </c>
      <c r="F9" s="147">
        <v>1</v>
      </c>
      <c r="G9" s="92"/>
      <c r="H9" s="53" t="s">
        <v>832</v>
      </c>
      <c r="I9" s="129" t="str">
        <f t="shared" si="0"/>
        <v>44</v>
      </c>
      <c r="J9" s="137">
        <v>1</v>
      </c>
      <c r="K9" s="138">
        <v>1</v>
      </c>
      <c r="L9" s="138">
        <v>1</v>
      </c>
      <c r="M9" s="150">
        <v>1</v>
      </c>
      <c r="T9">
        <v>8060</v>
      </c>
      <c r="U9" t="s">
        <v>7</v>
      </c>
    </row>
    <row r="10" spans="1:28" ht="12.75" customHeight="1">
      <c r="A10" t="s">
        <v>797</v>
      </c>
      <c r="B10" s="101" t="str">
        <f>TEXT(MID(Table1896[[#This Row],[IP]],LEN(Table1896[[#This Row],[IP]])-1,1)+(--MID(Table1896[[#This Row],[IP]],8,1)-1)*9,"00")</f>
        <v>09</v>
      </c>
      <c r="C10" s="132">
        <v>1</v>
      </c>
      <c r="D10" s="146">
        <v>1</v>
      </c>
      <c r="E10" s="146">
        <v>1</v>
      </c>
      <c r="F10" s="147">
        <v>1</v>
      </c>
      <c r="G10" s="92"/>
      <c r="H10" s="50" t="s">
        <v>833</v>
      </c>
      <c r="I10" s="129" t="str">
        <f t="shared" si="0"/>
        <v>45</v>
      </c>
      <c r="J10" s="139">
        <v>1</v>
      </c>
      <c r="K10" s="140">
        <v>1</v>
      </c>
      <c r="L10" s="140">
        <v>1</v>
      </c>
      <c r="M10" s="151">
        <v>1</v>
      </c>
      <c r="T10">
        <v>8043</v>
      </c>
      <c r="U10" t="s">
        <v>863</v>
      </c>
    </row>
    <row r="11" spans="1:28" ht="15">
      <c r="A11" t="s">
        <v>798</v>
      </c>
      <c r="B11" s="101" t="str">
        <f>TEXT(MID(Table1896[[#This Row],[IP]],LEN(Table1896[[#This Row],[IP]])-1,1)+(--MID(Table1896[[#This Row],[IP]],8,1)-1)*9,"00")</f>
        <v>10</v>
      </c>
      <c r="C11" s="132">
        <v>1</v>
      </c>
      <c r="D11" s="146">
        <v>1</v>
      </c>
      <c r="E11" s="146">
        <v>1</v>
      </c>
      <c r="F11" s="147">
        <v>1</v>
      </c>
      <c r="G11" s="92"/>
      <c r="H11" s="53" t="s">
        <v>834</v>
      </c>
      <c r="I11" s="129" t="str">
        <f t="shared" si="0"/>
        <v>46</v>
      </c>
      <c r="J11" s="137">
        <v>1</v>
      </c>
      <c r="K11" s="138">
        <v>1</v>
      </c>
      <c r="L11" s="138">
        <v>1</v>
      </c>
      <c r="M11" s="150">
        <v>1</v>
      </c>
      <c r="T11">
        <v>8062</v>
      </c>
      <c r="U11" t="s">
        <v>864</v>
      </c>
    </row>
    <row r="12" spans="1:28" ht="15">
      <c r="A12" t="s">
        <v>799</v>
      </c>
      <c r="B12" s="101" t="str">
        <f>TEXT(MID(Table1896[[#This Row],[IP]],LEN(Table1896[[#This Row],[IP]])-1,1)+(--MID(Table1896[[#This Row],[IP]],8,1)-1)*9,"00")</f>
        <v>11</v>
      </c>
      <c r="C12" s="132">
        <v>1</v>
      </c>
      <c r="D12" s="146">
        <v>1</v>
      </c>
      <c r="E12" s="146">
        <v>1</v>
      </c>
      <c r="F12" s="147">
        <v>1</v>
      </c>
      <c r="G12" s="92"/>
      <c r="H12" s="50" t="s">
        <v>835</v>
      </c>
      <c r="I12" s="129" t="str">
        <f t="shared" si="0"/>
        <v>47</v>
      </c>
      <c r="J12" s="139">
        <v>1</v>
      </c>
      <c r="K12" s="140">
        <v>1</v>
      </c>
      <c r="L12" s="140">
        <v>1</v>
      </c>
      <c r="M12" s="151">
        <v>1</v>
      </c>
      <c r="T12">
        <v>8063</v>
      </c>
      <c r="U12" t="s">
        <v>865</v>
      </c>
    </row>
    <row r="13" spans="1:28" ht="15">
      <c r="A13" t="s">
        <v>800</v>
      </c>
      <c r="B13" s="101" t="str">
        <f>TEXT(MID(Table1896[[#This Row],[IP]],LEN(Table1896[[#This Row],[IP]])-1,1)+(--MID(Table1896[[#This Row],[IP]],8,1)-1)*9,"00")</f>
        <v>12</v>
      </c>
      <c r="C13" s="132">
        <v>1</v>
      </c>
      <c r="D13" s="146">
        <v>1</v>
      </c>
      <c r="E13" s="146">
        <v>1</v>
      </c>
      <c r="F13" s="147">
        <v>1</v>
      </c>
      <c r="G13" s="92"/>
      <c r="H13" s="53" t="s">
        <v>836</v>
      </c>
      <c r="I13" s="129" t="str">
        <f t="shared" si="0"/>
        <v>48</v>
      </c>
      <c r="J13" s="137">
        <v>1</v>
      </c>
      <c r="K13" s="138">
        <v>1</v>
      </c>
      <c r="L13" s="138">
        <v>1</v>
      </c>
      <c r="M13" s="150">
        <v>1</v>
      </c>
      <c r="T13">
        <v>8080</v>
      </c>
      <c r="U13" t="s">
        <v>866</v>
      </c>
    </row>
    <row r="14" spans="1:28" ht="15">
      <c r="A14" t="s">
        <v>801</v>
      </c>
      <c r="B14" s="101" t="str">
        <f>TEXT(MID(Table1896[[#This Row],[IP]],LEN(Table1896[[#This Row],[IP]])-1,1)+(--MID(Table1896[[#This Row],[IP]],8,1)-1)*9,"00")</f>
        <v>13</v>
      </c>
      <c r="C14" s="132">
        <v>1</v>
      </c>
      <c r="D14" s="146">
        <v>1</v>
      </c>
      <c r="E14" s="146">
        <v>1</v>
      </c>
      <c r="F14" s="147">
        <v>1</v>
      </c>
      <c r="G14" s="92"/>
      <c r="H14" s="50" t="s">
        <v>837</v>
      </c>
      <c r="I14" s="129" t="str">
        <f t="shared" si="0"/>
        <v>49</v>
      </c>
      <c r="J14" s="139">
        <v>1</v>
      </c>
      <c r="K14" s="140">
        <v>1</v>
      </c>
      <c r="L14" s="140">
        <v>1</v>
      </c>
      <c r="M14" s="151">
        <v>1</v>
      </c>
      <c r="T14">
        <v>8082</v>
      </c>
      <c r="U14" t="s">
        <v>867</v>
      </c>
    </row>
    <row r="15" spans="1:28" ht="15">
      <c r="A15" t="s">
        <v>802</v>
      </c>
      <c r="B15" s="101" t="str">
        <f>TEXT(MID(Table1896[[#This Row],[IP]],LEN(Table1896[[#This Row],[IP]])-1,1)+(--MID(Table1896[[#This Row],[IP]],8,1)-1)*9,"00")</f>
        <v>14</v>
      </c>
      <c r="C15" s="132">
        <v>1</v>
      </c>
      <c r="D15" s="146">
        <v>1</v>
      </c>
      <c r="E15" s="146">
        <v>1</v>
      </c>
      <c r="F15" s="147">
        <v>1</v>
      </c>
      <c r="G15" s="92"/>
      <c r="H15" s="53" t="s">
        <v>838</v>
      </c>
      <c r="I15" s="129" t="str">
        <f t="shared" si="0"/>
        <v>50</v>
      </c>
      <c r="J15" s="137">
        <v>1</v>
      </c>
      <c r="K15" s="138">
        <v>1</v>
      </c>
      <c r="L15" s="138">
        <v>1</v>
      </c>
      <c r="M15" s="150">
        <v>1</v>
      </c>
      <c r="T15">
        <v>8084</v>
      </c>
      <c r="U15" t="s">
        <v>868</v>
      </c>
    </row>
    <row r="16" spans="1:28" ht="15">
      <c r="A16" t="s">
        <v>803</v>
      </c>
      <c r="B16" s="101" t="str">
        <f>TEXT(MID(Table1896[[#This Row],[IP]],LEN(Table1896[[#This Row],[IP]])-1,1)+(--MID(Table1896[[#This Row],[IP]],8,1)-1)*9,"00")</f>
        <v>15</v>
      </c>
      <c r="C16" s="132">
        <v>1</v>
      </c>
      <c r="D16" s="146">
        <v>1</v>
      </c>
      <c r="E16" s="146">
        <v>1</v>
      </c>
      <c r="F16" s="147">
        <v>1</v>
      </c>
      <c r="G16" s="92"/>
      <c r="H16" s="50" t="s">
        <v>839</v>
      </c>
      <c r="I16" s="129" t="str">
        <f t="shared" si="0"/>
        <v>51</v>
      </c>
      <c r="J16" s="139">
        <v>1</v>
      </c>
      <c r="K16" s="140">
        <v>1</v>
      </c>
      <c r="L16" s="140">
        <v>1</v>
      </c>
      <c r="M16" s="151">
        <v>1</v>
      </c>
      <c r="T16">
        <v>8046</v>
      </c>
      <c r="U16" t="s">
        <v>869</v>
      </c>
    </row>
    <row r="17" spans="1:21" ht="15">
      <c r="A17" t="s">
        <v>804</v>
      </c>
      <c r="B17" s="101" t="str">
        <f>TEXT(MID(Table1896[[#This Row],[IP]],LEN(Table1896[[#This Row],[IP]])-1,1)+(--MID(Table1896[[#This Row],[IP]],8,1)-1)*9,"00")</f>
        <v>16</v>
      </c>
      <c r="C17" s="132">
        <v>1</v>
      </c>
      <c r="D17" s="146">
        <v>1</v>
      </c>
      <c r="E17" s="146">
        <v>1</v>
      </c>
      <c r="F17" s="147">
        <v>1</v>
      </c>
      <c r="G17" s="92"/>
      <c r="H17" s="53" t="s">
        <v>840</v>
      </c>
      <c r="I17" s="129" t="str">
        <f t="shared" si="0"/>
        <v>52</v>
      </c>
      <c r="J17" s="137">
        <v>1</v>
      </c>
      <c r="K17" s="138">
        <v>1</v>
      </c>
      <c r="L17" s="138">
        <v>1</v>
      </c>
      <c r="M17" s="150">
        <v>1</v>
      </c>
      <c r="T17">
        <v>8047</v>
      </c>
      <c r="U17" t="s">
        <v>870</v>
      </c>
    </row>
    <row r="18" spans="1:21" ht="15">
      <c r="A18" t="s">
        <v>805</v>
      </c>
      <c r="B18" s="101" t="str">
        <f>TEXT(MID(Table1896[[#This Row],[IP]],LEN(Table1896[[#This Row],[IP]])-1,1)+(--MID(Table1896[[#This Row],[IP]],8,1)-1)*9,"00")</f>
        <v>17</v>
      </c>
      <c r="C18" s="132">
        <v>1</v>
      </c>
      <c r="D18" s="146">
        <v>1</v>
      </c>
      <c r="E18" s="146">
        <v>1</v>
      </c>
      <c r="F18" s="147">
        <v>1</v>
      </c>
      <c r="G18" s="92"/>
      <c r="H18" s="50" t="s">
        <v>841</v>
      </c>
      <c r="I18" s="129" t="str">
        <f t="shared" si="0"/>
        <v>53</v>
      </c>
      <c r="J18" s="139">
        <v>1</v>
      </c>
      <c r="K18" s="140">
        <v>1</v>
      </c>
      <c r="L18" s="140">
        <v>1</v>
      </c>
      <c r="M18" s="151">
        <v>1</v>
      </c>
      <c r="T18">
        <v>8045</v>
      </c>
      <c r="U18" t="s">
        <v>871</v>
      </c>
    </row>
    <row r="19" spans="1:21" ht="15">
      <c r="A19" t="s">
        <v>806</v>
      </c>
      <c r="B19" s="101" t="str">
        <f>TEXT(MID(Table1896[[#This Row],[IP]],LEN(Table1896[[#This Row],[IP]])-1,1)+(--MID(Table1896[[#This Row],[IP]],8,1)-1)*9,"00")</f>
        <v>18</v>
      </c>
      <c r="C19" s="132">
        <v>1</v>
      </c>
      <c r="D19" s="146">
        <v>1</v>
      </c>
      <c r="E19" s="146">
        <v>1</v>
      </c>
      <c r="F19" s="147">
        <v>1</v>
      </c>
      <c r="G19" s="92"/>
      <c r="H19" s="53" t="s">
        <v>842</v>
      </c>
      <c r="I19" s="129" t="str">
        <f t="shared" si="0"/>
        <v>54</v>
      </c>
      <c r="J19" s="137">
        <v>1</v>
      </c>
      <c r="K19" s="138">
        <v>1</v>
      </c>
      <c r="L19" s="138">
        <v>1</v>
      </c>
      <c r="M19" s="150">
        <v>1</v>
      </c>
      <c r="T19">
        <v>8053</v>
      </c>
      <c r="U19" t="s">
        <v>872</v>
      </c>
    </row>
    <row r="20" spans="1:21" ht="15">
      <c r="A20" t="s">
        <v>807</v>
      </c>
      <c r="B20" s="101" t="str">
        <f>TEXT(MID(Table1896[[#This Row],[IP]],LEN(Table1896[[#This Row],[IP]])-1,1)+(--MID(Table1896[[#This Row],[IP]],8,1)-1)*9,"00")</f>
        <v>19</v>
      </c>
      <c r="C20" s="132">
        <v>1</v>
      </c>
      <c r="D20" s="146">
        <v>1</v>
      </c>
      <c r="E20" s="146">
        <v>1</v>
      </c>
      <c r="F20" s="147">
        <v>1</v>
      </c>
      <c r="G20" s="92"/>
      <c r="H20" s="50" t="s">
        <v>843</v>
      </c>
      <c r="I20" s="129" t="str">
        <f t="shared" si="0"/>
        <v>55</v>
      </c>
      <c r="J20" s="139">
        <v>0</v>
      </c>
      <c r="K20" s="140">
        <v>5</v>
      </c>
      <c r="L20" s="140">
        <v>5</v>
      </c>
      <c r="M20" s="151">
        <v>5</v>
      </c>
      <c r="T20">
        <v>8054</v>
      </c>
      <c r="U20" t="s">
        <v>873</v>
      </c>
    </row>
    <row r="21" spans="1:21" ht="15">
      <c r="A21" t="s">
        <v>808</v>
      </c>
      <c r="B21" s="101" t="str">
        <f>TEXT(MID(Table1896[[#This Row],[IP]],LEN(Table1896[[#This Row],[IP]])-1,1)+(--MID(Table1896[[#This Row],[IP]],8,1)-1)*9,"00")</f>
        <v>20</v>
      </c>
      <c r="C21" s="132">
        <v>1</v>
      </c>
      <c r="D21" s="146">
        <v>1</v>
      </c>
      <c r="E21" s="146">
        <v>1</v>
      </c>
      <c r="F21" s="147">
        <v>1</v>
      </c>
      <c r="G21" s="92"/>
      <c r="H21" s="53" t="s">
        <v>844</v>
      </c>
      <c r="I21" s="129" t="str">
        <f t="shared" si="0"/>
        <v>56</v>
      </c>
      <c r="J21" s="137">
        <v>4</v>
      </c>
      <c r="K21" s="138">
        <v>4</v>
      </c>
      <c r="L21" s="138">
        <v>1</v>
      </c>
      <c r="M21" s="150">
        <v>4</v>
      </c>
      <c r="T21">
        <v>8052</v>
      </c>
      <c r="U21" t="s">
        <v>874</v>
      </c>
    </row>
    <row r="22" spans="1:21" ht="15">
      <c r="A22" t="s">
        <v>809</v>
      </c>
      <c r="B22" s="101" t="str">
        <f>TEXT(MID(Table1896[[#This Row],[IP]],LEN(Table1896[[#This Row],[IP]])-1,1)+(--MID(Table1896[[#This Row],[IP]],8,1)-1)*9,"00")</f>
        <v>21</v>
      </c>
      <c r="C22" s="132">
        <v>1</v>
      </c>
      <c r="D22" s="146">
        <v>1</v>
      </c>
      <c r="E22" s="146">
        <v>1</v>
      </c>
      <c r="F22" s="147">
        <v>1</v>
      </c>
      <c r="G22" s="92"/>
      <c r="H22" s="50" t="s">
        <v>845</v>
      </c>
      <c r="I22" s="129" t="str">
        <f t="shared" si="0"/>
        <v>57</v>
      </c>
      <c r="J22" s="139">
        <v>1</v>
      </c>
      <c r="K22" s="140">
        <v>1</v>
      </c>
      <c r="L22" s="140">
        <v>1</v>
      </c>
      <c r="M22" s="151">
        <v>1</v>
      </c>
      <c r="T22">
        <v>8090</v>
      </c>
      <c r="U22" t="s">
        <v>875</v>
      </c>
    </row>
    <row r="23" spans="1:21" ht="15">
      <c r="A23" t="s">
        <v>810</v>
      </c>
      <c r="B23" s="101" t="str">
        <f>TEXT(MID(Table1896[[#This Row],[IP]],LEN(Table1896[[#This Row],[IP]])-1,1)+(--MID(Table1896[[#This Row],[IP]],8,1)-1)*9,"00")</f>
        <v>22</v>
      </c>
      <c r="C23" s="132">
        <v>1</v>
      </c>
      <c r="D23" s="146">
        <v>1</v>
      </c>
      <c r="E23" s="146">
        <v>1</v>
      </c>
      <c r="F23" s="147">
        <v>1</v>
      </c>
      <c r="G23" s="92"/>
      <c r="H23" s="53" t="s">
        <v>846</v>
      </c>
      <c r="I23" s="129" t="str">
        <f t="shared" si="0"/>
        <v>58</v>
      </c>
      <c r="J23" s="137">
        <v>1</v>
      </c>
      <c r="K23" s="138">
        <v>1</v>
      </c>
      <c r="L23" s="138">
        <v>1</v>
      </c>
      <c r="M23" s="150">
        <v>1</v>
      </c>
      <c r="T23">
        <v>8091</v>
      </c>
      <c r="U23" t="s">
        <v>876</v>
      </c>
    </row>
    <row r="24" spans="1:21" ht="15">
      <c r="A24" t="s">
        <v>811</v>
      </c>
      <c r="B24" s="101" t="str">
        <f>TEXT(MID(Table1896[[#This Row],[IP]],LEN(Table1896[[#This Row],[IP]])-1,1)+(--MID(Table1896[[#This Row],[IP]],8,1)-1)*9,"00")</f>
        <v>23</v>
      </c>
      <c r="C24" s="132">
        <v>1</v>
      </c>
      <c r="D24" s="146">
        <v>1</v>
      </c>
      <c r="E24" s="146">
        <v>1</v>
      </c>
      <c r="F24" s="147">
        <v>1</v>
      </c>
      <c r="G24" s="92"/>
      <c r="H24" s="50" t="s">
        <v>847</v>
      </c>
      <c r="I24" s="129" t="str">
        <f t="shared" si="0"/>
        <v>59</v>
      </c>
      <c r="J24" s="139">
        <v>1</v>
      </c>
      <c r="K24" s="140">
        <v>1</v>
      </c>
      <c r="L24" s="140">
        <v>1</v>
      </c>
      <c r="M24" s="151">
        <v>1</v>
      </c>
      <c r="T24">
        <v>8222</v>
      </c>
      <c r="U24" t="s">
        <v>877</v>
      </c>
    </row>
    <row r="25" spans="1:21" ht="15">
      <c r="A25" t="s">
        <v>812</v>
      </c>
      <c r="B25" s="101" t="str">
        <f>TEXT(MID(Table1896[[#This Row],[IP]],LEN(Table1896[[#This Row],[IP]])-1,1)+(--MID(Table1896[[#This Row],[IP]],8,1)-1)*9,"00")</f>
        <v>24</v>
      </c>
      <c r="C25" s="132">
        <v>1</v>
      </c>
      <c r="D25" s="146">
        <v>1</v>
      </c>
      <c r="E25" s="146">
        <v>1</v>
      </c>
      <c r="F25" s="147">
        <v>1</v>
      </c>
      <c r="G25" s="92"/>
      <c r="H25" s="53" t="s">
        <v>848</v>
      </c>
      <c r="I25" s="129" t="str">
        <f t="shared" si="0"/>
        <v>60</v>
      </c>
      <c r="J25" s="137">
        <v>1</v>
      </c>
      <c r="K25" s="138">
        <v>1</v>
      </c>
      <c r="L25" s="138">
        <v>1</v>
      </c>
      <c r="M25" s="150">
        <v>1</v>
      </c>
      <c r="T25">
        <v>8089</v>
      </c>
      <c r="U25" t="s">
        <v>880</v>
      </c>
    </row>
    <row r="26" spans="1:21" ht="15">
      <c r="A26" t="s">
        <v>813</v>
      </c>
      <c r="B26" s="101" t="str">
        <f>TEXT(MID(Table1896[[#This Row],[IP]],LEN(Table1896[[#This Row],[IP]])-1,1)+(--MID(Table1896[[#This Row],[IP]],8,1)-1)*9,"00")</f>
        <v>25</v>
      </c>
      <c r="C26" s="132">
        <v>1</v>
      </c>
      <c r="D26" s="146">
        <v>1</v>
      </c>
      <c r="E26" s="146">
        <v>1</v>
      </c>
      <c r="F26" s="147">
        <v>1</v>
      </c>
      <c r="G26" s="92"/>
      <c r="H26" s="50" t="s">
        <v>849</v>
      </c>
      <c r="I26" s="129" t="str">
        <f t="shared" si="0"/>
        <v>61</v>
      </c>
      <c r="J26" s="139">
        <v>1</v>
      </c>
      <c r="K26" s="140">
        <v>1</v>
      </c>
      <c r="L26" s="140">
        <v>1</v>
      </c>
      <c r="M26" s="151">
        <v>1</v>
      </c>
      <c r="T26">
        <v>8087</v>
      </c>
      <c r="U26" t="s">
        <v>881</v>
      </c>
    </row>
    <row r="27" spans="1:21" ht="15">
      <c r="A27" t="s">
        <v>814</v>
      </c>
      <c r="B27" s="101" t="str">
        <f>TEXT(MID(Table1896[[#This Row],[IP]],LEN(Table1896[[#This Row],[IP]])-1,1)+(--MID(Table1896[[#This Row],[IP]],8,1)-1)*9,"00")</f>
        <v>26</v>
      </c>
      <c r="C27" s="132">
        <v>1</v>
      </c>
      <c r="D27" s="146">
        <v>1</v>
      </c>
      <c r="E27" s="146">
        <v>1</v>
      </c>
      <c r="F27" s="147">
        <v>1</v>
      </c>
      <c r="G27" s="92"/>
      <c r="H27" s="53" t="s">
        <v>850</v>
      </c>
      <c r="I27" s="129" t="str">
        <f t="shared" si="0"/>
        <v>62</v>
      </c>
      <c r="J27" s="137">
        <v>5</v>
      </c>
      <c r="K27" s="138">
        <v>5</v>
      </c>
      <c r="L27" s="138">
        <v>5</v>
      </c>
      <c r="M27" s="150">
        <v>5</v>
      </c>
      <c r="T27">
        <v>470</v>
      </c>
      <c r="U27" t="s">
        <v>882</v>
      </c>
    </row>
    <row r="28" spans="1:21" ht="15">
      <c r="A28" t="s">
        <v>815</v>
      </c>
      <c r="B28" s="101" t="str">
        <f>TEXT(MID(Table1896[[#This Row],[IP]],LEN(Table1896[[#This Row],[IP]])-1,1)+(--MID(Table1896[[#This Row],[IP]],8,1)-1)*9,"00")</f>
        <v>27</v>
      </c>
      <c r="C28" s="132">
        <v>1</v>
      </c>
      <c r="D28" s="146">
        <v>1</v>
      </c>
      <c r="E28" s="146">
        <v>1</v>
      </c>
      <c r="F28" s="147">
        <v>1</v>
      </c>
      <c r="G28" s="92"/>
      <c r="H28" s="50" t="s">
        <v>851</v>
      </c>
      <c r="I28" s="129" t="str">
        <f t="shared" si="0"/>
        <v>63</v>
      </c>
      <c r="J28" s="139">
        <v>5</v>
      </c>
      <c r="K28" s="140">
        <v>5</v>
      </c>
      <c r="L28" s="140">
        <v>5</v>
      </c>
      <c r="M28" s="151">
        <v>5</v>
      </c>
    </row>
    <row r="29" spans="1:21" ht="15">
      <c r="A29" t="s">
        <v>816</v>
      </c>
      <c r="B29" s="101" t="str">
        <f>TEXT(MID(Table1896[[#This Row],[IP]],LEN(Table1896[[#This Row],[IP]])-1,1)+(--MID(Table1896[[#This Row],[IP]],8,1)-1)*9,"00")</f>
        <v>28</v>
      </c>
      <c r="C29" s="132">
        <v>1</v>
      </c>
      <c r="D29" s="146">
        <v>1</v>
      </c>
      <c r="E29" s="146">
        <v>1</v>
      </c>
      <c r="F29" s="147">
        <v>1</v>
      </c>
      <c r="G29" s="92"/>
      <c r="H29" s="53" t="s">
        <v>852</v>
      </c>
      <c r="I29" s="129" t="str">
        <f t="shared" si="0"/>
        <v>64</v>
      </c>
      <c r="J29" s="137">
        <v>5</v>
      </c>
      <c r="K29" s="138">
        <v>5</v>
      </c>
      <c r="L29" s="138">
        <v>5</v>
      </c>
      <c r="M29" s="150">
        <v>5</v>
      </c>
    </row>
    <row r="30" spans="1:21" ht="15">
      <c r="A30" t="s">
        <v>817</v>
      </c>
      <c r="B30" s="101" t="str">
        <f>TEXT(MID(Table1896[[#This Row],[IP]],LEN(Table1896[[#This Row],[IP]])-1,1)+(--MID(Table1896[[#This Row],[IP]],8,1)-1)*9,"00")</f>
        <v>29</v>
      </c>
      <c r="C30" s="132">
        <v>1</v>
      </c>
      <c r="D30" s="146">
        <v>1</v>
      </c>
      <c r="E30" s="146">
        <v>1</v>
      </c>
      <c r="F30" s="147">
        <v>1</v>
      </c>
      <c r="G30" s="92"/>
      <c r="H30" s="50" t="s">
        <v>853</v>
      </c>
      <c r="I30" s="129" t="str">
        <f t="shared" si="0"/>
        <v>65</v>
      </c>
      <c r="J30" s="139">
        <v>1</v>
      </c>
      <c r="K30" s="140">
        <v>1</v>
      </c>
      <c r="L30" s="140">
        <v>1</v>
      </c>
      <c r="M30" s="151">
        <v>1</v>
      </c>
    </row>
    <row r="31" spans="1:21" ht="15">
      <c r="A31" t="s">
        <v>818</v>
      </c>
      <c r="B31" s="101" t="str">
        <f>TEXT(MID(Table1896[[#This Row],[IP]],LEN(Table1896[[#This Row],[IP]])-1,1)+(--MID(Table1896[[#This Row],[IP]],8,1)-1)*9,"00")</f>
        <v>30</v>
      </c>
      <c r="C31" s="132">
        <v>1</v>
      </c>
      <c r="D31" s="146">
        <v>1</v>
      </c>
      <c r="E31" s="146">
        <v>1</v>
      </c>
      <c r="F31" s="147">
        <v>1</v>
      </c>
      <c r="G31" s="92"/>
      <c r="H31" s="53" t="s">
        <v>854</v>
      </c>
      <c r="I31" s="129" t="str">
        <f t="shared" si="0"/>
        <v>66</v>
      </c>
      <c r="J31" s="137">
        <v>1</v>
      </c>
      <c r="K31" s="138">
        <v>1</v>
      </c>
      <c r="L31" s="138">
        <v>1</v>
      </c>
      <c r="M31" s="150">
        <v>1</v>
      </c>
    </row>
    <row r="32" spans="1:21" ht="15">
      <c r="A32" t="s">
        <v>819</v>
      </c>
      <c r="B32" s="101" t="str">
        <f>TEXT(MID(Table1896[[#This Row],[IP]],LEN(Table1896[[#This Row],[IP]])-1,1)+(--MID(Table1896[[#This Row],[IP]],8,1)-1)*9,"00")</f>
        <v>31</v>
      </c>
      <c r="C32" s="132">
        <v>1</v>
      </c>
      <c r="D32" s="146">
        <v>1</v>
      </c>
      <c r="E32" s="146">
        <v>1</v>
      </c>
      <c r="F32" s="147">
        <v>1</v>
      </c>
      <c r="G32" s="92"/>
      <c r="H32" s="50" t="s">
        <v>855</v>
      </c>
      <c r="I32" s="129" t="str">
        <f t="shared" si="0"/>
        <v>67</v>
      </c>
      <c r="J32" s="139">
        <v>1</v>
      </c>
      <c r="K32" s="140">
        <v>1</v>
      </c>
      <c r="L32" s="140">
        <v>1</v>
      </c>
      <c r="M32" s="151">
        <v>1</v>
      </c>
    </row>
    <row r="33" spans="1:13" ht="15">
      <c r="A33" t="s">
        <v>820</v>
      </c>
      <c r="B33" s="101" t="str">
        <f>TEXT(MID(Table1896[[#This Row],[IP]],LEN(Table1896[[#This Row],[IP]])-1,1)+(--MID(Table1896[[#This Row],[IP]],8,1)-1)*9,"00")</f>
        <v>32</v>
      </c>
      <c r="C33" s="132">
        <v>1</v>
      </c>
      <c r="D33" s="146">
        <v>1</v>
      </c>
      <c r="E33" s="146">
        <v>1</v>
      </c>
      <c r="F33" s="147">
        <v>1</v>
      </c>
      <c r="G33" s="92"/>
      <c r="H33" s="53" t="s">
        <v>856</v>
      </c>
      <c r="I33" s="129" t="str">
        <f t="shared" si="0"/>
        <v>68</v>
      </c>
      <c r="J33" s="137">
        <v>1</v>
      </c>
      <c r="K33" s="138">
        <v>1</v>
      </c>
      <c r="L33" s="138">
        <v>1</v>
      </c>
      <c r="M33" s="150">
        <v>1</v>
      </c>
    </row>
    <row r="34" spans="1:13" ht="15">
      <c r="A34" t="s">
        <v>821</v>
      </c>
      <c r="B34" s="101" t="str">
        <f>TEXT(MID(Table1896[[#This Row],[IP]],LEN(Table1896[[#This Row],[IP]])-1,1)+(--MID(Table1896[[#This Row],[IP]],8,1)-1)*9,"00")</f>
        <v>33</v>
      </c>
      <c r="C34" s="132">
        <v>1</v>
      </c>
      <c r="D34" s="146">
        <v>1</v>
      </c>
      <c r="E34" s="146">
        <v>1</v>
      </c>
      <c r="F34" s="147">
        <v>1</v>
      </c>
      <c r="G34" s="92"/>
      <c r="H34" s="50" t="s">
        <v>857</v>
      </c>
      <c r="I34" s="129" t="str">
        <f t="shared" si="0"/>
        <v>69</v>
      </c>
      <c r="J34" s="139">
        <v>1</v>
      </c>
      <c r="K34" s="140">
        <v>1</v>
      </c>
      <c r="L34" s="140">
        <v>1</v>
      </c>
      <c r="M34" s="151">
        <v>1</v>
      </c>
    </row>
    <row r="35" spans="1:13" ht="15">
      <c r="A35" t="s">
        <v>822</v>
      </c>
      <c r="B35" s="101" t="str">
        <f>TEXT(MID(Table1896[[#This Row],[IP]],LEN(Table1896[[#This Row],[IP]])-1,1)+(--MID(Table1896[[#This Row],[IP]],8,1)-1)*9,"00")</f>
        <v>34</v>
      </c>
      <c r="C35" s="132">
        <v>1</v>
      </c>
      <c r="D35" s="146">
        <v>1</v>
      </c>
      <c r="E35" s="146">
        <v>1</v>
      </c>
      <c r="F35" s="147">
        <v>1</v>
      </c>
      <c r="G35" s="92"/>
      <c r="H35" s="53" t="s">
        <v>858</v>
      </c>
      <c r="I35" s="129" t="str">
        <f t="shared" si="0"/>
        <v>70</v>
      </c>
      <c r="J35" s="137">
        <v>1</v>
      </c>
      <c r="K35" s="138">
        <v>1</v>
      </c>
      <c r="L35" s="138">
        <v>1</v>
      </c>
      <c r="M35" s="150">
        <v>1</v>
      </c>
    </row>
    <row r="36" spans="1:13" ht="15">
      <c r="A36" t="s">
        <v>823</v>
      </c>
      <c r="B36" s="101" t="str">
        <f>TEXT(MID(Table1896[[#This Row],[IP]],LEN(Table1896[[#This Row],[IP]])-1,1)+(--MID(Table1896[[#This Row],[IP]],8,1)-1)*9,"00")</f>
        <v>35</v>
      </c>
      <c r="C36" s="132">
        <v>1</v>
      </c>
      <c r="D36" s="146">
        <v>1</v>
      </c>
      <c r="E36" s="146">
        <v>1</v>
      </c>
      <c r="F36" s="147">
        <v>1</v>
      </c>
      <c r="G36" s="92"/>
      <c r="H36" s="50" t="s">
        <v>859</v>
      </c>
      <c r="I36" s="129" t="str">
        <f t="shared" si="0"/>
        <v>71</v>
      </c>
      <c r="J36" s="139">
        <v>1</v>
      </c>
      <c r="K36" s="140">
        <v>1</v>
      </c>
      <c r="L36" s="140">
        <v>1</v>
      </c>
      <c r="M36" s="151">
        <v>1</v>
      </c>
    </row>
    <row r="37" spans="1:13" ht="15.75" thickBot="1">
      <c r="A37" t="s">
        <v>824</v>
      </c>
      <c r="B37" s="101" t="str">
        <f>TEXT(MID(Table1896[[#This Row],[IP]],LEN(Table1896[[#This Row],[IP]])-1,1)+(--MID(Table1896[[#This Row],[IP]],8,1)-1)*9,"00")</f>
        <v>36</v>
      </c>
      <c r="C37" s="133">
        <v>1</v>
      </c>
      <c r="D37" s="134">
        <v>1</v>
      </c>
      <c r="E37" s="134">
        <v>1</v>
      </c>
      <c r="F37" s="148">
        <v>1</v>
      </c>
      <c r="G37" s="92"/>
      <c r="H37" s="53" t="s">
        <v>860</v>
      </c>
      <c r="I37" s="129" t="str">
        <f t="shared" si="0"/>
        <v>72</v>
      </c>
      <c r="J37" s="141">
        <v>1</v>
      </c>
      <c r="K37" s="142">
        <v>1</v>
      </c>
      <c r="L37" s="142">
        <v>1</v>
      </c>
      <c r="M37" s="152">
        <v>1</v>
      </c>
    </row>
  </sheetData>
  <phoneticPr fontId="12" type="noConversion"/>
  <conditionalFormatting sqref="J2:M37 C2:F37">
    <cfRule type="expression" dxfId="105" priority="3">
      <formula>OR(C2=4,C2=5)</formula>
    </cfRule>
  </conditionalFormatting>
  <conditionalFormatting sqref="C2:F37 J2:M37">
    <cfRule type="top10" dxfId="104" priority="2" rank="1"/>
    <cfRule type="top10" dxfId="103" priority="1" bottom="1" rank="1"/>
  </conditionalFormatting>
  <dataValidations count="2">
    <dataValidation type="list" allowBlank="1" showInputMessage="1" showErrorMessage="1" sqref="N2" xr:uid="{52BA8B5C-2564-47F1-9DA1-03431DB9A32E}">
      <formula1>"Y,N"</formula1>
    </dataValidation>
    <dataValidation type="list" allowBlank="1" showInputMessage="1" sqref="P1" xr:uid="{B7B1D079-51FA-4F0E-B3AE-5B96CD2C7043}">
      <formula1>$T$6:$T$27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ReadBCI">
                <anchor>
                  <from>
                    <xdr:col>20</xdr:col>
                    <xdr:colOff>276225</xdr:colOff>
                    <xdr:row>1</xdr:row>
                    <xdr:rowOff>57150</xdr:rowOff>
                  </from>
                  <to>
                    <xdr:col>21</xdr:col>
                    <xdr:colOff>266700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0D8B5-679B-4B57-93E3-7ED95567EA6B}">
  <sheetPr codeName="Sheet11"/>
  <dimension ref="A1:AD37"/>
  <sheetViews>
    <sheetView zoomScaleNormal="100" workbookViewId="0">
      <pane ySplit="1" topLeftCell="A2" activePane="bottomLeft" state="frozen"/>
      <selection activeCell="AH10" sqref="AH10"/>
      <selection pane="bottomLeft" activeCell="P6" sqref="P6"/>
    </sheetView>
  </sheetViews>
  <sheetFormatPr defaultRowHeight="13.5"/>
  <cols>
    <col min="1" max="1" width="11.875" bestFit="1" customWidth="1"/>
    <col min="2" max="2" width="3.375" bestFit="1" customWidth="1"/>
    <col min="3" max="6" width="6.875" bestFit="1" customWidth="1"/>
    <col min="7" max="7" width="7.875" customWidth="1"/>
    <col min="8" max="8" width="11.875" bestFit="1" customWidth="1"/>
    <col min="9" max="9" width="2.875" bestFit="1" customWidth="1"/>
    <col min="10" max="13" width="6.875" bestFit="1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1.8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30" ht="14.25" thickBot="1">
      <c r="A1" s="92" t="s">
        <v>27</v>
      </c>
      <c r="B1" s="92" t="s">
        <v>28</v>
      </c>
      <c r="C1" s="92" t="s">
        <v>29</v>
      </c>
      <c r="D1" s="92" t="s">
        <v>30</v>
      </c>
      <c r="E1" s="92" t="s">
        <v>31</v>
      </c>
      <c r="F1" s="92" t="s">
        <v>32</v>
      </c>
      <c r="G1" s="92"/>
      <c r="H1" s="143" t="s">
        <v>27</v>
      </c>
      <c r="I1" s="100" t="s">
        <v>28</v>
      </c>
      <c r="J1" s="100" t="s">
        <v>29</v>
      </c>
      <c r="K1" s="100" t="s">
        <v>30</v>
      </c>
      <c r="L1" s="100" t="s">
        <v>31</v>
      </c>
      <c r="M1" s="144" t="s">
        <v>32</v>
      </c>
      <c r="P1" s="47">
        <v>8039</v>
      </c>
    </row>
    <row r="2" spans="1:30" ht="15">
      <c r="A2" t="s">
        <v>789</v>
      </c>
      <c r="B2" s="101" t="str">
        <f>TEXT(MID(Table18967[[#This Row],[IP]],LEN(Table18967[[#This Row],[IP]])-1,1)+(--MID(Table18967[[#This Row],[IP]],8,1)-1)*9,"00")</f>
        <v>01</v>
      </c>
      <c r="C2" s="130">
        <v>6</v>
      </c>
      <c r="D2" s="131">
        <v>6</v>
      </c>
      <c r="E2" s="131">
        <v>6</v>
      </c>
      <c r="F2" s="145">
        <v>6</v>
      </c>
      <c r="G2" s="92"/>
      <c r="H2" s="50" t="s">
        <v>825</v>
      </c>
      <c r="I2" s="129" t="str">
        <f>TEXT(MID(H2,LEN(H2)-1,1)+(--MID(H2,8,1)-1)*9,"00")</f>
        <v>37</v>
      </c>
      <c r="J2" s="135">
        <v>6</v>
      </c>
      <c r="K2" s="136">
        <v>6</v>
      </c>
      <c r="L2" s="136">
        <v>6</v>
      </c>
      <c r="M2" s="149">
        <v>6</v>
      </c>
      <c r="N2" s="92"/>
      <c r="AA2">
        <v>3897</v>
      </c>
      <c r="AB2" s="153">
        <v>3897</v>
      </c>
      <c r="AD2">
        <f>P1</f>
        <v>8039</v>
      </c>
    </row>
    <row r="3" spans="1:30" ht="15">
      <c r="A3" t="s">
        <v>790</v>
      </c>
      <c r="B3" s="101" t="str">
        <f>TEXT(MID(Table18967[[#This Row],[IP]],LEN(Table18967[[#This Row],[IP]])-1,1)+(--MID(Table18967[[#This Row],[IP]],8,1)-1)*9,"00")</f>
        <v>02</v>
      </c>
      <c r="C3" s="132">
        <v>6</v>
      </c>
      <c r="D3" s="146">
        <v>6</v>
      </c>
      <c r="E3" s="146">
        <v>6</v>
      </c>
      <c r="F3" s="147">
        <v>6</v>
      </c>
      <c r="G3" s="92"/>
      <c r="H3" s="53" t="s">
        <v>826</v>
      </c>
      <c r="I3" s="129" t="str">
        <f t="shared" ref="I3:I37" si="0">TEXT(MID(H3,LEN(H3)-1,1)+(--MID(H3,8,1)-1)*9,"00")</f>
        <v>38</v>
      </c>
      <c r="J3" s="137">
        <v>6</v>
      </c>
      <c r="K3" s="138">
        <v>6</v>
      </c>
      <c r="L3" s="138">
        <v>1</v>
      </c>
      <c r="M3" s="150">
        <v>3</v>
      </c>
      <c r="AA3">
        <v>3940</v>
      </c>
      <c r="AB3" s="153">
        <v>3940</v>
      </c>
      <c r="AD3">
        <f>AD2+4000</f>
        <v>12039</v>
      </c>
    </row>
    <row r="4" spans="1:30" ht="15">
      <c r="A4" t="s">
        <v>791</v>
      </c>
      <c r="B4" s="101" t="str">
        <f>TEXT(MID(Table18967[[#This Row],[IP]],LEN(Table18967[[#This Row],[IP]])-1,1)+(--MID(Table18967[[#This Row],[IP]],8,1)-1)*9,"00")</f>
        <v>03</v>
      </c>
      <c r="C4" s="132">
        <v>6</v>
      </c>
      <c r="D4" s="146">
        <v>6</v>
      </c>
      <c r="E4" s="146">
        <v>6</v>
      </c>
      <c r="F4" s="147">
        <v>6</v>
      </c>
      <c r="G4" s="92"/>
      <c r="H4" s="50" t="s">
        <v>827</v>
      </c>
      <c r="I4" s="129" t="str">
        <f t="shared" si="0"/>
        <v>39</v>
      </c>
      <c r="J4" s="139">
        <v>1</v>
      </c>
      <c r="K4" s="140">
        <v>1</v>
      </c>
      <c r="L4" s="140">
        <v>1</v>
      </c>
      <c r="M4" s="151">
        <v>1</v>
      </c>
      <c r="AA4">
        <v>3983</v>
      </c>
      <c r="AB4" s="153">
        <v>3983</v>
      </c>
      <c r="AD4">
        <f t="shared" ref="AD4:AD5" si="1">AD3+4000</f>
        <v>16039</v>
      </c>
    </row>
    <row r="5" spans="1:30" ht="15">
      <c r="A5" t="s">
        <v>792</v>
      </c>
      <c r="B5" s="101" t="str">
        <f>TEXT(MID(Table18967[[#This Row],[IP]],LEN(Table18967[[#This Row],[IP]])-1,1)+(--MID(Table18967[[#This Row],[IP]],8,1)-1)*9,"00")</f>
        <v>04</v>
      </c>
      <c r="C5" s="132">
        <v>1</v>
      </c>
      <c r="D5" s="146">
        <v>1</v>
      </c>
      <c r="E5" s="146">
        <v>1</v>
      </c>
      <c r="F5" s="147">
        <v>1</v>
      </c>
      <c r="G5" s="92"/>
      <c r="H5" s="53" t="s">
        <v>828</v>
      </c>
      <c r="I5" s="129" t="str">
        <f t="shared" si="0"/>
        <v>40</v>
      </c>
      <c r="J5" s="137">
        <v>6</v>
      </c>
      <c r="K5" s="138">
        <v>6</v>
      </c>
      <c r="L5" s="138">
        <v>6</v>
      </c>
      <c r="M5" s="150">
        <v>6</v>
      </c>
      <c r="AA5">
        <v>4026</v>
      </c>
      <c r="AB5" s="153">
        <v>4026</v>
      </c>
      <c r="AD5">
        <f t="shared" si="1"/>
        <v>20039</v>
      </c>
    </row>
    <row r="6" spans="1:30" ht="13.5" customHeight="1">
      <c r="A6" t="s">
        <v>793</v>
      </c>
      <c r="B6" s="101" t="str">
        <f>TEXT(MID(Table18967[[#This Row],[IP]],LEN(Table18967[[#This Row],[IP]])-1,1)+(--MID(Table18967[[#This Row],[IP]],8,1)-1)*9,"00")</f>
        <v>05</v>
      </c>
      <c r="C6" s="132">
        <v>6</v>
      </c>
      <c r="D6" s="146">
        <v>6</v>
      </c>
      <c r="E6" s="146">
        <v>6</v>
      </c>
      <c r="F6" s="147">
        <v>6</v>
      </c>
      <c r="G6" s="92"/>
      <c r="H6" s="50" t="s">
        <v>829</v>
      </c>
      <c r="I6" s="129" t="str">
        <f t="shared" si="0"/>
        <v>41</v>
      </c>
      <c r="J6" s="139">
        <v>1</v>
      </c>
      <c r="K6" s="140">
        <v>1</v>
      </c>
      <c r="L6" s="140">
        <v>1</v>
      </c>
      <c r="M6" s="151">
        <v>1</v>
      </c>
      <c r="T6">
        <v>8039</v>
      </c>
      <c r="U6" t="s">
        <v>861</v>
      </c>
    </row>
    <row r="7" spans="1:30" ht="15">
      <c r="A7" t="s">
        <v>794</v>
      </c>
      <c r="B7" s="101" t="str">
        <f>TEXT(MID(Table18967[[#This Row],[IP]],LEN(Table18967[[#This Row],[IP]])-1,1)+(--MID(Table18967[[#This Row],[IP]],8,1)-1)*9,"00")</f>
        <v>06</v>
      </c>
      <c r="C7" s="132">
        <v>6</v>
      </c>
      <c r="D7" s="146">
        <v>6</v>
      </c>
      <c r="E7" s="146">
        <v>6</v>
      </c>
      <c r="F7" s="147">
        <v>6</v>
      </c>
      <c r="G7" s="92"/>
      <c r="H7" s="53" t="s">
        <v>830</v>
      </c>
      <c r="I7" s="129" t="str">
        <f t="shared" si="0"/>
        <v>42</v>
      </c>
      <c r="J7" s="137">
        <v>6</v>
      </c>
      <c r="K7" s="138">
        <v>6</v>
      </c>
      <c r="L7" s="138">
        <v>6</v>
      </c>
      <c r="M7" s="150">
        <v>6</v>
      </c>
      <c r="T7">
        <v>8037</v>
      </c>
      <c r="U7" t="s">
        <v>862</v>
      </c>
    </row>
    <row r="8" spans="1:30" ht="15">
      <c r="A8" t="s">
        <v>795</v>
      </c>
      <c r="B8" s="101" t="str">
        <f>TEXT(MID(Table18967[[#This Row],[IP]],LEN(Table18967[[#This Row],[IP]])-1,1)+(--MID(Table18967[[#This Row],[IP]],8,1)-1)*9,"00")</f>
        <v>07</v>
      </c>
      <c r="C8" s="132">
        <v>6</v>
      </c>
      <c r="D8" s="146">
        <v>6</v>
      </c>
      <c r="E8" s="146">
        <v>6</v>
      </c>
      <c r="F8" s="147">
        <v>6</v>
      </c>
      <c r="G8" s="92"/>
      <c r="H8" s="50" t="s">
        <v>831</v>
      </c>
      <c r="I8" s="129" t="str">
        <f t="shared" si="0"/>
        <v>43</v>
      </c>
      <c r="J8" s="139">
        <v>1</v>
      </c>
      <c r="K8" s="140">
        <v>1</v>
      </c>
      <c r="L8" s="140">
        <v>6</v>
      </c>
      <c r="M8" s="151">
        <v>1</v>
      </c>
      <c r="T8">
        <v>8059</v>
      </c>
      <c r="U8" t="s">
        <v>6</v>
      </c>
    </row>
    <row r="9" spans="1:30" ht="15">
      <c r="A9" t="s">
        <v>796</v>
      </c>
      <c r="B9" s="101" t="str">
        <f>TEXT(MID(Table18967[[#This Row],[IP]],LEN(Table18967[[#This Row],[IP]])-1,1)+(--MID(Table18967[[#This Row],[IP]],8,1)-1)*9,"00")</f>
        <v>08</v>
      </c>
      <c r="C9" s="132">
        <v>1</v>
      </c>
      <c r="D9" s="146">
        <v>1</v>
      </c>
      <c r="E9" s="146">
        <v>1</v>
      </c>
      <c r="F9" s="147">
        <v>1</v>
      </c>
      <c r="G9" s="92"/>
      <c r="H9" s="53" t="s">
        <v>832</v>
      </c>
      <c r="I9" s="129" t="str">
        <f t="shared" si="0"/>
        <v>44</v>
      </c>
      <c r="J9" s="137">
        <v>1</v>
      </c>
      <c r="K9" s="138">
        <v>1</v>
      </c>
      <c r="L9" s="138">
        <v>1</v>
      </c>
      <c r="M9" s="150">
        <v>1</v>
      </c>
      <c r="T9">
        <v>8060</v>
      </c>
      <c r="U9" t="s">
        <v>7</v>
      </c>
    </row>
    <row r="10" spans="1:30" ht="12.75" customHeight="1">
      <c r="A10" t="s">
        <v>797</v>
      </c>
      <c r="B10" s="101" t="str">
        <f>TEXT(MID(Table18967[[#This Row],[IP]],LEN(Table18967[[#This Row],[IP]])-1,1)+(--MID(Table18967[[#This Row],[IP]],8,1)-1)*9,"00")</f>
        <v>09</v>
      </c>
      <c r="C10" s="132">
        <v>6</v>
      </c>
      <c r="D10" s="146">
        <v>6</v>
      </c>
      <c r="E10" s="146">
        <v>6</v>
      </c>
      <c r="F10" s="147">
        <v>6</v>
      </c>
      <c r="G10" s="92"/>
      <c r="H10" s="50" t="s">
        <v>833</v>
      </c>
      <c r="I10" s="129" t="str">
        <f t="shared" si="0"/>
        <v>45</v>
      </c>
      <c r="J10" s="139">
        <v>6</v>
      </c>
      <c r="K10" s="140">
        <v>6</v>
      </c>
      <c r="L10" s="140">
        <v>6</v>
      </c>
      <c r="M10" s="151">
        <v>6</v>
      </c>
      <c r="T10">
        <v>8043</v>
      </c>
      <c r="U10" t="s">
        <v>863</v>
      </c>
    </row>
    <row r="11" spans="1:30" ht="15">
      <c r="A11" t="s">
        <v>798</v>
      </c>
      <c r="B11" s="101" t="str">
        <f>TEXT(MID(Table18967[[#This Row],[IP]],LEN(Table18967[[#This Row],[IP]])-1,1)+(--MID(Table18967[[#This Row],[IP]],8,1)-1)*9,"00")</f>
        <v>10</v>
      </c>
      <c r="C11" s="132">
        <v>6</v>
      </c>
      <c r="D11" s="146">
        <v>6</v>
      </c>
      <c r="E11" s="146">
        <v>6</v>
      </c>
      <c r="F11" s="147">
        <v>6</v>
      </c>
      <c r="G11" s="92"/>
      <c r="H11" s="53" t="s">
        <v>834</v>
      </c>
      <c r="I11" s="129" t="str">
        <f t="shared" si="0"/>
        <v>46</v>
      </c>
      <c r="J11" s="137">
        <v>6</v>
      </c>
      <c r="K11" s="138">
        <v>6</v>
      </c>
      <c r="L11" s="138">
        <v>6</v>
      </c>
      <c r="M11" s="150">
        <v>6</v>
      </c>
      <c r="T11">
        <v>8062</v>
      </c>
      <c r="U11" t="s">
        <v>864</v>
      </c>
    </row>
    <row r="12" spans="1:30" ht="15">
      <c r="A12" t="s">
        <v>799</v>
      </c>
      <c r="B12" s="101" t="str">
        <f>TEXT(MID(Table18967[[#This Row],[IP]],LEN(Table18967[[#This Row],[IP]])-1,1)+(--MID(Table18967[[#This Row],[IP]],8,1)-1)*9,"00")</f>
        <v>11</v>
      </c>
      <c r="C12" s="132">
        <v>1</v>
      </c>
      <c r="D12" s="146">
        <v>6</v>
      </c>
      <c r="E12" s="146">
        <v>1</v>
      </c>
      <c r="F12" s="147">
        <v>6</v>
      </c>
      <c r="G12" s="92"/>
      <c r="H12" s="50" t="s">
        <v>835</v>
      </c>
      <c r="I12" s="129" t="str">
        <f t="shared" si="0"/>
        <v>47</v>
      </c>
      <c r="J12" s="139">
        <v>6</v>
      </c>
      <c r="K12" s="140">
        <v>6</v>
      </c>
      <c r="L12" s="140">
        <v>6</v>
      </c>
      <c r="M12" s="151">
        <v>6</v>
      </c>
      <c r="T12">
        <v>8063</v>
      </c>
      <c r="U12" t="s">
        <v>865</v>
      </c>
    </row>
    <row r="13" spans="1:30" ht="15">
      <c r="A13" t="s">
        <v>800</v>
      </c>
      <c r="B13" s="101" t="str">
        <f>TEXT(MID(Table18967[[#This Row],[IP]],LEN(Table18967[[#This Row],[IP]])-1,1)+(--MID(Table18967[[#This Row],[IP]],8,1)-1)*9,"00")</f>
        <v>12</v>
      </c>
      <c r="C13" s="132">
        <v>6</v>
      </c>
      <c r="D13" s="146">
        <v>6</v>
      </c>
      <c r="E13" s="146">
        <v>6</v>
      </c>
      <c r="F13" s="147">
        <v>6</v>
      </c>
      <c r="G13" s="92"/>
      <c r="H13" s="53" t="s">
        <v>836</v>
      </c>
      <c r="I13" s="129" t="str">
        <f t="shared" si="0"/>
        <v>48</v>
      </c>
      <c r="J13" s="137">
        <v>6</v>
      </c>
      <c r="K13" s="138">
        <v>6</v>
      </c>
      <c r="L13" s="138">
        <v>6</v>
      </c>
      <c r="M13" s="150">
        <v>6</v>
      </c>
      <c r="T13">
        <v>8080</v>
      </c>
      <c r="U13" t="s">
        <v>866</v>
      </c>
    </row>
    <row r="14" spans="1:30" ht="15">
      <c r="A14" t="s">
        <v>801</v>
      </c>
      <c r="B14" s="101" t="str">
        <f>TEXT(MID(Table18967[[#This Row],[IP]],LEN(Table18967[[#This Row],[IP]])-1,1)+(--MID(Table18967[[#This Row],[IP]],8,1)-1)*9,"00")</f>
        <v>13</v>
      </c>
      <c r="C14" s="132">
        <v>1</v>
      </c>
      <c r="D14" s="146">
        <v>6</v>
      </c>
      <c r="E14" s="146">
        <v>1</v>
      </c>
      <c r="F14" s="147">
        <v>1</v>
      </c>
      <c r="G14" s="92"/>
      <c r="H14" s="50" t="s">
        <v>837</v>
      </c>
      <c r="I14" s="129" t="str">
        <f t="shared" si="0"/>
        <v>49</v>
      </c>
      <c r="J14" s="139">
        <v>6</v>
      </c>
      <c r="K14" s="140">
        <v>6</v>
      </c>
      <c r="L14" s="140">
        <v>6</v>
      </c>
      <c r="M14" s="151">
        <v>6</v>
      </c>
      <c r="T14">
        <v>8082</v>
      </c>
      <c r="U14" t="s">
        <v>867</v>
      </c>
    </row>
    <row r="15" spans="1:30" ht="15">
      <c r="A15" t="s">
        <v>802</v>
      </c>
      <c r="B15" s="101" t="str">
        <f>TEXT(MID(Table18967[[#This Row],[IP]],LEN(Table18967[[#This Row],[IP]])-1,1)+(--MID(Table18967[[#This Row],[IP]],8,1)-1)*9,"00")</f>
        <v>14</v>
      </c>
      <c r="C15" s="132">
        <v>1</v>
      </c>
      <c r="D15" s="146">
        <v>1</v>
      </c>
      <c r="E15" s="146">
        <v>1</v>
      </c>
      <c r="F15" s="147">
        <v>1</v>
      </c>
      <c r="G15" s="92"/>
      <c r="H15" s="53" t="s">
        <v>838</v>
      </c>
      <c r="I15" s="129" t="str">
        <f t="shared" si="0"/>
        <v>50</v>
      </c>
      <c r="J15" s="137">
        <v>3</v>
      </c>
      <c r="K15" s="138">
        <v>3</v>
      </c>
      <c r="L15" s="138">
        <v>3</v>
      </c>
      <c r="M15" s="150">
        <v>3</v>
      </c>
      <c r="T15">
        <v>8084</v>
      </c>
      <c r="U15" t="s">
        <v>868</v>
      </c>
    </row>
    <row r="16" spans="1:30" ht="15">
      <c r="A16" t="s">
        <v>803</v>
      </c>
      <c r="B16" s="101" t="str">
        <f>TEXT(MID(Table18967[[#This Row],[IP]],LEN(Table18967[[#This Row],[IP]])-1,1)+(--MID(Table18967[[#This Row],[IP]],8,1)-1)*9,"00")</f>
        <v>15</v>
      </c>
      <c r="C16" s="132">
        <v>1</v>
      </c>
      <c r="D16" s="146">
        <v>6</v>
      </c>
      <c r="E16" s="146">
        <v>1</v>
      </c>
      <c r="F16" s="147">
        <v>1</v>
      </c>
      <c r="G16" s="92"/>
      <c r="H16" s="50" t="s">
        <v>839</v>
      </c>
      <c r="I16" s="129" t="str">
        <f t="shared" si="0"/>
        <v>51</v>
      </c>
      <c r="J16" s="139">
        <v>6</v>
      </c>
      <c r="K16" s="140">
        <v>1</v>
      </c>
      <c r="L16" s="140">
        <v>1</v>
      </c>
      <c r="M16" s="151">
        <v>1</v>
      </c>
      <c r="T16">
        <v>8046</v>
      </c>
      <c r="U16" t="s">
        <v>869</v>
      </c>
    </row>
    <row r="17" spans="1:21" ht="15">
      <c r="A17" t="s">
        <v>804</v>
      </c>
      <c r="B17" s="101" t="str">
        <f>TEXT(MID(Table18967[[#This Row],[IP]],LEN(Table18967[[#This Row],[IP]])-1,1)+(--MID(Table18967[[#This Row],[IP]],8,1)-1)*9,"00")</f>
        <v>16</v>
      </c>
      <c r="C17" s="132">
        <v>1</v>
      </c>
      <c r="D17" s="146">
        <v>1</v>
      </c>
      <c r="E17" s="146">
        <v>1</v>
      </c>
      <c r="F17" s="147">
        <v>6</v>
      </c>
      <c r="G17" s="92"/>
      <c r="H17" s="53" t="s">
        <v>840</v>
      </c>
      <c r="I17" s="129" t="str">
        <f t="shared" si="0"/>
        <v>52</v>
      </c>
      <c r="J17" s="137">
        <v>6</v>
      </c>
      <c r="K17" s="138">
        <v>1</v>
      </c>
      <c r="L17" s="138">
        <v>1</v>
      </c>
      <c r="M17" s="150">
        <v>1</v>
      </c>
      <c r="T17">
        <v>8047</v>
      </c>
      <c r="U17" t="s">
        <v>870</v>
      </c>
    </row>
    <row r="18" spans="1:21" ht="15">
      <c r="A18" t="s">
        <v>805</v>
      </c>
      <c r="B18" s="101" t="str">
        <f>TEXT(MID(Table18967[[#This Row],[IP]],LEN(Table18967[[#This Row],[IP]])-1,1)+(--MID(Table18967[[#This Row],[IP]],8,1)-1)*9,"00")</f>
        <v>17</v>
      </c>
      <c r="C18" s="132">
        <v>6</v>
      </c>
      <c r="D18" s="146">
        <v>6</v>
      </c>
      <c r="E18" s="146">
        <v>6</v>
      </c>
      <c r="F18" s="147">
        <v>6</v>
      </c>
      <c r="G18" s="92"/>
      <c r="H18" s="50" t="s">
        <v>841</v>
      </c>
      <c r="I18" s="129" t="str">
        <f t="shared" si="0"/>
        <v>53</v>
      </c>
      <c r="J18" s="139">
        <v>6</v>
      </c>
      <c r="K18" s="140">
        <v>6</v>
      </c>
      <c r="L18" s="140">
        <v>6</v>
      </c>
      <c r="M18" s="151">
        <v>6</v>
      </c>
      <c r="T18">
        <v>8045</v>
      </c>
      <c r="U18" t="s">
        <v>871</v>
      </c>
    </row>
    <row r="19" spans="1:21" ht="15">
      <c r="A19" t="s">
        <v>806</v>
      </c>
      <c r="B19" s="101" t="str">
        <f>TEXT(MID(Table18967[[#This Row],[IP]],LEN(Table18967[[#This Row],[IP]])-1,1)+(--MID(Table18967[[#This Row],[IP]],8,1)-1)*9,"00")</f>
        <v>18</v>
      </c>
      <c r="C19" s="132">
        <v>1</v>
      </c>
      <c r="D19" s="146">
        <v>1</v>
      </c>
      <c r="E19" s="146">
        <v>6</v>
      </c>
      <c r="F19" s="147">
        <v>1</v>
      </c>
      <c r="G19" s="92"/>
      <c r="H19" s="53" t="s">
        <v>842</v>
      </c>
      <c r="I19" s="129" t="str">
        <f t="shared" si="0"/>
        <v>54</v>
      </c>
      <c r="J19" s="137">
        <v>6</v>
      </c>
      <c r="K19" s="138">
        <v>6</v>
      </c>
      <c r="L19" s="138">
        <v>6</v>
      </c>
      <c r="M19" s="150">
        <v>6</v>
      </c>
      <c r="T19">
        <v>8053</v>
      </c>
      <c r="U19" t="s">
        <v>872</v>
      </c>
    </row>
    <row r="20" spans="1:21" ht="15">
      <c r="A20" t="s">
        <v>807</v>
      </c>
      <c r="B20" s="101" t="str">
        <f>TEXT(MID(Table18967[[#This Row],[IP]],LEN(Table18967[[#This Row],[IP]])-1,1)+(--MID(Table18967[[#This Row],[IP]],8,1)-1)*9,"00")</f>
        <v>19</v>
      </c>
      <c r="C20" s="132">
        <v>1</v>
      </c>
      <c r="D20" s="146">
        <v>1</v>
      </c>
      <c r="E20" s="146">
        <v>1</v>
      </c>
      <c r="F20" s="147">
        <v>1</v>
      </c>
      <c r="G20" s="92"/>
      <c r="H20" s="50" t="s">
        <v>843</v>
      </c>
      <c r="I20" s="129" t="str">
        <f t="shared" si="0"/>
        <v>55</v>
      </c>
      <c r="J20" s="139">
        <v>1</v>
      </c>
      <c r="K20" s="140">
        <v>1</v>
      </c>
      <c r="L20" s="140">
        <v>1</v>
      </c>
      <c r="M20" s="151">
        <v>1</v>
      </c>
      <c r="T20">
        <v>8054</v>
      </c>
      <c r="U20" t="s">
        <v>873</v>
      </c>
    </row>
    <row r="21" spans="1:21" ht="15">
      <c r="A21" t="s">
        <v>808</v>
      </c>
      <c r="B21" s="101" t="str">
        <f>TEXT(MID(Table18967[[#This Row],[IP]],LEN(Table18967[[#This Row],[IP]])-1,1)+(--MID(Table18967[[#This Row],[IP]],8,1)-1)*9,"00")</f>
        <v>20</v>
      </c>
      <c r="C21" s="132">
        <v>6</v>
      </c>
      <c r="D21" s="146">
        <v>6</v>
      </c>
      <c r="E21" s="146">
        <v>6</v>
      </c>
      <c r="F21" s="147">
        <v>6</v>
      </c>
      <c r="G21" s="92"/>
      <c r="H21" s="53" t="s">
        <v>844</v>
      </c>
      <c r="I21" s="129" t="str">
        <f t="shared" si="0"/>
        <v>56</v>
      </c>
      <c r="J21" s="137">
        <v>1</v>
      </c>
      <c r="K21" s="138">
        <v>1</v>
      </c>
      <c r="L21" s="138">
        <v>1</v>
      </c>
      <c r="M21" s="150">
        <v>1</v>
      </c>
      <c r="T21">
        <v>8052</v>
      </c>
      <c r="U21" t="s">
        <v>874</v>
      </c>
    </row>
    <row r="22" spans="1:21" ht="15">
      <c r="A22" t="s">
        <v>809</v>
      </c>
      <c r="B22" s="101" t="str">
        <f>TEXT(MID(Table18967[[#This Row],[IP]],LEN(Table18967[[#This Row],[IP]])-1,1)+(--MID(Table18967[[#This Row],[IP]],8,1)-1)*9,"00")</f>
        <v>21</v>
      </c>
      <c r="C22" s="132">
        <v>6</v>
      </c>
      <c r="D22" s="146">
        <v>6</v>
      </c>
      <c r="E22" s="146">
        <v>6</v>
      </c>
      <c r="F22" s="147">
        <v>6</v>
      </c>
      <c r="G22" s="92"/>
      <c r="H22" s="50" t="s">
        <v>845</v>
      </c>
      <c r="I22" s="129" t="str">
        <f t="shared" si="0"/>
        <v>57</v>
      </c>
      <c r="J22" s="139">
        <v>1</v>
      </c>
      <c r="K22" s="140">
        <v>1</v>
      </c>
      <c r="L22" s="140">
        <v>1</v>
      </c>
      <c r="M22" s="151">
        <v>1</v>
      </c>
      <c r="T22">
        <v>8090</v>
      </c>
      <c r="U22" t="s">
        <v>875</v>
      </c>
    </row>
    <row r="23" spans="1:21" ht="15">
      <c r="A23" t="s">
        <v>810</v>
      </c>
      <c r="B23" s="101" t="str">
        <f>TEXT(MID(Table18967[[#This Row],[IP]],LEN(Table18967[[#This Row],[IP]])-1,1)+(--MID(Table18967[[#This Row],[IP]],8,1)-1)*9,"00")</f>
        <v>22</v>
      </c>
      <c r="C23" s="132">
        <v>6</v>
      </c>
      <c r="D23" s="146">
        <v>6</v>
      </c>
      <c r="E23" s="146">
        <v>6</v>
      </c>
      <c r="F23" s="147">
        <v>6</v>
      </c>
      <c r="G23" s="92"/>
      <c r="H23" s="53" t="s">
        <v>846</v>
      </c>
      <c r="I23" s="129" t="str">
        <f t="shared" si="0"/>
        <v>58</v>
      </c>
      <c r="J23" s="137">
        <v>1</v>
      </c>
      <c r="K23" s="138">
        <v>1</v>
      </c>
      <c r="L23" s="138">
        <v>1</v>
      </c>
      <c r="M23" s="150">
        <v>1</v>
      </c>
      <c r="T23">
        <v>8091</v>
      </c>
      <c r="U23" t="s">
        <v>876</v>
      </c>
    </row>
    <row r="24" spans="1:21" ht="15">
      <c r="A24" t="s">
        <v>811</v>
      </c>
      <c r="B24" s="101" t="str">
        <f>TEXT(MID(Table18967[[#This Row],[IP]],LEN(Table18967[[#This Row],[IP]])-1,1)+(--MID(Table18967[[#This Row],[IP]],8,1)-1)*9,"00")</f>
        <v>23</v>
      </c>
      <c r="C24" s="132">
        <v>6</v>
      </c>
      <c r="D24" s="146">
        <v>6</v>
      </c>
      <c r="E24" s="146">
        <v>1</v>
      </c>
      <c r="F24" s="147">
        <v>6</v>
      </c>
      <c r="G24" s="92"/>
      <c r="H24" s="50" t="s">
        <v>847</v>
      </c>
      <c r="I24" s="129" t="str">
        <f t="shared" si="0"/>
        <v>59</v>
      </c>
      <c r="J24" s="139">
        <v>1</v>
      </c>
      <c r="K24" s="140">
        <v>1</v>
      </c>
      <c r="L24" s="140">
        <v>1</v>
      </c>
      <c r="M24" s="151">
        <v>1</v>
      </c>
    </row>
    <row r="25" spans="1:21" ht="15">
      <c r="A25" t="s">
        <v>812</v>
      </c>
      <c r="B25" s="101" t="str">
        <f>TEXT(MID(Table18967[[#This Row],[IP]],LEN(Table18967[[#This Row],[IP]])-1,1)+(--MID(Table18967[[#This Row],[IP]],8,1)-1)*9,"00")</f>
        <v>24</v>
      </c>
      <c r="C25" s="132">
        <v>6</v>
      </c>
      <c r="D25" s="146">
        <v>6</v>
      </c>
      <c r="E25" s="146">
        <v>6</v>
      </c>
      <c r="F25" s="147">
        <v>6</v>
      </c>
      <c r="G25" s="92"/>
      <c r="H25" s="53" t="s">
        <v>848</v>
      </c>
      <c r="I25" s="129" t="str">
        <f t="shared" si="0"/>
        <v>60</v>
      </c>
      <c r="J25" s="137">
        <v>1</v>
      </c>
      <c r="K25" s="138">
        <v>1</v>
      </c>
      <c r="L25" s="138">
        <v>1</v>
      </c>
      <c r="M25" s="150">
        <v>1</v>
      </c>
    </row>
    <row r="26" spans="1:21" ht="15">
      <c r="A26" t="s">
        <v>813</v>
      </c>
      <c r="B26" s="101" t="str">
        <f>TEXT(MID(Table18967[[#This Row],[IP]],LEN(Table18967[[#This Row],[IP]])-1,1)+(--MID(Table18967[[#This Row],[IP]],8,1)-1)*9,"00")</f>
        <v>25</v>
      </c>
      <c r="C26" s="132">
        <v>1</v>
      </c>
      <c r="D26" s="146">
        <v>6</v>
      </c>
      <c r="E26" s="146">
        <v>1</v>
      </c>
      <c r="F26" s="147">
        <v>1</v>
      </c>
      <c r="G26" s="92"/>
      <c r="H26" s="50" t="s">
        <v>849</v>
      </c>
      <c r="I26" s="129" t="str">
        <f t="shared" si="0"/>
        <v>61</v>
      </c>
      <c r="J26" s="139">
        <v>1</v>
      </c>
      <c r="K26" s="140">
        <v>1</v>
      </c>
      <c r="L26" s="140">
        <v>1</v>
      </c>
      <c r="M26" s="151">
        <v>1</v>
      </c>
    </row>
    <row r="27" spans="1:21" ht="15">
      <c r="A27" t="s">
        <v>814</v>
      </c>
      <c r="B27" s="101" t="str">
        <f>TEXT(MID(Table18967[[#This Row],[IP]],LEN(Table18967[[#This Row],[IP]])-1,1)+(--MID(Table18967[[#This Row],[IP]],8,1)-1)*9,"00")</f>
        <v>26</v>
      </c>
      <c r="C27" s="132">
        <v>6</v>
      </c>
      <c r="D27" s="146">
        <v>6</v>
      </c>
      <c r="E27" s="146">
        <v>6</v>
      </c>
      <c r="F27" s="147">
        <v>6</v>
      </c>
      <c r="G27" s="92"/>
      <c r="H27" s="53" t="s">
        <v>850</v>
      </c>
      <c r="I27" s="129" t="str">
        <f t="shared" si="0"/>
        <v>62</v>
      </c>
      <c r="J27" s="137">
        <v>1</v>
      </c>
      <c r="K27" s="138">
        <v>1</v>
      </c>
      <c r="L27" s="138">
        <v>1</v>
      </c>
      <c r="M27" s="150">
        <v>1</v>
      </c>
    </row>
    <row r="28" spans="1:21" ht="15">
      <c r="A28" t="s">
        <v>815</v>
      </c>
      <c r="B28" s="101" t="str">
        <f>TEXT(MID(Table18967[[#This Row],[IP]],LEN(Table18967[[#This Row],[IP]])-1,1)+(--MID(Table18967[[#This Row],[IP]],8,1)-1)*9,"00")</f>
        <v>27</v>
      </c>
      <c r="C28" s="132">
        <v>6</v>
      </c>
      <c r="D28" s="146">
        <v>6</v>
      </c>
      <c r="E28" s="146">
        <v>6</v>
      </c>
      <c r="F28" s="147">
        <v>6</v>
      </c>
      <c r="G28" s="92"/>
      <c r="H28" s="50" t="s">
        <v>851</v>
      </c>
      <c r="I28" s="129" t="str">
        <f t="shared" si="0"/>
        <v>63</v>
      </c>
      <c r="J28" s="139">
        <v>1</v>
      </c>
      <c r="K28" s="140">
        <v>1</v>
      </c>
      <c r="L28" s="140">
        <v>1</v>
      </c>
      <c r="M28" s="151">
        <v>1</v>
      </c>
    </row>
    <row r="29" spans="1:21" ht="15">
      <c r="A29" t="s">
        <v>816</v>
      </c>
      <c r="B29" s="101" t="str">
        <f>TEXT(MID(Table18967[[#This Row],[IP]],LEN(Table18967[[#This Row],[IP]])-1,1)+(--MID(Table18967[[#This Row],[IP]],8,1)-1)*9,"00")</f>
        <v>28</v>
      </c>
      <c r="C29" s="132">
        <v>1</v>
      </c>
      <c r="D29" s="146">
        <v>1</v>
      </c>
      <c r="E29" s="146">
        <v>1</v>
      </c>
      <c r="F29" s="147">
        <v>1</v>
      </c>
      <c r="G29" s="92"/>
      <c r="H29" s="53" t="s">
        <v>852</v>
      </c>
      <c r="I29" s="129" t="str">
        <f t="shared" si="0"/>
        <v>64</v>
      </c>
      <c r="J29" s="137">
        <v>1</v>
      </c>
      <c r="K29" s="138">
        <v>1</v>
      </c>
      <c r="L29" s="138">
        <v>1</v>
      </c>
      <c r="M29" s="150">
        <v>1</v>
      </c>
    </row>
    <row r="30" spans="1:21" ht="15">
      <c r="A30" t="s">
        <v>817</v>
      </c>
      <c r="B30" s="101" t="str">
        <f>TEXT(MID(Table18967[[#This Row],[IP]],LEN(Table18967[[#This Row],[IP]])-1,1)+(--MID(Table18967[[#This Row],[IP]],8,1)-1)*9,"00")</f>
        <v>29</v>
      </c>
      <c r="C30" s="132">
        <v>6</v>
      </c>
      <c r="D30" s="146">
        <v>1</v>
      </c>
      <c r="E30" s="146">
        <v>1</v>
      </c>
      <c r="F30" s="147">
        <v>1</v>
      </c>
      <c r="G30" s="92"/>
      <c r="H30" s="50" t="s">
        <v>853</v>
      </c>
      <c r="I30" s="129" t="str">
        <f t="shared" si="0"/>
        <v>65</v>
      </c>
      <c r="J30" s="139">
        <v>1</v>
      </c>
      <c r="K30" s="140">
        <v>1</v>
      </c>
      <c r="L30" s="140">
        <v>1</v>
      </c>
      <c r="M30" s="151">
        <v>1</v>
      </c>
    </row>
    <row r="31" spans="1:21" ht="15">
      <c r="A31" t="s">
        <v>818</v>
      </c>
      <c r="B31" s="101" t="str">
        <f>TEXT(MID(Table18967[[#This Row],[IP]],LEN(Table18967[[#This Row],[IP]])-1,1)+(--MID(Table18967[[#This Row],[IP]],8,1)-1)*9,"00")</f>
        <v>30</v>
      </c>
      <c r="C31" s="132">
        <v>1</v>
      </c>
      <c r="D31" s="146">
        <v>6</v>
      </c>
      <c r="E31" s="146">
        <v>1</v>
      </c>
      <c r="F31" s="147">
        <v>1</v>
      </c>
      <c r="G31" s="92"/>
      <c r="H31" s="53" t="s">
        <v>854</v>
      </c>
      <c r="I31" s="129" t="str">
        <f t="shared" si="0"/>
        <v>66</v>
      </c>
      <c r="J31" s="137">
        <v>1</v>
      </c>
      <c r="K31" s="138">
        <v>1</v>
      </c>
      <c r="L31" s="138">
        <v>1</v>
      </c>
      <c r="M31" s="150">
        <v>1</v>
      </c>
    </row>
    <row r="32" spans="1:21" ht="15">
      <c r="A32" t="s">
        <v>819</v>
      </c>
      <c r="B32" s="101" t="str">
        <f>TEXT(MID(Table18967[[#This Row],[IP]],LEN(Table18967[[#This Row],[IP]])-1,1)+(--MID(Table18967[[#This Row],[IP]],8,1)-1)*9,"00")</f>
        <v>31</v>
      </c>
      <c r="C32" s="132">
        <v>1</v>
      </c>
      <c r="D32" s="146">
        <v>1</v>
      </c>
      <c r="E32" s="146">
        <v>1</v>
      </c>
      <c r="F32" s="147">
        <v>1</v>
      </c>
      <c r="G32" s="92"/>
      <c r="H32" s="50" t="s">
        <v>855</v>
      </c>
      <c r="I32" s="129" t="str">
        <f t="shared" si="0"/>
        <v>67</v>
      </c>
      <c r="J32" s="139">
        <v>6</v>
      </c>
      <c r="K32" s="140">
        <v>1</v>
      </c>
      <c r="L32" s="140">
        <v>1</v>
      </c>
      <c r="M32" s="151">
        <v>6</v>
      </c>
    </row>
    <row r="33" spans="1:13" ht="15">
      <c r="A33" t="s">
        <v>820</v>
      </c>
      <c r="B33" s="101" t="str">
        <f>TEXT(MID(Table18967[[#This Row],[IP]],LEN(Table18967[[#This Row],[IP]])-1,1)+(--MID(Table18967[[#This Row],[IP]],8,1)-1)*9,"00")</f>
        <v>32</v>
      </c>
      <c r="C33" s="132">
        <v>6</v>
      </c>
      <c r="D33" s="146">
        <v>1</v>
      </c>
      <c r="E33" s="146">
        <v>6</v>
      </c>
      <c r="F33" s="147">
        <v>6</v>
      </c>
      <c r="G33" s="92"/>
      <c r="H33" s="53" t="s">
        <v>856</v>
      </c>
      <c r="I33" s="129" t="str">
        <f t="shared" si="0"/>
        <v>68</v>
      </c>
      <c r="J33" s="137">
        <v>6</v>
      </c>
      <c r="K33" s="138">
        <v>6</v>
      </c>
      <c r="L33" s="138">
        <v>6</v>
      </c>
      <c r="M33" s="150">
        <v>6</v>
      </c>
    </row>
    <row r="34" spans="1:13" ht="15">
      <c r="A34" t="s">
        <v>821</v>
      </c>
      <c r="B34" s="101" t="str">
        <f>TEXT(MID(Table18967[[#This Row],[IP]],LEN(Table18967[[#This Row],[IP]])-1,1)+(--MID(Table18967[[#This Row],[IP]],8,1)-1)*9,"00")</f>
        <v>33</v>
      </c>
      <c r="C34" s="132">
        <v>6</v>
      </c>
      <c r="D34" s="146">
        <v>6</v>
      </c>
      <c r="E34" s="146">
        <v>6</v>
      </c>
      <c r="F34" s="147">
        <v>6</v>
      </c>
      <c r="G34" s="92"/>
      <c r="H34" s="50" t="s">
        <v>857</v>
      </c>
      <c r="I34" s="129" t="str">
        <f t="shared" si="0"/>
        <v>69</v>
      </c>
      <c r="J34" s="139">
        <v>6</v>
      </c>
      <c r="K34" s="140">
        <v>6</v>
      </c>
      <c r="L34" s="140">
        <v>6</v>
      </c>
      <c r="M34" s="151">
        <v>6</v>
      </c>
    </row>
    <row r="35" spans="1:13" ht="15">
      <c r="A35" t="s">
        <v>822</v>
      </c>
      <c r="B35" s="101" t="str">
        <f>TEXT(MID(Table18967[[#This Row],[IP]],LEN(Table18967[[#This Row],[IP]])-1,1)+(--MID(Table18967[[#This Row],[IP]],8,1)-1)*9,"00")</f>
        <v>34</v>
      </c>
      <c r="C35" s="132">
        <v>1</v>
      </c>
      <c r="D35" s="146">
        <v>1</v>
      </c>
      <c r="E35" s="146">
        <v>1</v>
      </c>
      <c r="F35" s="147">
        <v>1</v>
      </c>
      <c r="G35" s="92"/>
      <c r="H35" s="53" t="s">
        <v>858</v>
      </c>
      <c r="I35" s="129" t="str">
        <f t="shared" si="0"/>
        <v>70</v>
      </c>
      <c r="J35" s="137">
        <v>6</v>
      </c>
      <c r="K35" s="138">
        <v>6</v>
      </c>
      <c r="L35" s="138">
        <v>6</v>
      </c>
      <c r="M35" s="150">
        <v>6</v>
      </c>
    </row>
    <row r="36" spans="1:13" ht="15">
      <c r="A36" t="s">
        <v>823</v>
      </c>
      <c r="B36" s="101" t="str">
        <f>TEXT(MID(Table18967[[#This Row],[IP]],LEN(Table18967[[#This Row],[IP]])-1,1)+(--MID(Table18967[[#This Row],[IP]],8,1)-1)*9,"00")</f>
        <v>35</v>
      </c>
      <c r="C36" s="132">
        <v>6</v>
      </c>
      <c r="D36" s="146">
        <v>1</v>
      </c>
      <c r="E36" s="146">
        <v>6</v>
      </c>
      <c r="F36" s="147">
        <v>6</v>
      </c>
      <c r="G36" s="92"/>
      <c r="H36" s="50" t="s">
        <v>859</v>
      </c>
      <c r="I36" s="129" t="str">
        <f t="shared" si="0"/>
        <v>71</v>
      </c>
      <c r="J36" s="139">
        <v>6</v>
      </c>
      <c r="K36" s="140">
        <v>6</v>
      </c>
      <c r="L36" s="140">
        <v>6</v>
      </c>
      <c r="M36" s="151">
        <v>6</v>
      </c>
    </row>
    <row r="37" spans="1:13" ht="15.75" thickBot="1">
      <c r="A37" t="s">
        <v>824</v>
      </c>
      <c r="B37" s="101" t="str">
        <f>TEXT(MID(Table18967[[#This Row],[IP]],LEN(Table18967[[#This Row],[IP]])-1,1)+(--MID(Table18967[[#This Row],[IP]],8,1)-1)*9,"00")</f>
        <v>36</v>
      </c>
      <c r="C37" s="133">
        <v>6</v>
      </c>
      <c r="D37" s="134">
        <v>1</v>
      </c>
      <c r="E37" s="134">
        <v>1</v>
      </c>
      <c r="F37" s="148">
        <v>6</v>
      </c>
      <c r="G37" s="92"/>
      <c r="H37" s="53" t="s">
        <v>860</v>
      </c>
      <c r="I37" s="129" t="str">
        <f t="shared" si="0"/>
        <v>72</v>
      </c>
      <c r="J37" s="141">
        <v>1</v>
      </c>
      <c r="K37" s="142">
        <v>1</v>
      </c>
      <c r="L37" s="142">
        <v>6</v>
      </c>
      <c r="M37" s="152">
        <v>1</v>
      </c>
    </row>
  </sheetData>
  <conditionalFormatting sqref="J2:M37 C2:F37">
    <cfRule type="expression" dxfId="96" priority="3">
      <formula>OR(C2=4,C2=5)</formula>
    </cfRule>
  </conditionalFormatting>
  <conditionalFormatting sqref="C2:F37 J2:M37">
    <cfRule type="top10" dxfId="95" priority="1" bottom="1" rank="1"/>
    <cfRule type="top10" dxfId="94" priority="2" rank="1"/>
  </conditionalFormatting>
  <dataValidations count="2">
    <dataValidation type="list" allowBlank="1" showInputMessage="1" sqref="P1" xr:uid="{85E4D732-49DE-423A-9579-6E795FCD178A}">
      <formula1>$T$6:$T$24</formula1>
    </dataValidation>
    <dataValidation type="list" allowBlank="1" showInputMessage="1" showErrorMessage="1" sqref="N2" xr:uid="{6E0F57A8-8F53-46FE-A98A-D030BD61D0B5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ReadBCI">
                <anchor>
                  <from>
                    <xdr:col>20</xdr:col>
                    <xdr:colOff>276225</xdr:colOff>
                    <xdr:row>1</xdr:row>
                    <xdr:rowOff>57150</xdr:rowOff>
                  </from>
                  <to>
                    <xdr:col>21</xdr:col>
                    <xdr:colOff>266700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C43E-92F1-4F17-9335-1A9CA0A805AA}">
  <sheetPr codeName="Sheet2"/>
  <dimension ref="A1:T37"/>
  <sheetViews>
    <sheetView workbookViewId="0">
      <pane ySplit="1" topLeftCell="A2" activePane="bottomLeft" state="frozen"/>
      <selection pane="bottomLeft" activeCell="B25" sqref="B25"/>
    </sheetView>
  </sheetViews>
  <sheetFormatPr defaultRowHeight="13.5"/>
  <cols>
    <col min="1" max="1" width="13.5" customWidth="1"/>
    <col min="2" max="2" width="12.75" customWidth="1"/>
    <col min="9" max="9" width="13.625" bestFit="1" customWidth="1"/>
    <col min="15" max="15" width="11.875" hidden="1" customWidth="1"/>
    <col min="16" max="20" width="0" hidden="1" customWidth="1"/>
  </cols>
  <sheetData>
    <row r="1" spans="1:20">
      <c r="A1" t="s">
        <v>27</v>
      </c>
      <c r="B1" t="s">
        <v>78</v>
      </c>
      <c r="C1" t="s">
        <v>28</v>
      </c>
      <c r="D1" t="s">
        <v>33</v>
      </c>
      <c r="G1" t="s">
        <v>38</v>
      </c>
      <c r="H1" s="47">
        <v>770</v>
      </c>
      <c r="J1" t="s">
        <v>79</v>
      </c>
      <c r="K1" s="57">
        <v>2</v>
      </c>
    </row>
    <row r="2" spans="1:20">
      <c r="A2" t="str">
        <f>SUBSTITUTE(O2,".8.","."&amp;$K$1&amp;".")</f>
        <v>10.238.2.16</v>
      </c>
      <c r="B2" s="93">
        <v>1</v>
      </c>
      <c r="C2">
        <f>MID(Table1[[#This Row],[IP]],LEN(Table1[[#This Row],[IP]])-1,1)+(--MID(Table1[[#This Row],[IP]],8,1)-1)*9</f>
        <v>10</v>
      </c>
      <c r="D2" t="s">
        <v>29</v>
      </c>
      <c r="O2" s="50" t="s">
        <v>42</v>
      </c>
      <c r="P2" s="55">
        <v>33</v>
      </c>
      <c r="Q2" s="51">
        <f>MID(Table1[[#This Row],[IP]],LEN(Table1[[#This Row],[IP]])-1,1)+(--MID(O2,8,1)-1)*9</f>
        <v>64</v>
      </c>
      <c r="R2" s="52" t="s">
        <v>29</v>
      </c>
      <c r="T2">
        <v>1</v>
      </c>
    </row>
    <row r="3" spans="1:20">
      <c r="A3" t="str">
        <f t="shared" ref="A3:A37" si="0">SUBSTITUTE(O3,".8.","."&amp;$K$1&amp;".")</f>
        <v>10.238.2.17</v>
      </c>
      <c r="B3" s="93">
        <v>1</v>
      </c>
      <c r="C3">
        <f>MID(Table1[[#This Row],[IP]],LEN(Table1[[#This Row],[IP]])-1,1)+(--MID(Table1[[#This Row],[IP]],8,1)-1)*9</f>
        <v>10</v>
      </c>
      <c r="D3" t="s">
        <v>30</v>
      </c>
      <c r="O3" s="53" t="s">
        <v>43</v>
      </c>
      <c r="P3" s="56">
        <v>32</v>
      </c>
      <c r="Q3" s="51">
        <f>MID(Table1[[#This Row],[IP]],LEN(Table1[[#This Row],[IP]])-1,1)+(--MID(O3,8,1)-1)*9</f>
        <v>64</v>
      </c>
      <c r="R3" s="54" t="s">
        <v>30</v>
      </c>
      <c r="T3">
        <v>2</v>
      </c>
    </row>
    <row r="4" spans="1:20">
      <c r="A4" t="str">
        <f t="shared" si="0"/>
        <v>10.238.2.18</v>
      </c>
      <c r="B4" s="93">
        <v>1</v>
      </c>
      <c r="C4">
        <f>MID(Table1[[#This Row],[IP]],LEN(Table1[[#This Row],[IP]])-1,1)+(--MID(Table1[[#This Row],[IP]],8,1)-1)*9</f>
        <v>10</v>
      </c>
      <c r="D4" t="s">
        <v>31</v>
      </c>
      <c r="O4" s="50" t="s">
        <v>44</v>
      </c>
      <c r="P4" s="55">
        <v>32</v>
      </c>
      <c r="Q4" s="51">
        <f>MID(Table1[[#This Row],[IP]],LEN(Table1[[#This Row],[IP]])-1,1)+(--MID(O4,8,1)-1)*9</f>
        <v>64</v>
      </c>
      <c r="R4" s="52" t="s">
        <v>31</v>
      </c>
      <c r="T4">
        <v>3</v>
      </c>
    </row>
    <row r="5" spans="1:20">
      <c r="A5" t="str">
        <f t="shared" si="0"/>
        <v>10.238.2.19</v>
      </c>
      <c r="B5" s="93">
        <v>1</v>
      </c>
      <c r="C5">
        <f>MID(Table1[[#This Row],[IP]],LEN(Table1[[#This Row],[IP]])-1,1)+(--MID(Table1[[#This Row],[IP]],8,1)-1)*9</f>
        <v>10</v>
      </c>
      <c r="D5" t="s">
        <v>32</v>
      </c>
      <c r="O5" s="53" t="s">
        <v>45</v>
      </c>
      <c r="P5" s="56">
        <v>32</v>
      </c>
      <c r="Q5" s="51">
        <f>MID(Table1[[#This Row],[IP]],LEN(Table1[[#This Row],[IP]])-1,1)+(--MID(O5,8,1)-1)*9</f>
        <v>64</v>
      </c>
      <c r="R5" s="54" t="s">
        <v>32</v>
      </c>
      <c r="T5">
        <v>4</v>
      </c>
    </row>
    <row r="6" spans="1:20">
      <c r="A6" t="str">
        <f t="shared" si="0"/>
        <v>10.238.2.26</v>
      </c>
      <c r="B6" s="93">
        <v>1</v>
      </c>
      <c r="C6">
        <f>MID(Table1[[#This Row],[IP]],LEN(Table1[[#This Row],[IP]])-1,1)+(--MID(Table1[[#This Row],[IP]],8,1)-1)*9</f>
        <v>11</v>
      </c>
      <c r="D6" t="s">
        <v>29</v>
      </c>
      <c r="O6" s="50" t="s">
        <v>46</v>
      </c>
      <c r="P6" s="55">
        <v>17</v>
      </c>
      <c r="Q6" s="51">
        <f>MID(Table1[[#This Row],[IP]],LEN(Table1[[#This Row],[IP]])-1,1)+(--MID(O6,8,1)-1)*9</f>
        <v>65</v>
      </c>
      <c r="R6" s="52" t="s">
        <v>29</v>
      </c>
      <c r="T6">
        <v>5</v>
      </c>
    </row>
    <row r="7" spans="1:20">
      <c r="A7" t="str">
        <f t="shared" si="0"/>
        <v>10.238.2.27</v>
      </c>
      <c r="B7" s="93">
        <v>1</v>
      </c>
      <c r="C7">
        <f>MID(Table1[[#This Row],[IP]],LEN(Table1[[#This Row],[IP]])-1,1)+(--MID(Table1[[#This Row],[IP]],8,1)-1)*9</f>
        <v>11</v>
      </c>
      <c r="D7" t="s">
        <v>30</v>
      </c>
      <c r="O7" s="53" t="s">
        <v>47</v>
      </c>
      <c r="P7" s="56">
        <v>18</v>
      </c>
      <c r="Q7" s="51">
        <f>MID(Table1[[#This Row],[IP]],LEN(Table1[[#This Row],[IP]])-1,1)+(--MID(O7,8,1)-1)*9</f>
        <v>65</v>
      </c>
      <c r="R7" s="54" t="s">
        <v>30</v>
      </c>
      <c r="T7">
        <v>6</v>
      </c>
    </row>
    <row r="8" spans="1:20">
      <c r="A8" t="str">
        <f t="shared" si="0"/>
        <v>10.238.2.28</v>
      </c>
      <c r="B8" s="93">
        <v>1</v>
      </c>
      <c r="C8">
        <f>MID(Table1[[#This Row],[IP]],LEN(Table1[[#This Row],[IP]])-1,1)+(--MID(Table1[[#This Row],[IP]],8,1)-1)*9</f>
        <v>11</v>
      </c>
      <c r="D8" t="s">
        <v>31</v>
      </c>
      <c r="O8" s="50" t="s">
        <v>48</v>
      </c>
      <c r="P8" s="55">
        <v>13</v>
      </c>
      <c r="Q8" s="51">
        <f>MID(Table1[[#This Row],[IP]],LEN(Table1[[#This Row],[IP]])-1,1)+(--MID(O8,8,1)-1)*9</f>
        <v>65</v>
      </c>
      <c r="R8" s="52" t="s">
        <v>31</v>
      </c>
      <c r="T8">
        <v>7</v>
      </c>
    </row>
    <row r="9" spans="1:20">
      <c r="A9" t="str">
        <f t="shared" si="0"/>
        <v>10.238.2.29</v>
      </c>
      <c r="B9" s="93">
        <v>2</v>
      </c>
      <c r="C9">
        <f>MID(Table1[[#This Row],[IP]],LEN(Table1[[#This Row],[IP]])-1,1)+(--MID(Table1[[#This Row],[IP]],8,1)-1)*9</f>
        <v>11</v>
      </c>
      <c r="D9" t="s">
        <v>32</v>
      </c>
      <c r="O9" s="53" t="s">
        <v>49</v>
      </c>
      <c r="P9" s="56">
        <v>17</v>
      </c>
      <c r="Q9" s="51">
        <f>MID(Table1[[#This Row],[IP]],LEN(Table1[[#This Row],[IP]])-1,1)+(--MID(O9,8,1)-1)*9</f>
        <v>65</v>
      </c>
      <c r="R9" s="54" t="s">
        <v>32</v>
      </c>
      <c r="T9">
        <v>8</v>
      </c>
    </row>
    <row r="10" spans="1:20">
      <c r="A10" t="str">
        <f t="shared" si="0"/>
        <v>10.238.2.36</v>
      </c>
      <c r="B10" s="93">
        <v>2</v>
      </c>
      <c r="C10">
        <f>MID(Table1[[#This Row],[IP]],LEN(Table1[[#This Row],[IP]])-1,1)+(--MID(Table1[[#This Row],[IP]],8,1)-1)*9</f>
        <v>12</v>
      </c>
      <c r="D10" t="s">
        <v>29</v>
      </c>
      <c r="O10" s="50" t="s">
        <v>50</v>
      </c>
      <c r="P10" s="55">
        <v>20</v>
      </c>
      <c r="Q10" s="51">
        <f>MID(Table1[[#This Row],[IP]],LEN(Table1[[#This Row],[IP]])-1,1)+(--MID(O10,8,1)-1)*9</f>
        <v>66</v>
      </c>
      <c r="R10" s="52" t="s">
        <v>29</v>
      </c>
    </row>
    <row r="11" spans="1:20">
      <c r="A11" t="str">
        <f t="shared" si="0"/>
        <v>10.238.2.37</v>
      </c>
      <c r="B11" s="93">
        <v>1</v>
      </c>
      <c r="C11">
        <f>MID(Table1[[#This Row],[IP]],LEN(Table1[[#This Row],[IP]])-1,1)+(--MID(Table1[[#This Row],[IP]],8,1)-1)*9</f>
        <v>12</v>
      </c>
      <c r="D11" t="s">
        <v>30</v>
      </c>
      <c r="O11" s="53" t="s">
        <v>51</v>
      </c>
      <c r="P11" s="56">
        <v>18</v>
      </c>
      <c r="Q11" s="51">
        <f>MID(Table1[[#This Row],[IP]],LEN(Table1[[#This Row],[IP]])-1,1)+(--MID(O11,8,1)-1)*9</f>
        <v>66</v>
      </c>
      <c r="R11" s="54" t="s">
        <v>30</v>
      </c>
    </row>
    <row r="12" spans="1:20">
      <c r="A12" t="str">
        <f t="shared" si="0"/>
        <v>10.238.2.38</v>
      </c>
      <c r="B12" s="93">
        <v>1</v>
      </c>
      <c r="C12">
        <f>MID(Table1[[#This Row],[IP]],LEN(Table1[[#This Row],[IP]])-1,1)+(--MID(Table1[[#This Row],[IP]],8,1)-1)*9</f>
        <v>12</v>
      </c>
      <c r="D12" t="s">
        <v>31</v>
      </c>
      <c r="O12" s="50" t="s">
        <v>52</v>
      </c>
      <c r="P12" s="55">
        <v>18</v>
      </c>
      <c r="Q12" s="51">
        <f>MID(Table1[[#This Row],[IP]],LEN(Table1[[#This Row],[IP]])-1,1)+(--MID(O12,8,1)-1)*9</f>
        <v>66</v>
      </c>
      <c r="R12" s="52" t="s">
        <v>31</v>
      </c>
    </row>
    <row r="13" spans="1:20">
      <c r="A13" t="str">
        <f t="shared" si="0"/>
        <v>10.238.2.39</v>
      </c>
      <c r="B13" s="93">
        <v>2</v>
      </c>
      <c r="C13">
        <f>MID(Table1[[#This Row],[IP]],LEN(Table1[[#This Row],[IP]])-1,1)+(--MID(Table1[[#This Row],[IP]],8,1)-1)*9</f>
        <v>12</v>
      </c>
      <c r="D13" t="s">
        <v>32</v>
      </c>
      <c r="O13" s="53" t="s">
        <v>53</v>
      </c>
      <c r="P13" s="56">
        <v>18</v>
      </c>
      <c r="Q13" s="51">
        <f>MID(Table1[[#This Row],[IP]],LEN(Table1[[#This Row],[IP]])-1,1)+(--MID(O13,8,1)-1)*9</f>
        <v>66</v>
      </c>
      <c r="R13" s="54" t="s">
        <v>32</v>
      </c>
    </row>
    <row r="14" spans="1:20">
      <c r="A14" t="str">
        <f t="shared" si="0"/>
        <v>10.238.2.46</v>
      </c>
      <c r="B14" s="93">
        <v>1</v>
      </c>
      <c r="C14">
        <f>MID(Table1[[#This Row],[IP]],LEN(Table1[[#This Row],[IP]])-1,1)+(--MID(Table1[[#This Row],[IP]],8,1)-1)*9</f>
        <v>13</v>
      </c>
      <c r="D14" t="s">
        <v>29</v>
      </c>
      <c r="O14" s="50" t="s">
        <v>54</v>
      </c>
      <c r="P14" s="55">
        <v>30</v>
      </c>
      <c r="Q14" s="51">
        <f>MID(Table1[[#This Row],[IP]],LEN(Table1[[#This Row],[IP]])-1,1)+(--MID(O14,8,1)-1)*9</f>
        <v>67</v>
      </c>
      <c r="R14" s="52" t="s">
        <v>29</v>
      </c>
    </row>
    <row r="15" spans="1:20">
      <c r="A15" t="str">
        <f t="shared" si="0"/>
        <v>10.238.2.47</v>
      </c>
      <c r="B15" s="93">
        <v>1</v>
      </c>
      <c r="C15">
        <f>MID(Table1[[#This Row],[IP]],LEN(Table1[[#This Row],[IP]])-1,1)+(--MID(Table1[[#This Row],[IP]],8,1)-1)*9</f>
        <v>13</v>
      </c>
      <c r="D15" t="s">
        <v>30</v>
      </c>
      <c r="O15" s="53" t="s">
        <v>55</v>
      </c>
      <c r="P15" s="56">
        <v>38</v>
      </c>
      <c r="Q15" s="51">
        <f>MID(Table1[[#This Row],[IP]],LEN(Table1[[#This Row],[IP]])-1,1)+(--MID(O15,8,1)-1)*9</f>
        <v>67</v>
      </c>
      <c r="R15" s="54" t="s">
        <v>30</v>
      </c>
    </row>
    <row r="16" spans="1:20">
      <c r="A16" t="str">
        <f t="shared" si="0"/>
        <v>10.238.2.48</v>
      </c>
      <c r="B16" s="93">
        <v>1</v>
      </c>
      <c r="C16">
        <f>MID(Table1[[#This Row],[IP]],LEN(Table1[[#This Row],[IP]])-1,1)+(--MID(Table1[[#This Row],[IP]],8,1)-1)*9</f>
        <v>13</v>
      </c>
      <c r="D16" t="s">
        <v>31</v>
      </c>
      <c r="O16" s="50" t="s">
        <v>56</v>
      </c>
      <c r="P16" s="55">
        <v>38</v>
      </c>
      <c r="Q16" s="51">
        <f>MID(Table1[[#This Row],[IP]],LEN(Table1[[#This Row],[IP]])-1,1)+(--MID(O16,8,1)-1)*9</f>
        <v>67</v>
      </c>
      <c r="R16" s="52" t="s">
        <v>31</v>
      </c>
    </row>
    <row r="17" spans="1:18">
      <c r="A17" t="str">
        <f t="shared" si="0"/>
        <v>10.238.2.49</v>
      </c>
      <c r="B17" s="93">
        <v>1</v>
      </c>
      <c r="C17">
        <f>MID(Table1[[#This Row],[IP]],LEN(Table1[[#This Row],[IP]])-1,1)+(--MID(Table1[[#This Row],[IP]],8,1)-1)*9</f>
        <v>13</v>
      </c>
      <c r="D17" t="s">
        <v>32</v>
      </c>
      <c r="O17" s="53" t="s">
        <v>57</v>
      </c>
      <c r="P17" s="56">
        <v>38</v>
      </c>
      <c r="Q17" s="51">
        <f>MID(Table1[[#This Row],[IP]],LEN(Table1[[#This Row],[IP]])-1,1)+(--MID(O17,8,1)-1)*9</f>
        <v>67</v>
      </c>
      <c r="R17" s="54" t="s">
        <v>32</v>
      </c>
    </row>
    <row r="18" spans="1:18">
      <c r="A18" t="str">
        <f t="shared" si="0"/>
        <v>10.238.2.56</v>
      </c>
      <c r="B18" s="93">
        <v>2</v>
      </c>
      <c r="C18">
        <f>MID(Table1[[#This Row],[IP]],LEN(Table1[[#This Row],[IP]])-1,1)+(--MID(Table1[[#This Row],[IP]],8,1)-1)*9</f>
        <v>14</v>
      </c>
      <c r="D18" t="s">
        <v>29</v>
      </c>
      <c r="O18" s="50" t="s">
        <v>58</v>
      </c>
      <c r="P18" s="55">
        <v>26</v>
      </c>
      <c r="Q18" s="51">
        <f>MID(Table1[[#This Row],[IP]],LEN(Table1[[#This Row],[IP]])-1,1)+(--MID(O18,8,1)-1)*9</f>
        <v>68</v>
      </c>
      <c r="R18" s="52" t="s">
        <v>29</v>
      </c>
    </row>
    <row r="19" spans="1:18">
      <c r="A19" t="str">
        <f t="shared" si="0"/>
        <v>10.238.2.57</v>
      </c>
      <c r="B19" s="93">
        <v>1</v>
      </c>
      <c r="C19">
        <f>MID(Table1[[#This Row],[IP]],LEN(Table1[[#This Row],[IP]])-1,1)+(--MID(Table1[[#This Row],[IP]],8,1)-1)*9</f>
        <v>14</v>
      </c>
      <c r="D19" t="s">
        <v>30</v>
      </c>
      <c r="O19" s="53" t="s">
        <v>59</v>
      </c>
      <c r="P19" s="56">
        <v>23</v>
      </c>
      <c r="Q19" s="51">
        <f>MID(Table1[[#This Row],[IP]],LEN(Table1[[#This Row],[IP]])-1,1)+(--MID(O19,8,1)-1)*9</f>
        <v>68</v>
      </c>
      <c r="R19" s="54" t="s">
        <v>30</v>
      </c>
    </row>
    <row r="20" spans="1:18">
      <c r="A20" t="str">
        <f t="shared" si="0"/>
        <v>10.238.2.58</v>
      </c>
      <c r="B20" s="93">
        <v>1</v>
      </c>
      <c r="C20">
        <f>MID(Table1[[#This Row],[IP]],LEN(Table1[[#This Row],[IP]])-1,1)+(--MID(Table1[[#This Row],[IP]],8,1)-1)*9</f>
        <v>14</v>
      </c>
      <c r="D20" t="s">
        <v>31</v>
      </c>
      <c r="O20" s="50" t="s">
        <v>60</v>
      </c>
      <c r="P20" s="55">
        <v>22</v>
      </c>
      <c r="Q20" s="51">
        <f>MID(Table1[[#This Row],[IP]],LEN(Table1[[#This Row],[IP]])-1,1)+(--MID(O20,8,1)-1)*9</f>
        <v>68</v>
      </c>
      <c r="R20" s="52" t="s">
        <v>31</v>
      </c>
    </row>
    <row r="21" spans="1:18">
      <c r="A21" t="str">
        <f t="shared" si="0"/>
        <v>10.238.2.59</v>
      </c>
      <c r="B21" s="93">
        <v>2</v>
      </c>
      <c r="C21">
        <f>MID(Table1[[#This Row],[IP]],LEN(Table1[[#This Row],[IP]])-1,1)+(--MID(Table1[[#This Row],[IP]],8,1)-1)*9</f>
        <v>14</v>
      </c>
      <c r="D21" t="s">
        <v>32</v>
      </c>
      <c r="O21" s="53" t="s">
        <v>61</v>
      </c>
      <c r="P21" s="56">
        <v>22</v>
      </c>
      <c r="Q21" s="51">
        <f>MID(Table1[[#This Row],[IP]],LEN(Table1[[#This Row],[IP]])-1,1)+(--MID(O21,8,1)-1)*9</f>
        <v>68</v>
      </c>
      <c r="R21" s="54" t="s">
        <v>32</v>
      </c>
    </row>
    <row r="22" spans="1:18">
      <c r="A22" t="str">
        <f t="shared" si="0"/>
        <v>10.238.2.66</v>
      </c>
      <c r="B22" s="93">
        <v>1</v>
      </c>
      <c r="C22">
        <f>MID(Table1[[#This Row],[IP]],LEN(Table1[[#This Row],[IP]])-1,1)+(--MID(Table1[[#This Row],[IP]],8,1)-1)*9</f>
        <v>15</v>
      </c>
      <c r="D22" t="s">
        <v>29</v>
      </c>
      <c r="O22" s="50" t="s">
        <v>62</v>
      </c>
      <c r="P22" s="55">
        <v>22</v>
      </c>
      <c r="Q22" s="51">
        <f>MID(Table1[[#This Row],[IP]],LEN(Table1[[#This Row],[IP]])-1,1)+(--MID(O22,8,1)-1)*9</f>
        <v>69</v>
      </c>
      <c r="R22" s="52" t="s">
        <v>29</v>
      </c>
    </row>
    <row r="23" spans="1:18">
      <c r="A23" t="str">
        <f t="shared" si="0"/>
        <v>10.238.2.67</v>
      </c>
      <c r="B23" s="93">
        <v>1</v>
      </c>
      <c r="C23">
        <f>MID(Table1[[#This Row],[IP]],LEN(Table1[[#This Row],[IP]])-1,1)+(--MID(Table1[[#This Row],[IP]],8,1)-1)*9</f>
        <v>15</v>
      </c>
      <c r="D23" t="s">
        <v>30</v>
      </c>
      <c r="O23" s="53" t="s">
        <v>63</v>
      </c>
      <c r="P23" s="56">
        <v>16</v>
      </c>
      <c r="Q23" s="51">
        <f>MID(Table1[[#This Row],[IP]],LEN(Table1[[#This Row],[IP]])-1,1)+(--MID(O23,8,1)-1)*9</f>
        <v>69</v>
      </c>
      <c r="R23" s="54" t="s">
        <v>30</v>
      </c>
    </row>
    <row r="24" spans="1:18">
      <c r="A24" t="str">
        <f t="shared" si="0"/>
        <v>10.238.2.68</v>
      </c>
      <c r="B24" s="93">
        <v>1</v>
      </c>
      <c r="C24">
        <f>MID(Table1[[#This Row],[IP]],LEN(Table1[[#This Row],[IP]])-1,1)+(--MID(Table1[[#This Row],[IP]],8,1)-1)*9</f>
        <v>15</v>
      </c>
      <c r="D24" t="s">
        <v>31</v>
      </c>
      <c r="O24" s="50" t="s">
        <v>64</v>
      </c>
      <c r="P24" s="55">
        <v>16</v>
      </c>
      <c r="Q24" s="51">
        <f>MID(Table1[[#This Row],[IP]],LEN(Table1[[#This Row],[IP]])-1,1)+(--MID(O24,8,1)-1)*9</f>
        <v>69</v>
      </c>
      <c r="R24" s="52" t="s">
        <v>31</v>
      </c>
    </row>
    <row r="25" spans="1:18">
      <c r="A25" t="str">
        <f t="shared" si="0"/>
        <v>10.238.2.69</v>
      </c>
      <c r="B25" s="93">
        <v>2</v>
      </c>
      <c r="C25">
        <f>MID(Table1[[#This Row],[IP]],LEN(Table1[[#This Row],[IP]])-1,1)+(--MID(Table1[[#This Row],[IP]],8,1)-1)*9</f>
        <v>15</v>
      </c>
      <c r="D25" t="s">
        <v>32</v>
      </c>
      <c r="O25" s="53" t="s">
        <v>65</v>
      </c>
      <c r="P25" s="56">
        <v>16</v>
      </c>
      <c r="Q25" s="51">
        <f>MID(Table1[[#This Row],[IP]],LEN(Table1[[#This Row],[IP]])-1,1)+(--MID(O25,8,1)-1)*9</f>
        <v>69</v>
      </c>
      <c r="R25" s="54" t="s">
        <v>32</v>
      </c>
    </row>
    <row r="26" spans="1:18">
      <c r="A26" t="str">
        <f t="shared" si="0"/>
        <v>10.238.2.76</v>
      </c>
      <c r="B26" s="93">
        <v>1</v>
      </c>
      <c r="C26">
        <f>MID(Table1[[#This Row],[IP]],LEN(Table1[[#This Row],[IP]])-1,1)+(--MID(Table1[[#This Row],[IP]],8,1)-1)*9</f>
        <v>16</v>
      </c>
      <c r="D26" t="s">
        <v>29</v>
      </c>
      <c r="O26" s="50" t="s">
        <v>66</v>
      </c>
      <c r="P26" s="55">
        <v>34</v>
      </c>
      <c r="Q26" s="51">
        <f>MID(Table1[[#This Row],[IP]],LEN(Table1[[#This Row],[IP]])-1,1)+(--MID(O26,8,1)-1)*9</f>
        <v>70</v>
      </c>
      <c r="R26" s="52" t="s">
        <v>29</v>
      </c>
    </row>
    <row r="27" spans="1:18">
      <c r="A27" t="str">
        <f t="shared" si="0"/>
        <v>10.238.2.77</v>
      </c>
      <c r="B27" s="93">
        <v>1</v>
      </c>
      <c r="C27">
        <f>MID(Table1[[#This Row],[IP]],LEN(Table1[[#This Row],[IP]])-1,1)+(--MID(Table1[[#This Row],[IP]],8,1)-1)*9</f>
        <v>16</v>
      </c>
      <c r="D27" t="s">
        <v>30</v>
      </c>
      <c r="O27" s="53" t="s">
        <v>67</v>
      </c>
      <c r="P27" s="56">
        <v>20</v>
      </c>
      <c r="Q27" s="51">
        <f>MID(Table1[[#This Row],[IP]],LEN(Table1[[#This Row],[IP]])-1,1)+(--MID(O27,8,1)-1)*9</f>
        <v>70</v>
      </c>
      <c r="R27" s="54" t="s">
        <v>30</v>
      </c>
    </row>
    <row r="28" spans="1:18">
      <c r="A28" t="str">
        <f t="shared" si="0"/>
        <v>10.238.2.78</v>
      </c>
      <c r="B28" s="93">
        <v>2</v>
      </c>
      <c r="C28">
        <f>MID(Table1[[#This Row],[IP]],LEN(Table1[[#This Row],[IP]])-1,1)+(--MID(Table1[[#This Row],[IP]],8,1)-1)*9</f>
        <v>16</v>
      </c>
      <c r="D28" t="s">
        <v>31</v>
      </c>
      <c r="O28" s="50" t="s">
        <v>68</v>
      </c>
      <c r="P28" s="55">
        <v>34</v>
      </c>
      <c r="Q28" s="51">
        <f>MID(Table1[[#This Row],[IP]],LEN(Table1[[#This Row],[IP]])-1,1)+(--MID(O28,8,1)-1)*9</f>
        <v>70</v>
      </c>
      <c r="R28" s="52" t="s">
        <v>31</v>
      </c>
    </row>
    <row r="29" spans="1:18">
      <c r="A29" t="str">
        <f t="shared" si="0"/>
        <v>10.238.2.79</v>
      </c>
      <c r="B29" s="93">
        <v>2</v>
      </c>
      <c r="C29">
        <f>MID(Table1[[#This Row],[IP]],LEN(Table1[[#This Row],[IP]])-1,1)+(--MID(Table1[[#This Row],[IP]],8,1)-1)*9</f>
        <v>16</v>
      </c>
      <c r="D29" t="s">
        <v>32</v>
      </c>
      <c r="O29" s="53" t="s">
        <v>69</v>
      </c>
      <c r="P29" s="56">
        <v>34</v>
      </c>
      <c r="Q29" s="51">
        <f>MID(Table1[[#This Row],[IP]],LEN(Table1[[#This Row],[IP]])-1,1)+(--MID(O29,8,1)-1)*9</f>
        <v>70</v>
      </c>
      <c r="R29" s="54" t="s">
        <v>32</v>
      </c>
    </row>
    <row r="30" spans="1:18">
      <c r="A30" t="str">
        <f t="shared" si="0"/>
        <v>10.238.2.86</v>
      </c>
      <c r="B30" s="93">
        <v>1</v>
      </c>
      <c r="C30">
        <f>MID(Table1[[#This Row],[IP]],LEN(Table1[[#This Row],[IP]])-1,1)+(--MID(Table1[[#This Row],[IP]],8,1)-1)*9</f>
        <v>17</v>
      </c>
      <c r="D30" t="s">
        <v>29</v>
      </c>
      <c r="O30" s="50" t="s">
        <v>70</v>
      </c>
      <c r="P30" s="55">
        <v>30</v>
      </c>
      <c r="Q30" s="51">
        <f>MID(Table1[[#This Row],[IP]],LEN(Table1[[#This Row],[IP]])-1,1)+(--MID(O30,8,1)-1)*9</f>
        <v>71</v>
      </c>
      <c r="R30" s="52" t="s">
        <v>29</v>
      </c>
    </row>
    <row r="31" spans="1:18">
      <c r="A31" t="str">
        <f t="shared" si="0"/>
        <v>10.238.2.87</v>
      </c>
      <c r="B31" s="93">
        <v>2</v>
      </c>
      <c r="C31">
        <f>MID(Table1[[#This Row],[IP]],LEN(Table1[[#This Row],[IP]])-1,1)+(--MID(Table1[[#This Row],[IP]],8,1)-1)*9</f>
        <v>17</v>
      </c>
      <c r="D31" t="s">
        <v>30</v>
      </c>
      <c r="O31" s="53" t="s">
        <v>71</v>
      </c>
      <c r="P31" s="56">
        <v>28</v>
      </c>
      <c r="Q31" s="51">
        <f>MID(Table1[[#This Row],[IP]],LEN(Table1[[#This Row],[IP]])-1,1)+(--MID(O31,8,1)-1)*9</f>
        <v>71</v>
      </c>
      <c r="R31" s="54" t="s">
        <v>30</v>
      </c>
    </row>
    <row r="32" spans="1:18">
      <c r="A32" t="str">
        <f t="shared" si="0"/>
        <v>10.238.2.88</v>
      </c>
      <c r="B32" s="93">
        <v>1</v>
      </c>
      <c r="C32">
        <f>MID(Table1[[#This Row],[IP]],LEN(Table1[[#This Row],[IP]])-1,1)+(--MID(Table1[[#This Row],[IP]],8,1)-1)*9</f>
        <v>17</v>
      </c>
      <c r="D32" t="s">
        <v>31</v>
      </c>
      <c r="O32" s="50" t="s">
        <v>72</v>
      </c>
      <c r="P32" s="55">
        <v>31</v>
      </c>
      <c r="Q32" s="51">
        <f>MID(Table1[[#This Row],[IP]],LEN(Table1[[#This Row],[IP]])-1,1)+(--MID(O32,8,1)-1)*9</f>
        <v>71</v>
      </c>
      <c r="R32" s="52" t="s">
        <v>31</v>
      </c>
    </row>
    <row r="33" spans="1:18">
      <c r="A33" t="str">
        <f t="shared" si="0"/>
        <v>10.238.2.89</v>
      </c>
      <c r="B33" s="93">
        <v>2</v>
      </c>
      <c r="C33">
        <f>MID(Table1[[#This Row],[IP]],LEN(Table1[[#This Row],[IP]])-1,1)+(--MID(Table1[[#This Row],[IP]],8,1)-1)*9</f>
        <v>17</v>
      </c>
      <c r="D33" t="s">
        <v>32</v>
      </c>
      <c r="O33" s="53" t="s">
        <v>73</v>
      </c>
      <c r="P33" s="56">
        <v>31</v>
      </c>
      <c r="Q33" s="51">
        <f>MID(Table1[[#This Row],[IP]],LEN(Table1[[#This Row],[IP]])-1,1)+(--MID(O33,8,1)-1)*9</f>
        <v>71</v>
      </c>
      <c r="R33" s="54" t="s">
        <v>32</v>
      </c>
    </row>
    <row r="34" spans="1:18">
      <c r="A34" t="str">
        <f t="shared" si="0"/>
        <v>10.238.2.96</v>
      </c>
      <c r="B34" s="93">
        <v>1</v>
      </c>
      <c r="C34">
        <f>MID(Table1[[#This Row],[IP]],LEN(Table1[[#This Row],[IP]])-1,1)+(--MID(Table1[[#This Row],[IP]],8,1)-1)*9</f>
        <v>18</v>
      </c>
      <c r="D34" t="s">
        <v>29</v>
      </c>
      <c r="O34" s="50" t="s">
        <v>74</v>
      </c>
      <c r="P34" s="55">
        <v>23</v>
      </c>
      <c r="Q34" s="51">
        <f>MID(Table1[[#This Row],[IP]],LEN(Table1[[#This Row],[IP]])-1,1)+(--MID(O34,8,1)-1)*9</f>
        <v>72</v>
      </c>
      <c r="R34" s="52" t="s">
        <v>29</v>
      </c>
    </row>
    <row r="35" spans="1:18">
      <c r="A35" t="str">
        <f t="shared" si="0"/>
        <v>10.238.2.97</v>
      </c>
      <c r="B35" s="93">
        <v>1</v>
      </c>
      <c r="C35">
        <f>MID(Table1[[#This Row],[IP]],LEN(Table1[[#This Row],[IP]])-1,1)+(--MID(Table1[[#This Row],[IP]],8,1)-1)*9</f>
        <v>18</v>
      </c>
      <c r="D35" t="s">
        <v>30</v>
      </c>
      <c r="O35" s="53" t="s">
        <v>75</v>
      </c>
      <c r="P35" s="56">
        <v>23</v>
      </c>
      <c r="Q35" s="51">
        <f>MID(Table1[[#This Row],[IP]],LEN(Table1[[#This Row],[IP]])-1,1)+(--MID(O35,8,1)-1)*9</f>
        <v>72</v>
      </c>
      <c r="R35" s="54" t="s">
        <v>30</v>
      </c>
    </row>
    <row r="36" spans="1:18">
      <c r="A36" t="str">
        <f t="shared" si="0"/>
        <v>10.238.2.98</v>
      </c>
      <c r="B36" s="93">
        <v>1</v>
      </c>
      <c r="C36">
        <f>MID(Table1[[#This Row],[IP]],LEN(Table1[[#This Row],[IP]])-1,1)+(--MID(Table1[[#This Row],[IP]],8,1)-1)*9</f>
        <v>18</v>
      </c>
      <c r="D36" t="s">
        <v>31</v>
      </c>
      <c r="O36" s="50" t="s">
        <v>76</v>
      </c>
      <c r="P36" s="55">
        <v>24</v>
      </c>
      <c r="Q36" s="51">
        <f>MID(Table1[[#This Row],[IP]],LEN(Table1[[#This Row],[IP]])-1,1)+(--MID(O36,8,1)-1)*9</f>
        <v>72</v>
      </c>
      <c r="R36" s="52" t="s">
        <v>31</v>
      </c>
    </row>
    <row r="37" spans="1:18">
      <c r="A37" t="str">
        <f t="shared" si="0"/>
        <v>10.238.2.99</v>
      </c>
      <c r="B37" s="93">
        <v>2</v>
      </c>
      <c r="C37">
        <f>MID(Table1[[#This Row],[IP]],LEN(Table1[[#This Row],[IP]])-1,1)+(--MID(Table1[[#This Row],[IP]],8,1)-1)*9</f>
        <v>18</v>
      </c>
      <c r="D37" t="s">
        <v>32</v>
      </c>
      <c r="O37" s="53" t="s">
        <v>77</v>
      </c>
      <c r="P37" s="56">
        <v>24</v>
      </c>
      <c r="Q37" s="51">
        <f>MID(Table1[[#This Row],[IP]],LEN(Table1[[#This Row],[IP]])-1,1)+(--MID(O37,8,1)-1)*9</f>
        <v>72</v>
      </c>
      <c r="R37" s="54" t="s">
        <v>32</v>
      </c>
    </row>
  </sheetData>
  <phoneticPr fontId="12" type="noConversion"/>
  <conditionalFormatting sqref="E2:E37">
    <cfRule type="top10" dxfId="87" priority="2" bottom="1" rank="1"/>
    <cfRule type="top10" dxfId="86" priority="3" rank="1"/>
  </conditionalFormatting>
  <conditionalFormatting sqref="B2:B37">
    <cfRule type="top10" dxfId="85" priority="1" bottom="1" rank="1"/>
  </conditionalFormatting>
  <dataValidations count="1">
    <dataValidation type="list" allowBlank="1" showInputMessage="1" showErrorMessage="1" sqref="K1" xr:uid="{5E7C5687-17DF-40C4-BCBF-FB58F2889FEF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adRegisters">
                <anchor>
                  <from>
                    <xdr:col>6</xdr:col>
                    <xdr:colOff>495300</xdr:colOff>
                    <xdr:row>3</xdr:row>
                    <xdr:rowOff>9525</xdr:rowOff>
                  </from>
                  <to>
                    <xdr:col>8</xdr:col>
                    <xdr:colOff>19050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FPG">
                <anchor>
                  <from>
                    <xdr:col>6</xdr:col>
                    <xdr:colOff>495300</xdr:colOff>
                    <xdr:row>7</xdr:row>
                    <xdr:rowOff>38100</xdr:rowOff>
                  </from>
                  <to>
                    <xdr:col>8</xdr:col>
                    <xdr:colOff>19050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9DC3B-393C-4F8C-B6B4-5E0294FC3A06}">
  <sheetPr codeName="Sheet9"/>
  <dimension ref="A1:AP37"/>
  <sheetViews>
    <sheetView zoomScaleNormal="100" workbookViewId="0">
      <pane ySplit="1" topLeftCell="A2" activePane="bottomLeft" state="frozen"/>
      <selection activeCell="AH10" sqref="AH10"/>
      <selection pane="bottomLeft" activeCell="P14" sqref="P14"/>
    </sheetView>
  </sheetViews>
  <sheetFormatPr defaultRowHeight="13.5"/>
  <cols>
    <col min="1" max="1" width="11.875" bestFit="1" customWidth="1"/>
    <col min="2" max="3" width="3.375" bestFit="1" customWidth="1"/>
    <col min="4" max="8" width="7.875" bestFit="1" customWidth="1"/>
    <col min="9" max="9" width="6.75" bestFit="1" customWidth="1"/>
    <col min="10" max="10" width="9" bestFit="1" customWidth="1"/>
    <col min="12" max="12" width="9" bestFit="1" customWidth="1"/>
    <col min="13" max="13" width="5.875" bestFit="1" customWidth="1"/>
    <col min="16" max="16" width="5.25" customWidth="1"/>
    <col min="17" max="17" width="4.875" bestFit="1" customWidth="1"/>
    <col min="19" max="21" width="3.75" customWidth="1"/>
    <col min="22" max="22" width="9" hidden="1" customWidth="1"/>
    <col min="23" max="23" width="11.875" hidden="1" customWidth="1"/>
    <col min="24" max="30" width="9" hidden="1" customWidth="1"/>
    <col min="31" max="31" width="4.25" bestFit="1" customWidth="1"/>
    <col min="32" max="36" width="7.875" bestFit="1" customWidth="1"/>
    <col min="38" max="42" width="5.25" customWidth="1"/>
  </cols>
  <sheetData>
    <row r="1" spans="1:42" ht="14.25" thickBot="1">
      <c r="A1" t="s">
        <v>27</v>
      </c>
      <c r="B1" t="s">
        <v>28</v>
      </c>
      <c r="C1" t="s">
        <v>739</v>
      </c>
      <c r="D1" t="s">
        <v>732</v>
      </c>
      <c r="E1" t="s">
        <v>733</v>
      </c>
      <c r="F1" t="s">
        <v>734</v>
      </c>
      <c r="G1" t="s">
        <v>735</v>
      </c>
      <c r="H1" t="s">
        <v>736</v>
      </c>
      <c r="I1" t="s">
        <v>752</v>
      </c>
      <c r="J1" t="s">
        <v>759</v>
      </c>
      <c r="K1" t="s">
        <v>756</v>
      </c>
      <c r="L1" t="s">
        <v>751</v>
      </c>
      <c r="M1" t="s">
        <v>33</v>
      </c>
      <c r="N1" t="s">
        <v>753</v>
      </c>
      <c r="O1" s="47">
        <v>1079</v>
      </c>
      <c r="Q1" t="s">
        <v>79</v>
      </c>
      <c r="R1" s="57">
        <v>1</v>
      </c>
      <c r="AE1" s="100" t="s">
        <v>28</v>
      </c>
      <c r="AF1" s="96" t="s">
        <v>732</v>
      </c>
      <c r="AG1" s="96" t="s">
        <v>733</v>
      </c>
      <c r="AH1" s="96" t="s">
        <v>734</v>
      </c>
      <c r="AI1" s="96" t="s">
        <v>735</v>
      </c>
      <c r="AJ1" s="96" t="s">
        <v>736</v>
      </c>
    </row>
    <row r="2" spans="1:42" ht="15">
      <c r="A2" t="str">
        <f>SUBSTITUTE(V2,".8.","."&amp;$R$1&amp;".")</f>
        <v>10.238.1.16</v>
      </c>
      <c r="B2" s="101" t="str">
        <f>TEXT(MID(Table189[[#This Row],[IP]],LEN(Table189[[#This Row],[IP]])-1,1)+(--MID(Table189[[#This Row],[IP]],8,1)-1)*9,"00")</f>
        <v>01</v>
      </c>
      <c r="C2" s="101" t="s">
        <v>29</v>
      </c>
      <c r="D2" s="104">
        <v>722</v>
      </c>
      <c r="E2" s="105">
        <v>713</v>
      </c>
      <c r="F2" s="105">
        <v>710</v>
      </c>
      <c r="G2" s="105">
        <v>701</v>
      </c>
      <c r="H2" s="106">
        <v>707</v>
      </c>
      <c r="I2" s="93" cm="1">
        <f t="array" ref="I2">IF(SUM(Table189[[#This Row],[SBMU01]:[SBMU05]])=0,0,SUMPRODUCT(IF(Table189[[#This Row],[SBMU01]:[SBMU05]]=0,1,0),{1,2,4,8,16}))</f>
        <v>0</v>
      </c>
      <c r="J2" s="93">
        <v>0</v>
      </c>
      <c r="K2" s="93">
        <v>0</v>
      </c>
      <c r="M2" t="b">
        <f t="shared" ref="M2:M37" si="0">MAX($D2:$H2)-MIN($D2:$H2)&lt;10</f>
        <v>0</v>
      </c>
      <c r="N2" t="s">
        <v>754</v>
      </c>
      <c r="O2" s="47">
        <v>1078</v>
      </c>
      <c r="P2" s="92" t="s">
        <v>755</v>
      </c>
      <c r="V2" s="50" t="s">
        <v>42</v>
      </c>
      <c r="W2" s="55">
        <v>33</v>
      </c>
      <c r="X2" s="51">
        <f>MID(Table189[[#This Row],[IP]],LEN(Table189[[#This Row],[IP]])-1,1)+(--MID(V2,8,1)-1)*9</f>
        <v>64</v>
      </c>
      <c r="Y2" s="52" t="s">
        <v>29</v>
      </c>
      <c r="AA2">
        <v>1</v>
      </c>
      <c r="AC2">
        <f>O2</f>
        <v>1078</v>
      </c>
      <c r="AD2">
        <f>O1</f>
        <v>1079</v>
      </c>
      <c r="AE2" s="102" t="str">
        <f>B2&amp;C2</f>
        <v>01D</v>
      </c>
      <c r="AF2" s="98">
        <v>39</v>
      </c>
      <c r="AG2" s="98">
        <v>45</v>
      </c>
      <c r="AH2" s="98">
        <v>48</v>
      </c>
      <c r="AI2" s="98">
        <v>52</v>
      </c>
      <c r="AJ2" s="98">
        <v>53</v>
      </c>
      <c r="AL2" s="114">
        <f>Table189[[#This Row],[SBMU01]]+AF2</f>
        <v>761</v>
      </c>
      <c r="AM2" s="115">
        <f>Table189[[#This Row],[SBMU02]]+AG2</f>
        <v>758</v>
      </c>
      <c r="AN2" s="115">
        <f>Table189[[#This Row],[SBMU03]]+AH2</f>
        <v>758</v>
      </c>
      <c r="AO2" s="115">
        <f>Table189[[#This Row],[SBMU04]]+AI2</f>
        <v>753</v>
      </c>
      <c r="AP2" s="116">
        <f>Table189[[#This Row],[SBMU05]]+AJ2</f>
        <v>760</v>
      </c>
    </row>
    <row r="3" spans="1:42" ht="15">
      <c r="A3" t="str">
        <f t="shared" ref="A3:A37" si="1">SUBSTITUTE(V3,".8.","."&amp;$R$1&amp;".")</f>
        <v>10.238.1.17</v>
      </c>
      <c r="B3" s="101" t="str">
        <f>TEXT(MID(Table189[[#This Row],[IP]],LEN(Table189[[#This Row],[IP]])-1,1)+(--MID(Table189[[#This Row],[IP]],8,1)-1)*9,"00")</f>
        <v>01</v>
      </c>
      <c r="C3" s="101" t="s">
        <v>30</v>
      </c>
      <c r="D3" s="107">
        <v>720</v>
      </c>
      <c r="E3" s="93">
        <v>712</v>
      </c>
      <c r="F3" s="93">
        <v>710</v>
      </c>
      <c r="G3" s="93">
        <v>711</v>
      </c>
      <c r="H3" s="108">
        <v>708</v>
      </c>
      <c r="I3" s="93" cm="1">
        <f t="array" ref="I3">IF(SUM(Table189[[#This Row],[SBMU01]:[SBMU05]])=0,0,SUMPRODUCT(IF(Table189[[#This Row],[SBMU01]:[SBMU05]]=0,1,0),{1,2,4,8,16}))</f>
        <v>0</v>
      </c>
      <c r="J3" s="93">
        <v>0</v>
      </c>
      <c r="K3" s="93">
        <v>0</v>
      </c>
      <c r="M3" t="b">
        <f t="shared" si="0"/>
        <v>0</v>
      </c>
      <c r="Q3" s="94">
        <v>1067</v>
      </c>
      <c r="R3" t="s">
        <v>740</v>
      </c>
      <c r="V3" s="53" t="s">
        <v>43</v>
      </c>
      <c r="W3" s="56">
        <v>32</v>
      </c>
      <c r="X3" s="51">
        <f>MID(Table189[[#This Row],[IP]],LEN(Table189[[#This Row],[IP]])-1,1)+(--MID(V3,8,1)-1)*9</f>
        <v>64</v>
      </c>
      <c r="Y3" s="54" t="s">
        <v>30</v>
      </c>
      <c r="AA3">
        <v>2</v>
      </c>
      <c r="AC3">
        <f t="shared" ref="AC3:AD6" si="2">AC2+1024</f>
        <v>2102</v>
      </c>
      <c r="AD3">
        <f t="shared" si="2"/>
        <v>2103</v>
      </c>
      <c r="AE3" s="102" t="str">
        <f t="shared" ref="AE3:AE37" si="3">B3&amp;C3</f>
        <v>01C</v>
      </c>
      <c r="AF3" s="99">
        <v>40</v>
      </c>
      <c r="AG3" s="99">
        <v>50</v>
      </c>
      <c r="AH3" s="99">
        <v>50</v>
      </c>
      <c r="AI3" s="99">
        <v>46</v>
      </c>
      <c r="AJ3" s="99">
        <v>48</v>
      </c>
      <c r="AL3" s="117">
        <f>Table189[[#This Row],[SBMU01]]+AF3</f>
        <v>760</v>
      </c>
      <c r="AM3">
        <f>Table189[[#This Row],[SBMU02]]+AG3</f>
        <v>762</v>
      </c>
      <c r="AN3">
        <f>Table189[[#This Row],[SBMU03]]+AH3</f>
        <v>760</v>
      </c>
      <c r="AO3">
        <f>Table189[[#This Row],[SBMU04]]+AI3</f>
        <v>757</v>
      </c>
      <c r="AP3" s="118">
        <f>Table189[[#This Row],[SBMU05]]+AJ3</f>
        <v>756</v>
      </c>
    </row>
    <row r="4" spans="1:42" ht="15">
      <c r="A4" t="str">
        <f t="shared" si="1"/>
        <v>10.238.1.18</v>
      </c>
      <c r="B4" s="101" t="str">
        <f>TEXT(MID(Table189[[#This Row],[IP]],LEN(Table189[[#This Row],[IP]])-1,1)+(--MID(Table189[[#This Row],[IP]],8,1)-1)*9,"00")</f>
        <v>01</v>
      </c>
      <c r="C4" s="101" t="s">
        <v>31</v>
      </c>
      <c r="D4" s="107">
        <v>720</v>
      </c>
      <c r="E4" s="93">
        <v>721</v>
      </c>
      <c r="F4" s="93">
        <v>721</v>
      </c>
      <c r="G4" s="93">
        <v>720</v>
      </c>
      <c r="H4" s="108">
        <v>721</v>
      </c>
      <c r="I4" s="93" cm="1">
        <f t="array" ref="I4">IF(SUM(Table189[[#This Row],[SBMU01]:[SBMU05]])=0,0,SUMPRODUCT(IF(Table189[[#This Row],[SBMU01]:[SBMU05]]=0,1,0),{1,2,4,8,16}))</f>
        <v>0</v>
      </c>
      <c r="J4" s="93">
        <v>0</v>
      </c>
      <c r="K4" s="93">
        <v>0</v>
      </c>
      <c r="M4" t="b">
        <f t="shared" si="0"/>
        <v>1</v>
      </c>
      <c r="Q4" s="95">
        <v>1068</v>
      </c>
      <c r="R4" t="s">
        <v>741</v>
      </c>
      <c r="V4" s="50" t="s">
        <v>44</v>
      </c>
      <c r="W4" s="55">
        <v>32</v>
      </c>
      <c r="X4" s="51">
        <f>MID(Table189[[#This Row],[IP]],LEN(Table189[[#This Row],[IP]])-1,1)+(--MID(V4,8,1)-1)*9</f>
        <v>64</v>
      </c>
      <c r="Y4" s="52" t="s">
        <v>31</v>
      </c>
      <c r="AA4">
        <v>3</v>
      </c>
      <c r="AC4">
        <f t="shared" si="2"/>
        <v>3126</v>
      </c>
      <c r="AD4">
        <f t="shared" si="2"/>
        <v>3127</v>
      </c>
      <c r="AE4" s="102" t="str">
        <f t="shared" si="3"/>
        <v>01B</v>
      </c>
      <c r="AF4" s="98">
        <v>42</v>
      </c>
      <c r="AG4" s="98">
        <v>43</v>
      </c>
      <c r="AH4" s="98">
        <v>41</v>
      </c>
      <c r="AI4" s="98">
        <v>43</v>
      </c>
      <c r="AJ4" s="98">
        <v>41</v>
      </c>
      <c r="AL4" s="117">
        <f>Table189[[#This Row],[SBMU01]]+AF4</f>
        <v>762</v>
      </c>
      <c r="AM4">
        <f>Table189[[#This Row],[SBMU02]]+AG4</f>
        <v>764</v>
      </c>
      <c r="AN4">
        <f>Table189[[#This Row],[SBMU03]]+AH4</f>
        <v>762</v>
      </c>
      <c r="AO4">
        <f>Table189[[#This Row],[SBMU04]]+AI4</f>
        <v>763</v>
      </c>
      <c r="AP4" s="118">
        <f>Table189[[#This Row],[SBMU05]]+AJ4</f>
        <v>762</v>
      </c>
    </row>
    <row r="5" spans="1:42" ht="15">
      <c r="A5" t="str">
        <f t="shared" si="1"/>
        <v>10.238.1.19</v>
      </c>
      <c r="B5" s="101" t="str">
        <f>TEXT(MID(Table189[[#This Row],[IP]],LEN(Table189[[#This Row],[IP]])-1,1)+(--MID(Table189[[#This Row],[IP]],8,1)-1)*9,"00")</f>
        <v>01</v>
      </c>
      <c r="C5" s="101" t="s">
        <v>32</v>
      </c>
      <c r="D5" s="107">
        <v>713</v>
      </c>
      <c r="E5" s="93">
        <v>716</v>
      </c>
      <c r="F5" s="93">
        <v>715</v>
      </c>
      <c r="G5" s="93">
        <v>716</v>
      </c>
      <c r="H5" s="108">
        <v>713</v>
      </c>
      <c r="I5" s="93" cm="1">
        <f t="array" ref="I5">IF(SUM(Table189[[#This Row],[SBMU01]:[SBMU05]])=0,0,SUMPRODUCT(IF(Table189[[#This Row],[SBMU01]:[SBMU05]]=0,1,0),{1,2,4,8,16}))</f>
        <v>0</v>
      </c>
      <c r="J5" s="93">
        <v>0</v>
      </c>
      <c r="K5" s="93">
        <v>0</v>
      </c>
      <c r="M5" t="b">
        <f t="shared" si="0"/>
        <v>1</v>
      </c>
      <c r="Q5">
        <v>1078</v>
      </c>
      <c r="R5" t="s">
        <v>744</v>
      </c>
      <c r="V5" s="53" t="s">
        <v>45</v>
      </c>
      <c r="W5" s="56">
        <v>32</v>
      </c>
      <c r="X5" s="51">
        <f>MID(Table189[[#This Row],[IP]],LEN(Table189[[#This Row],[IP]])-1,1)+(--MID(V5,8,1)-1)*9</f>
        <v>64</v>
      </c>
      <c r="Y5" s="54" t="s">
        <v>32</v>
      </c>
      <c r="AA5">
        <v>4</v>
      </c>
      <c r="AC5">
        <f t="shared" si="2"/>
        <v>4150</v>
      </c>
      <c r="AD5">
        <f t="shared" si="2"/>
        <v>4151</v>
      </c>
      <c r="AE5" s="102" t="str">
        <f t="shared" si="3"/>
        <v>01A</v>
      </c>
      <c r="AF5" s="99">
        <v>49</v>
      </c>
      <c r="AG5" s="99">
        <v>40</v>
      </c>
      <c r="AH5" s="99">
        <v>48</v>
      </c>
      <c r="AI5" s="99">
        <v>47</v>
      </c>
      <c r="AJ5" s="99">
        <v>41</v>
      </c>
      <c r="AL5" s="117">
        <f>Table189[[#This Row],[SBMU01]]+AF5</f>
        <v>762</v>
      </c>
      <c r="AM5">
        <f>Table189[[#This Row],[SBMU02]]+AG5</f>
        <v>756</v>
      </c>
      <c r="AN5">
        <f>Table189[[#This Row],[SBMU03]]+AH5</f>
        <v>763</v>
      </c>
      <c r="AO5">
        <f>Table189[[#This Row],[SBMU04]]+AI5</f>
        <v>763</v>
      </c>
      <c r="AP5" s="118">
        <f>Table189[[#This Row],[SBMU05]]+AJ5</f>
        <v>754</v>
      </c>
    </row>
    <row r="6" spans="1:42" ht="13.5" customHeight="1">
      <c r="A6" t="str">
        <f t="shared" si="1"/>
        <v>10.238.1.26</v>
      </c>
      <c r="B6" s="101" t="str">
        <f>TEXT(MID(Table189[[#This Row],[IP]],LEN(Table189[[#This Row],[IP]])-1,1)+(--MID(Table189[[#This Row],[IP]],8,1)-1)*9,"00")</f>
        <v>02</v>
      </c>
      <c r="C6" s="101" t="s">
        <v>29</v>
      </c>
      <c r="D6" s="107">
        <v>715</v>
      </c>
      <c r="E6" s="93">
        <v>719</v>
      </c>
      <c r="F6" s="93">
        <v>711</v>
      </c>
      <c r="G6" s="93">
        <v>713</v>
      </c>
      <c r="H6" s="108">
        <v>722</v>
      </c>
      <c r="I6" s="93" cm="1">
        <f t="array" ref="I6">IF(SUM(Table189[[#This Row],[SBMU01]:[SBMU05]])=0,0,SUMPRODUCT(IF(Table189[[#This Row],[SBMU01]:[SBMU05]]=0,1,0),{1,2,4,8,16}))</f>
        <v>0</v>
      </c>
      <c r="J6" s="93">
        <v>0</v>
      </c>
      <c r="K6" s="93">
        <v>0</v>
      </c>
      <c r="M6" t="b">
        <f t="shared" si="0"/>
        <v>0</v>
      </c>
      <c r="Q6">
        <v>1079</v>
      </c>
      <c r="R6" t="s">
        <v>745</v>
      </c>
      <c r="V6" s="50" t="s">
        <v>46</v>
      </c>
      <c r="W6" s="55" t="s">
        <v>737</v>
      </c>
      <c r="X6" s="51">
        <f>MID(Table189[[#This Row],[IP]],LEN(Table189[[#This Row],[IP]])-1,1)+(--MID(V6,8,1)-1)*9</f>
        <v>65</v>
      </c>
      <c r="Y6" s="52" t="s">
        <v>29</v>
      </c>
      <c r="AA6">
        <v>5</v>
      </c>
      <c r="AC6">
        <f t="shared" si="2"/>
        <v>5174</v>
      </c>
      <c r="AD6">
        <f t="shared" si="2"/>
        <v>5175</v>
      </c>
      <c r="AE6" s="103" t="str">
        <f t="shared" si="3"/>
        <v>02D</v>
      </c>
      <c r="AF6" s="98">
        <v>51</v>
      </c>
      <c r="AG6" s="98">
        <v>48</v>
      </c>
      <c r="AH6" s="98">
        <v>53</v>
      </c>
      <c r="AI6" s="98">
        <v>55</v>
      </c>
      <c r="AJ6" s="98">
        <v>44</v>
      </c>
      <c r="AL6" s="117">
        <f>Table189[[#This Row],[SBMU01]]+AF6</f>
        <v>766</v>
      </c>
      <c r="AM6">
        <f>Table189[[#This Row],[SBMU02]]+AG6</f>
        <v>767</v>
      </c>
      <c r="AN6">
        <f>Table189[[#This Row],[SBMU03]]+AH6</f>
        <v>764</v>
      </c>
      <c r="AO6">
        <f>Table189[[#This Row],[SBMU04]]+AI6</f>
        <v>768</v>
      </c>
      <c r="AP6" s="118">
        <f>Table189[[#This Row],[SBMU05]]+AJ6</f>
        <v>766</v>
      </c>
    </row>
    <row r="7" spans="1:42" ht="15">
      <c r="A7" t="str">
        <f t="shared" si="1"/>
        <v>10.238.1.27</v>
      </c>
      <c r="B7" s="101" t="str">
        <f>TEXT(MID(Table189[[#This Row],[IP]],LEN(Table189[[#This Row],[IP]])-1,1)+(--MID(Table189[[#This Row],[IP]],8,1)-1)*9,"00")</f>
        <v>02</v>
      </c>
      <c r="C7" s="101" t="s">
        <v>30</v>
      </c>
      <c r="D7" s="107">
        <v>722</v>
      </c>
      <c r="E7" s="93">
        <v>723</v>
      </c>
      <c r="F7" s="93">
        <v>725</v>
      </c>
      <c r="G7" s="93">
        <v>723</v>
      </c>
      <c r="H7" s="108">
        <v>724</v>
      </c>
      <c r="I7" s="93" cm="1">
        <f t="array" ref="I7">IF(SUM(Table189[[#This Row],[SBMU01]:[SBMU05]])=0,0,SUMPRODUCT(IF(Table189[[#This Row],[SBMU01]:[SBMU05]]=0,1,0),{1,2,4,8,16}))</f>
        <v>0</v>
      </c>
      <c r="J7" s="93">
        <v>0</v>
      </c>
      <c r="K7" s="93">
        <v>0</v>
      </c>
      <c r="M7" t="b">
        <f t="shared" si="0"/>
        <v>1</v>
      </c>
      <c r="Q7">
        <v>909</v>
      </c>
      <c r="R7" t="s">
        <v>747</v>
      </c>
      <c r="V7" s="53" t="s">
        <v>47</v>
      </c>
      <c r="W7" s="56">
        <v>18</v>
      </c>
      <c r="X7" s="51">
        <f>MID(Table189[[#This Row],[IP]],LEN(Table189[[#This Row],[IP]])-1,1)+(--MID(V7,8,1)-1)*9</f>
        <v>65</v>
      </c>
      <c r="Y7" s="54" t="s">
        <v>30</v>
      </c>
      <c r="AA7">
        <v>6</v>
      </c>
      <c r="AE7" s="102" t="str">
        <f t="shared" si="3"/>
        <v>02C</v>
      </c>
      <c r="AF7" s="99">
        <v>48</v>
      </c>
      <c r="AG7" s="99">
        <v>47</v>
      </c>
      <c r="AH7" s="99">
        <v>46</v>
      </c>
      <c r="AI7" s="99">
        <v>47</v>
      </c>
      <c r="AJ7" s="99">
        <v>47</v>
      </c>
      <c r="AL7" s="117">
        <f>Table189[[#This Row],[SBMU01]]+AF7</f>
        <v>770</v>
      </c>
      <c r="AM7">
        <f>Table189[[#This Row],[SBMU02]]+AG7</f>
        <v>770</v>
      </c>
      <c r="AN7">
        <f>Table189[[#This Row],[SBMU03]]+AH7</f>
        <v>771</v>
      </c>
      <c r="AO7">
        <f>Table189[[#This Row],[SBMU04]]+AI7</f>
        <v>770</v>
      </c>
      <c r="AP7" s="118">
        <f>Table189[[#This Row],[SBMU05]]+AJ7</f>
        <v>771</v>
      </c>
    </row>
    <row r="8" spans="1:42" ht="15">
      <c r="A8" t="str">
        <f t="shared" si="1"/>
        <v>10.238.1.28</v>
      </c>
      <c r="B8" s="101" t="str">
        <f>TEXT(MID(Table189[[#This Row],[IP]],LEN(Table189[[#This Row],[IP]])-1,1)+(--MID(Table189[[#This Row],[IP]],8,1)-1)*9,"00")</f>
        <v>02</v>
      </c>
      <c r="C8" s="101" t="s">
        <v>31</v>
      </c>
      <c r="D8" s="107">
        <v>663</v>
      </c>
      <c r="E8" s="93">
        <v>663</v>
      </c>
      <c r="F8" s="93">
        <v>660</v>
      </c>
      <c r="G8" s="93">
        <v>656</v>
      </c>
      <c r="H8" s="108">
        <v>663</v>
      </c>
      <c r="I8" s="93" cm="1">
        <f t="array" ref="I8">IF(SUM(Table189[[#This Row],[SBMU01]:[SBMU05]])=0,0,SUMPRODUCT(IF(Table189[[#This Row],[SBMU01]:[SBMU05]]=0,1,0),{1,2,4,8,16}))</f>
        <v>0</v>
      </c>
      <c r="J8" s="93">
        <v>0</v>
      </c>
      <c r="K8" s="93">
        <v>0</v>
      </c>
      <c r="M8" t="b">
        <f t="shared" si="0"/>
        <v>1</v>
      </c>
      <c r="Q8">
        <v>1057</v>
      </c>
      <c r="R8" t="s">
        <v>6</v>
      </c>
      <c r="V8" s="50" t="s">
        <v>48</v>
      </c>
      <c r="W8" s="55">
        <v>13</v>
      </c>
      <c r="X8" s="51">
        <f>MID(Table189[[#This Row],[IP]],LEN(Table189[[#This Row],[IP]])-1,1)+(--MID(V8,8,1)-1)*9</f>
        <v>65</v>
      </c>
      <c r="Y8" s="52" t="s">
        <v>31</v>
      </c>
      <c r="AA8">
        <v>7</v>
      </c>
      <c r="AE8" s="103" t="str">
        <f t="shared" si="3"/>
        <v>02B</v>
      </c>
      <c r="AF8" s="98">
        <v>24</v>
      </c>
      <c r="AG8" s="98">
        <v>25</v>
      </c>
      <c r="AH8" s="98">
        <v>26</v>
      </c>
      <c r="AI8" s="98">
        <v>33</v>
      </c>
      <c r="AJ8" s="98">
        <v>26</v>
      </c>
      <c r="AL8" s="117">
        <f>Table189[[#This Row],[SBMU01]]+AF8</f>
        <v>687</v>
      </c>
      <c r="AM8">
        <f>Table189[[#This Row],[SBMU02]]+AG8</f>
        <v>688</v>
      </c>
      <c r="AN8">
        <f>Table189[[#This Row],[SBMU03]]+AH8</f>
        <v>686</v>
      </c>
      <c r="AO8">
        <f>Table189[[#This Row],[SBMU04]]+AI8</f>
        <v>689</v>
      </c>
      <c r="AP8" s="118">
        <f>Table189[[#This Row],[SBMU05]]+AJ8</f>
        <v>689</v>
      </c>
    </row>
    <row r="9" spans="1:42" ht="15">
      <c r="A9" t="str">
        <f t="shared" si="1"/>
        <v>10.238.1.29</v>
      </c>
      <c r="B9" s="101" t="str">
        <f>TEXT(MID(Table189[[#This Row],[IP]],LEN(Table189[[#This Row],[IP]])-1,1)+(--MID(Table189[[#This Row],[IP]],8,1)-1)*9,"00")</f>
        <v>02</v>
      </c>
      <c r="C9" s="101" t="s">
        <v>32</v>
      </c>
      <c r="D9" s="107">
        <v>721</v>
      </c>
      <c r="E9" s="93">
        <v>722</v>
      </c>
      <c r="F9" s="93">
        <v>717</v>
      </c>
      <c r="G9" s="93">
        <v>721</v>
      </c>
      <c r="H9" s="108">
        <v>725</v>
      </c>
      <c r="I9" s="93" cm="1">
        <f t="array" ref="I9">IF(SUM(Table189[[#This Row],[SBMU01]:[SBMU05]])=0,0,SUMPRODUCT(IF(Table189[[#This Row],[SBMU01]:[SBMU05]]=0,1,0),{1,2,4,8,16}))</f>
        <v>0</v>
      </c>
      <c r="J9" s="93">
        <v>0</v>
      </c>
      <c r="K9" s="93">
        <v>0</v>
      </c>
      <c r="M9" t="b">
        <f t="shared" si="0"/>
        <v>1</v>
      </c>
      <c r="Q9">
        <v>1058</v>
      </c>
      <c r="R9" t="s">
        <v>7</v>
      </c>
      <c r="V9" s="53" t="s">
        <v>49</v>
      </c>
      <c r="W9" s="56">
        <v>17</v>
      </c>
      <c r="X9" s="51">
        <f>MID(Table189[[#This Row],[IP]],LEN(Table189[[#This Row],[IP]])-1,1)+(--MID(V9,8,1)-1)*9</f>
        <v>65</v>
      </c>
      <c r="Y9" s="54" t="s">
        <v>32</v>
      </c>
      <c r="AA9">
        <v>8</v>
      </c>
      <c r="AE9" s="102" t="str">
        <f t="shared" si="3"/>
        <v>02A</v>
      </c>
      <c r="AF9" s="99">
        <v>48</v>
      </c>
      <c r="AG9" s="99">
        <v>47</v>
      </c>
      <c r="AH9" s="99">
        <v>52</v>
      </c>
      <c r="AI9" s="99">
        <v>47</v>
      </c>
      <c r="AJ9" s="99">
        <v>45</v>
      </c>
      <c r="AL9" s="117">
        <f>Table189[[#This Row],[SBMU01]]+AF9</f>
        <v>769</v>
      </c>
      <c r="AM9">
        <f>Table189[[#This Row],[SBMU02]]+AG9</f>
        <v>769</v>
      </c>
      <c r="AN9">
        <f>Table189[[#This Row],[SBMU03]]+AH9</f>
        <v>769</v>
      </c>
      <c r="AO9">
        <f>Table189[[#This Row],[SBMU04]]+AI9</f>
        <v>768</v>
      </c>
      <c r="AP9" s="118">
        <f>Table189[[#This Row],[SBMU05]]+AJ9</f>
        <v>770</v>
      </c>
    </row>
    <row r="10" spans="1:42" ht="12.75" customHeight="1">
      <c r="A10" t="str">
        <f t="shared" si="1"/>
        <v>10.238.1.36</v>
      </c>
      <c r="B10" s="101" t="str">
        <f>TEXT(MID(Table189[[#This Row],[IP]],LEN(Table189[[#This Row],[IP]])-1,1)+(--MID(Table189[[#This Row],[IP]],8,1)-1)*9,"00")</f>
        <v>03</v>
      </c>
      <c r="C10" s="101" t="s">
        <v>29</v>
      </c>
      <c r="D10" s="107">
        <v>716</v>
      </c>
      <c r="E10" s="93">
        <v>720</v>
      </c>
      <c r="F10" s="93">
        <v>722</v>
      </c>
      <c r="G10" s="93">
        <v>726</v>
      </c>
      <c r="H10" s="108">
        <v>709</v>
      </c>
      <c r="I10" s="93" cm="1">
        <f t="array" ref="I10">IF(SUM(Table189[[#This Row],[SBMU01]:[SBMU05]])=0,0,SUMPRODUCT(IF(Table189[[#This Row],[SBMU01]:[SBMU05]]=0,1,0),{1,2,4,8,16}))</f>
        <v>0</v>
      </c>
      <c r="J10" s="93">
        <v>0</v>
      </c>
      <c r="K10" s="93">
        <v>0</v>
      </c>
      <c r="M10" t="b">
        <f t="shared" si="0"/>
        <v>0</v>
      </c>
      <c r="Q10">
        <v>1059</v>
      </c>
      <c r="R10" t="s">
        <v>84</v>
      </c>
      <c r="V10" s="50" t="s">
        <v>50</v>
      </c>
      <c r="W10" s="55">
        <v>20</v>
      </c>
      <c r="X10" s="51">
        <f>MID(Table189[[#This Row],[IP]],LEN(Table189[[#This Row],[IP]])-1,1)+(--MID(V10,8,1)-1)*9</f>
        <v>66</v>
      </c>
      <c r="Y10" s="52" t="s">
        <v>29</v>
      </c>
      <c r="AE10" s="103" t="str">
        <f t="shared" si="3"/>
        <v>03D</v>
      </c>
      <c r="AF10" s="98">
        <v>49</v>
      </c>
      <c r="AG10" s="98">
        <v>46</v>
      </c>
      <c r="AH10" s="98">
        <v>44</v>
      </c>
      <c r="AI10" s="98">
        <v>41</v>
      </c>
      <c r="AJ10" s="98">
        <v>58</v>
      </c>
      <c r="AL10" s="117">
        <f>Table189[[#This Row],[SBMU01]]+AF10</f>
        <v>765</v>
      </c>
      <c r="AM10">
        <f>Table189[[#This Row],[SBMU02]]+AG10</f>
        <v>766</v>
      </c>
      <c r="AN10">
        <f>Table189[[#This Row],[SBMU03]]+AH10</f>
        <v>766</v>
      </c>
      <c r="AO10">
        <f>Table189[[#This Row],[SBMU04]]+AI10</f>
        <v>767</v>
      </c>
      <c r="AP10" s="118">
        <f>Table189[[#This Row],[SBMU05]]+AJ10</f>
        <v>767</v>
      </c>
    </row>
    <row r="11" spans="1:42" ht="15">
      <c r="A11" t="str">
        <f t="shared" si="1"/>
        <v>10.238.1.37</v>
      </c>
      <c r="B11" s="101" t="str">
        <f>TEXT(MID(Table189[[#This Row],[IP]],LEN(Table189[[#This Row],[IP]])-1,1)+(--MID(Table189[[#This Row],[IP]],8,1)-1)*9,"00")</f>
        <v>03</v>
      </c>
      <c r="C11" s="101" t="s">
        <v>30</v>
      </c>
      <c r="D11" s="107">
        <v>715</v>
      </c>
      <c r="E11" s="93">
        <v>713</v>
      </c>
      <c r="F11" s="93">
        <v>726</v>
      </c>
      <c r="G11" s="93">
        <v>715</v>
      </c>
      <c r="H11" s="108">
        <v>715</v>
      </c>
      <c r="I11" s="93" cm="1">
        <f t="array" ref="I11">IF(SUM(Table189[[#This Row],[SBMU01]:[SBMU05]])=0,0,SUMPRODUCT(IF(Table189[[#This Row],[SBMU01]:[SBMU05]]=0,1,0),{1,2,4,8,16}))</f>
        <v>0</v>
      </c>
      <c r="J11" s="93">
        <v>0</v>
      </c>
      <c r="K11" s="93">
        <v>0</v>
      </c>
      <c r="M11" t="b">
        <f t="shared" si="0"/>
        <v>0</v>
      </c>
      <c r="Q11">
        <v>1061</v>
      </c>
      <c r="R11" t="s">
        <v>748</v>
      </c>
      <c r="V11" s="53" t="s">
        <v>51</v>
      </c>
      <c r="W11" s="56">
        <v>18</v>
      </c>
      <c r="X11" s="51">
        <f>MID(Table189[[#This Row],[IP]],LEN(Table189[[#This Row],[IP]])-1,1)+(--MID(V11,8,1)-1)*9</f>
        <v>66</v>
      </c>
      <c r="Y11" s="54" t="s">
        <v>30</v>
      </c>
      <c r="AE11" s="102" t="str">
        <f t="shared" si="3"/>
        <v>03C</v>
      </c>
      <c r="AF11" s="99">
        <v>53</v>
      </c>
      <c r="AG11" s="99">
        <v>53</v>
      </c>
      <c r="AH11" s="99">
        <v>41</v>
      </c>
      <c r="AI11" s="99">
        <v>54</v>
      </c>
      <c r="AJ11" s="99">
        <v>52</v>
      </c>
      <c r="AL11" s="117">
        <f>Table189[[#This Row],[SBMU01]]+AF11</f>
        <v>768</v>
      </c>
      <c r="AM11">
        <f>Table189[[#This Row],[SBMU02]]+AG11</f>
        <v>766</v>
      </c>
      <c r="AN11">
        <f>Table189[[#This Row],[SBMU03]]+AH11</f>
        <v>767</v>
      </c>
      <c r="AO11">
        <f>Table189[[#This Row],[SBMU04]]+AI11</f>
        <v>769</v>
      </c>
      <c r="AP11" s="118">
        <f>Table189[[#This Row],[SBMU05]]+AJ11</f>
        <v>767</v>
      </c>
    </row>
    <row r="12" spans="1:42" ht="15">
      <c r="A12" t="str">
        <f t="shared" si="1"/>
        <v>10.238.1.38</v>
      </c>
      <c r="B12" s="101" t="str">
        <f>TEXT(MID(Table189[[#This Row],[IP]],LEN(Table189[[#This Row],[IP]])-1,1)+(--MID(Table189[[#This Row],[IP]],8,1)-1)*9,"00")</f>
        <v>03</v>
      </c>
      <c r="C12" s="101" t="s">
        <v>31</v>
      </c>
      <c r="D12" s="107">
        <v>727</v>
      </c>
      <c r="E12" s="93">
        <v>716</v>
      </c>
      <c r="F12" s="93">
        <v>722</v>
      </c>
      <c r="G12" s="93">
        <v>717</v>
      </c>
      <c r="H12" s="108">
        <v>717</v>
      </c>
      <c r="I12" s="93" cm="1">
        <f t="array" ref="I12">IF(SUM(Table189[[#This Row],[SBMU01]:[SBMU05]])=0,0,SUMPRODUCT(IF(Table189[[#This Row],[SBMU01]:[SBMU05]]=0,1,0),{1,2,4,8,16}))</f>
        <v>0</v>
      </c>
      <c r="J12" s="93">
        <v>0</v>
      </c>
      <c r="K12" s="93">
        <v>0</v>
      </c>
      <c r="M12" t="b">
        <f t="shared" si="0"/>
        <v>0</v>
      </c>
      <c r="Q12">
        <v>1062</v>
      </c>
      <c r="R12" t="s">
        <v>749</v>
      </c>
      <c r="V12" s="50" t="s">
        <v>52</v>
      </c>
      <c r="W12" s="55">
        <v>18</v>
      </c>
      <c r="X12" s="51">
        <f>MID(Table189[[#This Row],[IP]],LEN(Table189[[#This Row],[IP]])-1,1)+(--MID(V12,8,1)-1)*9</f>
        <v>66</v>
      </c>
      <c r="Y12" s="52" t="s">
        <v>31</v>
      </c>
      <c r="AE12" s="103" t="str">
        <f t="shared" si="3"/>
        <v>03B</v>
      </c>
      <c r="AF12" s="98">
        <v>41</v>
      </c>
      <c r="AG12" s="98">
        <v>48</v>
      </c>
      <c r="AH12" s="98">
        <v>42</v>
      </c>
      <c r="AI12" s="98">
        <v>49</v>
      </c>
      <c r="AJ12" s="98">
        <v>48</v>
      </c>
      <c r="AL12" s="117">
        <f>Table189[[#This Row],[SBMU01]]+AF12</f>
        <v>768</v>
      </c>
      <c r="AM12">
        <f>Table189[[#This Row],[SBMU02]]+AG12</f>
        <v>764</v>
      </c>
      <c r="AN12">
        <f>Table189[[#This Row],[SBMU03]]+AH12</f>
        <v>764</v>
      </c>
      <c r="AO12">
        <f>Table189[[#This Row],[SBMU04]]+AI12</f>
        <v>766</v>
      </c>
      <c r="AP12" s="118">
        <f>Table189[[#This Row],[SBMU05]]+AJ12</f>
        <v>765</v>
      </c>
    </row>
    <row r="13" spans="1:42" ht="15">
      <c r="A13" t="str">
        <f t="shared" si="1"/>
        <v>10.238.1.39</v>
      </c>
      <c r="B13" s="101" t="str">
        <f>TEXT(MID(Table189[[#This Row],[IP]],LEN(Table189[[#This Row],[IP]])-1,1)+(--MID(Table189[[#This Row],[IP]],8,1)-1)*9,"00")</f>
        <v>03</v>
      </c>
      <c r="C13" s="101" t="s">
        <v>32</v>
      </c>
      <c r="D13" s="107">
        <v>723</v>
      </c>
      <c r="E13" s="93">
        <v>719</v>
      </c>
      <c r="F13" s="93">
        <v>714</v>
      </c>
      <c r="G13" s="93">
        <v>717</v>
      </c>
      <c r="H13" s="108">
        <v>721</v>
      </c>
      <c r="I13" s="93" cm="1">
        <f t="array" ref="I13">IF(SUM(Table189[[#This Row],[SBMU01]:[SBMU05]])=0,0,SUMPRODUCT(IF(Table189[[#This Row],[SBMU01]:[SBMU05]]=0,1,0),{1,2,4,8,16}))</f>
        <v>0</v>
      </c>
      <c r="J13" s="93">
        <v>0</v>
      </c>
      <c r="K13" s="93">
        <v>0</v>
      </c>
      <c r="M13" t="b">
        <f t="shared" si="0"/>
        <v>1</v>
      </c>
      <c r="Q13">
        <v>1064</v>
      </c>
      <c r="R13" t="s">
        <v>750</v>
      </c>
      <c r="V13" s="53" t="s">
        <v>53</v>
      </c>
      <c r="W13" s="56">
        <v>18</v>
      </c>
      <c r="X13" s="51">
        <f>MID(Table189[[#This Row],[IP]],LEN(Table189[[#This Row],[IP]])-1,1)+(--MID(V13,8,1)-1)*9</f>
        <v>66</v>
      </c>
      <c r="Y13" s="54" t="s">
        <v>32</v>
      </c>
      <c r="AE13" s="102" t="str">
        <f t="shared" si="3"/>
        <v>03A</v>
      </c>
      <c r="AF13" s="99">
        <v>42</v>
      </c>
      <c r="AG13" s="99">
        <v>43</v>
      </c>
      <c r="AH13" s="99">
        <v>46</v>
      </c>
      <c r="AI13" s="99">
        <v>41</v>
      </c>
      <c r="AJ13" s="99">
        <v>43</v>
      </c>
      <c r="AL13" s="117">
        <f>Table189[[#This Row],[SBMU01]]+AF13</f>
        <v>765</v>
      </c>
      <c r="AM13">
        <f>Table189[[#This Row],[SBMU02]]+AG13</f>
        <v>762</v>
      </c>
      <c r="AN13">
        <f>Table189[[#This Row],[SBMU03]]+AH13</f>
        <v>760</v>
      </c>
      <c r="AO13">
        <f>Table189[[#This Row],[SBMU04]]+AI13</f>
        <v>758</v>
      </c>
      <c r="AP13" s="118">
        <f>Table189[[#This Row],[SBMU05]]+AJ13</f>
        <v>764</v>
      </c>
    </row>
    <row r="14" spans="1:42" ht="15">
      <c r="A14" t="str">
        <f t="shared" si="1"/>
        <v>10.238.1.46</v>
      </c>
      <c r="B14" s="101" t="str">
        <f>TEXT(MID(Table189[[#This Row],[IP]],LEN(Table189[[#This Row],[IP]])-1,1)+(--MID(Table189[[#This Row],[IP]],8,1)-1)*9,"00")</f>
        <v>04</v>
      </c>
      <c r="C14" s="101" t="s">
        <v>29</v>
      </c>
      <c r="D14" s="107">
        <v>720</v>
      </c>
      <c r="E14" s="93">
        <v>717</v>
      </c>
      <c r="F14" s="93">
        <v>722</v>
      </c>
      <c r="G14" s="93">
        <v>723</v>
      </c>
      <c r="H14" s="108">
        <v>722</v>
      </c>
      <c r="I14" s="93" cm="1">
        <f t="array" ref="I14">IF(SUM(Table189[[#This Row],[SBMU01]:[SBMU05]])=0,0,SUMPRODUCT(IF(Table189[[#This Row],[SBMU01]:[SBMU05]]=0,1,0),{1,2,4,8,16}))</f>
        <v>0</v>
      </c>
      <c r="J14" s="93">
        <v>0</v>
      </c>
      <c r="K14" s="93">
        <v>0</v>
      </c>
      <c r="M14" t="b">
        <f t="shared" si="0"/>
        <v>1</v>
      </c>
      <c r="Q14">
        <v>1076</v>
      </c>
      <c r="R14" t="s">
        <v>742</v>
      </c>
      <c r="V14" s="50" t="s">
        <v>54</v>
      </c>
      <c r="W14" s="55">
        <v>30</v>
      </c>
      <c r="X14" s="51">
        <f>MID(Table189[[#This Row],[IP]],LEN(Table189[[#This Row],[IP]])-1,1)+(--MID(V14,8,1)-1)*9</f>
        <v>67</v>
      </c>
      <c r="Y14" s="52" t="s">
        <v>29</v>
      </c>
      <c r="AE14" s="103" t="str">
        <f t="shared" si="3"/>
        <v>04D</v>
      </c>
      <c r="AF14" s="98">
        <v>21</v>
      </c>
      <c r="AG14" s="98">
        <v>19</v>
      </c>
      <c r="AH14" s="98">
        <v>17</v>
      </c>
      <c r="AI14" s="98">
        <v>17</v>
      </c>
      <c r="AJ14" s="98">
        <v>21</v>
      </c>
      <c r="AL14" s="117">
        <f>Table189[[#This Row],[SBMU01]]+AF14</f>
        <v>741</v>
      </c>
      <c r="AM14">
        <f>Table189[[#This Row],[SBMU02]]+AG14</f>
        <v>736</v>
      </c>
      <c r="AN14">
        <f>Table189[[#This Row],[SBMU03]]+AH14</f>
        <v>739</v>
      </c>
      <c r="AO14">
        <f>Table189[[#This Row],[SBMU04]]+AI14</f>
        <v>740</v>
      </c>
      <c r="AP14" s="118">
        <f>Table189[[#This Row],[SBMU05]]+AJ14</f>
        <v>743</v>
      </c>
    </row>
    <row r="15" spans="1:42" ht="15">
      <c r="A15" t="str">
        <f t="shared" si="1"/>
        <v>10.238.1.47</v>
      </c>
      <c r="B15" s="101" t="str">
        <f>TEXT(MID(Table189[[#This Row],[IP]],LEN(Table189[[#This Row],[IP]])-1,1)+(--MID(Table189[[#This Row],[IP]],8,1)-1)*9,"00")</f>
        <v>04</v>
      </c>
      <c r="C15" s="101" t="s">
        <v>30</v>
      </c>
      <c r="D15" s="107">
        <v>748</v>
      </c>
      <c r="E15" s="93">
        <v>744</v>
      </c>
      <c r="F15" s="93">
        <v>751</v>
      </c>
      <c r="G15" s="93">
        <v>749</v>
      </c>
      <c r="H15" s="108">
        <v>748</v>
      </c>
      <c r="I15" s="93" cm="1">
        <f t="array" ref="I15">IF(SUM(Table189[[#This Row],[SBMU01]:[SBMU05]])=0,0,SUMPRODUCT(IF(Table189[[#This Row],[SBMU01]:[SBMU05]]=0,1,0),{1,2,4,8,16}))</f>
        <v>0</v>
      </c>
      <c r="J15" s="93">
        <v>0</v>
      </c>
      <c r="K15" s="93">
        <v>0</v>
      </c>
      <c r="M15" t="b">
        <f t="shared" si="0"/>
        <v>1</v>
      </c>
      <c r="Q15">
        <v>1077</v>
      </c>
      <c r="R15" t="s">
        <v>743</v>
      </c>
      <c r="V15" s="53" t="s">
        <v>55</v>
      </c>
      <c r="W15" s="56">
        <v>38</v>
      </c>
      <c r="X15" s="51">
        <f>MID(Table189[[#This Row],[IP]],LEN(Table189[[#This Row],[IP]])-1,1)+(--MID(V15,8,1)-1)*9</f>
        <v>67</v>
      </c>
      <c r="Y15" s="54" t="s">
        <v>30</v>
      </c>
      <c r="AE15" s="102" t="str">
        <f t="shared" si="3"/>
        <v>04C</v>
      </c>
      <c r="AF15" s="99">
        <v>0</v>
      </c>
      <c r="AG15" s="99">
        <v>17</v>
      </c>
      <c r="AH15" s="99">
        <v>21</v>
      </c>
      <c r="AI15" s="99">
        <v>23</v>
      </c>
      <c r="AJ15" s="99">
        <v>17</v>
      </c>
      <c r="AL15" s="117">
        <f>Table189[[#This Row],[SBMU01]]+AF15</f>
        <v>748</v>
      </c>
      <c r="AM15">
        <f>Table189[[#This Row],[SBMU02]]+AG15</f>
        <v>761</v>
      </c>
      <c r="AN15">
        <f>Table189[[#This Row],[SBMU03]]+AH15</f>
        <v>772</v>
      </c>
      <c r="AO15">
        <f>Table189[[#This Row],[SBMU04]]+AI15</f>
        <v>772</v>
      </c>
      <c r="AP15" s="118">
        <f>Table189[[#This Row],[SBMU05]]+AJ15</f>
        <v>765</v>
      </c>
    </row>
    <row r="16" spans="1:42" ht="15">
      <c r="A16" t="str">
        <f t="shared" si="1"/>
        <v>10.238.1.48</v>
      </c>
      <c r="B16" s="101" t="str">
        <f>TEXT(MID(Table189[[#This Row],[IP]],LEN(Table189[[#This Row],[IP]])-1,1)+(--MID(Table189[[#This Row],[IP]],8,1)-1)*9,"00")</f>
        <v>04</v>
      </c>
      <c r="C16" s="101" t="s">
        <v>31</v>
      </c>
      <c r="D16" s="107">
        <v>748</v>
      </c>
      <c r="E16" s="93">
        <v>756</v>
      </c>
      <c r="F16" s="93">
        <v>753</v>
      </c>
      <c r="G16" s="93">
        <v>762</v>
      </c>
      <c r="H16" s="108">
        <v>756</v>
      </c>
      <c r="I16" s="93" cm="1">
        <f t="array" ref="I16">IF(SUM(Table189[[#This Row],[SBMU01]:[SBMU05]])=0,0,SUMPRODUCT(IF(Table189[[#This Row],[SBMU01]:[SBMU05]]=0,1,0),{1,2,4,8,16}))</f>
        <v>0</v>
      </c>
      <c r="J16" s="93">
        <v>0</v>
      </c>
      <c r="K16" s="93">
        <v>0</v>
      </c>
      <c r="M16" t="b">
        <f t="shared" si="0"/>
        <v>0</v>
      </c>
      <c r="Q16">
        <v>1080</v>
      </c>
      <c r="R16" t="s">
        <v>746</v>
      </c>
      <c r="V16" s="50" t="s">
        <v>56</v>
      </c>
      <c r="W16" s="55">
        <v>38</v>
      </c>
      <c r="X16" s="51">
        <f>MID(Table189[[#This Row],[IP]],LEN(Table189[[#This Row],[IP]])-1,1)+(--MID(V16,8,1)-1)*9</f>
        <v>67</v>
      </c>
      <c r="Y16" s="52" t="s">
        <v>31</v>
      </c>
      <c r="AE16" s="103" t="str">
        <f t="shared" si="3"/>
        <v>04B</v>
      </c>
      <c r="AF16" s="98">
        <v>19</v>
      </c>
      <c r="AG16" s="98">
        <v>16</v>
      </c>
      <c r="AH16" s="98">
        <v>20</v>
      </c>
      <c r="AI16" s="98">
        <v>0</v>
      </c>
      <c r="AJ16" s="98">
        <v>17</v>
      </c>
      <c r="AL16" s="117">
        <f>Table189[[#This Row],[SBMU01]]+AF16</f>
        <v>767</v>
      </c>
      <c r="AM16">
        <f>Table189[[#This Row],[SBMU02]]+AG16</f>
        <v>772</v>
      </c>
      <c r="AN16">
        <f>Table189[[#This Row],[SBMU03]]+AH16</f>
        <v>773</v>
      </c>
      <c r="AO16">
        <f>Table189[[#This Row],[SBMU04]]+AI16</f>
        <v>762</v>
      </c>
      <c r="AP16" s="118">
        <f>Table189[[#This Row],[SBMU05]]+AJ16</f>
        <v>773</v>
      </c>
    </row>
    <row r="17" spans="1:42" ht="15">
      <c r="A17" t="str">
        <f t="shared" si="1"/>
        <v>10.238.1.49</v>
      </c>
      <c r="B17" s="101" t="str">
        <f>TEXT(MID(Table189[[#This Row],[IP]],LEN(Table189[[#This Row],[IP]])-1,1)+(--MID(Table189[[#This Row],[IP]],8,1)-1)*9,"00")</f>
        <v>04</v>
      </c>
      <c r="C17" s="101" t="s">
        <v>32</v>
      </c>
      <c r="D17" s="107">
        <v>756</v>
      </c>
      <c r="E17" s="93">
        <v>736</v>
      </c>
      <c r="F17" s="93">
        <v>748</v>
      </c>
      <c r="G17" s="93">
        <v>735</v>
      </c>
      <c r="H17" s="108">
        <v>735</v>
      </c>
      <c r="I17" s="93" cm="1">
        <f t="array" ref="I17">IF(SUM(Table189[[#This Row],[SBMU01]:[SBMU05]])=0,0,SUMPRODUCT(IF(Table189[[#This Row],[SBMU01]:[SBMU05]]=0,1,0),{1,2,4,8,16}))</f>
        <v>0</v>
      </c>
      <c r="J17" s="93">
        <v>0</v>
      </c>
      <c r="K17" s="93">
        <v>0</v>
      </c>
      <c r="M17" t="b">
        <f t="shared" si="0"/>
        <v>0</v>
      </c>
      <c r="V17" s="53" t="s">
        <v>57</v>
      </c>
      <c r="W17" s="56">
        <v>38</v>
      </c>
      <c r="X17" s="51">
        <f>MID(Table189[[#This Row],[IP]],LEN(Table189[[#This Row],[IP]])-1,1)+(--MID(V17,8,1)-1)*9</f>
        <v>67</v>
      </c>
      <c r="Y17" s="54" t="s">
        <v>32</v>
      </c>
      <c r="AE17" s="102" t="str">
        <f t="shared" si="3"/>
        <v>04A</v>
      </c>
      <c r="AF17" s="99">
        <v>17</v>
      </c>
      <c r="AG17" s="99">
        <v>17</v>
      </c>
      <c r="AH17" s="99">
        <v>21</v>
      </c>
      <c r="AI17" s="99">
        <v>0</v>
      </c>
      <c r="AJ17" s="99">
        <v>21</v>
      </c>
      <c r="AL17" s="117">
        <f>Table189[[#This Row],[SBMU01]]+AF17</f>
        <v>773</v>
      </c>
      <c r="AM17">
        <f>Table189[[#This Row],[SBMU02]]+AG17</f>
        <v>753</v>
      </c>
      <c r="AN17">
        <f>Table189[[#This Row],[SBMU03]]+AH17</f>
        <v>769</v>
      </c>
      <c r="AO17">
        <f>Table189[[#This Row],[SBMU04]]+AI17</f>
        <v>735</v>
      </c>
      <c r="AP17" s="118">
        <f>Table189[[#This Row],[SBMU05]]+AJ17</f>
        <v>756</v>
      </c>
    </row>
    <row r="18" spans="1:42" ht="15">
      <c r="A18" t="str">
        <f t="shared" si="1"/>
        <v>10.238.1.56</v>
      </c>
      <c r="B18" s="101" t="str">
        <f>TEXT(MID(Table189[[#This Row],[IP]],LEN(Table189[[#This Row],[IP]])-1,1)+(--MID(Table189[[#This Row],[IP]],8,1)-1)*9,"00")</f>
        <v>05</v>
      </c>
      <c r="C18" s="101" t="s">
        <v>29</v>
      </c>
      <c r="D18" s="107">
        <v>724</v>
      </c>
      <c r="E18" s="93">
        <v>719</v>
      </c>
      <c r="F18" s="93">
        <v>720</v>
      </c>
      <c r="G18" s="93">
        <v>719</v>
      </c>
      <c r="H18" s="108">
        <v>722</v>
      </c>
      <c r="I18" s="93" cm="1">
        <f t="array" ref="I18">IF(SUM(Table189[[#This Row],[SBMU01]:[SBMU05]])=0,0,SUMPRODUCT(IF(Table189[[#This Row],[SBMU01]:[SBMU05]]=0,1,0),{1,2,4,8,16}))</f>
        <v>0</v>
      </c>
      <c r="J18" s="93">
        <v>0</v>
      </c>
      <c r="K18" s="93">
        <v>0</v>
      </c>
      <c r="M18" t="b">
        <f t="shared" si="0"/>
        <v>1</v>
      </c>
      <c r="V18" s="50" t="s">
        <v>58</v>
      </c>
      <c r="W18" s="55">
        <v>26</v>
      </c>
      <c r="X18" s="51">
        <f>MID(Table189[[#This Row],[IP]],LEN(Table189[[#This Row],[IP]])-1,1)+(--MID(V18,8,1)-1)*9</f>
        <v>68</v>
      </c>
      <c r="Y18" s="52" t="s">
        <v>29</v>
      </c>
      <c r="AE18" s="103" t="str">
        <f t="shared" si="3"/>
        <v>05D</v>
      </c>
      <c r="AF18" s="98">
        <v>41</v>
      </c>
      <c r="AG18" s="98">
        <v>47</v>
      </c>
      <c r="AH18" s="98">
        <v>46</v>
      </c>
      <c r="AI18" s="98">
        <v>47</v>
      </c>
      <c r="AJ18" s="98">
        <v>44</v>
      </c>
      <c r="AL18" s="117">
        <f>Table189[[#This Row],[SBMU01]]+AF18</f>
        <v>765</v>
      </c>
      <c r="AM18">
        <f>Table189[[#This Row],[SBMU02]]+AG18</f>
        <v>766</v>
      </c>
      <c r="AN18">
        <f>Table189[[#This Row],[SBMU03]]+AH18</f>
        <v>766</v>
      </c>
      <c r="AO18">
        <f>Table189[[#This Row],[SBMU04]]+AI18</f>
        <v>766</v>
      </c>
      <c r="AP18" s="118">
        <f>Table189[[#This Row],[SBMU05]]+AJ18</f>
        <v>766</v>
      </c>
    </row>
    <row r="19" spans="1:42" ht="15">
      <c r="A19" t="str">
        <f t="shared" si="1"/>
        <v>10.238.1.57</v>
      </c>
      <c r="B19" s="101" t="str">
        <f>TEXT(MID(Table189[[#This Row],[IP]],LEN(Table189[[#This Row],[IP]])-1,1)+(--MID(Table189[[#This Row],[IP]],8,1)-1)*9,"00")</f>
        <v>05</v>
      </c>
      <c r="C19" s="101" t="s">
        <v>30</v>
      </c>
      <c r="D19" s="107">
        <v>722</v>
      </c>
      <c r="E19" s="93">
        <v>713</v>
      </c>
      <c r="F19" s="93">
        <v>714</v>
      </c>
      <c r="G19" s="93">
        <v>723</v>
      </c>
      <c r="H19" s="108">
        <v>727</v>
      </c>
      <c r="I19" s="93" cm="1">
        <f t="array" ref="I19">IF(SUM(Table189[[#This Row],[SBMU01]:[SBMU05]])=0,0,SUMPRODUCT(IF(Table189[[#This Row],[SBMU01]:[SBMU05]]=0,1,0),{1,2,4,8,16}))</f>
        <v>0</v>
      </c>
      <c r="J19" s="93">
        <v>0</v>
      </c>
      <c r="K19" s="93">
        <v>0</v>
      </c>
      <c r="M19" t="b">
        <f t="shared" si="0"/>
        <v>0</v>
      </c>
      <c r="V19" s="53" t="s">
        <v>59</v>
      </c>
      <c r="W19" s="56">
        <v>23</v>
      </c>
      <c r="X19" s="51">
        <f>MID(Table189[[#This Row],[IP]],LEN(Table189[[#This Row],[IP]])-1,1)+(--MID(V19,8,1)-1)*9</f>
        <v>68</v>
      </c>
      <c r="Y19" s="54" t="s">
        <v>30</v>
      </c>
      <c r="AE19" s="102" t="str">
        <f t="shared" si="3"/>
        <v>05C</v>
      </c>
      <c r="AF19" s="99">
        <v>44</v>
      </c>
      <c r="AG19" s="99">
        <v>51</v>
      </c>
      <c r="AH19" s="99">
        <v>54</v>
      </c>
      <c r="AI19" s="99">
        <v>43</v>
      </c>
      <c r="AJ19" s="99">
        <v>40</v>
      </c>
      <c r="AL19" s="117">
        <f>Table189[[#This Row],[SBMU01]]+AF19</f>
        <v>766</v>
      </c>
      <c r="AM19">
        <f>Table189[[#This Row],[SBMU02]]+AG19</f>
        <v>764</v>
      </c>
      <c r="AN19">
        <f>Table189[[#This Row],[SBMU03]]+AH19</f>
        <v>768</v>
      </c>
      <c r="AO19">
        <f>Table189[[#This Row],[SBMU04]]+AI19</f>
        <v>766</v>
      </c>
      <c r="AP19" s="118">
        <f>Table189[[#This Row],[SBMU05]]+AJ19</f>
        <v>767</v>
      </c>
    </row>
    <row r="20" spans="1:42" ht="15">
      <c r="A20" t="str">
        <f t="shared" si="1"/>
        <v>10.238.1.58</v>
      </c>
      <c r="B20" s="101" t="str">
        <f>TEXT(MID(Table189[[#This Row],[IP]],LEN(Table189[[#This Row],[IP]])-1,1)+(--MID(Table189[[#This Row],[IP]],8,1)-1)*9,"00")</f>
        <v>05</v>
      </c>
      <c r="C20" s="101" t="s">
        <v>31</v>
      </c>
      <c r="D20" s="107">
        <v>722</v>
      </c>
      <c r="E20" s="93">
        <v>718</v>
      </c>
      <c r="F20" s="93">
        <v>719</v>
      </c>
      <c r="G20" s="93">
        <v>716</v>
      </c>
      <c r="H20" s="108">
        <v>722</v>
      </c>
      <c r="I20" s="93" cm="1">
        <f t="array" ref="I20">IF(SUM(Table189[[#This Row],[SBMU01]:[SBMU05]])=0,0,SUMPRODUCT(IF(Table189[[#This Row],[SBMU01]:[SBMU05]]=0,1,0),{1,2,4,8,16}))</f>
        <v>0</v>
      </c>
      <c r="J20" s="93">
        <v>0</v>
      </c>
      <c r="K20" s="93">
        <v>0</v>
      </c>
      <c r="M20" t="b">
        <f t="shared" si="0"/>
        <v>1</v>
      </c>
      <c r="V20" s="50" t="s">
        <v>60</v>
      </c>
      <c r="W20" s="55">
        <v>22</v>
      </c>
      <c r="X20" s="51">
        <f>MID(Table189[[#This Row],[IP]],LEN(Table189[[#This Row],[IP]])-1,1)+(--MID(V20,8,1)-1)*9</f>
        <v>68</v>
      </c>
      <c r="Y20" s="52" t="s">
        <v>31</v>
      </c>
      <c r="AE20" s="103" t="str">
        <f t="shared" si="3"/>
        <v>05B</v>
      </c>
      <c r="AF20" s="98">
        <v>40</v>
      </c>
      <c r="AG20" s="98">
        <v>44</v>
      </c>
      <c r="AH20" s="98">
        <v>43</v>
      </c>
      <c r="AI20" s="98">
        <v>43</v>
      </c>
      <c r="AJ20" s="98">
        <v>40</v>
      </c>
      <c r="AL20" s="117">
        <f>Table189[[#This Row],[SBMU01]]+AF20</f>
        <v>762</v>
      </c>
      <c r="AM20">
        <f>Table189[[#This Row],[SBMU02]]+AG20</f>
        <v>762</v>
      </c>
      <c r="AN20">
        <f>Table189[[#This Row],[SBMU03]]+AH20</f>
        <v>762</v>
      </c>
      <c r="AO20">
        <f>Table189[[#This Row],[SBMU04]]+AI20</f>
        <v>759</v>
      </c>
      <c r="AP20" s="118">
        <f>Table189[[#This Row],[SBMU05]]+AJ20</f>
        <v>762</v>
      </c>
    </row>
    <row r="21" spans="1:42" ht="15">
      <c r="A21" t="str">
        <f t="shared" si="1"/>
        <v>10.238.1.59</v>
      </c>
      <c r="B21" s="101" t="str">
        <f>TEXT(MID(Table189[[#This Row],[IP]],LEN(Table189[[#This Row],[IP]])-1,1)+(--MID(Table189[[#This Row],[IP]],8,1)-1)*9,"00")</f>
        <v>05</v>
      </c>
      <c r="C21" s="101" t="s">
        <v>32</v>
      </c>
      <c r="D21" s="107">
        <v>726</v>
      </c>
      <c r="E21" s="93">
        <v>715</v>
      </c>
      <c r="F21" s="93">
        <v>718</v>
      </c>
      <c r="G21" s="93">
        <v>715</v>
      </c>
      <c r="H21" s="108">
        <v>724</v>
      </c>
      <c r="I21" s="93" cm="1">
        <f t="array" ref="I21">IF(SUM(Table189[[#This Row],[SBMU01]:[SBMU05]])=0,0,SUMPRODUCT(IF(Table189[[#This Row],[SBMU01]:[SBMU05]]=0,1,0),{1,2,4,8,16}))</f>
        <v>0</v>
      </c>
      <c r="J21" s="93">
        <v>0</v>
      </c>
      <c r="K21" s="93">
        <v>0</v>
      </c>
      <c r="M21" t="b">
        <f t="shared" si="0"/>
        <v>0</v>
      </c>
      <c r="V21" s="53" t="s">
        <v>61</v>
      </c>
      <c r="W21" s="56">
        <v>22</v>
      </c>
      <c r="X21" s="51">
        <f>MID(Table189[[#This Row],[IP]],LEN(Table189[[#This Row],[IP]])-1,1)+(--MID(V21,8,1)-1)*9</f>
        <v>68</v>
      </c>
      <c r="Y21" s="54" t="s">
        <v>32</v>
      </c>
      <c r="AE21" s="102" t="str">
        <f t="shared" si="3"/>
        <v>05A</v>
      </c>
      <c r="AF21" s="99">
        <v>40</v>
      </c>
      <c r="AG21" s="99">
        <v>53</v>
      </c>
      <c r="AH21" s="99">
        <v>48</v>
      </c>
      <c r="AI21" s="99">
        <v>51</v>
      </c>
      <c r="AJ21" s="99">
        <v>44</v>
      </c>
      <c r="AL21" s="117">
        <f>Table189[[#This Row],[SBMU01]]+AF21</f>
        <v>766</v>
      </c>
      <c r="AM21">
        <f>Table189[[#This Row],[SBMU02]]+AG21</f>
        <v>768</v>
      </c>
      <c r="AN21">
        <f>Table189[[#This Row],[SBMU03]]+AH21</f>
        <v>766</v>
      </c>
      <c r="AO21">
        <f>Table189[[#This Row],[SBMU04]]+AI21</f>
        <v>766</v>
      </c>
      <c r="AP21" s="118">
        <f>Table189[[#This Row],[SBMU05]]+AJ21</f>
        <v>768</v>
      </c>
    </row>
    <row r="22" spans="1:42" ht="15">
      <c r="A22" t="str">
        <f t="shared" si="1"/>
        <v>10.238.1.66</v>
      </c>
      <c r="B22" s="101" t="str">
        <f>TEXT(MID(Table189[[#This Row],[IP]],LEN(Table189[[#This Row],[IP]])-1,1)+(--MID(Table189[[#This Row],[IP]],8,1)-1)*9,"00")</f>
        <v>06</v>
      </c>
      <c r="C22" s="101" t="s">
        <v>29</v>
      </c>
      <c r="D22" s="107">
        <v>726</v>
      </c>
      <c r="E22" s="93">
        <v>723</v>
      </c>
      <c r="F22" s="93">
        <v>725</v>
      </c>
      <c r="G22" s="93">
        <v>717</v>
      </c>
      <c r="H22" s="108">
        <v>725</v>
      </c>
      <c r="I22" s="93" cm="1">
        <f t="array" ref="I22">IF(SUM(Table189[[#This Row],[SBMU01]:[SBMU05]])=0,0,SUMPRODUCT(IF(Table189[[#This Row],[SBMU01]:[SBMU05]]=0,1,0),{1,2,4,8,16}))</f>
        <v>0</v>
      </c>
      <c r="J22" s="93">
        <v>0</v>
      </c>
      <c r="K22" s="93">
        <v>0</v>
      </c>
      <c r="M22" t="b">
        <f t="shared" si="0"/>
        <v>1</v>
      </c>
      <c r="V22" s="50" t="s">
        <v>62</v>
      </c>
      <c r="W22" s="55">
        <v>22</v>
      </c>
      <c r="X22" s="51">
        <f>MID(Table189[[#This Row],[IP]],LEN(Table189[[#This Row],[IP]])-1,1)+(--MID(V22,8,1)-1)*9</f>
        <v>69</v>
      </c>
      <c r="Y22" s="52" t="s">
        <v>29</v>
      </c>
      <c r="AE22" s="103" t="str">
        <f t="shared" si="3"/>
        <v>06D</v>
      </c>
      <c r="AF22" s="98">
        <v>42</v>
      </c>
      <c r="AG22" s="98">
        <v>40</v>
      </c>
      <c r="AH22" s="98">
        <v>42</v>
      </c>
      <c r="AI22" s="98">
        <v>47</v>
      </c>
      <c r="AJ22" s="98">
        <v>42</v>
      </c>
      <c r="AL22" s="117">
        <f>Table189[[#This Row],[SBMU01]]+AF22</f>
        <v>768</v>
      </c>
      <c r="AM22">
        <f>Table189[[#This Row],[SBMU02]]+AG22</f>
        <v>763</v>
      </c>
      <c r="AN22">
        <f>Table189[[#This Row],[SBMU03]]+AH22</f>
        <v>767</v>
      </c>
      <c r="AO22">
        <f>Table189[[#This Row],[SBMU04]]+AI22</f>
        <v>764</v>
      </c>
      <c r="AP22" s="118">
        <f>Table189[[#This Row],[SBMU05]]+AJ22</f>
        <v>767</v>
      </c>
    </row>
    <row r="23" spans="1:42" ht="15">
      <c r="A23" t="str">
        <f t="shared" si="1"/>
        <v>10.238.1.67</v>
      </c>
      <c r="B23" s="101" t="str">
        <f>TEXT(MID(Table189[[#This Row],[IP]],LEN(Table189[[#This Row],[IP]])-1,1)+(--MID(Table189[[#This Row],[IP]],8,1)-1)*9,"00")</f>
        <v>06</v>
      </c>
      <c r="C23" s="101" t="s">
        <v>30</v>
      </c>
      <c r="D23" s="107">
        <v>728</v>
      </c>
      <c r="E23" s="93">
        <v>715</v>
      </c>
      <c r="F23" s="93">
        <v>714</v>
      </c>
      <c r="G23" s="93">
        <v>725</v>
      </c>
      <c r="H23" s="108">
        <v>721</v>
      </c>
      <c r="I23" s="93" cm="1">
        <f t="array" ref="I23">IF(SUM(Table189[[#This Row],[SBMU01]:[SBMU05]])=0,0,SUMPRODUCT(IF(Table189[[#This Row],[SBMU01]:[SBMU05]]=0,1,0),{1,2,4,8,16}))</f>
        <v>0</v>
      </c>
      <c r="J23" s="93">
        <v>0</v>
      </c>
      <c r="K23" s="93">
        <v>0</v>
      </c>
      <c r="M23" t="b">
        <f t="shared" si="0"/>
        <v>0</v>
      </c>
      <c r="V23" s="53" t="s">
        <v>63</v>
      </c>
      <c r="W23" s="56">
        <v>16</v>
      </c>
      <c r="X23" s="51">
        <f>MID(Table189[[#This Row],[IP]],LEN(Table189[[#This Row],[IP]])-1,1)+(--MID(V23,8,1)-1)*9</f>
        <v>69</v>
      </c>
      <c r="Y23" s="54" t="s">
        <v>30</v>
      </c>
      <c r="AE23" s="102" t="str">
        <f t="shared" si="3"/>
        <v>06C</v>
      </c>
      <c r="AF23" s="99">
        <v>40</v>
      </c>
      <c r="AG23" s="99">
        <v>47</v>
      </c>
      <c r="AH23" s="99">
        <v>50</v>
      </c>
      <c r="AI23" s="99">
        <v>41</v>
      </c>
      <c r="AJ23" s="99">
        <v>47</v>
      </c>
      <c r="AL23" s="117">
        <f>Table189[[#This Row],[SBMU01]]+AF23</f>
        <v>768</v>
      </c>
      <c r="AM23">
        <f>Table189[[#This Row],[SBMU02]]+AG23</f>
        <v>762</v>
      </c>
      <c r="AN23">
        <f>Table189[[#This Row],[SBMU03]]+AH23</f>
        <v>764</v>
      </c>
      <c r="AO23">
        <f>Table189[[#This Row],[SBMU04]]+AI23</f>
        <v>766</v>
      </c>
      <c r="AP23" s="118">
        <f>Table189[[#This Row],[SBMU05]]+AJ23</f>
        <v>768</v>
      </c>
    </row>
    <row r="24" spans="1:42" ht="15">
      <c r="A24" t="str">
        <f t="shared" si="1"/>
        <v>10.238.1.68</v>
      </c>
      <c r="B24" s="101" t="str">
        <f>TEXT(MID(Table189[[#This Row],[IP]],LEN(Table189[[#This Row],[IP]])-1,1)+(--MID(Table189[[#This Row],[IP]],8,1)-1)*9,"00")</f>
        <v>06</v>
      </c>
      <c r="C24" s="101" t="s">
        <v>31</v>
      </c>
      <c r="D24" s="107">
        <v>711</v>
      </c>
      <c r="E24" s="93">
        <v>718</v>
      </c>
      <c r="F24" s="93">
        <v>712</v>
      </c>
      <c r="G24" s="93">
        <v>716</v>
      </c>
      <c r="H24" s="108">
        <v>718</v>
      </c>
      <c r="I24" s="93" cm="1">
        <f t="array" ref="I24">IF(SUM(Table189[[#This Row],[SBMU01]:[SBMU05]])=0,0,SUMPRODUCT(IF(Table189[[#This Row],[SBMU01]:[SBMU05]]=0,1,0),{1,2,4,8,16}))</f>
        <v>0</v>
      </c>
      <c r="J24" s="93">
        <v>0</v>
      </c>
      <c r="K24" s="93">
        <v>0</v>
      </c>
      <c r="M24" t="b">
        <f t="shared" si="0"/>
        <v>1</v>
      </c>
      <c r="V24" s="50" t="s">
        <v>64</v>
      </c>
      <c r="W24" s="55">
        <v>16</v>
      </c>
      <c r="X24" s="51">
        <f>MID(Table189[[#This Row],[IP]],LEN(Table189[[#This Row],[IP]])-1,1)+(--MID(V24,8,1)-1)*9</f>
        <v>69</v>
      </c>
      <c r="Y24" s="52" t="s">
        <v>31</v>
      </c>
      <c r="AE24" s="103" t="str">
        <f t="shared" si="3"/>
        <v>06B</v>
      </c>
      <c r="AF24" s="98">
        <v>43</v>
      </c>
      <c r="AG24" s="98">
        <v>42</v>
      </c>
      <c r="AH24" s="98">
        <v>38</v>
      </c>
      <c r="AI24" s="98">
        <v>42</v>
      </c>
      <c r="AJ24" s="98">
        <v>39</v>
      </c>
      <c r="AL24" s="117">
        <f>Table189[[#This Row],[SBMU01]]+AF24</f>
        <v>754</v>
      </c>
      <c r="AM24">
        <f>Table189[[#This Row],[SBMU02]]+AG24</f>
        <v>760</v>
      </c>
      <c r="AN24">
        <f>Table189[[#This Row],[SBMU03]]+AH24</f>
        <v>750</v>
      </c>
      <c r="AO24">
        <f>Table189[[#This Row],[SBMU04]]+AI24</f>
        <v>758</v>
      </c>
      <c r="AP24" s="118">
        <f>Table189[[#This Row],[SBMU05]]+AJ24</f>
        <v>757</v>
      </c>
    </row>
    <row r="25" spans="1:42" ht="15">
      <c r="A25" t="str">
        <f t="shared" si="1"/>
        <v>10.238.1.69</v>
      </c>
      <c r="B25" s="101" t="str">
        <f>TEXT(MID(Table189[[#This Row],[IP]],LEN(Table189[[#This Row],[IP]])-1,1)+(--MID(Table189[[#This Row],[IP]],8,1)-1)*9,"00")</f>
        <v>06</v>
      </c>
      <c r="C25" s="101" t="s">
        <v>32</v>
      </c>
      <c r="D25" s="107">
        <v>721</v>
      </c>
      <c r="E25" s="93">
        <v>720</v>
      </c>
      <c r="F25" s="93">
        <v>718</v>
      </c>
      <c r="G25" s="93">
        <v>720</v>
      </c>
      <c r="H25" s="108">
        <v>721</v>
      </c>
      <c r="I25" s="93" cm="1">
        <f t="array" ref="I25">IF(SUM(Table189[[#This Row],[SBMU01]:[SBMU05]])=0,0,SUMPRODUCT(IF(Table189[[#This Row],[SBMU01]:[SBMU05]]=0,1,0),{1,2,4,8,16}))</f>
        <v>0</v>
      </c>
      <c r="J25" s="93">
        <v>0</v>
      </c>
      <c r="K25" s="93">
        <v>0</v>
      </c>
      <c r="M25" t="b">
        <f t="shared" si="0"/>
        <v>1</v>
      </c>
      <c r="V25" s="53" t="s">
        <v>65</v>
      </c>
      <c r="W25" s="56">
        <v>16</v>
      </c>
      <c r="X25" s="51">
        <f>MID(Table189[[#This Row],[IP]],LEN(Table189[[#This Row],[IP]])-1,1)+(--MID(V25,8,1)-1)*9</f>
        <v>69</v>
      </c>
      <c r="Y25" s="54" t="s">
        <v>32</v>
      </c>
      <c r="AE25" s="102" t="str">
        <f t="shared" si="3"/>
        <v>06A</v>
      </c>
      <c r="AF25" s="99">
        <v>45</v>
      </c>
      <c r="AG25" s="99">
        <v>42</v>
      </c>
      <c r="AH25" s="99">
        <v>40</v>
      </c>
      <c r="AI25" s="99">
        <v>41</v>
      </c>
      <c r="AJ25" s="99">
        <v>41</v>
      </c>
      <c r="AL25" s="117">
        <f>Table189[[#This Row],[SBMU01]]+AF25</f>
        <v>766</v>
      </c>
      <c r="AM25">
        <f>Table189[[#This Row],[SBMU02]]+AG25</f>
        <v>762</v>
      </c>
      <c r="AN25">
        <f>Table189[[#This Row],[SBMU03]]+AH25</f>
        <v>758</v>
      </c>
      <c r="AO25">
        <f>Table189[[#This Row],[SBMU04]]+AI25</f>
        <v>761</v>
      </c>
      <c r="AP25" s="118">
        <f>Table189[[#This Row],[SBMU05]]+AJ25</f>
        <v>762</v>
      </c>
    </row>
    <row r="26" spans="1:42" ht="15">
      <c r="A26" t="str">
        <f t="shared" si="1"/>
        <v>10.238.1.76</v>
      </c>
      <c r="B26" s="101" t="str">
        <f>TEXT(MID(Table189[[#This Row],[IP]],LEN(Table189[[#This Row],[IP]])-1,1)+(--MID(Table189[[#This Row],[IP]],8,1)-1)*9,"00")</f>
        <v>07</v>
      </c>
      <c r="C26" s="101" t="s">
        <v>29</v>
      </c>
      <c r="D26" s="107">
        <v>728</v>
      </c>
      <c r="E26" s="93">
        <v>710</v>
      </c>
      <c r="F26" s="93">
        <v>714</v>
      </c>
      <c r="G26" s="93">
        <v>707</v>
      </c>
      <c r="H26" s="108">
        <v>712</v>
      </c>
      <c r="I26" s="93" cm="1">
        <f t="array" ref="I26">IF(SUM(Table189[[#This Row],[SBMU01]:[SBMU05]])=0,0,SUMPRODUCT(IF(Table189[[#This Row],[SBMU01]:[SBMU05]]=0,1,0),{1,2,4,8,16}))</f>
        <v>0</v>
      </c>
      <c r="J26" s="93">
        <v>0</v>
      </c>
      <c r="K26" s="93">
        <v>0</v>
      </c>
      <c r="M26" t="b">
        <f t="shared" si="0"/>
        <v>0</v>
      </c>
      <c r="V26" s="50" t="s">
        <v>66</v>
      </c>
      <c r="W26" s="55">
        <v>34</v>
      </c>
      <c r="X26" s="51">
        <f>MID(Table189[[#This Row],[IP]],LEN(Table189[[#This Row],[IP]])-1,1)+(--MID(V26,8,1)-1)*9</f>
        <v>70</v>
      </c>
      <c r="Y26" s="52" t="s">
        <v>29</v>
      </c>
      <c r="AE26" s="103" t="str">
        <f t="shared" si="3"/>
        <v>07D</v>
      </c>
      <c r="AF26" s="98">
        <v>47</v>
      </c>
      <c r="AG26" s="98">
        <v>53</v>
      </c>
      <c r="AH26" s="98">
        <v>49</v>
      </c>
      <c r="AI26" s="98">
        <v>39</v>
      </c>
      <c r="AJ26" s="98">
        <v>53</v>
      </c>
      <c r="AL26" s="117">
        <f>Table189[[#This Row],[SBMU01]]+AF26</f>
        <v>775</v>
      </c>
      <c r="AM26">
        <f>Table189[[#This Row],[SBMU02]]+AG26</f>
        <v>763</v>
      </c>
      <c r="AN26">
        <f>Table189[[#This Row],[SBMU03]]+AH26</f>
        <v>763</v>
      </c>
      <c r="AO26">
        <f>Table189[[#This Row],[SBMU04]]+AI26</f>
        <v>746</v>
      </c>
      <c r="AP26" s="118">
        <f>Table189[[#This Row],[SBMU05]]+AJ26</f>
        <v>765</v>
      </c>
    </row>
    <row r="27" spans="1:42" ht="15">
      <c r="A27" t="str">
        <f t="shared" si="1"/>
        <v>10.238.1.77</v>
      </c>
      <c r="B27" s="101" t="str">
        <f>TEXT(MID(Table189[[#This Row],[IP]],LEN(Table189[[#This Row],[IP]])-1,1)+(--MID(Table189[[#This Row],[IP]],8,1)-1)*9,"00")</f>
        <v>07</v>
      </c>
      <c r="C27" s="101" t="s">
        <v>30</v>
      </c>
      <c r="D27" s="107">
        <v>710</v>
      </c>
      <c r="E27" s="93">
        <v>712</v>
      </c>
      <c r="F27" s="93">
        <v>712</v>
      </c>
      <c r="G27" s="93">
        <v>712</v>
      </c>
      <c r="H27" s="108">
        <v>714</v>
      </c>
      <c r="I27" s="93" cm="1">
        <f t="array" ref="I27">IF(SUM(Table189[[#This Row],[SBMU01]:[SBMU05]])=0,0,SUMPRODUCT(IF(Table189[[#This Row],[SBMU01]:[SBMU05]]=0,1,0),{1,2,4,8,16}))</f>
        <v>0</v>
      </c>
      <c r="J27" s="93">
        <v>0</v>
      </c>
      <c r="K27" s="93">
        <v>0</v>
      </c>
      <c r="M27" t="b">
        <f t="shared" si="0"/>
        <v>1</v>
      </c>
      <c r="V27" s="53" t="s">
        <v>67</v>
      </c>
      <c r="W27" s="56">
        <v>20</v>
      </c>
      <c r="X27" s="51">
        <f>MID(Table189[[#This Row],[IP]],LEN(Table189[[#This Row],[IP]])-1,1)+(--MID(V27,8,1)-1)*9</f>
        <v>70</v>
      </c>
      <c r="Y27" s="54" t="s">
        <v>30</v>
      </c>
      <c r="AE27" s="102" t="str">
        <f t="shared" si="3"/>
        <v>07C</v>
      </c>
      <c r="AF27" s="99">
        <v>43</v>
      </c>
      <c r="AG27" s="99">
        <v>30</v>
      </c>
      <c r="AH27" s="99">
        <v>50</v>
      </c>
      <c r="AI27" s="99">
        <v>54</v>
      </c>
      <c r="AJ27" s="99">
        <v>50</v>
      </c>
      <c r="AL27" s="117">
        <f>Table189[[#This Row],[SBMU01]]+AF27</f>
        <v>753</v>
      </c>
      <c r="AM27">
        <f>Table189[[#This Row],[SBMU02]]+AG27</f>
        <v>742</v>
      </c>
      <c r="AN27">
        <f>Table189[[#This Row],[SBMU03]]+AH27</f>
        <v>762</v>
      </c>
      <c r="AO27">
        <f>Table189[[#This Row],[SBMU04]]+AI27</f>
        <v>766</v>
      </c>
      <c r="AP27" s="118">
        <f>Table189[[#This Row],[SBMU05]]+AJ27</f>
        <v>764</v>
      </c>
    </row>
    <row r="28" spans="1:42" ht="15">
      <c r="A28" t="str">
        <f t="shared" si="1"/>
        <v>10.238.1.78</v>
      </c>
      <c r="B28" s="101" t="str">
        <f>TEXT(MID(Table189[[#This Row],[IP]],LEN(Table189[[#This Row],[IP]])-1,1)+(--MID(Table189[[#This Row],[IP]],8,1)-1)*9,"00")</f>
        <v>07</v>
      </c>
      <c r="C28" s="101" t="s">
        <v>31</v>
      </c>
      <c r="D28" s="107">
        <v>721</v>
      </c>
      <c r="E28" s="93">
        <v>720</v>
      </c>
      <c r="F28" s="93">
        <v>711</v>
      </c>
      <c r="G28" s="93">
        <v>717</v>
      </c>
      <c r="H28" s="108">
        <v>713</v>
      </c>
      <c r="I28" s="93" cm="1">
        <f t="array" ref="I28">IF(SUM(Table189[[#This Row],[SBMU01]:[SBMU05]])=0,0,SUMPRODUCT(IF(Table189[[#This Row],[SBMU01]:[SBMU05]]=0,1,0),{1,2,4,8,16}))</f>
        <v>0</v>
      </c>
      <c r="J28" s="93">
        <v>0</v>
      </c>
      <c r="K28" s="93">
        <v>0</v>
      </c>
      <c r="M28" t="b">
        <f t="shared" si="0"/>
        <v>0</v>
      </c>
      <c r="V28" s="50" t="s">
        <v>68</v>
      </c>
      <c r="W28" s="55">
        <v>34</v>
      </c>
      <c r="X28" s="51">
        <f>MID(Table189[[#This Row],[IP]],LEN(Table189[[#This Row],[IP]])-1,1)+(--MID(V28,8,1)-1)*9</f>
        <v>70</v>
      </c>
      <c r="Y28" s="52" t="s">
        <v>31</v>
      </c>
      <c r="AE28" s="103" t="str">
        <f t="shared" si="3"/>
        <v>07B</v>
      </c>
      <c r="AF28" s="98">
        <v>44</v>
      </c>
      <c r="AG28" s="98">
        <v>45</v>
      </c>
      <c r="AH28" s="98">
        <v>51</v>
      </c>
      <c r="AI28" s="98">
        <v>44</v>
      </c>
      <c r="AJ28" s="98">
        <v>51</v>
      </c>
      <c r="AL28" s="117">
        <f>Table189[[#This Row],[SBMU01]]+AF28</f>
        <v>765</v>
      </c>
      <c r="AM28">
        <f>Table189[[#This Row],[SBMU02]]+AG28</f>
        <v>765</v>
      </c>
      <c r="AN28">
        <f>Table189[[#This Row],[SBMU03]]+AH28</f>
        <v>762</v>
      </c>
      <c r="AO28">
        <f>Table189[[#This Row],[SBMU04]]+AI28</f>
        <v>761</v>
      </c>
      <c r="AP28" s="118">
        <f>Table189[[#This Row],[SBMU05]]+AJ28</f>
        <v>764</v>
      </c>
    </row>
    <row r="29" spans="1:42" ht="15">
      <c r="A29" t="str">
        <f t="shared" si="1"/>
        <v>10.238.1.79</v>
      </c>
      <c r="B29" s="101" t="str">
        <f>TEXT(MID(Table189[[#This Row],[IP]],LEN(Table189[[#This Row],[IP]])-1,1)+(--MID(Table189[[#This Row],[IP]],8,1)-1)*9,"00")</f>
        <v>07</v>
      </c>
      <c r="C29" s="101" t="s">
        <v>32</v>
      </c>
      <c r="D29" s="107">
        <v>721</v>
      </c>
      <c r="E29" s="93">
        <v>716</v>
      </c>
      <c r="F29" s="93">
        <v>717</v>
      </c>
      <c r="G29" s="93">
        <v>713</v>
      </c>
      <c r="H29" s="108">
        <v>713</v>
      </c>
      <c r="I29" s="93" cm="1">
        <f t="array" ref="I29">IF(SUM(Table189[[#This Row],[SBMU01]:[SBMU05]])=0,0,SUMPRODUCT(IF(Table189[[#This Row],[SBMU01]:[SBMU05]]=0,1,0),{1,2,4,8,16}))</f>
        <v>0</v>
      </c>
      <c r="J29" s="93">
        <v>0</v>
      </c>
      <c r="K29" s="93">
        <v>0</v>
      </c>
      <c r="M29" t="b">
        <f t="shared" si="0"/>
        <v>1</v>
      </c>
      <c r="V29" s="53" t="s">
        <v>69</v>
      </c>
      <c r="W29" s="56">
        <v>34</v>
      </c>
      <c r="X29" s="51">
        <f>MID(Table189[[#This Row],[IP]],LEN(Table189[[#This Row],[IP]])-1,1)+(--MID(V29,8,1)-1)*9</f>
        <v>70</v>
      </c>
      <c r="Y29" s="54" t="s">
        <v>32</v>
      </c>
      <c r="AE29" s="102" t="str">
        <f t="shared" si="3"/>
        <v>07A</v>
      </c>
      <c r="AF29" s="99">
        <v>44</v>
      </c>
      <c r="AG29" s="99">
        <v>49</v>
      </c>
      <c r="AH29" s="99">
        <v>47</v>
      </c>
      <c r="AI29" s="99">
        <v>53</v>
      </c>
      <c r="AJ29" s="99">
        <v>53</v>
      </c>
      <c r="AL29" s="117">
        <f>Table189[[#This Row],[SBMU01]]+AF29</f>
        <v>765</v>
      </c>
      <c r="AM29">
        <f>Table189[[#This Row],[SBMU02]]+AG29</f>
        <v>765</v>
      </c>
      <c r="AN29">
        <f>Table189[[#This Row],[SBMU03]]+AH29</f>
        <v>764</v>
      </c>
      <c r="AO29">
        <f>Table189[[#This Row],[SBMU04]]+AI29</f>
        <v>766</v>
      </c>
      <c r="AP29" s="118">
        <f>Table189[[#This Row],[SBMU05]]+AJ29</f>
        <v>766</v>
      </c>
    </row>
    <row r="30" spans="1:42" ht="15">
      <c r="A30" t="str">
        <f t="shared" si="1"/>
        <v>10.238.1.86</v>
      </c>
      <c r="B30" s="101" t="str">
        <f>TEXT(MID(Table189[[#This Row],[IP]],LEN(Table189[[#This Row],[IP]])-1,1)+(--MID(Table189[[#This Row],[IP]],8,1)-1)*9,"00")</f>
        <v>08</v>
      </c>
      <c r="C30" s="101" t="s">
        <v>29</v>
      </c>
      <c r="D30" s="107">
        <v>721</v>
      </c>
      <c r="E30" s="93">
        <v>719</v>
      </c>
      <c r="F30" s="93">
        <v>711</v>
      </c>
      <c r="G30" s="93">
        <v>716</v>
      </c>
      <c r="H30" s="108">
        <v>717</v>
      </c>
      <c r="I30" s="93" cm="1">
        <f t="array" ref="I30">IF(SUM(Table189[[#This Row],[SBMU01]:[SBMU05]])=0,0,SUMPRODUCT(IF(Table189[[#This Row],[SBMU01]:[SBMU05]]=0,1,0),{1,2,4,8,16}))</f>
        <v>0</v>
      </c>
      <c r="J30" s="93">
        <v>0</v>
      </c>
      <c r="K30" s="93">
        <v>0</v>
      </c>
      <c r="M30" t="b">
        <f t="shared" si="0"/>
        <v>0</v>
      </c>
      <c r="V30" s="50" t="s">
        <v>70</v>
      </c>
      <c r="W30" s="55">
        <v>30</v>
      </c>
      <c r="X30" s="51">
        <f>MID(Table189[[#This Row],[IP]],LEN(Table189[[#This Row],[IP]])-1,1)+(--MID(V30,8,1)-1)*9</f>
        <v>71</v>
      </c>
      <c r="Y30" s="52" t="s">
        <v>29</v>
      </c>
      <c r="AE30" s="103" t="str">
        <f t="shared" si="3"/>
        <v>08D</v>
      </c>
      <c r="AF30" s="98">
        <v>41</v>
      </c>
      <c r="AG30" s="98">
        <v>45</v>
      </c>
      <c r="AH30" s="98">
        <v>49</v>
      </c>
      <c r="AI30" s="98">
        <v>48</v>
      </c>
      <c r="AJ30" s="98">
        <v>48</v>
      </c>
      <c r="AL30" s="117">
        <f>Table189[[#This Row],[SBMU01]]+AF30</f>
        <v>762</v>
      </c>
      <c r="AM30">
        <f>Table189[[#This Row],[SBMU02]]+AG30</f>
        <v>764</v>
      </c>
      <c r="AN30">
        <f>Table189[[#This Row],[SBMU03]]+AH30</f>
        <v>760</v>
      </c>
      <c r="AO30">
        <f>Table189[[#This Row],[SBMU04]]+AI30</f>
        <v>764</v>
      </c>
      <c r="AP30" s="118">
        <f>Table189[[#This Row],[SBMU05]]+AJ30</f>
        <v>765</v>
      </c>
    </row>
    <row r="31" spans="1:42" ht="15">
      <c r="A31" t="str">
        <f t="shared" si="1"/>
        <v>10.238.1.87</v>
      </c>
      <c r="B31" s="101" t="str">
        <f>TEXT(MID(Table189[[#This Row],[IP]],LEN(Table189[[#This Row],[IP]])-1,1)+(--MID(Table189[[#This Row],[IP]],8,1)-1)*9,"00")</f>
        <v>08</v>
      </c>
      <c r="C31" s="101" t="s">
        <v>30</v>
      </c>
      <c r="D31" s="107">
        <v>722</v>
      </c>
      <c r="E31" s="93">
        <v>713</v>
      </c>
      <c r="F31" s="93">
        <v>715</v>
      </c>
      <c r="G31" s="93">
        <v>710</v>
      </c>
      <c r="H31" s="108">
        <v>713</v>
      </c>
      <c r="I31" s="93" cm="1">
        <f t="array" ref="I31">IF(SUM(Table189[[#This Row],[SBMU01]:[SBMU05]])=0,0,SUMPRODUCT(IF(Table189[[#This Row],[SBMU01]:[SBMU05]]=0,1,0),{1,2,4,8,16}))</f>
        <v>0</v>
      </c>
      <c r="J31" s="93">
        <v>0</v>
      </c>
      <c r="K31" s="93">
        <v>0</v>
      </c>
      <c r="M31" t="b">
        <f t="shared" si="0"/>
        <v>0</v>
      </c>
      <c r="V31" s="53" t="s">
        <v>71</v>
      </c>
      <c r="W31" s="56">
        <v>28</v>
      </c>
      <c r="X31" s="51">
        <f>MID(Table189[[#This Row],[IP]],LEN(Table189[[#This Row],[IP]])-1,1)+(--MID(V31,8,1)-1)*9</f>
        <v>71</v>
      </c>
      <c r="Y31" s="54" t="s">
        <v>30</v>
      </c>
      <c r="AE31" s="102" t="str">
        <f t="shared" si="3"/>
        <v>08C</v>
      </c>
      <c r="AF31" s="99">
        <v>40</v>
      </c>
      <c r="AG31" s="99">
        <v>52</v>
      </c>
      <c r="AH31" s="99">
        <v>50</v>
      </c>
      <c r="AI31" s="99">
        <v>54</v>
      </c>
      <c r="AJ31" s="99">
        <v>48</v>
      </c>
      <c r="AL31" s="117">
        <f>Table189[[#This Row],[SBMU01]]+AF31</f>
        <v>762</v>
      </c>
      <c r="AM31">
        <f>Table189[[#This Row],[SBMU02]]+AG31</f>
        <v>765</v>
      </c>
      <c r="AN31">
        <f>Table189[[#This Row],[SBMU03]]+AH31</f>
        <v>765</v>
      </c>
      <c r="AO31">
        <f>Table189[[#This Row],[SBMU04]]+AI31</f>
        <v>764</v>
      </c>
      <c r="AP31" s="118">
        <f>Table189[[#This Row],[SBMU05]]+AJ31</f>
        <v>761</v>
      </c>
    </row>
    <row r="32" spans="1:42" ht="15">
      <c r="A32" t="str">
        <f t="shared" si="1"/>
        <v>10.238.1.88</v>
      </c>
      <c r="B32" s="101" t="str">
        <f>TEXT(MID(Table189[[#This Row],[IP]],LEN(Table189[[#This Row],[IP]])-1,1)+(--MID(Table189[[#This Row],[IP]],8,1)-1)*9,"00")</f>
        <v>08</v>
      </c>
      <c r="C32" s="101" t="s">
        <v>31</v>
      </c>
      <c r="D32" s="107">
        <v>705</v>
      </c>
      <c r="E32" s="93">
        <v>711</v>
      </c>
      <c r="F32" s="93">
        <v>711</v>
      </c>
      <c r="G32" s="93">
        <v>708</v>
      </c>
      <c r="H32" s="108">
        <v>712</v>
      </c>
      <c r="I32" s="93" cm="1">
        <f t="array" ref="I32">IF(SUM(Table189[[#This Row],[SBMU01]:[SBMU05]])=0,0,SUMPRODUCT(IF(Table189[[#This Row],[SBMU01]:[SBMU05]]=0,1,0),{1,2,4,8,16}))</f>
        <v>0</v>
      </c>
      <c r="J32" s="93">
        <v>0</v>
      </c>
      <c r="K32" s="93">
        <v>0</v>
      </c>
      <c r="M32" t="b">
        <f t="shared" si="0"/>
        <v>1</v>
      </c>
      <c r="V32" s="50" t="s">
        <v>72</v>
      </c>
      <c r="W32" s="55">
        <v>31</v>
      </c>
      <c r="X32" s="51">
        <f>MID(Table189[[#This Row],[IP]],LEN(Table189[[#This Row],[IP]])-1,1)+(--MID(V32,8,1)-1)*9</f>
        <v>71</v>
      </c>
      <c r="Y32" s="52" t="s">
        <v>31</v>
      </c>
      <c r="AE32" s="103" t="str">
        <f t="shared" si="3"/>
        <v>08B</v>
      </c>
      <c r="AF32" s="98">
        <v>51</v>
      </c>
      <c r="AG32" s="98">
        <v>44</v>
      </c>
      <c r="AH32" s="98">
        <v>39</v>
      </c>
      <c r="AI32" s="98">
        <v>44</v>
      </c>
      <c r="AJ32" s="98">
        <v>43</v>
      </c>
      <c r="AL32" s="117">
        <f>Table189[[#This Row],[SBMU01]]+AF32</f>
        <v>756</v>
      </c>
      <c r="AM32">
        <f>Table189[[#This Row],[SBMU02]]+AG32</f>
        <v>755</v>
      </c>
      <c r="AN32">
        <f>Table189[[#This Row],[SBMU03]]+AH32</f>
        <v>750</v>
      </c>
      <c r="AO32">
        <f>Table189[[#This Row],[SBMU04]]+AI32</f>
        <v>752</v>
      </c>
      <c r="AP32" s="118">
        <f>Table189[[#This Row],[SBMU05]]+AJ32</f>
        <v>755</v>
      </c>
    </row>
    <row r="33" spans="1:42" ht="15">
      <c r="A33" t="str">
        <f t="shared" si="1"/>
        <v>10.238.1.89</v>
      </c>
      <c r="B33" s="101" t="str">
        <f>TEXT(MID(Table189[[#This Row],[IP]],LEN(Table189[[#This Row],[IP]])-1,1)+(--MID(Table189[[#This Row],[IP]],8,1)-1)*9,"00")</f>
        <v>08</v>
      </c>
      <c r="C33" s="101" t="s">
        <v>32</v>
      </c>
      <c r="D33" s="107">
        <v>707</v>
      </c>
      <c r="E33" s="93">
        <v>706</v>
      </c>
      <c r="F33" s="93">
        <v>706</v>
      </c>
      <c r="G33" s="93">
        <v>700</v>
      </c>
      <c r="H33" s="108">
        <v>706</v>
      </c>
      <c r="I33" s="93" cm="1">
        <f t="array" ref="I33">IF(SUM(Table189[[#This Row],[SBMU01]:[SBMU05]])=0,0,SUMPRODUCT(IF(Table189[[#This Row],[SBMU01]:[SBMU05]]=0,1,0),{1,2,4,8,16}))</f>
        <v>0</v>
      </c>
      <c r="J33" s="93">
        <v>0</v>
      </c>
      <c r="K33" s="93">
        <v>0</v>
      </c>
      <c r="M33" t="b">
        <f t="shared" si="0"/>
        <v>1</v>
      </c>
      <c r="V33" s="53" t="s">
        <v>73</v>
      </c>
      <c r="W33" s="56">
        <v>31</v>
      </c>
      <c r="X33" s="51">
        <f>MID(Table189[[#This Row],[IP]],LEN(Table189[[#This Row],[IP]])-1,1)+(--MID(V33,8,1)-1)*9</f>
        <v>71</v>
      </c>
      <c r="Y33" s="54" t="s">
        <v>32</v>
      </c>
      <c r="AE33" s="102" t="str">
        <f t="shared" si="3"/>
        <v>08A</v>
      </c>
      <c r="AF33" s="99">
        <v>37</v>
      </c>
      <c r="AG33" s="99">
        <v>38</v>
      </c>
      <c r="AH33" s="99">
        <v>38</v>
      </c>
      <c r="AI33" s="99">
        <v>48</v>
      </c>
      <c r="AJ33" s="99">
        <v>41</v>
      </c>
      <c r="AL33" s="117">
        <f>Table189[[#This Row],[SBMU01]]+AF33</f>
        <v>744</v>
      </c>
      <c r="AM33">
        <f>Table189[[#This Row],[SBMU02]]+AG33</f>
        <v>744</v>
      </c>
      <c r="AN33">
        <f>Table189[[#This Row],[SBMU03]]+AH33</f>
        <v>744</v>
      </c>
      <c r="AO33">
        <f>Table189[[#This Row],[SBMU04]]+AI33</f>
        <v>748</v>
      </c>
      <c r="AP33" s="118">
        <f>Table189[[#This Row],[SBMU05]]+AJ33</f>
        <v>747</v>
      </c>
    </row>
    <row r="34" spans="1:42" ht="15">
      <c r="A34" t="str">
        <f t="shared" si="1"/>
        <v>10.238.1.96</v>
      </c>
      <c r="B34" s="101" t="str">
        <f>TEXT(MID(Table189[[#This Row],[IP]],LEN(Table189[[#This Row],[IP]])-1,1)+(--MID(Table189[[#This Row],[IP]],8,1)-1)*9,"00")</f>
        <v>09</v>
      </c>
      <c r="C34" s="101" t="s">
        <v>29</v>
      </c>
      <c r="D34" s="107">
        <v>717</v>
      </c>
      <c r="E34" s="93">
        <v>712</v>
      </c>
      <c r="F34" s="93">
        <v>715</v>
      </c>
      <c r="G34" s="93">
        <v>708</v>
      </c>
      <c r="H34" s="108">
        <v>714</v>
      </c>
      <c r="I34" s="93" cm="1">
        <f t="array" ref="I34">IF(SUM(Table189[[#This Row],[SBMU01]:[SBMU05]])=0,0,SUMPRODUCT(IF(Table189[[#This Row],[SBMU01]:[SBMU05]]=0,1,0),{1,2,4,8,16}))</f>
        <v>0</v>
      </c>
      <c r="J34" s="93">
        <v>0</v>
      </c>
      <c r="K34" s="93">
        <v>0</v>
      </c>
      <c r="M34" t="b">
        <f t="shared" si="0"/>
        <v>1</v>
      </c>
      <c r="V34" s="50" t="s">
        <v>74</v>
      </c>
      <c r="W34" s="55">
        <v>23</v>
      </c>
      <c r="X34" s="51">
        <f>MID(Table189[[#This Row],[IP]],LEN(Table189[[#This Row],[IP]])-1,1)+(--MID(V34,8,1)-1)*9</f>
        <v>72</v>
      </c>
      <c r="Y34" s="52" t="s">
        <v>29</v>
      </c>
      <c r="AE34" s="103" t="str">
        <f t="shared" si="3"/>
        <v>09D</v>
      </c>
      <c r="AF34" s="98">
        <v>41</v>
      </c>
      <c r="AG34" s="98">
        <v>46</v>
      </c>
      <c r="AH34" s="98">
        <v>45</v>
      </c>
      <c r="AI34" s="98">
        <v>44</v>
      </c>
      <c r="AJ34" s="98">
        <v>42</v>
      </c>
      <c r="AL34" s="117">
        <f>Table189[[#This Row],[SBMU01]]+AF34</f>
        <v>758</v>
      </c>
      <c r="AM34">
        <f>Table189[[#This Row],[SBMU02]]+AG34</f>
        <v>758</v>
      </c>
      <c r="AN34">
        <f>Table189[[#This Row],[SBMU03]]+AH34</f>
        <v>760</v>
      </c>
      <c r="AO34">
        <f>Table189[[#This Row],[SBMU04]]+AI34</f>
        <v>752</v>
      </c>
      <c r="AP34" s="118">
        <f>Table189[[#This Row],[SBMU05]]+AJ34</f>
        <v>756</v>
      </c>
    </row>
    <row r="35" spans="1:42" ht="15">
      <c r="A35" t="str">
        <f t="shared" si="1"/>
        <v>10.238.1.97</v>
      </c>
      <c r="B35" s="101" t="str">
        <f>TEXT(MID(Table189[[#This Row],[IP]],LEN(Table189[[#This Row],[IP]])-1,1)+(--MID(Table189[[#This Row],[IP]],8,1)-1)*9,"00")</f>
        <v>09</v>
      </c>
      <c r="C35" s="101" t="s">
        <v>30</v>
      </c>
      <c r="D35" s="107">
        <v>715</v>
      </c>
      <c r="E35" s="93">
        <v>710</v>
      </c>
      <c r="F35" s="93">
        <v>714</v>
      </c>
      <c r="G35" s="93">
        <v>707</v>
      </c>
      <c r="H35" s="108">
        <v>712</v>
      </c>
      <c r="I35" s="93" cm="1">
        <f t="array" ref="I35">IF(SUM(Table189[[#This Row],[SBMU01]:[SBMU05]])=0,0,SUMPRODUCT(IF(Table189[[#This Row],[SBMU01]:[SBMU05]]=0,1,0),{1,2,4,8,16}))</f>
        <v>0</v>
      </c>
      <c r="J35" s="93">
        <v>0</v>
      </c>
      <c r="K35" s="93">
        <v>0</v>
      </c>
      <c r="M35" t="b">
        <f t="shared" si="0"/>
        <v>1</v>
      </c>
      <c r="V35" s="53" t="s">
        <v>75</v>
      </c>
      <c r="W35" s="56">
        <v>23</v>
      </c>
      <c r="X35" s="51">
        <f>MID(Table189[[#This Row],[IP]],LEN(Table189[[#This Row],[IP]])-1,1)+(--MID(V35,8,1)-1)*9</f>
        <v>72</v>
      </c>
      <c r="Y35" s="54" t="s">
        <v>30</v>
      </c>
      <c r="AE35" s="102" t="str">
        <f t="shared" si="3"/>
        <v>09C</v>
      </c>
      <c r="AF35" s="99">
        <v>40</v>
      </c>
      <c r="AG35" s="99">
        <v>50</v>
      </c>
      <c r="AH35" s="99">
        <v>45</v>
      </c>
      <c r="AI35" s="99">
        <v>48</v>
      </c>
      <c r="AJ35" s="99">
        <v>49</v>
      </c>
      <c r="AL35" s="117">
        <f>Table189[[#This Row],[SBMU01]]+AF35</f>
        <v>755</v>
      </c>
      <c r="AM35">
        <f>Table189[[#This Row],[SBMU02]]+AG35</f>
        <v>760</v>
      </c>
      <c r="AN35">
        <f>Table189[[#This Row],[SBMU03]]+AH35</f>
        <v>759</v>
      </c>
      <c r="AO35">
        <f>Table189[[#This Row],[SBMU04]]+AI35</f>
        <v>755</v>
      </c>
      <c r="AP35" s="118">
        <f>Table189[[#This Row],[SBMU05]]+AJ35</f>
        <v>761</v>
      </c>
    </row>
    <row r="36" spans="1:42" ht="15">
      <c r="A36" t="str">
        <f t="shared" si="1"/>
        <v>10.238.1.98</v>
      </c>
      <c r="B36" s="101" t="str">
        <f>TEXT(MID(Table189[[#This Row],[IP]],LEN(Table189[[#This Row],[IP]])-1,1)+(--MID(Table189[[#This Row],[IP]],8,1)-1)*9,"00")</f>
        <v>09</v>
      </c>
      <c r="C36" s="101" t="s">
        <v>31</v>
      </c>
      <c r="D36" s="107">
        <v>718</v>
      </c>
      <c r="E36" s="93">
        <v>720</v>
      </c>
      <c r="F36" s="93">
        <v>716</v>
      </c>
      <c r="G36" s="93">
        <v>703</v>
      </c>
      <c r="H36" s="108">
        <v>719</v>
      </c>
      <c r="I36" s="93" cm="1">
        <f t="array" ref="I36">IF(SUM(Table189[[#This Row],[SBMU01]:[SBMU05]])=0,0,SUMPRODUCT(IF(Table189[[#This Row],[SBMU01]:[SBMU05]]=0,1,0),{1,2,4,8,16}))</f>
        <v>0</v>
      </c>
      <c r="J36" s="93">
        <v>0</v>
      </c>
      <c r="K36" s="93">
        <v>0</v>
      </c>
      <c r="M36" t="b">
        <f t="shared" si="0"/>
        <v>0</v>
      </c>
      <c r="V36" s="50" t="s">
        <v>76</v>
      </c>
      <c r="W36" s="55">
        <v>24</v>
      </c>
      <c r="X36" s="51">
        <f>MID(Table189[[#This Row],[IP]],LEN(Table189[[#This Row],[IP]])-1,1)+(--MID(V36,8,1)-1)*9</f>
        <v>72</v>
      </c>
      <c r="Y36" s="52" t="s">
        <v>31</v>
      </c>
      <c r="AE36" s="103" t="str">
        <f t="shared" si="3"/>
        <v>09B</v>
      </c>
      <c r="AF36" s="98">
        <v>42</v>
      </c>
      <c r="AG36" s="98">
        <v>41</v>
      </c>
      <c r="AH36" s="98">
        <v>46</v>
      </c>
      <c r="AI36" s="98">
        <v>56</v>
      </c>
      <c r="AJ36" s="98">
        <v>43</v>
      </c>
      <c r="AL36" s="117">
        <f>Table189[[#This Row],[SBMU01]]+AF36</f>
        <v>760</v>
      </c>
      <c r="AM36">
        <f>Table189[[#This Row],[SBMU02]]+AG36</f>
        <v>761</v>
      </c>
      <c r="AN36">
        <f>Table189[[#This Row],[SBMU03]]+AH36</f>
        <v>762</v>
      </c>
      <c r="AO36">
        <f>Table189[[#This Row],[SBMU04]]+AI36</f>
        <v>759</v>
      </c>
      <c r="AP36" s="118">
        <f>Table189[[#This Row],[SBMU05]]+AJ36</f>
        <v>762</v>
      </c>
    </row>
    <row r="37" spans="1:42" ht="15.75" thickBot="1">
      <c r="A37" t="str">
        <f t="shared" si="1"/>
        <v>10.238.1.99</v>
      </c>
      <c r="B37" s="101" t="str">
        <f>TEXT(MID(Table189[[#This Row],[IP]],LEN(Table189[[#This Row],[IP]])-1,1)+(--MID(Table189[[#This Row],[IP]],8,1)-1)*9,"00")</f>
        <v>09</v>
      </c>
      <c r="C37" s="101" t="s">
        <v>32</v>
      </c>
      <c r="D37" s="109">
        <v>715</v>
      </c>
      <c r="E37" s="110">
        <v>716</v>
      </c>
      <c r="F37" s="110">
        <v>708</v>
      </c>
      <c r="G37" s="110">
        <v>709</v>
      </c>
      <c r="H37" s="111">
        <v>716</v>
      </c>
      <c r="I37" s="93" cm="1">
        <f t="array" ref="I37">IF(SUM(Table189[[#This Row],[SBMU01]:[SBMU05]])=0,0,SUMPRODUCT(IF(Table189[[#This Row],[SBMU01]:[SBMU05]]=0,1,0),{1,2,4,8,16}))</f>
        <v>0</v>
      </c>
      <c r="J37" s="93">
        <v>0</v>
      </c>
      <c r="K37" s="93">
        <v>0</v>
      </c>
      <c r="M37" t="b">
        <f t="shared" si="0"/>
        <v>1</v>
      </c>
      <c r="V37" s="53" t="s">
        <v>77</v>
      </c>
      <c r="W37" s="56">
        <v>24</v>
      </c>
      <c r="X37" s="51">
        <f>MID(Table189[[#This Row],[IP]],LEN(Table189[[#This Row],[IP]])-1,1)+(--MID(V37,8,1)-1)*9</f>
        <v>72</v>
      </c>
      <c r="Y37" s="54" t="s">
        <v>32</v>
      </c>
      <c r="AE37" s="102" t="str">
        <f t="shared" si="3"/>
        <v>09A</v>
      </c>
      <c r="AF37" s="99">
        <v>45</v>
      </c>
      <c r="AG37" s="99">
        <v>43</v>
      </c>
      <c r="AH37" s="99">
        <v>49</v>
      </c>
      <c r="AI37" s="99">
        <v>47</v>
      </c>
      <c r="AJ37" s="99">
        <v>41</v>
      </c>
      <c r="AL37" s="119">
        <f>Table189[[#This Row],[SBMU01]]+AF37</f>
        <v>760</v>
      </c>
      <c r="AM37" s="120">
        <f>Table189[[#This Row],[SBMU02]]+AG37</f>
        <v>759</v>
      </c>
      <c r="AN37" s="120">
        <f>Table189[[#This Row],[SBMU03]]+AH37</f>
        <v>757</v>
      </c>
      <c r="AO37" s="120">
        <f>Table189[[#This Row],[SBMU04]]+AI37</f>
        <v>756</v>
      </c>
      <c r="AP37" s="121">
        <f>Table189[[#This Row],[SBMU05]]+AJ37</f>
        <v>757</v>
      </c>
    </row>
  </sheetData>
  <conditionalFormatting sqref="I2:I37">
    <cfRule type="cellIs" dxfId="81" priority="9" operator="notEqual">
      <formula>K2</formula>
    </cfRule>
  </conditionalFormatting>
  <conditionalFormatting sqref="M3:M37">
    <cfRule type="cellIs" dxfId="80" priority="8" operator="equal">
      <formula>TRUE</formula>
    </cfRule>
  </conditionalFormatting>
  <conditionalFormatting sqref="M2">
    <cfRule type="cellIs" dxfId="79" priority="7" operator="equal">
      <formula>TRUE</formula>
    </cfRule>
  </conditionalFormatting>
  <conditionalFormatting sqref="D2:H37">
    <cfRule type="top10" dxfId="78" priority="4" rank="1"/>
    <cfRule type="cellIs" dxfId="77" priority="6" operator="lessThan">
      <formula>3</formula>
    </cfRule>
  </conditionalFormatting>
  <conditionalFormatting sqref="AF2:AJ37">
    <cfRule type="top10" dxfId="76" priority="3" bottom="1" rank="1"/>
    <cfRule type="cellIs" dxfId="75" priority="5" operator="lessThan">
      <formula>2.8</formula>
    </cfRule>
  </conditionalFormatting>
  <conditionalFormatting sqref="AL2:AP37">
    <cfRule type="top10" dxfId="74" priority="1" bottom="1" rank="1"/>
    <cfRule type="expression" dxfId="73" priority="2">
      <formula>AL2&lt;700</formula>
    </cfRule>
  </conditionalFormatting>
  <dataValidations count="3">
    <dataValidation type="list" allowBlank="1" showInputMessage="1" showErrorMessage="1" sqref="P2" xr:uid="{4E9D2D74-A9FD-46F6-8301-1BB6F0DA58B6}">
      <formula1>"Y,N"</formula1>
    </dataValidation>
    <dataValidation type="list" allowBlank="1" sqref="O1:O2" xr:uid="{F4E3FE84-F377-4D99-963A-631F6E56EA8C}">
      <formula1>$Q$3:$Q$16</formula1>
    </dataValidation>
    <dataValidation type="list" allowBlank="1" showInputMessage="1" showErrorMessage="1" sqref="R1" xr:uid="{23BD5CE7-B09A-4601-BDDF-F95BDB0C5C24}">
      <formula1>$AA$2:$AA$9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alibrateRead">
                <anchor>
                  <from>
                    <xdr:col>13</xdr:col>
                    <xdr:colOff>323850</xdr:colOff>
                    <xdr:row>2</xdr:row>
                    <xdr:rowOff>171450</xdr:rowOff>
                  </from>
                  <to>
                    <xdr:col>14</xdr:col>
                    <xdr:colOff>533400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alibrateWrite">
                <anchor>
                  <from>
                    <xdr:col>13</xdr:col>
                    <xdr:colOff>323850</xdr:colOff>
                    <xdr:row>6</xdr:row>
                    <xdr:rowOff>47625</xdr:rowOff>
                  </from>
                  <to>
                    <xdr:col>14</xdr:col>
                    <xdr:colOff>533400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254F2-CDA8-46EC-8008-98A5655C89BA}">
  <sheetPr codeName="Sheet8"/>
  <dimension ref="A1:AP37"/>
  <sheetViews>
    <sheetView zoomScaleNormal="100" workbookViewId="0">
      <pane ySplit="1" topLeftCell="A2" activePane="bottomLeft" state="frozen"/>
      <selection activeCell="Q20" sqref="Q20"/>
      <selection pane="bottomLeft" activeCell="A2" sqref="A2"/>
    </sheetView>
  </sheetViews>
  <sheetFormatPr defaultRowHeight="13.5"/>
  <cols>
    <col min="1" max="1" width="11.875" bestFit="1" customWidth="1"/>
    <col min="2" max="3" width="3.375" bestFit="1" customWidth="1"/>
    <col min="4" max="8" width="7.875" bestFit="1" customWidth="1"/>
    <col min="9" max="9" width="6.75" bestFit="1" customWidth="1"/>
    <col min="10" max="10" width="9" bestFit="1" customWidth="1"/>
    <col min="12" max="12" width="9" bestFit="1" customWidth="1"/>
    <col min="13" max="13" width="5.875" bestFit="1" customWidth="1"/>
    <col min="16" max="16" width="5.25" customWidth="1"/>
    <col min="17" max="17" width="4.875" bestFit="1" customWidth="1"/>
    <col min="18" max="18" width="8.875" customWidth="1"/>
    <col min="19" max="21" width="3.5" customWidth="1"/>
    <col min="22" max="22" width="9" hidden="1" customWidth="1"/>
    <col min="23" max="23" width="11.875" hidden="1" customWidth="1"/>
    <col min="24" max="30" width="9" hidden="1" customWidth="1"/>
    <col min="31" max="31" width="4.25" bestFit="1" customWidth="1"/>
    <col min="32" max="36" width="7.875" bestFit="1" customWidth="1"/>
    <col min="38" max="38" width="4.875" bestFit="1" customWidth="1"/>
    <col min="39" max="39" width="5.875" bestFit="1" customWidth="1"/>
    <col min="40" max="40" width="4.875" bestFit="1" customWidth="1"/>
    <col min="41" max="41" width="5.875" bestFit="1" customWidth="1"/>
    <col min="42" max="42" width="4.875" bestFit="1" customWidth="1"/>
  </cols>
  <sheetData>
    <row r="1" spans="1:42" ht="14.25" thickBot="1">
      <c r="A1" t="s">
        <v>27</v>
      </c>
      <c r="B1" t="s">
        <v>28</v>
      </c>
      <c r="C1" t="s">
        <v>739</v>
      </c>
      <c r="D1" t="s">
        <v>732</v>
      </c>
      <c r="E1" t="s">
        <v>733</v>
      </c>
      <c r="F1" t="s">
        <v>734</v>
      </c>
      <c r="G1" t="s">
        <v>735</v>
      </c>
      <c r="H1" t="s">
        <v>736</v>
      </c>
      <c r="I1" t="s">
        <v>752</v>
      </c>
      <c r="J1" t="s">
        <v>737</v>
      </c>
      <c r="K1" t="s">
        <v>756</v>
      </c>
      <c r="L1" t="s">
        <v>751</v>
      </c>
      <c r="M1" t="s">
        <v>33</v>
      </c>
      <c r="N1" t="s">
        <v>753</v>
      </c>
      <c r="O1" s="47">
        <v>909</v>
      </c>
      <c r="Q1" t="s">
        <v>79</v>
      </c>
      <c r="R1" s="57">
        <v>7</v>
      </c>
      <c r="AE1" s="100" t="s">
        <v>28</v>
      </c>
      <c r="AF1" s="96" t="s">
        <v>732</v>
      </c>
      <c r="AG1" s="96" t="s">
        <v>733</v>
      </c>
      <c r="AH1" s="96" t="s">
        <v>734</v>
      </c>
      <c r="AI1" s="96" t="s">
        <v>735</v>
      </c>
      <c r="AJ1" s="96" t="s">
        <v>736</v>
      </c>
    </row>
    <row r="2" spans="1:42" ht="15">
      <c r="A2" t="str">
        <f>SUBSTITUTE(V2,".8.","."&amp;$R$1&amp;".")</f>
        <v>10.238.7.16</v>
      </c>
      <c r="B2" s="85">
        <f>MID(Table18[[#This Row],[IP]],LEN(Table18[[#This Row],[IP]])-1,1)+(--MID(Table18[[#This Row],[IP]],8,1)-1)*9</f>
        <v>55</v>
      </c>
      <c r="C2" s="85" t="s">
        <v>29</v>
      </c>
      <c r="D2" s="104">
        <v>1408.2</v>
      </c>
      <c r="E2" s="105">
        <v>1409.8</v>
      </c>
      <c r="F2" s="105">
        <v>1408.6</v>
      </c>
      <c r="G2" s="105">
        <v>1410.5</v>
      </c>
      <c r="H2" s="106">
        <v>1409.4</v>
      </c>
      <c r="I2" s="93" cm="1">
        <f t="array" ref="I2">IF(SUM((Table18[[#This Row],[SBMU01]:[SBMU05]]&lt;3)*1)=5,0,SUMPRODUCT(IF(Table18[[#This Row],[SBMU01]:[SBMU05]]&lt;3,1,0),{1,2,4,8,16}))</f>
        <v>0</v>
      </c>
      <c r="J2" s="93">
        <v>0</v>
      </c>
      <c r="K2" s="93">
        <v>0</v>
      </c>
      <c r="M2" t="b">
        <f t="shared" ref="M2:M37" si="0">MAX($D2:$H2)-MIN($D2:$H2)&lt;10</f>
        <v>1</v>
      </c>
      <c r="N2" t="s">
        <v>754</v>
      </c>
      <c r="O2" s="47">
        <v>1078</v>
      </c>
      <c r="P2" s="92" t="s">
        <v>755</v>
      </c>
      <c r="V2" s="50" t="s">
        <v>42</v>
      </c>
      <c r="W2" s="55">
        <v>33</v>
      </c>
      <c r="X2" s="51">
        <f>MID(Table18[[#This Row],[IP]],LEN(Table18[[#This Row],[IP]])-1,1)+(--MID(V2,8,1)-1)*9</f>
        <v>64</v>
      </c>
      <c r="Y2" s="52" t="s">
        <v>29</v>
      </c>
      <c r="AA2">
        <v>1</v>
      </c>
      <c r="AC2">
        <f>O2</f>
        <v>1078</v>
      </c>
      <c r="AD2">
        <f>O1</f>
        <v>909</v>
      </c>
      <c r="AE2" s="103" t="str">
        <f>B2&amp;C2</f>
        <v>55D</v>
      </c>
      <c r="AF2" s="98">
        <v>15</v>
      </c>
      <c r="AG2" s="98">
        <v>20</v>
      </c>
      <c r="AH2" s="98">
        <v>17</v>
      </c>
      <c r="AI2" s="98">
        <v>19</v>
      </c>
      <c r="AJ2" s="98">
        <v>18</v>
      </c>
      <c r="AL2" s="114">
        <f>Table18[[#This Row],[SBMU01]]+AF2</f>
        <v>1423.2</v>
      </c>
      <c r="AM2" s="115">
        <f>Table18[[#This Row],[SBMU02]]+AG2</f>
        <v>1429.8</v>
      </c>
      <c r="AN2" s="115">
        <f>Table18[[#This Row],[SBMU03]]+AH2</f>
        <v>1425.6</v>
      </c>
      <c r="AO2" s="115">
        <f>Table18[[#This Row],[SBMU04]]+AI2</f>
        <v>1429.5</v>
      </c>
      <c r="AP2" s="116">
        <f>Table18[[#This Row],[SBMU05]]+AJ2</f>
        <v>1427.4</v>
      </c>
    </row>
    <row r="3" spans="1:42" ht="15">
      <c r="A3" t="str">
        <f t="shared" ref="A3:A37" si="1">SUBSTITUTE(V3,".8.","."&amp;$R$1&amp;".")</f>
        <v>10.238.7.17</v>
      </c>
      <c r="B3" s="85">
        <f>MID(Table18[[#This Row],[IP]],LEN(Table18[[#This Row],[IP]])-1,1)+(--MID(Table18[[#This Row],[IP]],8,1)-1)*9</f>
        <v>55</v>
      </c>
      <c r="C3" s="85" t="s">
        <v>30</v>
      </c>
      <c r="D3" s="107">
        <v>1406.7</v>
      </c>
      <c r="E3" s="93">
        <v>1407.5</v>
      </c>
      <c r="F3" s="93">
        <v>1405.9</v>
      </c>
      <c r="G3" s="93">
        <v>1408</v>
      </c>
      <c r="H3" s="108">
        <v>1406.2</v>
      </c>
      <c r="I3" s="93" cm="1">
        <f t="array" ref="I3">IF(SUM((Table18[[#This Row],[SBMU01]:[SBMU05]]&lt;3)*1)=5,0,SUMPRODUCT(IF(Table18[[#This Row],[SBMU01]:[SBMU05]]&lt;3,1,0),{1,2,4,8,16}))</f>
        <v>0</v>
      </c>
      <c r="J3" s="93">
        <v>0</v>
      </c>
      <c r="K3" s="93">
        <v>0</v>
      </c>
      <c r="M3" t="b">
        <f t="shared" si="0"/>
        <v>1</v>
      </c>
      <c r="Q3" s="94">
        <v>1067</v>
      </c>
      <c r="R3" t="s">
        <v>740</v>
      </c>
      <c r="V3" s="53" t="s">
        <v>43</v>
      </c>
      <c r="W3" s="56">
        <v>32</v>
      </c>
      <c r="X3" s="51">
        <f>MID(Table18[[#This Row],[IP]],LEN(Table18[[#This Row],[IP]])-1,1)+(--MID(V3,8,1)-1)*9</f>
        <v>64</v>
      </c>
      <c r="Y3" s="54" t="s">
        <v>30</v>
      </c>
      <c r="AA3">
        <v>2</v>
      </c>
      <c r="AC3">
        <f t="shared" ref="AC3:AD6" si="2">AC2+1024</f>
        <v>2102</v>
      </c>
      <c r="AD3">
        <f t="shared" si="2"/>
        <v>1933</v>
      </c>
      <c r="AE3" s="102" t="str">
        <f t="shared" ref="AE3:AE37" si="3">B3&amp;C3</f>
        <v>55C</v>
      </c>
      <c r="AF3" s="99">
        <v>21</v>
      </c>
      <c r="AG3" s="99">
        <v>20</v>
      </c>
      <c r="AH3" s="99">
        <v>21</v>
      </c>
      <c r="AI3" s="99">
        <v>13</v>
      </c>
      <c r="AJ3" s="99">
        <v>20</v>
      </c>
      <c r="AL3" s="117">
        <f>Table18[[#This Row],[SBMU01]]+AF3</f>
        <v>1427.7</v>
      </c>
      <c r="AM3">
        <f>Table18[[#This Row],[SBMU02]]+AG3</f>
        <v>1427.5</v>
      </c>
      <c r="AN3">
        <f>Table18[[#This Row],[SBMU03]]+AH3</f>
        <v>1426.9</v>
      </c>
      <c r="AO3">
        <f>Table18[[#This Row],[SBMU04]]+AI3</f>
        <v>1421</v>
      </c>
      <c r="AP3" s="118">
        <f>Table18[[#This Row],[SBMU05]]+AJ3</f>
        <v>1426.2</v>
      </c>
    </row>
    <row r="4" spans="1:42" ht="15">
      <c r="A4" t="str">
        <f t="shared" si="1"/>
        <v>10.238.7.18</v>
      </c>
      <c r="B4" s="85">
        <f>MID(Table18[[#This Row],[IP]],LEN(Table18[[#This Row],[IP]])-1,1)+(--MID(Table18[[#This Row],[IP]],8,1)-1)*9</f>
        <v>55</v>
      </c>
      <c r="C4" s="85" t="s">
        <v>31</v>
      </c>
      <c r="D4" s="107">
        <v>1413.6</v>
      </c>
      <c r="E4" s="93">
        <v>1413.3</v>
      </c>
      <c r="F4" s="93">
        <v>1414</v>
      </c>
      <c r="G4" s="93">
        <v>1414.3</v>
      </c>
      <c r="H4" s="108">
        <v>1412.8</v>
      </c>
      <c r="I4" s="93" cm="1">
        <f t="array" ref="I4">IF(SUM((Table18[[#This Row],[SBMU01]:[SBMU05]]&lt;3)*1)=5,0,SUMPRODUCT(IF(Table18[[#This Row],[SBMU01]:[SBMU05]]&lt;3,1,0),{1,2,4,8,16}))</f>
        <v>0</v>
      </c>
      <c r="J4" s="93">
        <v>0</v>
      </c>
      <c r="K4" s="93">
        <v>0</v>
      </c>
      <c r="M4" t="b">
        <f t="shared" si="0"/>
        <v>1</v>
      </c>
      <c r="Q4" s="95">
        <v>1068</v>
      </c>
      <c r="R4" t="s">
        <v>741</v>
      </c>
      <c r="V4" s="50" t="s">
        <v>44</v>
      </c>
      <c r="W4" s="55">
        <v>32</v>
      </c>
      <c r="X4" s="51">
        <f>MID(Table18[[#This Row],[IP]],LEN(Table18[[#This Row],[IP]])-1,1)+(--MID(V4,8,1)-1)*9</f>
        <v>64</v>
      </c>
      <c r="Y4" s="52" t="s">
        <v>31</v>
      </c>
      <c r="AA4">
        <v>3</v>
      </c>
      <c r="AC4">
        <f t="shared" si="2"/>
        <v>3126</v>
      </c>
      <c r="AD4">
        <f t="shared" si="2"/>
        <v>2957</v>
      </c>
      <c r="AE4" s="103" t="str">
        <f t="shared" si="3"/>
        <v>55B</v>
      </c>
      <c r="AF4" s="98">
        <v>17</v>
      </c>
      <c r="AG4" s="98">
        <v>16</v>
      </c>
      <c r="AH4" s="98">
        <v>15</v>
      </c>
      <c r="AI4" s="98">
        <v>15</v>
      </c>
      <c r="AJ4" s="98">
        <v>15</v>
      </c>
      <c r="AL4" s="117">
        <f>Table18[[#This Row],[SBMU01]]+AF4</f>
        <v>1430.6</v>
      </c>
      <c r="AM4">
        <f>Table18[[#This Row],[SBMU02]]+AG4</f>
        <v>1429.3</v>
      </c>
      <c r="AN4">
        <f>Table18[[#This Row],[SBMU03]]+AH4</f>
        <v>1429</v>
      </c>
      <c r="AO4">
        <f>Table18[[#This Row],[SBMU04]]+AI4</f>
        <v>1429.3</v>
      </c>
      <c r="AP4" s="118">
        <f>Table18[[#This Row],[SBMU05]]+AJ4</f>
        <v>1427.8</v>
      </c>
    </row>
    <row r="5" spans="1:42" ht="15">
      <c r="A5" t="str">
        <f t="shared" si="1"/>
        <v>10.238.7.19</v>
      </c>
      <c r="B5" s="101">
        <f>MID(Table18[[#This Row],[IP]],LEN(Table18[[#This Row],[IP]])-1,1)+(--MID(Table18[[#This Row],[IP]],8,1)-1)*9</f>
        <v>55</v>
      </c>
      <c r="C5" s="101" t="s">
        <v>32</v>
      </c>
      <c r="D5" s="107">
        <v>1401.2</v>
      </c>
      <c r="E5" s="93">
        <v>1400</v>
      </c>
      <c r="F5" s="93">
        <v>1399.5</v>
      </c>
      <c r="G5" s="93">
        <v>1400.8</v>
      </c>
      <c r="H5" s="108">
        <v>1400.7</v>
      </c>
      <c r="I5" s="93" cm="1">
        <f t="array" ref="I5">IF(SUM((Table18[[#This Row],[SBMU01]:[SBMU05]]&lt;3)*1)=5,0,SUMPRODUCT(IF(Table18[[#This Row],[SBMU01]:[SBMU05]]&lt;3,1,0),{1,2,4,8,16}))</f>
        <v>0</v>
      </c>
      <c r="J5" s="93">
        <v>0</v>
      </c>
      <c r="K5" s="93">
        <v>0</v>
      </c>
      <c r="M5" t="b">
        <f t="shared" si="0"/>
        <v>1</v>
      </c>
      <c r="Q5">
        <v>1078</v>
      </c>
      <c r="R5" t="s">
        <v>744</v>
      </c>
      <c r="V5" s="53" t="s">
        <v>45</v>
      </c>
      <c r="W5" s="56">
        <v>32</v>
      </c>
      <c r="X5" s="51">
        <f>MID(Table18[[#This Row],[IP]],LEN(Table18[[#This Row],[IP]])-1,1)+(--MID(V5,8,1)-1)*9</f>
        <v>64</v>
      </c>
      <c r="Y5" s="54" t="s">
        <v>32</v>
      </c>
      <c r="AA5">
        <v>4</v>
      </c>
      <c r="AC5">
        <f t="shared" si="2"/>
        <v>4150</v>
      </c>
      <c r="AD5">
        <f t="shared" si="2"/>
        <v>3981</v>
      </c>
      <c r="AE5" s="102" t="str">
        <f t="shared" si="3"/>
        <v>55A</v>
      </c>
      <c r="AF5" s="99">
        <v>4</v>
      </c>
      <c r="AG5" s="99">
        <v>42</v>
      </c>
      <c r="AH5" s="99">
        <v>45</v>
      </c>
      <c r="AI5" s="99">
        <v>39</v>
      </c>
      <c r="AJ5" s="99">
        <v>41</v>
      </c>
      <c r="AL5" s="117">
        <f>Table18[[#This Row],[SBMU01]]+AF5</f>
        <v>1405.2</v>
      </c>
      <c r="AM5">
        <f>Table18[[#This Row],[SBMU02]]+AG5</f>
        <v>1442</v>
      </c>
      <c r="AN5">
        <f>Table18[[#This Row],[SBMU03]]+AH5</f>
        <v>1444.5</v>
      </c>
      <c r="AO5">
        <f>Table18[[#This Row],[SBMU04]]+AI5</f>
        <v>1439.8</v>
      </c>
      <c r="AP5" s="118">
        <f>Table18[[#This Row],[SBMU05]]+AJ5</f>
        <v>1441.7</v>
      </c>
    </row>
    <row r="6" spans="1:42" ht="13.5" customHeight="1">
      <c r="A6" t="str">
        <f t="shared" si="1"/>
        <v>10.238.7.26</v>
      </c>
      <c r="B6" s="101">
        <f>MID(Table18[[#This Row],[IP]],LEN(Table18[[#This Row],[IP]])-1,1)+(--MID(Table18[[#This Row],[IP]],8,1)-1)*9</f>
        <v>56</v>
      </c>
      <c r="C6" s="101" t="s">
        <v>29</v>
      </c>
      <c r="D6" s="107">
        <v>1392</v>
      </c>
      <c r="E6" s="93">
        <v>1392.2</v>
      </c>
      <c r="F6" s="93">
        <v>1392.4</v>
      </c>
      <c r="G6" s="93">
        <v>1389.4</v>
      </c>
      <c r="H6" s="108">
        <v>1392.1</v>
      </c>
      <c r="I6" s="93" cm="1">
        <f t="array" ref="I6">IF(SUM((Table18[[#This Row],[SBMU01]:[SBMU05]]&lt;3)*1)=5,0,SUMPRODUCT(IF(Table18[[#This Row],[SBMU01]:[SBMU05]]&lt;3,1,0),{1,2,4,8,16}))</f>
        <v>0</v>
      </c>
      <c r="J6" s="93">
        <v>0</v>
      </c>
      <c r="K6" s="93">
        <v>0</v>
      </c>
      <c r="M6" t="b">
        <f t="shared" si="0"/>
        <v>1</v>
      </c>
      <c r="Q6">
        <v>1079</v>
      </c>
      <c r="R6" t="s">
        <v>745</v>
      </c>
      <c r="V6" s="50" t="s">
        <v>46</v>
      </c>
      <c r="W6" s="55" t="s">
        <v>737</v>
      </c>
      <c r="X6" s="51">
        <f>MID(Table18[[#This Row],[IP]],LEN(Table18[[#This Row],[IP]])-1,1)+(--MID(V6,8,1)-1)*9</f>
        <v>65</v>
      </c>
      <c r="Y6" s="52" t="s">
        <v>29</v>
      </c>
      <c r="AA6">
        <v>5</v>
      </c>
      <c r="AC6">
        <f t="shared" si="2"/>
        <v>5174</v>
      </c>
      <c r="AD6">
        <f t="shared" si="2"/>
        <v>5005</v>
      </c>
      <c r="AE6" s="103" t="str">
        <f t="shared" si="3"/>
        <v>56D</v>
      </c>
      <c r="AF6" s="98">
        <v>1</v>
      </c>
      <c r="AG6" s="98">
        <v>2</v>
      </c>
      <c r="AH6" s="98">
        <v>2</v>
      </c>
      <c r="AI6" s="98">
        <v>11</v>
      </c>
      <c r="AJ6" s="98">
        <v>3</v>
      </c>
      <c r="AL6" s="117">
        <f>Table18[[#This Row],[SBMU01]]+AF6</f>
        <v>1393</v>
      </c>
      <c r="AM6">
        <f>Table18[[#This Row],[SBMU02]]+AG6</f>
        <v>1394.2</v>
      </c>
      <c r="AN6">
        <f>Table18[[#This Row],[SBMU03]]+AH6</f>
        <v>1394.4</v>
      </c>
      <c r="AO6">
        <f>Table18[[#This Row],[SBMU04]]+AI6</f>
        <v>1400.4</v>
      </c>
      <c r="AP6" s="118">
        <f>Table18[[#This Row],[SBMU05]]+AJ6</f>
        <v>1395.1</v>
      </c>
    </row>
    <row r="7" spans="1:42" ht="15">
      <c r="A7" t="str">
        <f t="shared" si="1"/>
        <v>10.238.7.27</v>
      </c>
      <c r="B7" s="101">
        <f>MID(Table18[[#This Row],[IP]],LEN(Table18[[#This Row],[IP]])-1,1)+(--MID(Table18[[#This Row],[IP]],8,1)-1)*9</f>
        <v>56</v>
      </c>
      <c r="C7" s="101" t="s">
        <v>30</v>
      </c>
      <c r="D7" s="107">
        <v>1384.9</v>
      </c>
      <c r="E7" s="93">
        <v>1384.5</v>
      </c>
      <c r="F7" s="93">
        <v>1385</v>
      </c>
      <c r="G7" s="93">
        <v>1383.6</v>
      </c>
      <c r="H7" s="108">
        <v>1383.6</v>
      </c>
      <c r="I7" s="93" cm="1">
        <f t="array" ref="I7">IF(SUM((Table18[[#This Row],[SBMU01]:[SBMU05]]&lt;3)*1)=5,0,SUMPRODUCT(IF(Table18[[#This Row],[SBMU01]:[SBMU05]]&lt;3,1,0),{1,2,4,8,16}))</f>
        <v>0</v>
      </c>
      <c r="J7" s="93">
        <v>0</v>
      </c>
      <c r="K7" s="93">
        <v>0</v>
      </c>
      <c r="M7" t="b">
        <f t="shared" si="0"/>
        <v>1</v>
      </c>
      <c r="Q7">
        <v>909</v>
      </c>
      <c r="R7" t="s">
        <v>747</v>
      </c>
      <c r="V7" s="53" t="s">
        <v>47</v>
      </c>
      <c r="W7" s="56">
        <v>18</v>
      </c>
      <c r="X7" s="51">
        <f>MID(Table18[[#This Row],[IP]],LEN(Table18[[#This Row],[IP]])-1,1)+(--MID(V7,8,1)-1)*9</f>
        <v>65</v>
      </c>
      <c r="Y7" s="54" t="s">
        <v>30</v>
      </c>
      <c r="AA7">
        <v>6</v>
      </c>
      <c r="AE7" s="102" t="str">
        <f t="shared" si="3"/>
        <v>56C</v>
      </c>
      <c r="AF7" s="99">
        <v>0</v>
      </c>
      <c r="AG7" s="99">
        <v>0</v>
      </c>
      <c r="AH7" s="99">
        <v>0</v>
      </c>
      <c r="AI7" s="99">
        <v>10</v>
      </c>
      <c r="AJ7" s="99">
        <v>0</v>
      </c>
      <c r="AL7" s="117">
        <f>Table18[[#This Row],[SBMU01]]+AF7</f>
        <v>1384.9</v>
      </c>
      <c r="AM7">
        <f>Table18[[#This Row],[SBMU02]]+AG7</f>
        <v>1384.5</v>
      </c>
      <c r="AN7">
        <f>Table18[[#This Row],[SBMU03]]+AH7</f>
        <v>1385</v>
      </c>
      <c r="AO7">
        <f>Table18[[#This Row],[SBMU04]]+AI7</f>
        <v>1393.6</v>
      </c>
      <c r="AP7" s="118">
        <f>Table18[[#This Row],[SBMU05]]+AJ7</f>
        <v>1383.6</v>
      </c>
    </row>
    <row r="8" spans="1:42" ht="15">
      <c r="A8" t="str">
        <f t="shared" si="1"/>
        <v>10.238.7.28</v>
      </c>
      <c r="B8" s="101">
        <f>MID(Table18[[#This Row],[IP]],LEN(Table18[[#This Row],[IP]])-1,1)+(--MID(Table18[[#This Row],[IP]],8,1)-1)*9</f>
        <v>56</v>
      </c>
      <c r="C8" s="101" t="s">
        <v>31</v>
      </c>
      <c r="D8" s="107">
        <v>1387.9</v>
      </c>
      <c r="E8" s="93">
        <v>1388.6</v>
      </c>
      <c r="F8" s="93">
        <v>1387.7</v>
      </c>
      <c r="G8" s="93">
        <v>1388.4</v>
      </c>
      <c r="H8" s="108">
        <v>1388.2</v>
      </c>
      <c r="I8" s="93" cm="1">
        <f t="array" ref="I8">IF(SUM((Table18[[#This Row],[SBMU01]:[SBMU05]]&lt;3)*1)=5,0,SUMPRODUCT(IF(Table18[[#This Row],[SBMU01]:[SBMU05]]&lt;3,1,0),{1,2,4,8,16}))</f>
        <v>0</v>
      </c>
      <c r="J8" s="93">
        <v>0</v>
      </c>
      <c r="K8" s="93">
        <v>0</v>
      </c>
      <c r="M8" t="b">
        <f t="shared" si="0"/>
        <v>1</v>
      </c>
      <c r="Q8">
        <v>1057</v>
      </c>
      <c r="R8" t="s">
        <v>6</v>
      </c>
      <c r="V8" s="50" t="s">
        <v>48</v>
      </c>
      <c r="W8" s="55">
        <v>13</v>
      </c>
      <c r="X8" s="51">
        <f>MID(Table18[[#This Row],[IP]],LEN(Table18[[#This Row],[IP]])-1,1)+(--MID(V8,8,1)-1)*9</f>
        <v>65</v>
      </c>
      <c r="Y8" s="52" t="s">
        <v>31</v>
      </c>
      <c r="AA8">
        <v>7</v>
      </c>
      <c r="AE8" s="103" t="str">
        <f t="shared" si="3"/>
        <v>56B</v>
      </c>
      <c r="AF8" s="98">
        <v>2</v>
      </c>
      <c r="AG8" s="98">
        <v>10</v>
      </c>
      <c r="AH8" s="98">
        <v>18</v>
      </c>
      <c r="AI8" s="98">
        <v>19</v>
      </c>
      <c r="AJ8" s="98">
        <v>19</v>
      </c>
      <c r="AL8" s="117">
        <f>Table18[[#This Row],[SBMU01]]+AF8</f>
        <v>1389.9</v>
      </c>
      <c r="AM8">
        <f>Table18[[#This Row],[SBMU02]]+AG8</f>
        <v>1398.6</v>
      </c>
      <c r="AN8">
        <f>Table18[[#This Row],[SBMU03]]+AH8</f>
        <v>1405.7</v>
      </c>
      <c r="AO8">
        <f>Table18[[#This Row],[SBMU04]]+AI8</f>
        <v>1407.4</v>
      </c>
      <c r="AP8" s="118">
        <f>Table18[[#This Row],[SBMU05]]+AJ8</f>
        <v>1407.2</v>
      </c>
    </row>
    <row r="9" spans="1:42" ht="15">
      <c r="A9" t="str">
        <f t="shared" si="1"/>
        <v>10.238.7.29</v>
      </c>
      <c r="B9" s="101">
        <f>MID(Table18[[#This Row],[IP]],LEN(Table18[[#This Row],[IP]])-1,1)+(--MID(Table18[[#This Row],[IP]],8,1)-1)*9</f>
        <v>56</v>
      </c>
      <c r="C9" s="101" t="s">
        <v>32</v>
      </c>
      <c r="D9" s="107">
        <v>1385.2</v>
      </c>
      <c r="E9" s="93">
        <v>1386</v>
      </c>
      <c r="F9" s="93">
        <v>1385.3</v>
      </c>
      <c r="G9" s="93">
        <v>1385.1</v>
      </c>
      <c r="H9" s="108">
        <v>1384.6</v>
      </c>
      <c r="I9" s="93" cm="1">
        <f t="array" ref="I9">IF(SUM((Table18[[#This Row],[SBMU01]:[SBMU05]]&lt;3)*1)=5,0,SUMPRODUCT(IF(Table18[[#This Row],[SBMU01]:[SBMU05]]&lt;3,1,0),{1,2,4,8,16}))</f>
        <v>0</v>
      </c>
      <c r="J9" s="93">
        <v>0</v>
      </c>
      <c r="K9" s="93">
        <v>0</v>
      </c>
      <c r="M9" t="b">
        <f t="shared" si="0"/>
        <v>1</v>
      </c>
      <c r="Q9">
        <v>1058</v>
      </c>
      <c r="R9" t="s">
        <v>7</v>
      </c>
      <c r="V9" s="53" t="s">
        <v>49</v>
      </c>
      <c r="W9" s="56">
        <v>17</v>
      </c>
      <c r="X9" s="51">
        <f>MID(Table18[[#This Row],[IP]],LEN(Table18[[#This Row],[IP]])-1,1)+(--MID(V9,8,1)-1)*9</f>
        <v>65</v>
      </c>
      <c r="Y9" s="54" t="s">
        <v>32</v>
      </c>
      <c r="AA9">
        <v>8</v>
      </c>
      <c r="AE9" s="102" t="str">
        <f t="shared" si="3"/>
        <v>56A</v>
      </c>
      <c r="AF9" s="99">
        <v>3</v>
      </c>
      <c r="AG9" s="99">
        <v>1</v>
      </c>
      <c r="AH9" s="99">
        <v>17</v>
      </c>
      <c r="AI9" s="99">
        <v>1</v>
      </c>
      <c r="AJ9" s="99">
        <v>17</v>
      </c>
      <c r="AL9" s="117">
        <f>Table18[[#This Row],[SBMU01]]+AF9</f>
        <v>1388.2</v>
      </c>
      <c r="AM9">
        <f>Table18[[#This Row],[SBMU02]]+AG9</f>
        <v>1387</v>
      </c>
      <c r="AN9">
        <f>Table18[[#This Row],[SBMU03]]+AH9</f>
        <v>1402.3</v>
      </c>
      <c r="AO9">
        <f>Table18[[#This Row],[SBMU04]]+AI9</f>
        <v>1386.1</v>
      </c>
      <c r="AP9" s="118">
        <f>Table18[[#This Row],[SBMU05]]+AJ9</f>
        <v>1401.6</v>
      </c>
    </row>
    <row r="10" spans="1:42" ht="12.75" customHeight="1">
      <c r="A10" t="str">
        <f t="shared" si="1"/>
        <v>10.238.7.36</v>
      </c>
      <c r="B10" s="101">
        <f>MID(Table18[[#This Row],[IP]],LEN(Table18[[#This Row],[IP]])-1,1)+(--MID(Table18[[#This Row],[IP]],8,1)-1)*9</f>
        <v>57</v>
      </c>
      <c r="C10" s="101" t="s">
        <v>29</v>
      </c>
      <c r="D10" s="107">
        <v>1397</v>
      </c>
      <c r="E10" s="93">
        <v>1397.3</v>
      </c>
      <c r="F10" s="93">
        <v>1396.3</v>
      </c>
      <c r="G10" s="93">
        <v>1396.3</v>
      </c>
      <c r="H10" s="108">
        <v>1394.3</v>
      </c>
      <c r="I10" s="93" cm="1">
        <f t="array" ref="I10">IF(SUM((Table18[[#This Row],[SBMU01]:[SBMU05]]&lt;3)*1)=5,0,SUMPRODUCT(IF(Table18[[#This Row],[SBMU01]:[SBMU05]]&lt;3,1,0),{1,2,4,8,16}))</f>
        <v>0</v>
      </c>
      <c r="J10" s="93">
        <v>0</v>
      </c>
      <c r="K10" s="93">
        <v>0</v>
      </c>
      <c r="M10" t="b">
        <f t="shared" si="0"/>
        <v>1</v>
      </c>
      <c r="Q10">
        <v>1059</v>
      </c>
      <c r="R10" t="s">
        <v>84</v>
      </c>
      <c r="V10" s="50" t="s">
        <v>50</v>
      </c>
      <c r="W10" s="55">
        <v>20</v>
      </c>
      <c r="X10" s="51">
        <f>MID(Table18[[#This Row],[IP]],LEN(Table18[[#This Row],[IP]])-1,1)+(--MID(V10,8,1)-1)*9</f>
        <v>66</v>
      </c>
      <c r="Y10" s="52" t="s">
        <v>29</v>
      </c>
      <c r="AE10" s="103" t="str">
        <f t="shared" si="3"/>
        <v>57D</v>
      </c>
      <c r="AF10" s="98">
        <v>72</v>
      </c>
      <c r="AG10" s="98">
        <v>72</v>
      </c>
      <c r="AH10" s="98">
        <v>77</v>
      </c>
      <c r="AI10" s="98">
        <v>70</v>
      </c>
      <c r="AJ10" s="98">
        <v>75</v>
      </c>
      <c r="AL10" s="117">
        <f>Table18[[#This Row],[SBMU01]]+AF10</f>
        <v>1469</v>
      </c>
      <c r="AM10">
        <f>Table18[[#This Row],[SBMU02]]+AG10</f>
        <v>1469.3</v>
      </c>
      <c r="AN10">
        <f>Table18[[#This Row],[SBMU03]]+AH10</f>
        <v>1473.3</v>
      </c>
      <c r="AO10">
        <f>Table18[[#This Row],[SBMU04]]+AI10</f>
        <v>1466.3</v>
      </c>
      <c r="AP10" s="118">
        <f>Table18[[#This Row],[SBMU05]]+AJ10</f>
        <v>1469.3</v>
      </c>
    </row>
    <row r="11" spans="1:42" ht="15">
      <c r="A11" t="str">
        <f t="shared" si="1"/>
        <v>10.238.7.37</v>
      </c>
      <c r="B11" s="101">
        <f>MID(Table18[[#This Row],[IP]],LEN(Table18[[#This Row],[IP]])-1,1)+(--MID(Table18[[#This Row],[IP]],8,1)-1)*9</f>
        <v>57</v>
      </c>
      <c r="C11" s="101" t="s">
        <v>30</v>
      </c>
      <c r="D11" s="107">
        <v>1398.1</v>
      </c>
      <c r="E11" s="93">
        <v>1396</v>
      </c>
      <c r="F11" s="93">
        <v>1395.9</v>
      </c>
      <c r="G11" s="93">
        <v>1396.7</v>
      </c>
      <c r="H11" s="108">
        <v>1397.6</v>
      </c>
      <c r="I11" s="93" cm="1">
        <f t="array" ref="I11">IF(SUM((Table18[[#This Row],[SBMU01]:[SBMU05]]&lt;3)*1)=5,0,SUMPRODUCT(IF(Table18[[#This Row],[SBMU01]:[SBMU05]]&lt;3,1,0),{1,2,4,8,16}))</f>
        <v>0</v>
      </c>
      <c r="J11" s="93">
        <v>0</v>
      </c>
      <c r="K11" s="93">
        <v>0</v>
      </c>
      <c r="M11" t="b">
        <f t="shared" si="0"/>
        <v>1</v>
      </c>
      <c r="Q11">
        <v>1061</v>
      </c>
      <c r="R11" t="s">
        <v>748</v>
      </c>
      <c r="V11" s="53" t="s">
        <v>51</v>
      </c>
      <c r="W11" s="56">
        <v>18</v>
      </c>
      <c r="X11" s="51">
        <f>MID(Table18[[#This Row],[IP]],LEN(Table18[[#This Row],[IP]])-1,1)+(--MID(V11,8,1)-1)*9</f>
        <v>66</v>
      </c>
      <c r="Y11" s="54" t="s">
        <v>30</v>
      </c>
      <c r="AE11" s="102" t="str">
        <f t="shared" si="3"/>
        <v>57C</v>
      </c>
      <c r="AF11" s="99">
        <v>75</v>
      </c>
      <c r="AG11" s="99">
        <v>75</v>
      </c>
      <c r="AH11" s="99">
        <v>70</v>
      </c>
      <c r="AI11" s="99">
        <v>74</v>
      </c>
      <c r="AJ11" s="99">
        <v>82</v>
      </c>
      <c r="AL11" s="117">
        <f>Table18[[#This Row],[SBMU01]]+AF11</f>
        <v>1473.1</v>
      </c>
      <c r="AM11">
        <f>Table18[[#This Row],[SBMU02]]+AG11</f>
        <v>1471</v>
      </c>
      <c r="AN11">
        <f>Table18[[#This Row],[SBMU03]]+AH11</f>
        <v>1465.9</v>
      </c>
      <c r="AO11">
        <f>Table18[[#This Row],[SBMU04]]+AI11</f>
        <v>1470.7</v>
      </c>
      <c r="AP11" s="118">
        <f>Table18[[#This Row],[SBMU05]]+AJ11</f>
        <v>1479.6</v>
      </c>
    </row>
    <row r="12" spans="1:42" ht="15">
      <c r="A12" t="str">
        <f t="shared" si="1"/>
        <v>10.238.7.38</v>
      </c>
      <c r="B12" s="101">
        <f>MID(Table18[[#This Row],[IP]],LEN(Table18[[#This Row],[IP]])-1,1)+(--MID(Table18[[#This Row],[IP]],8,1)-1)*9</f>
        <v>57</v>
      </c>
      <c r="C12" s="101" t="s">
        <v>31</v>
      </c>
      <c r="D12" s="107">
        <v>1398.8</v>
      </c>
      <c r="E12" s="93">
        <v>1398.2</v>
      </c>
      <c r="F12" s="93">
        <v>1398.4</v>
      </c>
      <c r="G12" s="93">
        <v>1396.9</v>
      </c>
      <c r="H12" s="108">
        <v>1397.9</v>
      </c>
      <c r="I12" s="93" cm="1">
        <f t="array" ref="I12">IF(SUM((Table18[[#This Row],[SBMU01]:[SBMU05]]&lt;3)*1)=5,0,SUMPRODUCT(IF(Table18[[#This Row],[SBMU01]:[SBMU05]]&lt;3,1,0),{1,2,4,8,16}))</f>
        <v>0</v>
      </c>
      <c r="J12" s="93">
        <v>0</v>
      </c>
      <c r="K12" s="93">
        <v>0</v>
      </c>
      <c r="M12" t="b">
        <f t="shared" si="0"/>
        <v>1</v>
      </c>
      <c r="Q12">
        <v>1062</v>
      </c>
      <c r="R12" t="s">
        <v>749</v>
      </c>
      <c r="V12" s="50" t="s">
        <v>52</v>
      </c>
      <c r="W12" s="55">
        <v>18</v>
      </c>
      <c r="X12" s="51">
        <f>MID(Table18[[#This Row],[IP]],LEN(Table18[[#This Row],[IP]])-1,1)+(--MID(V12,8,1)-1)*9</f>
        <v>66</v>
      </c>
      <c r="Y12" s="52" t="s">
        <v>31</v>
      </c>
      <c r="AE12" s="103" t="str">
        <f t="shared" si="3"/>
        <v>57B</v>
      </c>
      <c r="AF12" s="98">
        <v>84</v>
      </c>
      <c r="AG12" s="98">
        <v>84</v>
      </c>
      <c r="AH12" s="98">
        <v>82</v>
      </c>
      <c r="AI12" s="98">
        <v>86</v>
      </c>
      <c r="AJ12" s="98">
        <v>83</v>
      </c>
      <c r="AL12" s="117">
        <f>Table18[[#This Row],[SBMU01]]+AF12</f>
        <v>1482.8</v>
      </c>
      <c r="AM12">
        <f>Table18[[#This Row],[SBMU02]]+AG12</f>
        <v>1482.2</v>
      </c>
      <c r="AN12">
        <f>Table18[[#This Row],[SBMU03]]+AH12</f>
        <v>1480.4</v>
      </c>
      <c r="AO12">
        <f>Table18[[#This Row],[SBMU04]]+AI12</f>
        <v>1482.9</v>
      </c>
      <c r="AP12" s="118">
        <f>Table18[[#This Row],[SBMU05]]+AJ12</f>
        <v>1480.9</v>
      </c>
    </row>
    <row r="13" spans="1:42" ht="15">
      <c r="A13" t="str">
        <f t="shared" si="1"/>
        <v>10.238.7.39</v>
      </c>
      <c r="B13" s="101">
        <f>MID(Table18[[#This Row],[IP]],LEN(Table18[[#This Row],[IP]])-1,1)+(--MID(Table18[[#This Row],[IP]],8,1)-1)*9</f>
        <v>57</v>
      </c>
      <c r="C13" s="101" t="s">
        <v>32</v>
      </c>
      <c r="D13" s="107">
        <v>1397.9</v>
      </c>
      <c r="E13" s="93">
        <v>1397.1</v>
      </c>
      <c r="F13" s="93">
        <v>1397.3</v>
      </c>
      <c r="G13" s="93">
        <v>1398</v>
      </c>
      <c r="H13" s="108">
        <v>1398.4</v>
      </c>
      <c r="I13" s="93" cm="1">
        <f t="array" ref="I13">IF(SUM((Table18[[#This Row],[SBMU01]:[SBMU05]]&lt;3)*1)=5,0,SUMPRODUCT(IF(Table18[[#This Row],[SBMU01]:[SBMU05]]&lt;3,1,0),{1,2,4,8,16}))</f>
        <v>0</v>
      </c>
      <c r="J13" s="93">
        <v>0</v>
      </c>
      <c r="K13" s="93">
        <v>0</v>
      </c>
      <c r="M13" t="b">
        <f t="shared" si="0"/>
        <v>1</v>
      </c>
      <c r="Q13">
        <v>1064</v>
      </c>
      <c r="R13" t="s">
        <v>750</v>
      </c>
      <c r="V13" s="53" t="s">
        <v>53</v>
      </c>
      <c r="W13" s="56">
        <v>18</v>
      </c>
      <c r="X13" s="51">
        <f>MID(Table18[[#This Row],[IP]],LEN(Table18[[#This Row],[IP]])-1,1)+(--MID(V13,8,1)-1)*9</f>
        <v>66</v>
      </c>
      <c r="Y13" s="54" t="s">
        <v>32</v>
      </c>
      <c r="AE13" s="102" t="str">
        <f t="shared" si="3"/>
        <v>57A</v>
      </c>
      <c r="AF13" s="99">
        <v>94</v>
      </c>
      <c r="AG13" s="99">
        <v>73</v>
      </c>
      <c r="AH13" s="99">
        <v>75</v>
      </c>
      <c r="AI13" s="99">
        <v>95</v>
      </c>
      <c r="AJ13" s="99">
        <v>86</v>
      </c>
      <c r="AL13" s="117">
        <f>Table18[[#This Row],[SBMU01]]+AF13</f>
        <v>1491.9</v>
      </c>
      <c r="AM13">
        <f>Table18[[#This Row],[SBMU02]]+AG13</f>
        <v>1470.1</v>
      </c>
      <c r="AN13">
        <f>Table18[[#This Row],[SBMU03]]+AH13</f>
        <v>1472.3</v>
      </c>
      <c r="AO13">
        <f>Table18[[#This Row],[SBMU04]]+AI13</f>
        <v>1493</v>
      </c>
      <c r="AP13" s="118">
        <f>Table18[[#This Row],[SBMU05]]+AJ13</f>
        <v>1484.4</v>
      </c>
    </row>
    <row r="14" spans="1:42" ht="15">
      <c r="A14" t="str">
        <f t="shared" si="1"/>
        <v>10.238.7.46</v>
      </c>
      <c r="B14" s="101">
        <f>MID(Table18[[#This Row],[IP]],LEN(Table18[[#This Row],[IP]])-1,1)+(--MID(Table18[[#This Row],[IP]],8,1)-1)*9</f>
        <v>58</v>
      </c>
      <c r="C14" s="101" t="s">
        <v>29</v>
      </c>
      <c r="D14" s="107">
        <v>1408.7</v>
      </c>
      <c r="E14" s="93">
        <v>1407.6</v>
      </c>
      <c r="F14" s="93">
        <v>1408.1</v>
      </c>
      <c r="G14" s="93">
        <v>1410.6</v>
      </c>
      <c r="H14" s="108">
        <v>1409.1</v>
      </c>
      <c r="I14" s="93" cm="1">
        <f t="array" ref="I14">IF(SUM((Table18[[#This Row],[SBMU01]:[SBMU05]]&lt;3)*1)=5,0,SUMPRODUCT(IF(Table18[[#This Row],[SBMU01]:[SBMU05]]&lt;3,1,0),{1,2,4,8,16}))</f>
        <v>0</v>
      </c>
      <c r="J14" s="93">
        <v>0</v>
      </c>
      <c r="K14" s="93">
        <v>0</v>
      </c>
      <c r="M14" t="b">
        <f t="shared" si="0"/>
        <v>1</v>
      </c>
      <c r="Q14">
        <v>1076</v>
      </c>
      <c r="R14" t="s">
        <v>742</v>
      </c>
      <c r="V14" s="50" t="s">
        <v>54</v>
      </c>
      <c r="W14" s="55">
        <v>30</v>
      </c>
      <c r="X14" s="51">
        <f>MID(Table18[[#This Row],[IP]],LEN(Table18[[#This Row],[IP]])-1,1)+(--MID(V14,8,1)-1)*9</f>
        <v>67</v>
      </c>
      <c r="Y14" s="52" t="s">
        <v>29</v>
      </c>
      <c r="AE14" s="103" t="str">
        <f t="shared" si="3"/>
        <v>58D</v>
      </c>
      <c r="AF14" s="98">
        <v>12</v>
      </c>
      <c r="AG14" s="98">
        <v>16</v>
      </c>
      <c r="AH14" s="98">
        <v>0</v>
      </c>
      <c r="AI14" s="98">
        <v>28.8</v>
      </c>
      <c r="AJ14" s="98">
        <v>30.4</v>
      </c>
      <c r="AL14" s="117">
        <f>Table18[[#This Row],[SBMU01]]+AF14</f>
        <v>1420.7</v>
      </c>
      <c r="AM14">
        <f>Table18[[#This Row],[SBMU02]]+AG14</f>
        <v>1423.6</v>
      </c>
      <c r="AN14">
        <f>Table18[[#This Row],[SBMU03]]+AH14</f>
        <v>1408.1</v>
      </c>
      <c r="AO14">
        <f>Table18[[#This Row],[SBMU04]]+AI14</f>
        <v>1439.3999999999999</v>
      </c>
      <c r="AP14" s="118">
        <f>Table18[[#This Row],[SBMU05]]+AJ14</f>
        <v>1439.5</v>
      </c>
    </row>
    <row r="15" spans="1:42" ht="15">
      <c r="A15" t="str">
        <f t="shared" si="1"/>
        <v>10.238.7.47</v>
      </c>
      <c r="B15" s="101">
        <f>MID(Table18[[#This Row],[IP]],LEN(Table18[[#This Row],[IP]])-1,1)+(--MID(Table18[[#This Row],[IP]],8,1)-1)*9</f>
        <v>58</v>
      </c>
      <c r="C15" s="101" t="s">
        <v>30</v>
      </c>
      <c r="D15" s="107">
        <v>1409.2</v>
      </c>
      <c r="E15" s="93">
        <v>1407.4</v>
      </c>
      <c r="F15" s="93">
        <v>1406.6</v>
      </c>
      <c r="G15" s="93">
        <v>1408</v>
      </c>
      <c r="H15" s="108">
        <v>1409.3</v>
      </c>
      <c r="I15" s="93" cm="1">
        <f t="array" ref="I15">IF(SUM((Table18[[#This Row],[SBMU01]:[SBMU05]]&lt;3)*1)=5,0,SUMPRODUCT(IF(Table18[[#This Row],[SBMU01]:[SBMU05]]&lt;3,1,0),{1,2,4,8,16}))</f>
        <v>0</v>
      </c>
      <c r="J15" s="93">
        <v>0</v>
      </c>
      <c r="K15" s="93">
        <v>0</v>
      </c>
      <c r="M15" t="b">
        <f t="shared" si="0"/>
        <v>1</v>
      </c>
      <c r="Q15">
        <v>1077</v>
      </c>
      <c r="R15" t="s">
        <v>743</v>
      </c>
      <c r="V15" s="53" t="s">
        <v>55</v>
      </c>
      <c r="W15" s="56">
        <v>38</v>
      </c>
      <c r="X15" s="51">
        <f>MID(Table18[[#This Row],[IP]],LEN(Table18[[#This Row],[IP]])-1,1)+(--MID(V15,8,1)-1)*9</f>
        <v>67</v>
      </c>
      <c r="Y15" s="54" t="s">
        <v>30</v>
      </c>
      <c r="AE15" s="102" t="str">
        <f t="shared" si="3"/>
        <v>58C</v>
      </c>
      <c r="AF15" s="99">
        <v>0</v>
      </c>
      <c r="AG15" s="99">
        <v>10</v>
      </c>
      <c r="AH15" s="99">
        <v>14</v>
      </c>
      <c r="AI15" s="99">
        <v>10</v>
      </c>
      <c r="AJ15" s="99">
        <v>11</v>
      </c>
      <c r="AL15" s="117">
        <f>Table18[[#This Row],[SBMU01]]+AF15</f>
        <v>1409.2</v>
      </c>
      <c r="AM15">
        <f>Table18[[#This Row],[SBMU02]]+AG15</f>
        <v>1417.4</v>
      </c>
      <c r="AN15">
        <f>Table18[[#This Row],[SBMU03]]+AH15</f>
        <v>1420.6</v>
      </c>
      <c r="AO15">
        <f>Table18[[#This Row],[SBMU04]]+AI15</f>
        <v>1418</v>
      </c>
      <c r="AP15" s="118">
        <f>Table18[[#This Row],[SBMU05]]+AJ15</f>
        <v>1420.3</v>
      </c>
    </row>
    <row r="16" spans="1:42" ht="15">
      <c r="A16" t="str">
        <f t="shared" si="1"/>
        <v>10.238.7.48</v>
      </c>
      <c r="B16" s="101">
        <f>MID(Table18[[#This Row],[IP]],LEN(Table18[[#This Row],[IP]])-1,1)+(--MID(Table18[[#This Row],[IP]],8,1)-1)*9</f>
        <v>58</v>
      </c>
      <c r="C16" s="101" t="s">
        <v>31</v>
      </c>
      <c r="D16" s="107">
        <v>1384.4</v>
      </c>
      <c r="E16" s="93">
        <v>1385.3</v>
      </c>
      <c r="F16" s="93">
        <v>1386.3</v>
      </c>
      <c r="G16" s="93">
        <v>1384.4</v>
      </c>
      <c r="H16" s="108">
        <v>1385.6</v>
      </c>
      <c r="I16" s="93" cm="1">
        <f t="array" ref="I16">IF(SUM((Table18[[#This Row],[SBMU01]:[SBMU05]]&lt;3)*1)=5,0,SUMPRODUCT(IF(Table18[[#This Row],[SBMU01]:[SBMU05]]&lt;3,1,0),{1,2,4,8,16}))</f>
        <v>0</v>
      </c>
      <c r="J16" s="93">
        <v>0</v>
      </c>
      <c r="K16" s="93">
        <v>0</v>
      </c>
      <c r="M16" t="b">
        <f t="shared" si="0"/>
        <v>1</v>
      </c>
      <c r="Q16">
        <v>1080</v>
      </c>
      <c r="R16" t="s">
        <v>746</v>
      </c>
      <c r="V16" s="50" t="s">
        <v>56</v>
      </c>
      <c r="W16" s="55">
        <v>38</v>
      </c>
      <c r="X16" s="51">
        <f>MID(Table18[[#This Row],[IP]],LEN(Table18[[#This Row],[IP]])-1,1)+(--MID(V16,8,1)-1)*9</f>
        <v>67</v>
      </c>
      <c r="Y16" s="52" t="s">
        <v>31</v>
      </c>
      <c r="AE16" s="103" t="str">
        <f t="shared" si="3"/>
        <v>58B</v>
      </c>
      <c r="AF16" s="98">
        <v>123</v>
      </c>
      <c r="AG16" s="98">
        <v>119</v>
      </c>
      <c r="AH16" s="98">
        <v>123</v>
      </c>
      <c r="AI16" s="98">
        <v>147</v>
      </c>
      <c r="AJ16" s="98">
        <v>128</v>
      </c>
      <c r="AL16" s="117">
        <f>Table18[[#This Row],[SBMU01]]+AF16</f>
        <v>1507.4</v>
      </c>
      <c r="AM16">
        <f>Table18[[#This Row],[SBMU02]]+AG16</f>
        <v>1504.3</v>
      </c>
      <c r="AN16">
        <f>Table18[[#This Row],[SBMU03]]+AH16</f>
        <v>1509.3</v>
      </c>
      <c r="AO16">
        <f>Table18[[#This Row],[SBMU04]]+AI16</f>
        <v>1531.4</v>
      </c>
      <c r="AP16" s="118">
        <f>Table18[[#This Row],[SBMU05]]+AJ16</f>
        <v>1513.6</v>
      </c>
    </row>
    <row r="17" spans="1:42" ht="15">
      <c r="A17" t="str">
        <f t="shared" si="1"/>
        <v>10.238.7.49</v>
      </c>
      <c r="B17" s="101">
        <f>MID(Table18[[#This Row],[IP]],LEN(Table18[[#This Row],[IP]])-1,1)+(--MID(Table18[[#This Row],[IP]],8,1)-1)*9</f>
        <v>58</v>
      </c>
      <c r="C17" s="101" t="s">
        <v>32</v>
      </c>
      <c r="D17" s="107">
        <v>1397.4</v>
      </c>
      <c r="E17" s="93">
        <v>1396.7</v>
      </c>
      <c r="F17" s="93">
        <v>1397.7</v>
      </c>
      <c r="G17" s="93">
        <v>1397.9</v>
      </c>
      <c r="H17" s="108">
        <v>1397</v>
      </c>
      <c r="I17" s="93" cm="1">
        <f t="array" ref="I17">IF(SUM((Table18[[#This Row],[SBMU01]:[SBMU05]]&lt;3)*1)=5,0,SUMPRODUCT(IF(Table18[[#This Row],[SBMU01]:[SBMU05]]&lt;3,1,0),{1,2,4,8,16}))</f>
        <v>0</v>
      </c>
      <c r="J17" s="93">
        <v>0</v>
      </c>
      <c r="K17" s="93">
        <v>0</v>
      </c>
      <c r="M17" t="b">
        <f t="shared" si="0"/>
        <v>1</v>
      </c>
      <c r="V17" s="53" t="s">
        <v>57</v>
      </c>
      <c r="W17" s="56">
        <v>38</v>
      </c>
      <c r="X17" s="51">
        <f>MID(Table18[[#This Row],[IP]],LEN(Table18[[#This Row],[IP]])-1,1)+(--MID(V17,8,1)-1)*9</f>
        <v>67</v>
      </c>
      <c r="Y17" s="54" t="s">
        <v>32</v>
      </c>
      <c r="AE17" s="102" t="str">
        <f t="shared" si="3"/>
        <v>58A</v>
      </c>
      <c r="AF17" s="99">
        <v>13</v>
      </c>
      <c r="AG17" s="99">
        <v>12</v>
      </c>
      <c r="AH17" s="99">
        <v>15</v>
      </c>
      <c r="AI17" s="99">
        <v>0</v>
      </c>
      <c r="AJ17" s="99">
        <v>13</v>
      </c>
      <c r="AL17" s="117">
        <f>Table18[[#This Row],[SBMU01]]+AF17</f>
        <v>1410.4</v>
      </c>
      <c r="AM17">
        <f>Table18[[#This Row],[SBMU02]]+AG17</f>
        <v>1408.7</v>
      </c>
      <c r="AN17">
        <f>Table18[[#This Row],[SBMU03]]+AH17</f>
        <v>1412.7</v>
      </c>
      <c r="AO17">
        <f>Table18[[#This Row],[SBMU04]]+AI17</f>
        <v>1397.9</v>
      </c>
      <c r="AP17" s="118">
        <f>Table18[[#This Row],[SBMU05]]+AJ17</f>
        <v>1410</v>
      </c>
    </row>
    <row r="18" spans="1:42" ht="15">
      <c r="A18" t="str">
        <f t="shared" si="1"/>
        <v>10.238.7.56</v>
      </c>
      <c r="B18" s="101">
        <f>MID(Table18[[#This Row],[IP]],LEN(Table18[[#This Row],[IP]])-1,1)+(--MID(Table18[[#This Row],[IP]],8,1)-1)*9</f>
        <v>59</v>
      </c>
      <c r="C18" s="101" t="s">
        <v>29</v>
      </c>
      <c r="D18" s="107">
        <v>1390.4</v>
      </c>
      <c r="E18" s="93">
        <v>1389.7</v>
      </c>
      <c r="F18" s="93">
        <v>1391.4</v>
      </c>
      <c r="G18" s="93">
        <v>1393.7</v>
      </c>
      <c r="H18" s="108">
        <v>1390.6</v>
      </c>
      <c r="I18" s="93" cm="1">
        <f t="array" ref="I18">IF(SUM((Table18[[#This Row],[SBMU01]:[SBMU05]]&lt;3)*1)=5,0,SUMPRODUCT(IF(Table18[[#This Row],[SBMU01]:[SBMU05]]&lt;3,1,0),{1,2,4,8,16}))</f>
        <v>0</v>
      </c>
      <c r="J18" s="93">
        <v>0</v>
      </c>
      <c r="K18" s="93">
        <v>0</v>
      </c>
      <c r="M18" t="b">
        <f t="shared" si="0"/>
        <v>1</v>
      </c>
      <c r="V18" s="50" t="s">
        <v>58</v>
      </c>
      <c r="W18" s="55">
        <v>26</v>
      </c>
      <c r="X18" s="51">
        <f>MID(Table18[[#This Row],[IP]],LEN(Table18[[#This Row],[IP]])-1,1)+(--MID(V18,8,1)-1)*9</f>
        <v>68</v>
      </c>
      <c r="Y18" s="52" t="s">
        <v>29</v>
      </c>
      <c r="AE18" s="103" t="str">
        <f t="shared" si="3"/>
        <v>59D</v>
      </c>
      <c r="AF18" s="98">
        <v>11</v>
      </c>
      <c r="AG18" s="98">
        <v>9</v>
      </c>
      <c r="AH18" s="98">
        <v>8</v>
      </c>
      <c r="AI18" s="98">
        <v>1</v>
      </c>
      <c r="AJ18" s="98">
        <v>1</v>
      </c>
      <c r="AL18" s="117">
        <f>Table18[[#This Row],[SBMU01]]+AF18</f>
        <v>1401.4</v>
      </c>
      <c r="AM18">
        <f>Table18[[#This Row],[SBMU02]]+AG18</f>
        <v>1398.7</v>
      </c>
      <c r="AN18">
        <f>Table18[[#This Row],[SBMU03]]+AH18</f>
        <v>1399.4</v>
      </c>
      <c r="AO18">
        <f>Table18[[#This Row],[SBMU04]]+AI18</f>
        <v>1394.7</v>
      </c>
      <c r="AP18" s="118">
        <f>Table18[[#This Row],[SBMU05]]+AJ18</f>
        <v>1391.6</v>
      </c>
    </row>
    <row r="19" spans="1:42" ht="15">
      <c r="A19" t="str">
        <f t="shared" si="1"/>
        <v>10.238.7.57</v>
      </c>
      <c r="B19" s="101">
        <f>MID(Table18[[#This Row],[IP]],LEN(Table18[[#This Row],[IP]])-1,1)+(--MID(Table18[[#This Row],[IP]],8,1)-1)*9</f>
        <v>59</v>
      </c>
      <c r="C19" s="101" t="s">
        <v>30</v>
      </c>
      <c r="D19" s="107">
        <v>1383.5</v>
      </c>
      <c r="E19" s="93">
        <v>1383</v>
      </c>
      <c r="F19" s="93">
        <v>1384.7</v>
      </c>
      <c r="G19" s="93">
        <v>1384.2</v>
      </c>
      <c r="H19" s="108">
        <v>1385.5</v>
      </c>
      <c r="I19" s="93" cm="1">
        <f t="array" ref="I19">IF(SUM((Table18[[#This Row],[SBMU01]:[SBMU05]]&lt;3)*1)=5,0,SUMPRODUCT(IF(Table18[[#This Row],[SBMU01]:[SBMU05]]&lt;3,1,0),{1,2,4,8,16}))</f>
        <v>0</v>
      </c>
      <c r="J19" s="93">
        <v>0</v>
      </c>
      <c r="K19" s="93">
        <v>0</v>
      </c>
      <c r="M19" t="b">
        <f t="shared" si="0"/>
        <v>1</v>
      </c>
      <c r="V19" s="53" t="s">
        <v>59</v>
      </c>
      <c r="W19" s="56">
        <v>23</v>
      </c>
      <c r="X19" s="51">
        <f>MID(Table18[[#This Row],[IP]],LEN(Table18[[#This Row],[IP]])-1,1)+(--MID(V19,8,1)-1)*9</f>
        <v>68</v>
      </c>
      <c r="Y19" s="54" t="s">
        <v>30</v>
      </c>
      <c r="AE19" s="102" t="str">
        <f t="shared" si="3"/>
        <v>59C</v>
      </c>
      <c r="AF19" s="99">
        <v>7</v>
      </c>
      <c r="AG19" s="99">
        <v>5</v>
      </c>
      <c r="AH19" s="99">
        <v>19</v>
      </c>
      <c r="AI19" s="99">
        <v>19</v>
      </c>
      <c r="AJ19" s="99">
        <v>8</v>
      </c>
      <c r="AL19" s="117">
        <f>Table18[[#This Row],[SBMU01]]+AF19</f>
        <v>1390.5</v>
      </c>
      <c r="AM19">
        <f>Table18[[#This Row],[SBMU02]]+AG19</f>
        <v>1388</v>
      </c>
      <c r="AN19">
        <f>Table18[[#This Row],[SBMU03]]+AH19</f>
        <v>1403.7</v>
      </c>
      <c r="AO19">
        <f>Table18[[#This Row],[SBMU04]]+AI19</f>
        <v>1403.2</v>
      </c>
      <c r="AP19" s="118">
        <f>Table18[[#This Row],[SBMU05]]+AJ19</f>
        <v>1393.5</v>
      </c>
    </row>
    <row r="20" spans="1:42" ht="15">
      <c r="A20" t="str">
        <f t="shared" si="1"/>
        <v>10.238.7.58</v>
      </c>
      <c r="B20" s="101">
        <f>MID(Table18[[#This Row],[IP]],LEN(Table18[[#This Row],[IP]])-1,1)+(--MID(Table18[[#This Row],[IP]],8,1)-1)*9</f>
        <v>59</v>
      </c>
      <c r="C20" s="101" t="s">
        <v>31</v>
      </c>
      <c r="D20" s="107">
        <v>1396.9</v>
      </c>
      <c r="E20" s="93">
        <v>1397.7</v>
      </c>
      <c r="F20" s="93">
        <v>1396.5</v>
      </c>
      <c r="G20" s="93">
        <v>1397.3</v>
      </c>
      <c r="H20" s="108">
        <v>1396.7</v>
      </c>
      <c r="I20" s="93" cm="1">
        <f t="array" ref="I20">IF(SUM((Table18[[#This Row],[SBMU01]:[SBMU05]]&lt;3)*1)=5,0,SUMPRODUCT(IF(Table18[[#This Row],[SBMU01]:[SBMU05]]&lt;3,1,0),{1,2,4,8,16}))</f>
        <v>0</v>
      </c>
      <c r="J20" s="93">
        <v>0</v>
      </c>
      <c r="K20" s="93">
        <v>0</v>
      </c>
      <c r="M20" t="b">
        <f t="shared" si="0"/>
        <v>1</v>
      </c>
      <c r="V20" s="50" t="s">
        <v>60</v>
      </c>
      <c r="W20" s="55">
        <v>22</v>
      </c>
      <c r="X20" s="51">
        <f>MID(Table18[[#This Row],[IP]],LEN(Table18[[#This Row],[IP]])-1,1)+(--MID(V20,8,1)-1)*9</f>
        <v>68</v>
      </c>
      <c r="Y20" s="52" t="s">
        <v>31</v>
      </c>
      <c r="AE20" s="103" t="str">
        <f t="shared" si="3"/>
        <v>59B</v>
      </c>
      <c r="AF20" s="98">
        <v>2</v>
      </c>
      <c r="AG20" s="98">
        <v>0</v>
      </c>
      <c r="AH20" s="98">
        <v>0</v>
      </c>
      <c r="AI20" s="98">
        <v>0</v>
      </c>
      <c r="AJ20" s="98">
        <v>1</v>
      </c>
      <c r="AL20" s="117">
        <f>Table18[[#This Row],[SBMU01]]+AF20</f>
        <v>1398.9</v>
      </c>
      <c r="AM20">
        <f>Table18[[#This Row],[SBMU02]]+AG20</f>
        <v>1397.7</v>
      </c>
      <c r="AN20">
        <f>Table18[[#This Row],[SBMU03]]+AH20</f>
        <v>1396.5</v>
      </c>
      <c r="AO20">
        <f>Table18[[#This Row],[SBMU04]]+AI20</f>
        <v>1397.3</v>
      </c>
      <c r="AP20" s="118">
        <f>Table18[[#This Row],[SBMU05]]+AJ20</f>
        <v>1397.7</v>
      </c>
    </row>
    <row r="21" spans="1:42" ht="15">
      <c r="A21" t="str">
        <f t="shared" si="1"/>
        <v>10.238.7.59</v>
      </c>
      <c r="B21" s="101">
        <f>MID(Table18[[#This Row],[IP]],LEN(Table18[[#This Row],[IP]])-1,1)+(--MID(Table18[[#This Row],[IP]],8,1)-1)*9</f>
        <v>59</v>
      </c>
      <c r="C21" s="101" t="s">
        <v>32</v>
      </c>
      <c r="D21" s="107">
        <v>1396.6</v>
      </c>
      <c r="E21" s="93">
        <v>1395.6</v>
      </c>
      <c r="F21" s="93">
        <v>1395.3</v>
      </c>
      <c r="G21" s="93">
        <v>1395.9</v>
      </c>
      <c r="H21" s="108">
        <v>1395</v>
      </c>
      <c r="I21" s="93" cm="1">
        <f t="array" ref="I21">IF(SUM((Table18[[#This Row],[SBMU01]:[SBMU05]]&lt;3)*1)=5,0,SUMPRODUCT(IF(Table18[[#This Row],[SBMU01]:[SBMU05]]&lt;3,1,0),{1,2,4,8,16}))</f>
        <v>0</v>
      </c>
      <c r="J21" s="93">
        <v>0</v>
      </c>
      <c r="K21" s="93">
        <v>0</v>
      </c>
      <c r="M21" t="b">
        <f t="shared" si="0"/>
        <v>1</v>
      </c>
      <c r="V21" s="53" t="s">
        <v>61</v>
      </c>
      <c r="W21" s="56">
        <v>22</v>
      </c>
      <c r="X21" s="51">
        <f>MID(Table18[[#This Row],[IP]],LEN(Table18[[#This Row],[IP]])-1,1)+(--MID(V21,8,1)-1)*9</f>
        <v>68</v>
      </c>
      <c r="Y21" s="54" t="s">
        <v>32</v>
      </c>
      <c r="AE21" s="102" t="str">
        <f t="shared" si="3"/>
        <v>59A</v>
      </c>
      <c r="AF21" s="99">
        <v>10</v>
      </c>
      <c r="AG21" s="99">
        <v>8</v>
      </c>
      <c r="AH21" s="99">
        <v>8</v>
      </c>
      <c r="AI21" s="99">
        <v>2</v>
      </c>
      <c r="AJ21" s="99">
        <v>7</v>
      </c>
      <c r="AL21" s="117">
        <f>Table18[[#This Row],[SBMU01]]+AF21</f>
        <v>1406.6</v>
      </c>
      <c r="AM21">
        <f>Table18[[#This Row],[SBMU02]]+AG21</f>
        <v>1403.6</v>
      </c>
      <c r="AN21">
        <f>Table18[[#This Row],[SBMU03]]+AH21</f>
        <v>1403.3</v>
      </c>
      <c r="AO21">
        <f>Table18[[#This Row],[SBMU04]]+AI21</f>
        <v>1397.9</v>
      </c>
      <c r="AP21" s="118">
        <f>Table18[[#This Row],[SBMU05]]+AJ21</f>
        <v>1402</v>
      </c>
    </row>
    <row r="22" spans="1:42" ht="15">
      <c r="A22" t="str">
        <f t="shared" si="1"/>
        <v>10.238.7.66</v>
      </c>
      <c r="B22" s="101">
        <f>MID(Table18[[#This Row],[IP]],LEN(Table18[[#This Row],[IP]])-1,1)+(--MID(Table18[[#This Row],[IP]],8,1)-1)*9</f>
        <v>60</v>
      </c>
      <c r="C22" s="101" t="s">
        <v>29</v>
      </c>
      <c r="D22" s="107">
        <v>1408.1</v>
      </c>
      <c r="E22" s="93">
        <v>1407.3</v>
      </c>
      <c r="F22" s="93">
        <v>1406.6</v>
      </c>
      <c r="G22" s="93">
        <v>1408.3</v>
      </c>
      <c r="H22" s="108">
        <v>1406.3</v>
      </c>
      <c r="I22" s="93" cm="1">
        <f t="array" ref="I22">IF(SUM((Table18[[#This Row],[SBMU01]:[SBMU05]]&lt;3)*1)=5,0,SUMPRODUCT(IF(Table18[[#This Row],[SBMU01]:[SBMU05]]&lt;3,1,0),{1,2,4,8,16}))</f>
        <v>0</v>
      </c>
      <c r="J22" s="93">
        <v>0</v>
      </c>
      <c r="K22" s="93">
        <v>0</v>
      </c>
      <c r="M22" t="b">
        <f t="shared" si="0"/>
        <v>1</v>
      </c>
      <c r="V22" s="50" t="s">
        <v>62</v>
      </c>
      <c r="W22" s="55">
        <v>22</v>
      </c>
      <c r="X22" s="51">
        <f>MID(Table18[[#This Row],[IP]],LEN(Table18[[#This Row],[IP]])-1,1)+(--MID(V22,8,1)-1)*9</f>
        <v>69</v>
      </c>
      <c r="Y22" s="52" t="s">
        <v>29</v>
      </c>
      <c r="AE22" s="103" t="str">
        <f t="shared" si="3"/>
        <v>60D</v>
      </c>
      <c r="AF22" s="98">
        <v>11</v>
      </c>
      <c r="AG22" s="98">
        <v>10</v>
      </c>
      <c r="AH22" s="98">
        <v>0</v>
      </c>
      <c r="AI22" s="98">
        <v>11</v>
      </c>
      <c r="AJ22" s="98">
        <v>15</v>
      </c>
      <c r="AL22" s="117">
        <f>Table18[[#This Row],[SBMU01]]+AF22</f>
        <v>1419.1</v>
      </c>
      <c r="AM22">
        <f>Table18[[#This Row],[SBMU02]]+AG22</f>
        <v>1417.3</v>
      </c>
      <c r="AN22">
        <f>Table18[[#This Row],[SBMU03]]+AH22</f>
        <v>1406.6</v>
      </c>
      <c r="AO22">
        <f>Table18[[#This Row],[SBMU04]]+AI22</f>
        <v>1419.3</v>
      </c>
      <c r="AP22" s="118">
        <f>Table18[[#This Row],[SBMU05]]+AJ22</f>
        <v>1421.3</v>
      </c>
    </row>
    <row r="23" spans="1:42" ht="15">
      <c r="A23" t="str">
        <f t="shared" si="1"/>
        <v>10.238.7.67</v>
      </c>
      <c r="B23" s="101">
        <f>MID(Table18[[#This Row],[IP]],LEN(Table18[[#This Row],[IP]])-1,1)+(--MID(Table18[[#This Row],[IP]],8,1)-1)*9</f>
        <v>60</v>
      </c>
      <c r="C23" s="101" t="s">
        <v>30</v>
      </c>
      <c r="D23" s="107">
        <v>1408.8</v>
      </c>
      <c r="E23" s="93">
        <v>1409.8</v>
      </c>
      <c r="F23" s="93">
        <v>1409.5</v>
      </c>
      <c r="G23" s="93">
        <v>1409.6</v>
      </c>
      <c r="H23" s="108">
        <v>1411.3</v>
      </c>
      <c r="I23" s="93" cm="1">
        <f t="array" ref="I23">IF(SUM((Table18[[#This Row],[SBMU01]:[SBMU05]]&lt;3)*1)=5,0,SUMPRODUCT(IF(Table18[[#This Row],[SBMU01]:[SBMU05]]&lt;3,1,0),{1,2,4,8,16}))</f>
        <v>0</v>
      </c>
      <c r="J23" s="93">
        <v>0</v>
      </c>
      <c r="K23" s="93">
        <v>0</v>
      </c>
      <c r="M23" t="b">
        <f t="shared" si="0"/>
        <v>1</v>
      </c>
      <c r="V23" s="53" t="s">
        <v>63</v>
      </c>
      <c r="W23" s="56">
        <v>16</v>
      </c>
      <c r="X23" s="51">
        <f>MID(Table18[[#This Row],[IP]],LEN(Table18[[#This Row],[IP]])-1,1)+(--MID(V23,8,1)-1)*9</f>
        <v>69</v>
      </c>
      <c r="Y23" s="54" t="s">
        <v>30</v>
      </c>
      <c r="AE23" s="102" t="str">
        <f t="shared" si="3"/>
        <v>60C</v>
      </c>
      <c r="AF23" s="99">
        <v>16</v>
      </c>
      <c r="AG23" s="99">
        <v>15</v>
      </c>
      <c r="AH23" s="99">
        <v>14</v>
      </c>
      <c r="AI23" s="99">
        <v>11</v>
      </c>
      <c r="AJ23" s="99">
        <v>0</v>
      </c>
      <c r="AL23" s="117">
        <f>Table18[[#This Row],[SBMU01]]+AF23</f>
        <v>1424.8</v>
      </c>
      <c r="AM23">
        <f>Table18[[#This Row],[SBMU02]]+AG23</f>
        <v>1424.8</v>
      </c>
      <c r="AN23">
        <f>Table18[[#This Row],[SBMU03]]+AH23</f>
        <v>1423.5</v>
      </c>
      <c r="AO23">
        <f>Table18[[#This Row],[SBMU04]]+AI23</f>
        <v>1420.6</v>
      </c>
      <c r="AP23" s="118">
        <f>Table18[[#This Row],[SBMU05]]+AJ23</f>
        <v>1411.3</v>
      </c>
    </row>
    <row r="24" spans="1:42" ht="15">
      <c r="A24" t="str">
        <f t="shared" si="1"/>
        <v>10.238.7.68</v>
      </c>
      <c r="B24" s="101">
        <f>MID(Table18[[#This Row],[IP]],LEN(Table18[[#This Row],[IP]])-1,1)+(--MID(Table18[[#This Row],[IP]],8,1)-1)*9</f>
        <v>60</v>
      </c>
      <c r="C24" s="101" t="s">
        <v>31</v>
      </c>
      <c r="D24" s="107">
        <v>1401.6</v>
      </c>
      <c r="E24" s="93">
        <v>1401.8</v>
      </c>
      <c r="F24" s="93">
        <v>1400.7</v>
      </c>
      <c r="G24" s="93">
        <v>1399.2</v>
      </c>
      <c r="H24" s="108">
        <v>1401.3</v>
      </c>
      <c r="I24" s="93" cm="1">
        <f t="array" ref="I24">IF(SUM((Table18[[#This Row],[SBMU01]:[SBMU05]]&lt;3)*1)=5,0,SUMPRODUCT(IF(Table18[[#This Row],[SBMU01]:[SBMU05]]&lt;3,1,0),{1,2,4,8,16}))</f>
        <v>0</v>
      </c>
      <c r="J24" s="93">
        <v>0</v>
      </c>
      <c r="K24" s="93">
        <v>0</v>
      </c>
      <c r="M24" t="b">
        <f t="shared" si="0"/>
        <v>1</v>
      </c>
      <c r="V24" s="50" t="s">
        <v>64</v>
      </c>
      <c r="W24" s="55">
        <v>16</v>
      </c>
      <c r="X24" s="51">
        <f>MID(Table18[[#This Row],[IP]],LEN(Table18[[#This Row],[IP]])-1,1)+(--MID(V24,8,1)-1)*9</f>
        <v>69</v>
      </c>
      <c r="Y24" s="52" t="s">
        <v>31</v>
      </c>
      <c r="AE24" s="103" t="str">
        <f t="shared" si="3"/>
        <v>60B</v>
      </c>
      <c r="AF24" s="98">
        <v>12</v>
      </c>
      <c r="AG24" s="98">
        <v>13</v>
      </c>
      <c r="AH24" s="98">
        <v>0</v>
      </c>
      <c r="AI24" s="98">
        <v>15</v>
      </c>
      <c r="AJ24" s="98">
        <v>12</v>
      </c>
      <c r="AL24" s="117">
        <f>Table18[[#This Row],[SBMU01]]+AF24</f>
        <v>1413.6</v>
      </c>
      <c r="AM24">
        <f>Table18[[#This Row],[SBMU02]]+AG24</f>
        <v>1414.8</v>
      </c>
      <c r="AN24">
        <f>Table18[[#This Row],[SBMU03]]+AH24</f>
        <v>1400.7</v>
      </c>
      <c r="AO24">
        <f>Table18[[#This Row],[SBMU04]]+AI24</f>
        <v>1414.2</v>
      </c>
      <c r="AP24" s="118">
        <f>Table18[[#This Row],[SBMU05]]+AJ24</f>
        <v>1413.3</v>
      </c>
    </row>
    <row r="25" spans="1:42" ht="15">
      <c r="A25" t="str">
        <f t="shared" si="1"/>
        <v>10.238.7.69</v>
      </c>
      <c r="B25" s="101">
        <f>MID(Table18[[#This Row],[IP]],LEN(Table18[[#This Row],[IP]])-1,1)+(--MID(Table18[[#This Row],[IP]],8,1)-1)*9</f>
        <v>60</v>
      </c>
      <c r="C25" s="101" t="s">
        <v>32</v>
      </c>
      <c r="D25" s="107">
        <v>1423.2</v>
      </c>
      <c r="E25" s="93">
        <v>1421.9</v>
      </c>
      <c r="F25" s="93">
        <v>1420.7</v>
      </c>
      <c r="G25" s="93">
        <v>1421.3</v>
      </c>
      <c r="H25" s="108">
        <v>1423.9</v>
      </c>
      <c r="I25" s="93" cm="1">
        <f t="array" ref="I25">IF(SUM((Table18[[#This Row],[SBMU01]:[SBMU05]]&lt;3)*1)=5,0,SUMPRODUCT(IF(Table18[[#This Row],[SBMU01]:[SBMU05]]&lt;3,1,0),{1,2,4,8,16}))</f>
        <v>0</v>
      </c>
      <c r="J25" s="93">
        <v>0</v>
      </c>
      <c r="K25" s="93">
        <v>0</v>
      </c>
      <c r="M25" t="b">
        <f t="shared" si="0"/>
        <v>1</v>
      </c>
      <c r="V25" s="53" t="s">
        <v>65</v>
      </c>
      <c r="W25" s="56">
        <v>16</v>
      </c>
      <c r="X25" s="51">
        <f>MID(Table18[[#This Row],[IP]],LEN(Table18[[#This Row],[IP]])-1,1)+(--MID(V25,8,1)-1)*9</f>
        <v>69</v>
      </c>
      <c r="Y25" s="54" t="s">
        <v>32</v>
      </c>
      <c r="AE25" s="102" t="str">
        <f t="shared" si="3"/>
        <v>60A</v>
      </c>
      <c r="AF25" s="99">
        <v>0</v>
      </c>
      <c r="AG25" s="99">
        <v>11</v>
      </c>
      <c r="AH25" s="99">
        <v>0</v>
      </c>
      <c r="AI25" s="99">
        <v>0</v>
      </c>
      <c r="AJ25" s="99">
        <v>11</v>
      </c>
      <c r="AL25" s="117">
        <f>Table18[[#This Row],[SBMU01]]+AF25</f>
        <v>1423.2</v>
      </c>
      <c r="AM25">
        <f>Table18[[#This Row],[SBMU02]]+AG25</f>
        <v>1432.9</v>
      </c>
      <c r="AN25">
        <f>Table18[[#This Row],[SBMU03]]+AH25</f>
        <v>1420.7</v>
      </c>
      <c r="AO25">
        <f>Table18[[#This Row],[SBMU04]]+AI25</f>
        <v>1421.3</v>
      </c>
      <c r="AP25" s="118">
        <f>Table18[[#This Row],[SBMU05]]+AJ25</f>
        <v>1434.9</v>
      </c>
    </row>
    <row r="26" spans="1:42" ht="15">
      <c r="A26" t="str">
        <f t="shared" si="1"/>
        <v>10.238.7.76</v>
      </c>
      <c r="B26" s="101">
        <f>MID(Table18[[#This Row],[IP]],LEN(Table18[[#This Row],[IP]])-1,1)+(--MID(Table18[[#This Row],[IP]],8,1)-1)*9</f>
        <v>61</v>
      </c>
      <c r="C26" s="101" t="s">
        <v>29</v>
      </c>
      <c r="D26" s="107">
        <v>1408.4</v>
      </c>
      <c r="E26" s="93">
        <v>1408.7</v>
      </c>
      <c r="F26" s="93">
        <v>1408.6</v>
      </c>
      <c r="G26" s="93">
        <v>1408.2</v>
      </c>
      <c r="H26" s="108">
        <v>1408</v>
      </c>
      <c r="I26" s="93" cm="1">
        <f t="array" ref="I26">IF(SUM((Table18[[#This Row],[SBMU01]:[SBMU05]]&lt;3)*1)=5,0,SUMPRODUCT(IF(Table18[[#This Row],[SBMU01]:[SBMU05]]&lt;3,1,0),{1,2,4,8,16}))</f>
        <v>0</v>
      </c>
      <c r="J26" s="93">
        <v>0</v>
      </c>
      <c r="K26" s="93">
        <v>0</v>
      </c>
      <c r="M26" t="b">
        <f t="shared" si="0"/>
        <v>1</v>
      </c>
      <c r="V26" s="50" t="s">
        <v>66</v>
      </c>
      <c r="W26" s="55">
        <v>34</v>
      </c>
      <c r="X26" s="51">
        <f>MID(Table18[[#This Row],[IP]],LEN(Table18[[#This Row],[IP]])-1,1)+(--MID(V26,8,1)-1)*9</f>
        <v>70</v>
      </c>
      <c r="Y26" s="52" t="s">
        <v>29</v>
      </c>
      <c r="AE26" s="103" t="str">
        <f t="shared" si="3"/>
        <v>61D</v>
      </c>
      <c r="AF26" s="98">
        <v>9</v>
      </c>
      <c r="AG26" s="98">
        <v>0</v>
      </c>
      <c r="AH26" s="98">
        <v>15</v>
      </c>
      <c r="AI26" s="98">
        <v>11</v>
      </c>
      <c r="AJ26" s="98">
        <v>9</v>
      </c>
      <c r="AL26" s="117">
        <f>Table18[[#This Row],[SBMU01]]+AF26</f>
        <v>1417.4</v>
      </c>
      <c r="AM26">
        <f>Table18[[#This Row],[SBMU02]]+AG26</f>
        <v>1408.7</v>
      </c>
      <c r="AN26">
        <f>Table18[[#This Row],[SBMU03]]+AH26</f>
        <v>1423.6</v>
      </c>
      <c r="AO26">
        <f>Table18[[#This Row],[SBMU04]]+AI26</f>
        <v>1419.2</v>
      </c>
      <c r="AP26" s="118">
        <f>Table18[[#This Row],[SBMU05]]+AJ26</f>
        <v>1417</v>
      </c>
    </row>
    <row r="27" spans="1:42" ht="15">
      <c r="A27" t="str">
        <f t="shared" si="1"/>
        <v>10.238.7.77</v>
      </c>
      <c r="B27" s="101">
        <f>MID(Table18[[#This Row],[IP]],LEN(Table18[[#This Row],[IP]])-1,1)+(--MID(Table18[[#This Row],[IP]],8,1)-1)*9</f>
        <v>61</v>
      </c>
      <c r="C27" s="101" t="s">
        <v>30</v>
      </c>
      <c r="D27" s="107">
        <v>1403.4</v>
      </c>
      <c r="E27" s="93">
        <v>1403.5</v>
      </c>
      <c r="F27" s="93">
        <v>1402.3</v>
      </c>
      <c r="G27" s="93">
        <v>1402.7</v>
      </c>
      <c r="H27" s="108">
        <v>1403.5</v>
      </c>
      <c r="I27" s="93" cm="1">
        <f t="array" ref="I27">IF(SUM((Table18[[#This Row],[SBMU01]:[SBMU05]]&lt;3)*1)=5,0,SUMPRODUCT(IF(Table18[[#This Row],[SBMU01]:[SBMU05]]&lt;3,1,0),{1,2,4,8,16}))</f>
        <v>0</v>
      </c>
      <c r="J27" s="93">
        <v>0</v>
      </c>
      <c r="K27" s="93">
        <v>0</v>
      </c>
      <c r="M27" t="b">
        <f t="shared" si="0"/>
        <v>1</v>
      </c>
      <c r="V27" s="53" t="s">
        <v>67</v>
      </c>
      <c r="W27" s="56">
        <v>20</v>
      </c>
      <c r="X27" s="51">
        <f>MID(Table18[[#This Row],[IP]],LEN(Table18[[#This Row],[IP]])-1,1)+(--MID(V27,8,1)-1)*9</f>
        <v>70</v>
      </c>
      <c r="Y27" s="54" t="s">
        <v>30</v>
      </c>
      <c r="AE27" s="102" t="str">
        <f t="shared" si="3"/>
        <v>61C</v>
      </c>
      <c r="AF27" s="99">
        <v>14</v>
      </c>
      <c r="AG27" s="99">
        <v>16</v>
      </c>
      <c r="AH27" s="99">
        <v>10</v>
      </c>
      <c r="AI27" s="99">
        <v>0</v>
      </c>
      <c r="AJ27" s="99">
        <v>10</v>
      </c>
      <c r="AL27" s="117">
        <f>Table18[[#This Row],[SBMU01]]+AF27</f>
        <v>1417.4</v>
      </c>
      <c r="AM27">
        <f>Table18[[#This Row],[SBMU02]]+AG27</f>
        <v>1419.5</v>
      </c>
      <c r="AN27">
        <f>Table18[[#This Row],[SBMU03]]+AH27</f>
        <v>1412.3</v>
      </c>
      <c r="AO27">
        <f>Table18[[#This Row],[SBMU04]]+AI27</f>
        <v>1402.7</v>
      </c>
      <c r="AP27" s="118">
        <f>Table18[[#This Row],[SBMU05]]+AJ27</f>
        <v>1413.5</v>
      </c>
    </row>
    <row r="28" spans="1:42" ht="15">
      <c r="A28" t="str">
        <f t="shared" si="1"/>
        <v>10.238.7.78</v>
      </c>
      <c r="B28" s="101">
        <f>MID(Table18[[#This Row],[IP]],LEN(Table18[[#This Row],[IP]])-1,1)+(--MID(Table18[[#This Row],[IP]],8,1)-1)*9</f>
        <v>61</v>
      </c>
      <c r="C28" s="101" t="s">
        <v>31</v>
      </c>
      <c r="D28" s="107">
        <v>1410.3</v>
      </c>
      <c r="E28" s="93">
        <v>1411.9</v>
      </c>
      <c r="F28" s="93">
        <v>1411.8</v>
      </c>
      <c r="G28" s="93">
        <v>1410.2</v>
      </c>
      <c r="H28" s="108">
        <v>1410.8</v>
      </c>
      <c r="I28" s="93" cm="1">
        <f t="array" ref="I28">IF(SUM((Table18[[#This Row],[SBMU01]:[SBMU05]]&lt;3)*1)=5,0,SUMPRODUCT(IF(Table18[[#This Row],[SBMU01]:[SBMU05]]&lt;3,1,0),{1,2,4,8,16}))</f>
        <v>0</v>
      </c>
      <c r="J28" s="93">
        <v>0</v>
      </c>
      <c r="K28" s="93">
        <v>0</v>
      </c>
      <c r="M28" t="b">
        <f t="shared" si="0"/>
        <v>1</v>
      </c>
      <c r="V28" s="50" t="s">
        <v>68</v>
      </c>
      <c r="W28" s="55">
        <v>34</v>
      </c>
      <c r="X28" s="51">
        <f>MID(Table18[[#This Row],[IP]],LEN(Table18[[#This Row],[IP]])-1,1)+(--MID(V28,8,1)-1)*9</f>
        <v>70</v>
      </c>
      <c r="Y28" s="52" t="s">
        <v>31</v>
      </c>
      <c r="AE28" s="103" t="str">
        <f t="shared" si="3"/>
        <v>61B</v>
      </c>
      <c r="AF28" s="98">
        <v>12</v>
      </c>
      <c r="AG28" s="98">
        <v>11</v>
      </c>
      <c r="AH28" s="98">
        <v>0</v>
      </c>
      <c r="AI28" s="98">
        <v>10</v>
      </c>
      <c r="AJ28" s="98">
        <v>10</v>
      </c>
      <c r="AL28" s="117">
        <f>Table18[[#This Row],[SBMU01]]+AF28</f>
        <v>1422.3</v>
      </c>
      <c r="AM28">
        <f>Table18[[#This Row],[SBMU02]]+AG28</f>
        <v>1422.9</v>
      </c>
      <c r="AN28">
        <f>Table18[[#This Row],[SBMU03]]+AH28</f>
        <v>1411.8</v>
      </c>
      <c r="AO28">
        <f>Table18[[#This Row],[SBMU04]]+AI28</f>
        <v>1420.2</v>
      </c>
      <c r="AP28" s="118">
        <f>Table18[[#This Row],[SBMU05]]+AJ28</f>
        <v>1420.8</v>
      </c>
    </row>
    <row r="29" spans="1:42" ht="15">
      <c r="A29" t="str">
        <f t="shared" si="1"/>
        <v>10.238.7.79</v>
      </c>
      <c r="B29" s="101">
        <f>MID(Table18[[#This Row],[IP]],LEN(Table18[[#This Row],[IP]])-1,1)+(--MID(Table18[[#This Row],[IP]],8,1)-1)*9</f>
        <v>61</v>
      </c>
      <c r="C29" s="101" t="s">
        <v>32</v>
      </c>
      <c r="D29" s="107">
        <v>1409.4</v>
      </c>
      <c r="E29" s="93">
        <v>1409.2</v>
      </c>
      <c r="F29" s="93">
        <v>1407.7</v>
      </c>
      <c r="G29" s="93">
        <v>1408.7</v>
      </c>
      <c r="H29" s="108">
        <v>1408.4</v>
      </c>
      <c r="I29" s="93" cm="1">
        <f t="array" ref="I29">IF(SUM((Table18[[#This Row],[SBMU01]:[SBMU05]]&lt;3)*1)=5,0,SUMPRODUCT(IF(Table18[[#This Row],[SBMU01]:[SBMU05]]&lt;3,1,0),{1,2,4,8,16}))</f>
        <v>0</v>
      </c>
      <c r="J29" s="93">
        <v>0</v>
      </c>
      <c r="K29" s="93">
        <v>0</v>
      </c>
      <c r="M29" t="b">
        <f t="shared" si="0"/>
        <v>1</v>
      </c>
      <c r="V29" s="53" t="s">
        <v>69</v>
      </c>
      <c r="W29" s="56">
        <v>34</v>
      </c>
      <c r="X29" s="51">
        <f>MID(Table18[[#This Row],[IP]],LEN(Table18[[#This Row],[IP]])-1,1)+(--MID(V29,8,1)-1)*9</f>
        <v>70</v>
      </c>
      <c r="Y29" s="54" t="s">
        <v>32</v>
      </c>
      <c r="AE29" s="102" t="str">
        <f t="shared" si="3"/>
        <v>61A</v>
      </c>
      <c r="AF29" s="99">
        <v>15</v>
      </c>
      <c r="AG29" s="99">
        <v>8</v>
      </c>
      <c r="AH29" s="99">
        <v>10.3</v>
      </c>
      <c r="AI29" s="99">
        <v>0</v>
      </c>
      <c r="AJ29" s="99">
        <v>7</v>
      </c>
      <c r="AL29" s="117">
        <f>Table18[[#This Row],[SBMU01]]+AF29</f>
        <v>1424.4</v>
      </c>
      <c r="AM29">
        <f>Table18[[#This Row],[SBMU02]]+AG29</f>
        <v>1417.2</v>
      </c>
      <c r="AN29">
        <f>Table18[[#This Row],[SBMU03]]+AH29</f>
        <v>1418</v>
      </c>
      <c r="AO29">
        <f>Table18[[#This Row],[SBMU04]]+AI29</f>
        <v>1408.7</v>
      </c>
      <c r="AP29" s="118">
        <f>Table18[[#This Row],[SBMU05]]+AJ29</f>
        <v>1415.4</v>
      </c>
    </row>
    <row r="30" spans="1:42" ht="15">
      <c r="A30" t="str">
        <f t="shared" si="1"/>
        <v>10.238.7.86</v>
      </c>
      <c r="B30" s="101">
        <f>MID(Table18[[#This Row],[IP]],LEN(Table18[[#This Row],[IP]])-1,1)+(--MID(Table18[[#This Row],[IP]],8,1)-1)*9</f>
        <v>62</v>
      </c>
      <c r="C30" s="101" t="s">
        <v>29</v>
      </c>
      <c r="D30" s="107">
        <v>1396.4</v>
      </c>
      <c r="E30" s="93">
        <v>1396.1</v>
      </c>
      <c r="F30" s="93">
        <v>1397.2</v>
      </c>
      <c r="G30" s="93">
        <v>1397.2</v>
      </c>
      <c r="H30" s="108">
        <v>1396.8</v>
      </c>
      <c r="I30" s="93" cm="1">
        <f t="array" ref="I30">IF(SUM((Table18[[#This Row],[SBMU01]:[SBMU05]]&lt;3)*1)=5,0,SUMPRODUCT(IF(Table18[[#This Row],[SBMU01]:[SBMU05]]&lt;3,1,0),{1,2,4,8,16}))</f>
        <v>0</v>
      </c>
      <c r="J30" s="93">
        <v>0</v>
      </c>
      <c r="K30" s="93">
        <v>0</v>
      </c>
      <c r="M30" t="b">
        <f t="shared" si="0"/>
        <v>1</v>
      </c>
      <c r="V30" s="50" t="s">
        <v>70</v>
      </c>
      <c r="W30" s="55">
        <v>30</v>
      </c>
      <c r="X30" s="51">
        <f>MID(Table18[[#This Row],[IP]],LEN(Table18[[#This Row],[IP]])-1,1)+(--MID(V30,8,1)-1)*9</f>
        <v>71</v>
      </c>
      <c r="Y30" s="52" t="s">
        <v>29</v>
      </c>
      <c r="AE30" s="103" t="str">
        <f t="shared" si="3"/>
        <v>62D</v>
      </c>
      <c r="AF30" s="98">
        <v>213</v>
      </c>
      <c r="AG30" s="98">
        <v>212</v>
      </c>
      <c r="AH30" s="98">
        <v>213</v>
      </c>
      <c r="AI30" s="98">
        <v>211</v>
      </c>
      <c r="AJ30" s="98">
        <v>218</v>
      </c>
      <c r="AL30" s="117">
        <f>Table18[[#This Row],[SBMU01]]+AF30</f>
        <v>1609.4</v>
      </c>
      <c r="AM30">
        <f>Table18[[#This Row],[SBMU02]]+AG30</f>
        <v>1608.1</v>
      </c>
      <c r="AN30">
        <f>Table18[[#This Row],[SBMU03]]+AH30</f>
        <v>1610.2</v>
      </c>
      <c r="AO30">
        <f>Table18[[#This Row],[SBMU04]]+AI30</f>
        <v>1608.2</v>
      </c>
      <c r="AP30" s="118">
        <f>Table18[[#This Row],[SBMU05]]+AJ30</f>
        <v>1614.8</v>
      </c>
    </row>
    <row r="31" spans="1:42" ht="15">
      <c r="A31" t="str">
        <f t="shared" si="1"/>
        <v>10.238.7.87</v>
      </c>
      <c r="B31" s="101">
        <f>MID(Table18[[#This Row],[IP]],LEN(Table18[[#This Row],[IP]])-1,1)+(--MID(Table18[[#This Row],[IP]],8,1)-1)*9</f>
        <v>62</v>
      </c>
      <c r="C31" s="101" t="s">
        <v>30</v>
      </c>
      <c r="D31" s="107">
        <v>1398</v>
      </c>
      <c r="E31" s="93">
        <v>1397.1</v>
      </c>
      <c r="F31" s="93">
        <v>1395.1</v>
      </c>
      <c r="G31" s="93">
        <v>1398.7</v>
      </c>
      <c r="H31" s="108">
        <v>1396.9</v>
      </c>
      <c r="I31" s="93" cm="1">
        <f t="array" ref="I31">IF(SUM((Table18[[#This Row],[SBMU01]:[SBMU05]]&lt;3)*1)=5,0,SUMPRODUCT(IF(Table18[[#This Row],[SBMU01]:[SBMU05]]&lt;3,1,0),{1,2,4,8,16}))</f>
        <v>0</v>
      </c>
      <c r="J31" s="93">
        <v>0</v>
      </c>
      <c r="K31" s="93">
        <v>0</v>
      </c>
      <c r="M31" t="b">
        <f t="shared" si="0"/>
        <v>1</v>
      </c>
      <c r="V31" s="53" t="s">
        <v>71</v>
      </c>
      <c r="W31" s="56">
        <v>28</v>
      </c>
      <c r="X31" s="51">
        <f>MID(Table18[[#This Row],[IP]],LEN(Table18[[#This Row],[IP]])-1,1)+(--MID(V31,8,1)-1)*9</f>
        <v>71</v>
      </c>
      <c r="Y31" s="54" t="s">
        <v>30</v>
      </c>
      <c r="AE31" s="102" t="str">
        <f t="shared" si="3"/>
        <v>62C</v>
      </c>
      <c r="AF31" s="99">
        <v>217</v>
      </c>
      <c r="AG31" s="99">
        <v>198</v>
      </c>
      <c r="AH31" s="99">
        <v>216</v>
      </c>
      <c r="AI31" s="99">
        <v>216</v>
      </c>
      <c r="AJ31" s="99">
        <v>217</v>
      </c>
      <c r="AL31" s="117">
        <f>Table18[[#This Row],[SBMU01]]+AF31</f>
        <v>1615</v>
      </c>
      <c r="AM31">
        <f>Table18[[#This Row],[SBMU02]]+AG31</f>
        <v>1595.1</v>
      </c>
      <c r="AN31">
        <f>Table18[[#This Row],[SBMU03]]+AH31</f>
        <v>1611.1</v>
      </c>
      <c r="AO31">
        <f>Table18[[#This Row],[SBMU04]]+AI31</f>
        <v>1614.7</v>
      </c>
      <c r="AP31" s="118">
        <f>Table18[[#This Row],[SBMU05]]+AJ31</f>
        <v>1613.9</v>
      </c>
    </row>
    <row r="32" spans="1:42" ht="15">
      <c r="A32" t="str">
        <f t="shared" si="1"/>
        <v>10.238.7.88</v>
      </c>
      <c r="B32" s="101">
        <f>MID(Table18[[#This Row],[IP]],LEN(Table18[[#This Row],[IP]])-1,1)+(--MID(Table18[[#This Row],[IP]],8,1)-1)*9</f>
        <v>62</v>
      </c>
      <c r="C32" s="101" t="s">
        <v>31</v>
      </c>
      <c r="D32" s="107">
        <v>1386.7</v>
      </c>
      <c r="E32" s="93">
        <v>1383.2</v>
      </c>
      <c r="F32" s="93">
        <v>1383.7</v>
      </c>
      <c r="G32" s="93">
        <v>1384.5</v>
      </c>
      <c r="H32" s="108">
        <v>1384.3</v>
      </c>
      <c r="I32" s="93" cm="1">
        <f t="array" ref="I32">IF(SUM((Table18[[#This Row],[SBMU01]:[SBMU05]]&lt;3)*1)=5,0,SUMPRODUCT(IF(Table18[[#This Row],[SBMU01]:[SBMU05]]&lt;3,1,0),{1,2,4,8,16}))</f>
        <v>0</v>
      </c>
      <c r="J32" s="93">
        <v>0</v>
      </c>
      <c r="K32" s="93">
        <v>0</v>
      </c>
      <c r="M32" t="b">
        <f t="shared" si="0"/>
        <v>1</v>
      </c>
      <c r="V32" s="50" t="s">
        <v>72</v>
      </c>
      <c r="W32" s="55">
        <v>31</v>
      </c>
      <c r="X32" s="51">
        <f>MID(Table18[[#This Row],[IP]],LEN(Table18[[#This Row],[IP]])-1,1)+(--MID(V32,8,1)-1)*9</f>
        <v>71</v>
      </c>
      <c r="Y32" s="52" t="s">
        <v>31</v>
      </c>
      <c r="AE32" s="103" t="str">
        <f t="shared" si="3"/>
        <v>62B</v>
      </c>
      <c r="AF32" s="98">
        <v>274</v>
      </c>
      <c r="AG32" s="98">
        <v>267</v>
      </c>
      <c r="AH32" s="98">
        <v>251</v>
      </c>
      <c r="AI32" s="98">
        <v>265</v>
      </c>
      <c r="AJ32" s="98">
        <v>269</v>
      </c>
      <c r="AL32" s="117">
        <f>Table18[[#This Row],[SBMU01]]+AF32</f>
        <v>1660.7</v>
      </c>
      <c r="AM32">
        <f>Table18[[#This Row],[SBMU02]]+AG32</f>
        <v>1650.2</v>
      </c>
      <c r="AN32">
        <f>Table18[[#This Row],[SBMU03]]+AH32</f>
        <v>1634.7</v>
      </c>
      <c r="AO32">
        <f>Table18[[#This Row],[SBMU04]]+AI32</f>
        <v>1649.5</v>
      </c>
      <c r="AP32" s="118">
        <f>Table18[[#This Row],[SBMU05]]+AJ32</f>
        <v>1653.3</v>
      </c>
    </row>
    <row r="33" spans="1:42" ht="15">
      <c r="A33" t="str">
        <f t="shared" si="1"/>
        <v>10.238.7.89</v>
      </c>
      <c r="B33" s="101">
        <f>MID(Table18[[#This Row],[IP]],LEN(Table18[[#This Row],[IP]])-1,1)+(--MID(Table18[[#This Row],[IP]],8,1)-1)*9</f>
        <v>62</v>
      </c>
      <c r="C33" s="101" t="s">
        <v>32</v>
      </c>
      <c r="D33" s="107">
        <v>1394.8</v>
      </c>
      <c r="E33" s="93">
        <v>1394.6</v>
      </c>
      <c r="F33" s="93">
        <v>1395.5</v>
      </c>
      <c r="G33" s="93">
        <v>1396.4</v>
      </c>
      <c r="H33" s="108">
        <v>1395.8</v>
      </c>
      <c r="I33" s="93" cm="1">
        <f t="array" ref="I33">IF(SUM((Table18[[#This Row],[SBMU01]:[SBMU05]]&lt;3)*1)=5,0,SUMPRODUCT(IF(Table18[[#This Row],[SBMU01]:[SBMU05]]&lt;3,1,0),{1,2,4,8,16}))</f>
        <v>0</v>
      </c>
      <c r="J33" s="93">
        <v>0</v>
      </c>
      <c r="K33" s="93">
        <v>0</v>
      </c>
      <c r="M33" t="b">
        <f t="shared" si="0"/>
        <v>1</v>
      </c>
      <c r="V33" s="53" t="s">
        <v>73</v>
      </c>
      <c r="W33" s="56">
        <v>31</v>
      </c>
      <c r="X33" s="51">
        <f>MID(Table18[[#This Row],[IP]],LEN(Table18[[#This Row],[IP]])-1,1)+(--MID(V33,8,1)-1)*9</f>
        <v>71</v>
      </c>
      <c r="Y33" s="54" t="s">
        <v>32</v>
      </c>
      <c r="AE33" s="102" t="str">
        <f t="shared" si="3"/>
        <v>62A</v>
      </c>
      <c r="AF33" s="99">
        <v>198</v>
      </c>
      <c r="AG33" s="99">
        <v>197</v>
      </c>
      <c r="AH33" s="99">
        <v>189</v>
      </c>
      <c r="AI33" s="99">
        <v>197</v>
      </c>
      <c r="AJ33" s="99">
        <v>198</v>
      </c>
      <c r="AL33" s="117">
        <f>Table18[[#This Row],[SBMU01]]+AF33</f>
        <v>1592.8</v>
      </c>
      <c r="AM33">
        <f>Table18[[#This Row],[SBMU02]]+AG33</f>
        <v>1591.6</v>
      </c>
      <c r="AN33">
        <f>Table18[[#This Row],[SBMU03]]+AH33</f>
        <v>1584.5</v>
      </c>
      <c r="AO33">
        <f>Table18[[#This Row],[SBMU04]]+AI33</f>
        <v>1593.4</v>
      </c>
      <c r="AP33" s="118">
        <f>Table18[[#This Row],[SBMU05]]+AJ33</f>
        <v>1593.8</v>
      </c>
    </row>
    <row r="34" spans="1:42" ht="15">
      <c r="A34" t="str">
        <f t="shared" si="1"/>
        <v>10.238.7.96</v>
      </c>
      <c r="B34" s="101">
        <f>MID(Table18[[#This Row],[IP]],LEN(Table18[[#This Row],[IP]])-1,1)+(--MID(Table18[[#This Row],[IP]],8,1)-1)*9</f>
        <v>63</v>
      </c>
      <c r="C34" s="101" t="s">
        <v>29</v>
      </c>
      <c r="D34" s="107">
        <v>1413.3</v>
      </c>
      <c r="E34" s="93">
        <v>1412.9</v>
      </c>
      <c r="F34" s="93">
        <v>1414.2</v>
      </c>
      <c r="G34" s="93">
        <v>1412.6</v>
      </c>
      <c r="H34" s="108">
        <v>1412.8</v>
      </c>
      <c r="I34" s="93" cm="1">
        <f t="array" ref="I34">IF(SUM((Table18[[#This Row],[SBMU01]:[SBMU05]]&lt;3)*1)=5,0,SUMPRODUCT(IF(Table18[[#This Row],[SBMU01]:[SBMU05]]&lt;3,1,0),{1,2,4,8,16}))</f>
        <v>0</v>
      </c>
      <c r="J34" s="93">
        <v>0</v>
      </c>
      <c r="K34" s="93">
        <v>0</v>
      </c>
      <c r="M34" t="b">
        <f t="shared" si="0"/>
        <v>1</v>
      </c>
      <c r="V34" s="50" t="s">
        <v>74</v>
      </c>
      <c r="W34" s="55">
        <v>23</v>
      </c>
      <c r="X34" s="51">
        <f>MID(Table18[[#This Row],[IP]],LEN(Table18[[#This Row],[IP]])-1,1)+(--MID(V34,8,1)-1)*9</f>
        <v>72</v>
      </c>
      <c r="Y34" s="52" t="s">
        <v>29</v>
      </c>
      <c r="AE34" s="103" t="str">
        <f t="shared" si="3"/>
        <v>63D</v>
      </c>
      <c r="AF34" s="98">
        <v>14</v>
      </c>
      <c r="AG34" s="98">
        <v>18</v>
      </c>
      <c r="AH34" s="98">
        <v>0</v>
      </c>
      <c r="AI34" s="98">
        <v>13</v>
      </c>
      <c r="AJ34" s="98">
        <v>10</v>
      </c>
      <c r="AL34" s="117">
        <f>Table18[[#This Row],[SBMU01]]+AF34</f>
        <v>1427.3</v>
      </c>
      <c r="AM34">
        <f>Table18[[#This Row],[SBMU02]]+AG34</f>
        <v>1430.9</v>
      </c>
      <c r="AN34">
        <f>Table18[[#This Row],[SBMU03]]+AH34</f>
        <v>1414.2</v>
      </c>
      <c r="AO34">
        <f>Table18[[#This Row],[SBMU04]]+AI34</f>
        <v>1425.6</v>
      </c>
      <c r="AP34" s="118">
        <f>Table18[[#This Row],[SBMU05]]+AJ34</f>
        <v>1422.8</v>
      </c>
    </row>
    <row r="35" spans="1:42" ht="15">
      <c r="A35" t="str">
        <f t="shared" si="1"/>
        <v>10.238.7.97</v>
      </c>
      <c r="B35" s="101">
        <f>MID(Table18[[#This Row],[IP]],LEN(Table18[[#This Row],[IP]])-1,1)+(--MID(Table18[[#This Row],[IP]],8,1)-1)*9</f>
        <v>63</v>
      </c>
      <c r="C35" s="101" t="s">
        <v>30</v>
      </c>
      <c r="D35" s="107">
        <v>1418.4</v>
      </c>
      <c r="E35" s="93">
        <v>1417.8</v>
      </c>
      <c r="F35" s="93">
        <v>1418.6</v>
      </c>
      <c r="G35" s="93">
        <v>1417.9</v>
      </c>
      <c r="H35" s="108">
        <v>1418.6</v>
      </c>
      <c r="I35" s="93" cm="1">
        <f t="array" ref="I35">IF(SUM((Table18[[#This Row],[SBMU01]:[SBMU05]]&lt;3)*1)=5,0,SUMPRODUCT(IF(Table18[[#This Row],[SBMU01]:[SBMU05]]&lt;3,1,0),{1,2,4,8,16}))</f>
        <v>0</v>
      </c>
      <c r="J35" s="93">
        <v>0</v>
      </c>
      <c r="K35" s="93">
        <v>0</v>
      </c>
      <c r="M35" t="b">
        <f t="shared" si="0"/>
        <v>1</v>
      </c>
      <c r="V35" s="53" t="s">
        <v>75</v>
      </c>
      <c r="W35" s="56">
        <v>23</v>
      </c>
      <c r="X35" s="51">
        <f>MID(Table18[[#This Row],[IP]],LEN(Table18[[#This Row],[IP]])-1,1)+(--MID(V35,8,1)-1)*9</f>
        <v>72</v>
      </c>
      <c r="Y35" s="54" t="s">
        <v>30</v>
      </c>
      <c r="AE35" s="102" t="str">
        <f t="shared" si="3"/>
        <v>63C</v>
      </c>
      <c r="AF35" s="99">
        <v>0</v>
      </c>
      <c r="AG35" s="99">
        <v>9</v>
      </c>
      <c r="AH35" s="99">
        <v>11</v>
      </c>
      <c r="AI35" s="99">
        <v>10</v>
      </c>
      <c r="AJ35" s="99">
        <v>9</v>
      </c>
      <c r="AL35" s="117">
        <f>Table18[[#This Row],[SBMU01]]+AF35</f>
        <v>1418.4</v>
      </c>
      <c r="AM35">
        <f>Table18[[#This Row],[SBMU02]]+AG35</f>
        <v>1426.8</v>
      </c>
      <c r="AN35">
        <f>Table18[[#This Row],[SBMU03]]+AH35</f>
        <v>1429.6</v>
      </c>
      <c r="AO35">
        <f>Table18[[#This Row],[SBMU04]]+AI35</f>
        <v>1427.9</v>
      </c>
      <c r="AP35" s="118">
        <f>Table18[[#This Row],[SBMU05]]+AJ35</f>
        <v>1427.6</v>
      </c>
    </row>
    <row r="36" spans="1:42" ht="15">
      <c r="A36" t="str">
        <f t="shared" si="1"/>
        <v>10.238.7.98</v>
      </c>
      <c r="B36" s="101">
        <f>MID(Table18[[#This Row],[IP]],LEN(Table18[[#This Row],[IP]])-1,1)+(--MID(Table18[[#This Row],[IP]],8,1)-1)*9</f>
        <v>63</v>
      </c>
      <c r="C36" s="101" t="s">
        <v>31</v>
      </c>
      <c r="D36" s="107">
        <v>1416.4</v>
      </c>
      <c r="E36" s="93">
        <v>1413.7</v>
      </c>
      <c r="F36" s="93">
        <v>1417.3</v>
      </c>
      <c r="G36" s="93">
        <v>1415.2</v>
      </c>
      <c r="H36" s="108">
        <v>1416.1</v>
      </c>
      <c r="I36" s="93" cm="1">
        <f t="array" ref="I36">IF(SUM((Table18[[#This Row],[SBMU01]:[SBMU05]]&lt;3)*1)=5,0,SUMPRODUCT(IF(Table18[[#This Row],[SBMU01]:[SBMU05]]&lt;3,1,0),{1,2,4,8,16}))</f>
        <v>0</v>
      </c>
      <c r="J36" s="93">
        <v>0</v>
      </c>
      <c r="K36" s="93">
        <v>0</v>
      </c>
      <c r="M36" t="b">
        <f t="shared" si="0"/>
        <v>1</v>
      </c>
      <c r="V36" s="50" t="s">
        <v>76</v>
      </c>
      <c r="W36" s="55">
        <v>24</v>
      </c>
      <c r="X36" s="51">
        <f>MID(Table18[[#This Row],[IP]],LEN(Table18[[#This Row],[IP]])-1,1)+(--MID(V36,8,1)-1)*9</f>
        <v>72</v>
      </c>
      <c r="Y36" s="52" t="s">
        <v>31</v>
      </c>
      <c r="AE36" s="103" t="str">
        <f t="shared" si="3"/>
        <v>63B</v>
      </c>
      <c r="AF36" s="98">
        <v>12</v>
      </c>
      <c r="AG36" s="98">
        <v>0</v>
      </c>
      <c r="AH36" s="98">
        <v>13</v>
      </c>
      <c r="AI36" s="98">
        <v>11</v>
      </c>
      <c r="AJ36" s="98">
        <v>16</v>
      </c>
      <c r="AL36" s="117">
        <f>Table18[[#This Row],[SBMU01]]+AF36</f>
        <v>1428.4</v>
      </c>
      <c r="AM36">
        <f>Table18[[#This Row],[SBMU02]]+AG36</f>
        <v>1413.7</v>
      </c>
      <c r="AN36">
        <f>Table18[[#This Row],[SBMU03]]+AH36</f>
        <v>1430.3</v>
      </c>
      <c r="AO36">
        <f>Table18[[#This Row],[SBMU04]]+AI36</f>
        <v>1426.2</v>
      </c>
      <c r="AP36" s="118">
        <f>Table18[[#This Row],[SBMU05]]+AJ36</f>
        <v>1432.1</v>
      </c>
    </row>
    <row r="37" spans="1:42" ht="15.75" thickBot="1">
      <c r="A37" t="str">
        <f t="shared" si="1"/>
        <v>10.238.7.99</v>
      </c>
      <c r="B37" s="101">
        <f>MID(Table18[[#This Row],[IP]],LEN(Table18[[#This Row],[IP]])-1,1)+(--MID(Table18[[#This Row],[IP]],8,1)-1)*9</f>
        <v>63</v>
      </c>
      <c r="C37" s="101" t="s">
        <v>32</v>
      </c>
      <c r="D37" s="109">
        <v>1402.1</v>
      </c>
      <c r="E37" s="110">
        <v>1401.6</v>
      </c>
      <c r="F37" s="110">
        <v>1402.4</v>
      </c>
      <c r="G37" s="110">
        <v>1401.6</v>
      </c>
      <c r="H37" s="111">
        <v>1402.5</v>
      </c>
      <c r="I37" s="93" cm="1">
        <f t="array" ref="I37">IF(SUM((Table18[[#This Row],[SBMU01]:[SBMU05]]&lt;3)*1)=5,0,SUMPRODUCT(IF(Table18[[#This Row],[SBMU01]:[SBMU05]]&lt;3,1,0),{1,2,4,8,16}))</f>
        <v>0</v>
      </c>
      <c r="J37" s="93">
        <v>0</v>
      </c>
      <c r="K37" s="93">
        <v>0</v>
      </c>
      <c r="M37" t="b">
        <f t="shared" si="0"/>
        <v>1</v>
      </c>
      <c r="V37" s="53" t="s">
        <v>77</v>
      </c>
      <c r="W37" s="56">
        <v>24</v>
      </c>
      <c r="X37" s="51">
        <f>MID(Table18[[#This Row],[IP]],LEN(Table18[[#This Row],[IP]])-1,1)+(--MID(V37,8,1)-1)*9</f>
        <v>72</v>
      </c>
      <c r="Y37" s="54" t="s">
        <v>32</v>
      </c>
      <c r="AE37" s="102" t="str">
        <f t="shared" si="3"/>
        <v>63A</v>
      </c>
      <c r="AF37" s="99">
        <v>15</v>
      </c>
      <c r="AG37" s="99">
        <v>10</v>
      </c>
      <c r="AH37" s="99">
        <v>0</v>
      </c>
      <c r="AI37" s="99">
        <v>12</v>
      </c>
      <c r="AJ37" s="99">
        <v>11</v>
      </c>
      <c r="AL37" s="119">
        <f>Table18[[#This Row],[SBMU01]]+AF37</f>
        <v>1417.1</v>
      </c>
      <c r="AM37" s="120">
        <f>Table18[[#This Row],[SBMU02]]+AG37</f>
        <v>1411.6</v>
      </c>
      <c r="AN37" s="120">
        <f>Table18[[#This Row],[SBMU03]]+AH37</f>
        <v>1402.4</v>
      </c>
      <c r="AO37" s="120">
        <f>Table18[[#This Row],[SBMU04]]+AI37</f>
        <v>1413.6</v>
      </c>
      <c r="AP37" s="121">
        <f>Table18[[#This Row],[SBMU05]]+AJ37</f>
        <v>1413.5</v>
      </c>
    </row>
  </sheetData>
  <phoneticPr fontId="12" type="noConversion"/>
  <conditionalFormatting sqref="I2:I37">
    <cfRule type="cellIs" dxfId="63" priority="9" operator="notEqual">
      <formula>K2</formula>
    </cfRule>
  </conditionalFormatting>
  <conditionalFormatting sqref="M3:M37">
    <cfRule type="cellIs" dxfId="62" priority="8" operator="equal">
      <formula>TRUE</formula>
    </cfRule>
  </conditionalFormatting>
  <conditionalFormatting sqref="M2">
    <cfRule type="cellIs" dxfId="61" priority="7" operator="equal">
      <formula>TRUE</formula>
    </cfRule>
  </conditionalFormatting>
  <conditionalFormatting sqref="D2:H37">
    <cfRule type="top10" dxfId="60" priority="4" rank="1"/>
    <cfRule type="cellIs" dxfId="59" priority="6" operator="lessThan">
      <formula>3</formula>
    </cfRule>
  </conditionalFormatting>
  <conditionalFormatting sqref="AF2:AJ37">
    <cfRule type="top10" dxfId="58" priority="3" bottom="1" rank="1"/>
    <cfRule type="cellIs" dxfId="57" priority="5" operator="lessThan">
      <formula>2.8</formula>
    </cfRule>
  </conditionalFormatting>
  <conditionalFormatting sqref="AL2:AP37">
    <cfRule type="top10" dxfId="56" priority="1" bottom="1" rank="1"/>
    <cfRule type="expression" dxfId="55" priority="2">
      <formula>AL2&lt;700</formula>
    </cfRule>
  </conditionalFormatting>
  <dataValidations count="3">
    <dataValidation type="list" allowBlank="1" showInputMessage="1" showErrorMessage="1" sqref="R1" xr:uid="{A4FE7BFE-F7F6-421E-A4DE-211642116630}">
      <formula1>$AA$2:$AA$9</formula1>
    </dataValidation>
    <dataValidation type="list" allowBlank="1" sqref="O1:O2" xr:uid="{C82E67D3-8FD2-4DEF-9071-D85FEFFEB114}">
      <formula1>$Q$3:$Q$16</formula1>
    </dataValidation>
    <dataValidation type="list" allowBlank="1" showInputMessage="1" showErrorMessage="1" sqref="P2" xr:uid="{4850E252-774F-40B1-8CB4-A2CFD45A39B6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alibrateRead">
                <anchor>
                  <from>
                    <xdr:col>13</xdr:col>
                    <xdr:colOff>323850</xdr:colOff>
                    <xdr:row>2</xdr:row>
                    <xdr:rowOff>171450</xdr:rowOff>
                  </from>
                  <to>
                    <xdr:col>14</xdr:col>
                    <xdr:colOff>533400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alibrateWrite">
                <anchor>
                  <from>
                    <xdr:col>13</xdr:col>
                    <xdr:colOff>323850</xdr:colOff>
                    <xdr:row>6</xdr:row>
                    <xdr:rowOff>47625</xdr:rowOff>
                  </from>
                  <to>
                    <xdr:col>14</xdr:col>
                    <xdr:colOff>533400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D9AFB-1845-4BA5-959C-7CDB3EC5AE01}">
  <sheetPr codeName="Sheet5"/>
  <dimension ref="A1:AF290"/>
  <sheetViews>
    <sheetView workbookViewId="0"/>
  </sheetViews>
  <sheetFormatPr defaultRowHeight="13.5"/>
  <cols>
    <col min="1" max="1" width="11.875" bestFit="1" customWidth="1"/>
    <col min="2" max="2" width="4.25" customWidth="1"/>
    <col min="3" max="27" width="6.625" customWidth="1"/>
    <col min="29" max="29" width="9.875" bestFit="1" customWidth="1"/>
  </cols>
  <sheetData>
    <row r="1" spans="1:32" ht="15">
      <c r="A1" s="86" t="s">
        <v>27</v>
      </c>
      <c r="B1" s="86" t="s">
        <v>28</v>
      </c>
      <c r="C1" s="86" t="s">
        <v>119</v>
      </c>
      <c r="D1" s="86" t="s">
        <v>120</v>
      </c>
      <c r="E1" s="86" t="s">
        <v>121</v>
      </c>
      <c r="F1" s="86" t="s">
        <v>122</v>
      </c>
      <c r="G1" s="86" t="s">
        <v>123</v>
      </c>
      <c r="H1" s="86" t="s">
        <v>124</v>
      </c>
      <c r="I1" s="86" t="s">
        <v>125</v>
      </c>
      <c r="J1" s="86" t="s">
        <v>126</v>
      </c>
      <c r="K1" s="86" t="s">
        <v>127</v>
      </c>
      <c r="L1" s="86" t="s">
        <v>128</v>
      </c>
      <c r="M1" s="86" t="s">
        <v>129</v>
      </c>
      <c r="N1" s="86" t="s">
        <v>130</v>
      </c>
      <c r="O1" s="87" t="s">
        <v>385</v>
      </c>
      <c r="P1" s="87" t="s">
        <v>386</v>
      </c>
      <c r="Q1" s="86" t="s">
        <v>387</v>
      </c>
      <c r="R1" s="86" t="s">
        <v>702</v>
      </c>
      <c r="S1" t="s">
        <v>717</v>
      </c>
      <c r="T1" t="s">
        <v>718</v>
      </c>
      <c r="U1" s="59"/>
      <c r="V1" s="59"/>
      <c r="W1" s="59"/>
      <c r="X1" s="85">
        <v>16</v>
      </c>
      <c r="Z1" s="85">
        <v>17</v>
      </c>
      <c r="AB1" t="str">
        <f ca="1">AF2&amp;"data\"&amp;AB6</f>
        <v>D:\Download\00-CATL\KBESS\HotCommissionTool\data\SocVolt-20250211-153846.csv</v>
      </c>
    </row>
    <row r="2" spans="1:32" ht="15">
      <c r="A2" s="59" t="s">
        <v>27</v>
      </c>
      <c r="B2" s="59" t="s">
        <v>28</v>
      </c>
      <c r="C2" s="59">
        <v>34</v>
      </c>
      <c r="D2" s="59">
        <v>32</v>
      </c>
      <c r="E2" s="59">
        <v>1059</v>
      </c>
      <c r="F2" s="59">
        <f>E2+1024</f>
        <v>2083</v>
      </c>
      <c r="G2" s="59">
        <f>F2+1024</f>
        <v>3107</v>
      </c>
      <c r="H2" s="59">
        <f>G2+1024</f>
        <v>4131</v>
      </c>
      <c r="I2" s="59">
        <f>H2+1024</f>
        <v>5155</v>
      </c>
      <c r="J2" s="59">
        <v>1057</v>
      </c>
      <c r="K2" s="59">
        <f>J2+1024</f>
        <v>2081</v>
      </c>
      <c r="L2" s="59">
        <f>K2+1024</f>
        <v>3105</v>
      </c>
      <c r="M2" s="59">
        <f>L2+1024</f>
        <v>4129</v>
      </c>
      <c r="N2" s="59">
        <f>M2+1024</f>
        <v>5153</v>
      </c>
      <c r="O2" s="85">
        <v>16</v>
      </c>
      <c r="P2" s="85">
        <v>17</v>
      </c>
      <c r="Q2" s="85">
        <v>770</v>
      </c>
      <c r="R2" s="85">
        <v>56</v>
      </c>
      <c r="S2" s="75"/>
      <c r="T2" s="75"/>
      <c r="X2" cm="1">
        <f t="array" ref="X2:X5">_xlfn._xlws.SORT(_xlfn.UNIQUE(O3:O290))</f>
        <v>0</v>
      </c>
      <c r="Y2">
        <f>COUNTIF(O:O,X2)</f>
        <v>279</v>
      </c>
      <c r="Z2" cm="1">
        <f t="array" ref="Z2:Z6">_xlfn._xlws.SORT(_xlfn.UNIQUE(P3:P290))</f>
        <v>0</v>
      </c>
      <c r="AA2">
        <f t="shared" ref="AA2:AA3" si="0">COUNTIF(P:P,Z2)</f>
        <v>277</v>
      </c>
      <c r="AF2" t="str" cm="1">
        <f t="array" aca="1" ref="AF2" ca="1">SUBSTITUTE(CELL("filename"),RIGHT(CELL("filename"),LEN(CELL("filename"))-SEARCH("[",CELL("filename"))+1),"")</f>
        <v>D:\Download\00-CATL\KBESS\HotCommissionTool\</v>
      </c>
    </row>
    <row r="3" spans="1:32" ht="15">
      <c r="A3" t="s">
        <v>132</v>
      </c>
      <c r="B3" s="85" t="s">
        <v>408</v>
      </c>
      <c r="C3" s="75">
        <v>86.9</v>
      </c>
      <c r="D3" s="75">
        <v>1384.2</v>
      </c>
      <c r="E3" s="75">
        <v>87.1</v>
      </c>
      <c r="F3" s="75">
        <v>87.1</v>
      </c>
      <c r="G3" s="75">
        <v>87.1</v>
      </c>
      <c r="H3" s="75">
        <v>86.1</v>
      </c>
      <c r="I3" s="75">
        <v>86.3</v>
      </c>
      <c r="J3" s="83">
        <v>1383.7</v>
      </c>
      <c r="K3" s="83">
        <v>1385.3</v>
      </c>
      <c r="L3" s="83">
        <v>1384.3</v>
      </c>
      <c r="M3" s="83">
        <v>1385</v>
      </c>
      <c r="N3" s="83">
        <v>1383.1</v>
      </c>
      <c r="O3" s="75">
        <v>0</v>
      </c>
      <c r="P3" s="75">
        <v>0</v>
      </c>
      <c r="Q3" s="75">
        <v>1</v>
      </c>
      <c r="R3" s="75">
        <v>30</v>
      </c>
      <c r="S3" s="75">
        <f>MAX(Table2[[#This Row],[volt-sbmu1]:[volt-sbmu5]])-MIN(Table2[[#This Row],[volt-sbmu1]:[volt-sbmu5]])</f>
        <v>2.2000000000000455</v>
      </c>
      <c r="T3" s="75">
        <f>MAX(Table2[[#This Row],[soc-sbmu1]:[soc-sbmu5]])-MIN(Table2[[#This Row],[soc-sbmu1]:[soc-sbmu5]])</f>
        <v>1</v>
      </c>
      <c r="U3" s="75"/>
      <c r="V3" s="75"/>
      <c r="X3">
        <v>256</v>
      </c>
      <c r="Y3">
        <f>COUNTIF(O:O,X3)</f>
        <v>4</v>
      </c>
      <c r="Z3">
        <v>64</v>
      </c>
      <c r="AA3">
        <f t="shared" si="0"/>
        <v>1</v>
      </c>
    </row>
    <row r="4" spans="1:32" ht="15">
      <c r="A4" t="s">
        <v>133</v>
      </c>
      <c r="B4" s="85" t="s">
        <v>409</v>
      </c>
      <c r="C4" s="75">
        <v>86.7</v>
      </c>
      <c r="D4" s="75">
        <v>1383.5</v>
      </c>
      <c r="E4" s="75">
        <v>86.9</v>
      </c>
      <c r="F4" s="75">
        <v>86.7</v>
      </c>
      <c r="G4" s="75">
        <v>86.5</v>
      </c>
      <c r="H4" s="75">
        <v>86.8</v>
      </c>
      <c r="I4" s="75">
        <v>85.6</v>
      </c>
      <c r="J4" s="83">
        <v>1383</v>
      </c>
      <c r="K4" s="83">
        <v>1384.4</v>
      </c>
      <c r="L4" s="83">
        <v>1384.7</v>
      </c>
      <c r="M4" s="83">
        <v>1383.3</v>
      </c>
      <c r="N4" s="83">
        <v>1383.8</v>
      </c>
      <c r="O4" s="75">
        <v>0</v>
      </c>
      <c r="P4" s="75">
        <v>0</v>
      </c>
      <c r="Q4" s="75">
        <v>1</v>
      </c>
      <c r="R4" s="75">
        <v>30</v>
      </c>
      <c r="S4" s="75">
        <f>MAX(Table2[[#This Row],[volt-sbmu1]:[volt-sbmu5]])-MIN(Table2[[#This Row],[volt-sbmu1]:[volt-sbmu5]])</f>
        <v>1.7000000000000455</v>
      </c>
      <c r="T4" s="75">
        <f>MAX(Table2[[#This Row],[soc-sbmu1]:[soc-sbmu5]])-MIN(Table2[[#This Row],[soc-sbmu1]:[soc-sbmu5]])</f>
        <v>1.3000000000000114</v>
      </c>
      <c r="U4" s="75"/>
      <c r="V4" s="75"/>
      <c r="X4">
        <v>2304</v>
      </c>
      <c r="Y4">
        <f>COUNTIF(O:O,X4)</f>
        <v>4</v>
      </c>
      <c r="Z4">
        <v>128</v>
      </c>
      <c r="AA4">
        <f>COUNTIF(P:P,Z4)</f>
        <v>8</v>
      </c>
      <c r="AF4" t="str" cm="1">
        <f t="array" aca="1" ref="AF4:AF8" ca="1">GetLatestCSVFiles(AF2&amp;"data\")</f>
        <v>SocVolt-20250211-153846.csv</v>
      </c>
    </row>
    <row r="5" spans="1:32" ht="15">
      <c r="A5" t="s">
        <v>134</v>
      </c>
      <c r="B5" s="85" t="s">
        <v>410</v>
      </c>
      <c r="C5" s="75">
        <v>86.9</v>
      </c>
      <c r="D5" s="75">
        <v>1383.6</v>
      </c>
      <c r="E5" s="75">
        <v>87</v>
      </c>
      <c r="F5" s="75">
        <v>86.5</v>
      </c>
      <c r="G5" s="75">
        <v>86.5</v>
      </c>
      <c r="H5" s="75">
        <v>87</v>
      </c>
      <c r="I5" s="75">
        <v>86.7</v>
      </c>
      <c r="J5" s="83">
        <v>1383.9</v>
      </c>
      <c r="K5" s="83">
        <v>1383.6</v>
      </c>
      <c r="L5" s="83">
        <v>1383.7</v>
      </c>
      <c r="M5" s="83">
        <v>1384.7</v>
      </c>
      <c r="N5" s="83">
        <v>1383.9</v>
      </c>
      <c r="O5" s="75">
        <v>0</v>
      </c>
      <c r="P5" s="75">
        <v>0</v>
      </c>
      <c r="Q5" s="75">
        <v>1</v>
      </c>
      <c r="R5" s="75">
        <v>29</v>
      </c>
      <c r="S5" s="75">
        <f>MAX(Table2[[#This Row],[volt-sbmu1]:[volt-sbmu5]])-MIN(Table2[[#This Row],[volt-sbmu1]:[volt-sbmu5]])</f>
        <v>1.1000000000001364</v>
      </c>
      <c r="T5" s="75">
        <f>MAX(Table2[[#This Row],[soc-sbmu1]:[soc-sbmu5]])-MIN(Table2[[#This Row],[soc-sbmu1]:[soc-sbmu5]])</f>
        <v>0.5</v>
      </c>
      <c r="U5" s="75"/>
      <c r="V5" s="75"/>
      <c r="X5">
        <v>0</v>
      </c>
      <c r="Y5">
        <f>COUNTIF(O:O,X5)</f>
        <v>279</v>
      </c>
      <c r="Z5">
        <v>512</v>
      </c>
      <c r="AA5">
        <f>COUNTIF(P:P,Z5)</f>
        <v>1</v>
      </c>
      <c r="AF5" t="str">
        <f ca="1"/>
        <v>SocVolt-20250211-064234.csv</v>
      </c>
    </row>
    <row r="6" spans="1:32" ht="15">
      <c r="A6" t="s">
        <v>135</v>
      </c>
      <c r="B6" s="85" t="s">
        <v>411</v>
      </c>
      <c r="C6" s="75">
        <v>86.7</v>
      </c>
      <c r="D6" s="75">
        <v>1384</v>
      </c>
      <c r="E6" s="75">
        <v>86.8</v>
      </c>
      <c r="F6" s="75">
        <v>86.7</v>
      </c>
      <c r="G6" s="75">
        <v>86.5</v>
      </c>
      <c r="H6" s="75">
        <v>86.8</v>
      </c>
      <c r="I6" s="75">
        <v>86.7</v>
      </c>
      <c r="J6" s="83">
        <v>1383.7</v>
      </c>
      <c r="K6" s="83">
        <v>1383.4</v>
      </c>
      <c r="L6" s="83">
        <v>1383.5</v>
      </c>
      <c r="M6" s="83">
        <v>1383.1</v>
      </c>
      <c r="N6" s="83">
        <v>1383.6</v>
      </c>
      <c r="O6" s="75">
        <v>0</v>
      </c>
      <c r="P6" s="75">
        <v>0</v>
      </c>
      <c r="Q6" s="75">
        <v>1</v>
      </c>
      <c r="R6" s="75">
        <v>30</v>
      </c>
      <c r="S6" s="75">
        <f>MAX(Table2[[#This Row],[volt-sbmu1]:[volt-sbmu5]])-MIN(Table2[[#This Row],[volt-sbmu1]:[volt-sbmu5]])</f>
        <v>0.60000000000013642</v>
      </c>
      <c r="T6" s="75">
        <f>MAX(Table2[[#This Row],[soc-sbmu1]:[soc-sbmu5]])-MIN(Table2[[#This Row],[soc-sbmu1]:[soc-sbmu5]])</f>
        <v>0.29999999999999716</v>
      </c>
      <c r="U6" s="75"/>
      <c r="V6" s="75"/>
      <c r="Z6">
        <v>0</v>
      </c>
      <c r="AB6" t="s">
        <v>883</v>
      </c>
      <c r="AF6" t="str">
        <f ca="1"/>
        <v>SocVolt-20250210-152512.csv</v>
      </c>
    </row>
    <row r="7" spans="1:32" ht="15">
      <c r="A7" t="s">
        <v>136</v>
      </c>
      <c r="B7" s="85" t="s">
        <v>423</v>
      </c>
      <c r="C7" s="75">
        <v>86.2</v>
      </c>
      <c r="D7" s="75">
        <v>1385.8</v>
      </c>
      <c r="E7" s="75">
        <v>86</v>
      </c>
      <c r="F7" s="75">
        <v>85.2</v>
      </c>
      <c r="G7" s="75">
        <v>85.1</v>
      </c>
      <c r="H7" s="75">
        <v>84.9</v>
      </c>
      <c r="I7" s="75">
        <v>86.5</v>
      </c>
      <c r="J7" s="83">
        <v>1386.4</v>
      </c>
      <c r="K7" s="83">
        <v>1385.7</v>
      </c>
      <c r="L7" s="83">
        <v>1387.3</v>
      </c>
      <c r="M7" s="83">
        <v>1385.9</v>
      </c>
      <c r="N7" s="83">
        <v>1385.3</v>
      </c>
      <c r="O7" s="75">
        <v>0</v>
      </c>
      <c r="P7" s="75">
        <v>0</v>
      </c>
      <c r="Q7" s="75">
        <v>1</v>
      </c>
      <c r="R7" s="75">
        <v>29</v>
      </c>
      <c r="S7" s="75">
        <f>MAX(Table2[[#This Row],[volt-sbmu1]:[volt-sbmu5]])-MIN(Table2[[#This Row],[volt-sbmu1]:[volt-sbmu5]])</f>
        <v>2</v>
      </c>
      <c r="T7" s="75">
        <f>MAX(Table2[[#This Row],[soc-sbmu1]:[soc-sbmu5]])-MIN(Table2[[#This Row],[soc-sbmu1]:[soc-sbmu5]])</f>
        <v>1.5999999999999943</v>
      </c>
      <c r="U7" s="75"/>
      <c r="V7" s="75"/>
      <c r="AF7" t="str">
        <f ca="1"/>
        <v>SocVolt-20250210-065031.csv</v>
      </c>
    </row>
    <row r="8" spans="1:32" ht="15">
      <c r="A8" t="s">
        <v>137</v>
      </c>
      <c r="B8" s="85" t="s">
        <v>424</v>
      </c>
      <c r="C8" s="75">
        <v>86.1</v>
      </c>
      <c r="D8" s="75">
        <v>1387.1</v>
      </c>
      <c r="E8" s="75">
        <v>85.9</v>
      </c>
      <c r="F8" s="75">
        <v>85.9</v>
      </c>
      <c r="G8" s="75">
        <v>86.2</v>
      </c>
      <c r="H8" s="75">
        <v>86.1</v>
      </c>
      <c r="I8" s="75">
        <v>85.6</v>
      </c>
      <c r="J8" s="83">
        <v>1385.4</v>
      </c>
      <c r="K8" s="83">
        <v>1385.5</v>
      </c>
      <c r="L8" s="83">
        <v>1388.9</v>
      </c>
      <c r="M8" s="83">
        <v>1387.9</v>
      </c>
      <c r="N8" s="83">
        <v>1388.4</v>
      </c>
      <c r="O8" s="75">
        <v>0</v>
      </c>
      <c r="P8" s="75">
        <v>0</v>
      </c>
      <c r="Q8" s="75">
        <v>1</v>
      </c>
      <c r="R8" s="75">
        <v>29</v>
      </c>
      <c r="S8" s="75">
        <f>MAX(Table2[[#This Row],[volt-sbmu1]:[volt-sbmu5]])-MIN(Table2[[#This Row],[volt-sbmu1]:[volt-sbmu5]])</f>
        <v>3.5</v>
      </c>
      <c r="T8" s="75">
        <f>MAX(Table2[[#This Row],[soc-sbmu1]:[soc-sbmu5]])-MIN(Table2[[#This Row],[soc-sbmu1]:[soc-sbmu5]])</f>
        <v>0.60000000000000853</v>
      </c>
      <c r="U8" s="75"/>
      <c r="V8" s="75"/>
      <c r="X8" t="s">
        <v>878</v>
      </c>
      <c r="Y8" s="58">
        <f>MEDIAN(E3:I290)</f>
        <v>86.9</v>
      </c>
      <c r="AF8" t="str">
        <f ca="1"/>
        <v>SocVolt-20250207-134556.csv</v>
      </c>
    </row>
    <row r="9" spans="1:32" ht="15">
      <c r="A9" t="s">
        <v>138</v>
      </c>
      <c r="B9" s="85" t="s">
        <v>425</v>
      </c>
      <c r="C9" s="75">
        <v>93.9</v>
      </c>
      <c r="D9" s="75">
        <v>1383.9</v>
      </c>
      <c r="E9" s="75">
        <v>94.1</v>
      </c>
      <c r="F9" s="75">
        <v>93.2</v>
      </c>
      <c r="G9" s="75">
        <v>92.8</v>
      </c>
      <c r="H9" s="75">
        <v>91.9</v>
      </c>
      <c r="I9" s="75">
        <v>92.6</v>
      </c>
      <c r="J9" s="83">
        <v>1383.6</v>
      </c>
      <c r="K9" s="83">
        <v>1383.8</v>
      </c>
      <c r="L9" s="83">
        <v>1383.5</v>
      </c>
      <c r="M9" s="83">
        <v>1383.5</v>
      </c>
      <c r="N9" s="83">
        <v>1384.6</v>
      </c>
      <c r="O9" s="75">
        <v>0</v>
      </c>
      <c r="P9" s="75">
        <v>0</v>
      </c>
      <c r="Q9" s="75">
        <v>1</v>
      </c>
      <c r="R9" s="75">
        <v>29</v>
      </c>
      <c r="S9" s="75">
        <f>MAX(Table2[[#This Row],[volt-sbmu1]:[volt-sbmu5]])-MIN(Table2[[#This Row],[volt-sbmu1]:[volt-sbmu5]])</f>
        <v>1.0999999999999091</v>
      </c>
      <c r="T9" s="75">
        <f>MAX(Table2[[#This Row],[soc-sbmu1]:[soc-sbmu5]])-MIN(Table2[[#This Row],[soc-sbmu1]:[soc-sbmu5]])</f>
        <v>2.1999999999999886</v>
      </c>
      <c r="U9" s="75"/>
      <c r="V9" s="75"/>
      <c r="X9" s="60" t="s">
        <v>879</v>
      </c>
      <c r="Y9" s="58">
        <f>MEDIAN(J3:N290)</f>
        <v>1385</v>
      </c>
    </row>
    <row r="10" spans="1:32" ht="15">
      <c r="A10" t="s">
        <v>139</v>
      </c>
      <c r="B10" s="85" t="s">
        <v>426</v>
      </c>
      <c r="C10" s="75">
        <v>86.5</v>
      </c>
      <c r="D10" s="75">
        <v>1385.4</v>
      </c>
      <c r="E10" s="75">
        <v>86.2</v>
      </c>
      <c r="F10" s="75">
        <v>85.9</v>
      </c>
      <c r="G10" s="75">
        <v>86</v>
      </c>
      <c r="H10" s="75">
        <v>86.6</v>
      </c>
      <c r="I10" s="75">
        <v>86.4</v>
      </c>
      <c r="J10" s="83">
        <v>1385.6</v>
      </c>
      <c r="K10" s="83">
        <v>1385.1</v>
      </c>
      <c r="L10" s="83">
        <v>1385.8</v>
      </c>
      <c r="M10" s="83">
        <v>1385.6</v>
      </c>
      <c r="N10" s="83">
        <v>1384.8</v>
      </c>
      <c r="O10" s="75">
        <v>0</v>
      </c>
      <c r="P10" s="75">
        <v>0</v>
      </c>
      <c r="Q10" s="75">
        <v>1</v>
      </c>
      <c r="R10" s="75">
        <v>30</v>
      </c>
      <c r="S10" s="75">
        <f>MAX(Table2[[#This Row],[volt-sbmu1]:[volt-sbmu5]])-MIN(Table2[[#This Row],[volt-sbmu1]:[volt-sbmu5]])</f>
        <v>1</v>
      </c>
      <c r="T10" s="75">
        <f>MAX(Table2[[#This Row],[soc-sbmu1]:[soc-sbmu5]])-MIN(Table2[[#This Row],[soc-sbmu1]:[soc-sbmu5]])</f>
        <v>0.69999999999998863</v>
      </c>
      <c r="U10" s="75"/>
      <c r="V10" s="75"/>
      <c r="Y10" s="75"/>
    </row>
    <row r="11" spans="1:32" ht="15">
      <c r="A11" t="s">
        <v>140</v>
      </c>
      <c r="B11" s="85" t="s">
        <v>427</v>
      </c>
      <c r="C11" s="75">
        <v>86.7</v>
      </c>
      <c r="D11" s="75">
        <v>1383.9</v>
      </c>
      <c r="E11" s="75">
        <v>86.1</v>
      </c>
      <c r="F11" s="75">
        <v>86.9</v>
      </c>
      <c r="G11" s="75">
        <v>86.9</v>
      </c>
      <c r="H11" s="75">
        <v>86.9</v>
      </c>
      <c r="I11" s="75">
        <v>85.9</v>
      </c>
      <c r="J11" s="83">
        <v>1383.3</v>
      </c>
      <c r="K11" s="83">
        <v>1382.7</v>
      </c>
      <c r="L11" s="83">
        <v>1383.7</v>
      </c>
      <c r="M11" s="83">
        <v>1384.3</v>
      </c>
      <c r="N11" s="83">
        <v>1381.9</v>
      </c>
      <c r="O11" s="75">
        <v>0</v>
      </c>
      <c r="P11" s="75">
        <v>0</v>
      </c>
      <c r="Q11" s="75">
        <v>1</v>
      </c>
      <c r="R11" s="75">
        <v>30</v>
      </c>
      <c r="S11" s="75">
        <f>MAX(Table2[[#This Row],[volt-sbmu1]:[volt-sbmu5]])-MIN(Table2[[#This Row],[volt-sbmu1]:[volt-sbmu5]])</f>
        <v>2.3999999999998636</v>
      </c>
      <c r="T11" s="75">
        <f>MAX(Table2[[#This Row],[soc-sbmu1]:[soc-sbmu5]])-MIN(Table2[[#This Row],[soc-sbmu1]:[soc-sbmu5]])</f>
        <v>1</v>
      </c>
      <c r="U11" s="75"/>
      <c r="V11" s="75"/>
      <c r="AC11" t="s">
        <v>760</v>
      </c>
      <c r="AD11" t="s">
        <v>761</v>
      </c>
    </row>
    <row r="12" spans="1:32" ht="15">
      <c r="A12" t="s">
        <v>141</v>
      </c>
      <c r="B12" s="85" t="s">
        <v>428</v>
      </c>
      <c r="C12" s="75">
        <v>86.8</v>
      </c>
      <c r="D12" s="75">
        <v>1384.2</v>
      </c>
      <c r="E12" s="75">
        <v>86.5</v>
      </c>
      <c r="F12" s="75">
        <v>86.8</v>
      </c>
      <c r="G12" s="75">
        <v>86.9</v>
      </c>
      <c r="H12" s="75">
        <v>86.5</v>
      </c>
      <c r="I12" s="75">
        <v>86.6</v>
      </c>
      <c r="J12" s="83">
        <v>1383.8</v>
      </c>
      <c r="K12" s="83">
        <v>1384.6</v>
      </c>
      <c r="L12" s="83">
        <v>1382.5</v>
      </c>
      <c r="M12" s="83">
        <v>1383.4</v>
      </c>
      <c r="N12" s="83">
        <v>1384.4</v>
      </c>
      <c r="O12" s="75">
        <v>0</v>
      </c>
      <c r="P12" s="75">
        <v>0</v>
      </c>
      <c r="Q12" s="75">
        <v>1</v>
      </c>
      <c r="R12" s="75">
        <v>30</v>
      </c>
      <c r="S12" s="75">
        <f>MAX(Table2[[#This Row],[volt-sbmu1]:[volt-sbmu5]])-MIN(Table2[[#This Row],[volt-sbmu1]:[volt-sbmu5]])</f>
        <v>2.0999999999999091</v>
      </c>
      <c r="T12" s="75">
        <f>MAX(Table2[[#This Row],[soc-sbmu1]:[soc-sbmu5]])-MIN(Table2[[#This Row],[soc-sbmu1]:[soc-sbmu5]])</f>
        <v>0.40000000000000568</v>
      </c>
      <c r="U12" s="75"/>
      <c r="V12" s="75"/>
    </row>
    <row r="13" spans="1:32" ht="15">
      <c r="A13" t="s">
        <v>142</v>
      </c>
      <c r="B13" s="85" t="s">
        <v>429</v>
      </c>
      <c r="C13" s="75">
        <v>86.9</v>
      </c>
      <c r="D13" s="75">
        <v>1384.1</v>
      </c>
      <c r="E13" s="75">
        <v>87</v>
      </c>
      <c r="F13" s="75">
        <v>87</v>
      </c>
      <c r="G13" s="75">
        <v>86.5</v>
      </c>
      <c r="H13" s="75">
        <v>87</v>
      </c>
      <c r="I13" s="75">
        <v>86.6</v>
      </c>
      <c r="J13" s="83">
        <v>1385.6</v>
      </c>
      <c r="K13" s="83">
        <v>1383.7</v>
      </c>
      <c r="L13" s="83">
        <v>1384</v>
      </c>
      <c r="M13" s="83">
        <v>1384.3</v>
      </c>
      <c r="N13" s="83">
        <v>1383.2</v>
      </c>
      <c r="O13" s="75">
        <v>0</v>
      </c>
      <c r="P13" s="75">
        <v>0</v>
      </c>
      <c r="Q13" s="75">
        <v>1</v>
      </c>
      <c r="R13" s="75">
        <v>31</v>
      </c>
      <c r="S13" s="75">
        <f>MAX(Table2[[#This Row],[volt-sbmu1]:[volt-sbmu5]])-MIN(Table2[[#This Row],[volt-sbmu1]:[volt-sbmu5]])</f>
        <v>2.3999999999998636</v>
      </c>
      <c r="T13" s="75">
        <f>MAX(Table2[[#This Row],[soc-sbmu1]:[soc-sbmu5]])-MIN(Table2[[#This Row],[soc-sbmu1]:[soc-sbmu5]])</f>
        <v>0.5</v>
      </c>
      <c r="U13" s="75"/>
      <c r="V13" s="75"/>
    </row>
    <row r="14" spans="1:32" ht="15">
      <c r="A14" t="s">
        <v>143</v>
      </c>
      <c r="B14" s="85" t="s">
        <v>430</v>
      </c>
      <c r="C14" s="75">
        <v>86.6</v>
      </c>
      <c r="D14" s="75">
        <v>1383.6</v>
      </c>
      <c r="E14" s="75">
        <v>86.5</v>
      </c>
      <c r="F14" s="75">
        <v>86.7</v>
      </c>
      <c r="G14" s="75">
        <v>85.9</v>
      </c>
      <c r="H14" s="75">
        <v>86.8</v>
      </c>
      <c r="I14" s="75">
        <v>86.7</v>
      </c>
      <c r="J14" s="83">
        <v>1383.7</v>
      </c>
      <c r="K14" s="83">
        <v>1384.2</v>
      </c>
      <c r="L14" s="83">
        <v>1383.9</v>
      </c>
      <c r="M14" s="83">
        <v>1384.8</v>
      </c>
      <c r="N14" s="83">
        <v>1383.7</v>
      </c>
      <c r="O14" s="75">
        <v>0</v>
      </c>
      <c r="P14" s="75">
        <v>0</v>
      </c>
      <c r="Q14" s="75">
        <v>1</v>
      </c>
      <c r="R14" s="75">
        <v>30</v>
      </c>
      <c r="S14" s="75">
        <f>MAX(Table2[[#This Row],[volt-sbmu1]:[volt-sbmu5]])-MIN(Table2[[#This Row],[volt-sbmu1]:[volt-sbmu5]])</f>
        <v>1.0999999999999091</v>
      </c>
      <c r="T14" s="75">
        <f>MAX(Table2[[#This Row],[soc-sbmu1]:[soc-sbmu5]])-MIN(Table2[[#This Row],[soc-sbmu1]:[soc-sbmu5]])</f>
        <v>0.89999999999999147</v>
      </c>
      <c r="U14" s="75"/>
      <c r="V14" s="75"/>
    </row>
    <row r="15" spans="1:32" ht="15">
      <c r="A15" t="s">
        <v>144</v>
      </c>
      <c r="B15" s="85" t="s">
        <v>431</v>
      </c>
      <c r="C15" s="75">
        <v>99.8</v>
      </c>
      <c r="D15" s="75">
        <v>0</v>
      </c>
      <c r="E15" s="75">
        <v>98.9</v>
      </c>
      <c r="F15" s="75">
        <v>99.3</v>
      </c>
      <c r="G15" s="75">
        <v>99.8</v>
      </c>
      <c r="H15" s="75">
        <v>99.9</v>
      </c>
      <c r="I15" s="75">
        <v>98.9</v>
      </c>
      <c r="J15" s="83">
        <v>1383.1</v>
      </c>
      <c r="K15" s="83">
        <v>1382.5</v>
      </c>
      <c r="L15" s="83">
        <v>1382.2</v>
      </c>
      <c r="M15" s="83">
        <v>1383.6</v>
      </c>
      <c r="N15" s="83">
        <v>1381.9</v>
      </c>
      <c r="O15" s="75">
        <v>0</v>
      </c>
      <c r="P15" s="75">
        <v>0</v>
      </c>
      <c r="Q15" s="75">
        <v>4</v>
      </c>
      <c r="R15" s="75">
        <v>30</v>
      </c>
      <c r="S15" s="75">
        <f>MAX(Table2[[#This Row],[volt-sbmu1]:[volt-sbmu5]])-MIN(Table2[[#This Row],[volt-sbmu1]:[volt-sbmu5]])</f>
        <v>1.6999999999998181</v>
      </c>
      <c r="T15" s="75">
        <f>MAX(Table2[[#This Row],[soc-sbmu1]:[soc-sbmu5]])-MIN(Table2[[#This Row],[soc-sbmu1]:[soc-sbmu5]])</f>
        <v>1</v>
      </c>
      <c r="U15" s="75"/>
      <c r="V15" s="75"/>
    </row>
    <row r="16" spans="1:32" ht="15">
      <c r="A16" t="s">
        <v>145</v>
      </c>
      <c r="B16" s="85" t="s">
        <v>432</v>
      </c>
      <c r="C16" s="75">
        <v>100</v>
      </c>
      <c r="D16" s="75">
        <v>0</v>
      </c>
      <c r="E16" s="75">
        <v>100</v>
      </c>
      <c r="F16" s="75">
        <v>99.8</v>
      </c>
      <c r="G16" s="75">
        <v>98.9</v>
      </c>
      <c r="H16" s="75">
        <v>98.7</v>
      </c>
      <c r="I16" s="75">
        <v>99.7</v>
      </c>
      <c r="J16" s="83">
        <v>1383.4</v>
      </c>
      <c r="K16" s="83">
        <v>1384.6</v>
      </c>
      <c r="L16" s="83">
        <v>1384.1</v>
      </c>
      <c r="M16" s="83">
        <v>1385</v>
      </c>
      <c r="N16" s="83">
        <v>1383.9</v>
      </c>
      <c r="O16" s="75">
        <v>0</v>
      </c>
      <c r="P16" s="75">
        <v>0</v>
      </c>
      <c r="Q16" s="75">
        <v>4</v>
      </c>
      <c r="R16" s="75">
        <v>29</v>
      </c>
      <c r="S16" s="75">
        <f>MAX(Table2[[#This Row],[volt-sbmu1]:[volt-sbmu5]])-MIN(Table2[[#This Row],[volt-sbmu1]:[volt-sbmu5]])</f>
        <v>1.5999999999999091</v>
      </c>
      <c r="T16" s="75">
        <f>MAX(Table2[[#This Row],[soc-sbmu1]:[soc-sbmu5]])-MIN(Table2[[#This Row],[soc-sbmu1]:[soc-sbmu5]])</f>
        <v>1.2999999999999972</v>
      </c>
      <c r="U16" s="75"/>
      <c r="V16" s="75"/>
    </row>
    <row r="17" spans="1:26" ht="15">
      <c r="A17" t="s">
        <v>146</v>
      </c>
      <c r="B17" s="85" t="s">
        <v>433</v>
      </c>
      <c r="C17" s="75">
        <v>100</v>
      </c>
      <c r="D17" s="75">
        <v>0</v>
      </c>
      <c r="E17" s="75">
        <v>99.5</v>
      </c>
      <c r="F17" s="75">
        <v>99.9</v>
      </c>
      <c r="G17" s="75">
        <v>98.7</v>
      </c>
      <c r="H17" s="75">
        <v>100</v>
      </c>
      <c r="I17" s="75">
        <v>98.7</v>
      </c>
      <c r="J17" s="83">
        <v>1384</v>
      </c>
      <c r="K17" s="83">
        <v>1383.2</v>
      </c>
      <c r="L17" s="83">
        <v>1383.6</v>
      </c>
      <c r="M17" s="83">
        <v>1384.8</v>
      </c>
      <c r="N17" s="83">
        <v>1383.5</v>
      </c>
      <c r="O17" s="75">
        <v>0</v>
      </c>
      <c r="P17" s="75">
        <v>0</v>
      </c>
      <c r="Q17" s="75">
        <v>4</v>
      </c>
      <c r="R17" s="75">
        <v>29</v>
      </c>
      <c r="S17" s="75">
        <f>MAX(Table2[[#This Row],[volt-sbmu1]:[volt-sbmu5]])-MIN(Table2[[#This Row],[volt-sbmu1]:[volt-sbmu5]])</f>
        <v>1.5999999999999091</v>
      </c>
      <c r="T17" s="75">
        <f>MAX(Table2[[#This Row],[soc-sbmu1]:[soc-sbmu5]])-MIN(Table2[[#This Row],[soc-sbmu1]:[soc-sbmu5]])</f>
        <v>1.2999999999999972</v>
      </c>
      <c r="U17" s="75"/>
      <c r="V17" s="75"/>
    </row>
    <row r="18" spans="1:26" ht="15">
      <c r="A18" t="s">
        <v>147</v>
      </c>
      <c r="B18" s="85" t="s">
        <v>434</v>
      </c>
      <c r="C18" s="75">
        <v>100</v>
      </c>
      <c r="D18" s="75">
        <v>0</v>
      </c>
      <c r="E18" s="75">
        <v>99.6</v>
      </c>
      <c r="F18" s="75">
        <v>99.9</v>
      </c>
      <c r="G18" s="75">
        <v>98.9</v>
      </c>
      <c r="H18" s="75">
        <v>100</v>
      </c>
      <c r="I18" s="75">
        <v>98.9</v>
      </c>
      <c r="J18" s="83">
        <v>1383.4</v>
      </c>
      <c r="K18" s="83">
        <v>1384.2</v>
      </c>
      <c r="L18" s="83">
        <v>1382.4</v>
      </c>
      <c r="M18" s="83">
        <v>1384.2</v>
      </c>
      <c r="N18" s="83">
        <v>1383</v>
      </c>
      <c r="O18" s="75">
        <v>0</v>
      </c>
      <c r="P18" s="75">
        <v>0</v>
      </c>
      <c r="Q18" s="75">
        <v>4</v>
      </c>
      <c r="R18" s="75">
        <v>30</v>
      </c>
      <c r="S18" s="75">
        <f>MAX(Table2[[#This Row],[volt-sbmu1]:[volt-sbmu5]])-MIN(Table2[[#This Row],[volt-sbmu1]:[volt-sbmu5]])</f>
        <v>1.7999999999999545</v>
      </c>
      <c r="T18" s="75">
        <f>MAX(Table2[[#This Row],[soc-sbmu1]:[soc-sbmu5]])-MIN(Table2[[#This Row],[soc-sbmu1]:[soc-sbmu5]])</f>
        <v>1.0999999999999943</v>
      </c>
      <c r="U18" s="75"/>
      <c r="V18" s="75"/>
    </row>
    <row r="19" spans="1:26" ht="15">
      <c r="A19" t="s">
        <v>148</v>
      </c>
      <c r="B19" s="85" t="s">
        <v>435</v>
      </c>
      <c r="C19" s="75">
        <v>86.9</v>
      </c>
      <c r="D19" s="75">
        <v>1385.6</v>
      </c>
      <c r="E19" s="75">
        <v>86.8</v>
      </c>
      <c r="F19" s="75">
        <v>86.8</v>
      </c>
      <c r="G19" s="75">
        <v>87</v>
      </c>
      <c r="H19" s="75">
        <v>86.8</v>
      </c>
      <c r="I19" s="75">
        <v>86.6</v>
      </c>
      <c r="J19" s="83">
        <v>1385.9</v>
      </c>
      <c r="K19" s="83">
        <v>1385</v>
      </c>
      <c r="L19" s="83">
        <v>1386</v>
      </c>
      <c r="M19" s="83">
        <v>1384.1</v>
      </c>
      <c r="N19" s="83">
        <v>1385.6</v>
      </c>
      <c r="O19" s="75">
        <v>0</v>
      </c>
      <c r="P19" s="75">
        <v>0</v>
      </c>
      <c r="Q19" s="75">
        <v>1</v>
      </c>
      <c r="R19" s="75">
        <v>30</v>
      </c>
      <c r="S19" s="75">
        <f>MAX(Table2[[#This Row],[volt-sbmu1]:[volt-sbmu5]])-MIN(Table2[[#This Row],[volt-sbmu1]:[volt-sbmu5]])</f>
        <v>1.9000000000000909</v>
      </c>
      <c r="T19" s="75">
        <f>MAX(Table2[[#This Row],[soc-sbmu1]:[soc-sbmu5]])-MIN(Table2[[#This Row],[soc-sbmu1]:[soc-sbmu5]])</f>
        <v>0.40000000000000568</v>
      </c>
      <c r="U19" s="75"/>
      <c r="V19" s="75"/>
    </row>
    <row r="20" spans="1:26" ht="15">
      <c r="A20" t="s">
        <v>149</v>
      </c>
      <c r="B20" s="85" t="s">
        <v>436</v>
      </c>
      <c r="C20" s="75">
        <v>90</v>
      </c>
      <c r="D20" s="75">
        <v>1385.5</v>
      </c>
      <c r="E20" s="75">
        <v>89.7</v>
      </c>
      <c r="F20" s="75">
        <v>88.7</v>
      </c>
      <c r="G20" s="75">
        <v>88.7</v>
      </c>
      <c r="H20" s="75">
        <v>90.2</v>
      </c>
      <c r="I20" s="75">
        <v>89.5</v>
      </c>
      <c r="J20" s="83">
        <v>1384.9</v>
      </c>
      <c r="K20" s="83">
        <v>1384.3</v>
      </c>
      <c r="L20" s="83">
        <v>1386.9</v>
      </c>
      <c r="M20" s="83">
        <v>1384.8</v>
      </c>
      <c r="N20" s="83">
        <v>1384.2</v>
      </c>
      <c r="O20" s="75">
        <v>0</v>
      </c>
      <c r="P20" s="75">
        <v>0</v>
      </c>
      <c r="Q20" s="75">
        <v>1</v>
      </c>
      <c r="R20" s="75">
        <v>30</v>
      </c>
      <c r="S20" s="75">
        <f>MAX(Table2[[#This Row],[volt-sbmu1]:[volt-sbmu5]])-MIN(Table2[[#This Row],[volt-sbmu1]:[volt-sbmu5]])</f>
        <v>2.7000000000000455</v>
      </c>
      <c r="T20" s="75">
        <f>MAX(Table2[[#This Row],[soc-sbmu1]:[soc-sbmu5]])-MIN(Table2[[#This Row],[soc-sbmu1]:[soc-sbmu5]])</f>
        <v>1.5</v>
      </c>
      <c r="U20" s="75"/>
      <c r="V20" s="75"/>
    </row>
    <row r="21" spans="1:26" ht="15">
      <c r="A21" t="s">
        <v>150</v>
      </c>
      <c r="B21" s="85" t="s">
        <v>437</v>
      </c>
      <c r="C21" s="75">
        <v>87.2</v>
      </c>
      <c r="D21" s="75">
        <v>1386.1</v>
      </c>
      <c r="E21" s="75">
        <v>86.7</v>
      </c>
      <c r="F21" s="75">
        <v>87.3</v>
      </c>
      <c r="G21" s="75">
        <v>86.7</v>
      </c>
      <c r="H21" s="75">
        <v>86.7</v>
      </c>
      <c r="I21" s="75">
        <v>87.1</v>
      </c>
      <c r="J21" s="83">
        <v>1385.7</v>
      </c>
      <c r="K21" s="83">
        <v>1386.5</v>
      </c>
      <c r="L21" s="83">
        <v>1385.4</v>
      </c>
      <c r="M21" s="83">
        <v>1387.2</v>
      </c>
      <c r="N21" s="83">
        <v>1386.5</v>
      </c>
      <c r="O21" s="75">
        <v>0</v>
      </c>
      <c r="P21" s="75">
        <v>0</v>
      </c>
      <c r="Q21" s="75">
        <v>1</v>
      </c>
      <c r="R21" s="75">
        <v>30</v>
      </c>
      <c r="S21" s="75">
        <f>MAX(Table2[[#This Row],[volt-sbmu1]:[volt-sbmu5]])-MIN(Table2[[#This Row],[volt-sbmu1]:[volt-sbmu5]])</f>
        <v>1.7999999999999545</v>
      </c>
      <c r="T21" s="75">
        <f>MAX(Table2[[#This Row],[soc-sbmu1]:[soc-sbmu5]])-MIN(Table2[[#This Row],[soc-sbmu1]:[soc-sbmu5]])</f>
        <v>0.59999999999999432</v>
      </c>
      <c r="U21" s="75"/>
      <c r="V21" s="75"/>
    </row>
    <row r="22" spans="1:26" ht="15">
      <c r="A22" t="s">
        <v>151</v>
      </c>
      <c r="B22" s="85" t="s">
        <v>438</v>
      </c>
      <c r="C22" s="75">
        <v>87.4</v>
      </c>
      <c r="D22" s="75">
        <v>1385.3</v>
      </c>
      <c r="E22" s="75">
        <v>87.6</v>
      </c>
      <c r="F22" s="75">
        <v>86.6</v>
      </c>
      <c r="G22" s="75">
        <v>87.4</v>
      </c>
      <c r="H22" s="75">
        <v>86.6</v>
      </c>
      <c r="I22" s="75">
        <v>86.7</v>
      </c>
      <c r="J22" s="83">
        <v>1384.3</v>
      </c>
      <c r="K22" s="83">
        <v>1384.9</v>
      </c>
      <c r="L22" s="83">
        <v>1385.2</v>
      </c>
      <c r="M22" s="83">
        <v>1385.8</v>
      </c>
      <c r="N22" s="83">
        <v>1385</v>
      </c>
      <c r="O22" s="75">
        <v>0</v>
      </c>
      <c r="P22" s="75">
        <v>0</v>
      </c>
      <c r="Q22" s="75">
        <v>1</v>
      </c>
      <c r="R22" s="75">
        <v>30</v>
      </c>
      <c r="S22" s="75">
        <f>MAX(Table2[[#This Row],[volt-sbmu1]:[volt-sbmu5]])-MIN(Table2[[#This Row],[volt-sbmu1]:[volt-sbmu5]])</f>
        <v>1.5</v>
      </c>
      <c r="T22" s="75">
        <f>MAX(Table2[[#This Row],[soc-sbmu1]:[soc-sbmu5]])-MIN(Table2[[#This Row],[soc-sbmu1]:[soc-sbmu5]])</f>
        <v>1</v>
      </c>
      <c r="U22" s="75"/>
      <c r="V22" s="75"/>
    </row>
    <row r="23" spans="1:26" ht="15">
      <c r="A23" t="s">
        <v>152</v>
      </c>
      <c r="B23" s="85" t="s">
        <v>439</v>
      </c>
      <c r="C23" s="75">
        <v>87.1</v>
      </c>
      <c r="D23" s="75">
        <v>1384.1</v>
      </c>
      <c r="E23" s="75">
        <v>87</v>
      </c>
      <c r="F23" s="75">
        <v>87.1</v>
      </c>
      <c r="G23" s="75">
        <v>87.2</v>
      </c>
      <c r="H23" s="75">
        <v>86.8</v>
      </c>
      <c r="I23" s="75">
        <v>87.2</v>
      </c>
      <c r="J23" s="83">
        <v>1383.9</v>
      </c>
      <c r="K23" s="83">
        <v>1384.8</v>
      </c>
      <c r="L23" s="83">
        <v>1384.1</v>
      </c>
      <c r="M23" s="83">
        <v>1383.7</v>
      </c>
      <c r="N23" s="83">
        <v>1385</v>
      </c>
      <c r="O23" s="75">
        <v>0</v>
      </c>
      <c r="P23" s="75">
        <v>0</v>
      </c>
      <c r="Q23" s="75">
        <v>1</v>
      </c>
      <c r="R23" s="75">
        <v>29</v>
      </c>
      <c r="S23" s="75">
        <f>MAX(Table2[[#This Row],[volt-sbmu1]:[volt-sbmu5]])-MIN(Table2[[#This Row],[volt-sbmu1]:[volt-sbmu5]])</f>
        <v>1.2999999999999545</v>
      </c>
      <c r="T23" s="75">
        <f>MAX(Table2[[#This Row],[soc-sbmu1]:[soc-sbmu5]])-MIN(Table2[[#This Row],[soc-sbmu1]:[soc-sbmu5]])</f>
        <v>0.40000000000000568</v>
      </c>
      <c r="U23" s="75"/>
      <c r="V23" s="75"/>
    </row>
    <row r="24" spans="1:26" ht="15">
      <c r="A24" t="s">
        <v>153</v>
      </c>
      <c r="B24" s="85" t="s">
        <v>440</v>
      </c>
      <c r="C24" s="75">
        <v>87.4</v>
      </c>
      <c r="D24" s="75">
        <v>1383.8</v>
      </c>
      <c r="E24" s="75">
        <v>87.5</v>
      </c>
      <c r="F24" s="75">
        <v>87</v>
      </c>
      <c r="G24" s="75">
        <v>86.9</v>
      </c>
      <c r="H24" s="75">
        <v>86.9</v>
      </c>
      <c r="I24" s="75">
        <v>86.8</v>
      </c>
      <c r="J24" s="83">
        <v>1383.6</v>
      </c>
      <c r="K24" s="83">
        <v>1383.8</v>
      </c>
      <c r="L24" s="83">
        <v>1384.3</v>
      </c>
      <c r="M24" s="83">
        <v>1383.3</v>
      </c>
      <c r="N24" s="83">
        <v>1384.2</v>
      </c>
      <c r="O24" s="75">
        <v>0</v>
      </c>
      <c r="P24" s="75">
        <v>0</v>
      </c>
      <c r="Q24" s="75">
        <v>1</v>
      </c>
      <c r="R24" s="75">
        <v>29</v>
      </c>
      <c r="S24" s="75">
        <f>MAX(Table2[[#This Row],[volt-sbmu1]:[volt-sbmu5]])-MIN(Table2[[#This Row],[volt-sbmu1]:[volt-sbmu5]])</f>
        <v>1</v>
      </c>
      <c r="T24" s="75">
        <f>MAX(Table2[[#This Row],[soc-sbmu1]:[soc-sbmu5]])-MIN(Table2[[#This Row],[soc-sbmu1]:[soc-sbmu5]])</f>
        <v>0.70000000000000284</v>
      </c>
      <c r="U24" s="75"/>
      <c r="V24" s="75"/>
    </row>
    <row r="25" spans="1:26" ht="15">
      <c r="A25" t="s">
        <v>154</v>
      </c>
      <c r="B25" s="85" t="s">
        <v>441</v>
      </c>
      <c r="C25" s="75">
        <v>87.3</v>
      </c>
      <c r="D25" s="75">
        <v>1383.9</v>
      </c>
      <c r="E25" s="75">
        <v>86.8</v>
      </c>
      <c r="F25" s="75">
        <v>87.5</v>
      </c>
      <c r="G25" s="75">
        <v>87</v>
      </c>
      <c r="H25" s="75">
        <v>87</v>
      </c>
      <c r="I25" s="75">
        <v>86.7</v>
      </c>
      <c r="J25" s="83">
        <v>1383.5</v>
      </c>
      <c r="K25" s="83">
        <v>1383.7</v>
      </c>
      <c r="L25" s="83">
        <v>1383.8</v>
      </c>
      <c r="M25" s="83">
        <v>1383.8</v>
      </c>
      <c r="N25" s="83">
        <v>1385.5</v>
      </c>
      <c r="O25" s="75">
        <v>0</v>
      </c>
      <c r="P25" s="75">
        <v>0</v>
      </c>
      <c r="Q25" s="75">
        <v>1</v>
      </c>
      <c r="R25" s="75">
        <v>29</v>
      </c>
      <c r="S25" s="75">
        <f>MAX(Table2[[#This Row],[volt-sbmu1]:[volt-sbmu5]])-MIN(Table2[[#This Row],[volt-sbmu1]:[volt-sbmu5]])</f>
        <v>2</v>
      </c>
      <c r="T25" s="75">
        <f>MAX(Table2[[#This Row],[soc-sbmu1]:[soc-sbmu5]])-MIN(Table2[[#This Row],[soc-sbmu1]:[soc-sbmu5]])</f>
        <v>0.79999999999999716</v>
      </c>
      <c r="U25" s="75"/>
      <c r="V25" s="75"/>
    </row>
    <row r="26" spans="1:26" ht="15">
      <c r="A26" t="s">
        <v>155</v>
      </c>
      <c r="B26" s="85" t="s">
        <v>442</v>
      </c>
      <c r="C26" s="75">
        <v>87</v>
      </c>
      <c r="D26" s="75">
        <v>1383.8</v>
      </c>
      <c r="E26" s="75">
        <v>86.7</v>
      </c>
      <c r="F26" s="75">
        <v>87.1</v>
      </c>
      <c r="G26" s="75">
        <v>86.9</v>
      </c>
      <c r="H26" s="75">
        <v>86.9</v>
      </c>
      <c r="I26" s="75">
        <v>86.7</v>
      </c>
      <c r="J26" s="83">
        <v>1383.5</v>
      </c>
      <c r="K26" s="83">
        <v>1384.8</v>
      </c>
      <c r="L26" s="83">
        <v>1385</v>
      </c>
      <c r="M26" s="83">
        <v>1385.2</v>
      </c>
      <c r="N26" s="83">
        <v>1383.6</v>
      </c>
      <c r="O26" s="75">
        <v>0</v>
      </c>
      <c r="P26" s="75">
        <v>0</v>
      </c>
      <c r="Q26" s="75">
        <v>1</v>
      </c>
      <c r="R26" s="75">
        <v>30</v>
      </c>
      <c r="S26" s="75">
        <f>MAX(Table2[[#This Row],[volt-sbmu1]:[volt-sbmu5]])-MIN(Table2[[#This Row],[volt-sbmu1]:[volt-sbmu5]])</f>
        <v>1.7000000000000455</v>
      </c>
      <c r="T26" s="75">
        <f>MAX(Table2[[#This Row],[soc-sbmu1]:[soc-sbmu5]])-MIN(Table2[[#This Row],[soc-sbmu1]:[soc-sbmu5]])</f>
        <v>0.39999999999999147</v>
      </c>
      <c r="U26" s="75"/>
      <c r="V26" s="75"/>
    </row>
    <row r="27" spans="1:26" ht="15">
      <c r="A27" t="s">
        <v>156</v>
      </c>
      <c r="B27" s="85" t="s">
        <v>443</v>
      </c>
      <c r="C27" s="75">
        <v>87.3</v>
      </c>
      <c r="D27" s="75">
        <v>1383.6</v>
      </c>
      <c r="E27" s="75">
        <v>87.5</v>
      </c>
      <c r="F27" s="75">
        <v>86.6</v>
      </c>
      <c r="G27" s="75">
        <v>87.5</v>
      </c>
      <c r="H27" s="75">
        <v>87.2</v>
      </c>
      <c r="I27" s="75">
        <v>86.9</v>
      </c>
      <c r="J27" s="83">
        <v>1384.5</v>
      </c>
      <c r="K27" s="83">
        <v>1383</v>
      </c>
      <c r="L27" s="83">
        <v>1384.3</v>
      </c>
      <c r="M27" s="83">
        <v>1383.7</v>
      </c>
      <c r="N27" s="83">
        <v>1384.2</v>
      </c>
      <c r="O27" s="75">
        <v>0</v>
      </c>
      <c r="P27" s="75">
        <v>0</v>
      </c>
      <c r="Q27" s="75">
        <v>1</v>
      </c>
      <c r="R27" s="75">
        <v>30</v>
      </c>
      <c r="S27" s="75">
        <f>MAX(Table2[[#This Row],[volt-sbmu1]:[volt-sbmu5]])-MIN(Table2[[#This Row],[volt-sbmu1]:[volt-sbmu5]])</f>
        <v>1.5</v>
      </c>
      <c r="T27" s="75">
        <f>MAX(Table2[[#This Row],[soc-sbmu1]:[soc-sbmu5]])-MIN(Table2[[#This Row],[soc-sbmu1]:[soc-sbmu5]])</f>
        <v>0.90000000000000568</v>
      </c>
      <c r="U27" s="75"/>
      <c r="V27" s="75"/>
    </row>
    <row r="28" spans="1:26" ht="15">
      <c r="A28" t="s">
        <v>157</v>
      </c>
      <c r="B28" s="85" t="s">
        <v>444</v>
      </c>
      <c r="C28" s="75">
        <v>87.3</v>
      </c>
      <c r="D28" s="75">
        <v>1383.9</v>
      </c>
      <c r="E28" s="75">
        <v>87</v>
      </c>
      <c r="F28" s="75">
        <v>87</v>
      </c>
      <c r="G28" s="75">
        <v>86.7</v>
      </c>
      <c r="H28" s="75">
        <v>87.4</v>
      </c>
      <c r="I28" s="75">
        <v>87</v>
      </c>
      <c r="J28" s="83">
        <v>1383.8</v>
      </c>
      <c r="K28" s="83">
        <v>1383.5</v>
      </c>
      <c r="L28" s="83">
        <v>1383.2</v>
      </c>
      <c r="M28" s="83">
        <v>1383.9</v>
      </c>
      <c r="N28" s="83">
        <v>1383.8</v>
      </c>
      <c r="O28" s="75">
        <v>0</v>
      </c>
      <c r="P28" s="75">
        <v>0</v>
      </c>
      <c r="Q28" s="75">
        <v>1</v>
      </c>
      <c r="R28" s="75">
        <v>30</v>
      </c>
      <c r="S28" s="75">
        <f>MAX(Table2[[#This Row],[volt-sbmu1]:[volt-sbmu5]])-MIN(Table2[[#This Row],[volt-sbmu1]:[volt-sbmu5]])</f>
        <v>0.70000000000004547</v>
      </c>
      <c r="T28" s="75">
        <f>MAX(Table2[[#This Row],[soc-sbmu1]:[soc-sbmu5]])-MIN(Table2[[#This Row],[soc-sbmu1]:[soc-sbmu5]])</f>
        <v>0.70000000000000284</v>
      </c>
      <c r="U28" s="75"/>
      <c r="V28" s="75"/>
    </row>
    <row r="29" spans="1:26" ht="15">
      <c r="A29" t="s">
        <v>158</v>
      </c>
      <c r="B29" s="85" t="s">
        <v>445</v>
      </c>
      <c r="C29" s="75">
        <v>87.1</v>
      </c>
      <c r="D29" s="75">
        <v>1383.8</v>
      </c>
      <c r="E29" s="75">
        <v>86.5</v>
      </c>
      <c r="F29" s="75">
        <v>87.3</v>
      </c>
      <c r="G29" s="75">
        <v>86.9</v>
      </c>
      <c r="H29" s="75">
        <v>87.2</v>
      </c>
      <c r="I29" s="75">
        <v>86.8</v>
      </c>
      <c r="J29" s="83">
        <v>1384.7</v>
      </c>
      <c r="K29" s="83">
        <v>1384.1</v>
      </c>
      <c r="L29" s="83">
        <v>1383</v>
      </c>
      <c r="M29" s="83">
        <v>1383.7</v>
      </c>
      <c r="N29" s="83">
        <v>1383.1</v>
      </c>
      <c r="O29" s="75">
        <v>0</v>
      </c>
      <c r="P29" s="75">
        <v>0</v>
      </c>
      <c r="Q29" s="75">
        <v>1</v>
      </c>
      <c r="R29" s="75">
        <v>30</v>
      </c>
      <c r="S29" s="75">
        <f>MAX(Table2[[#This Row],[volt-sbmu1]:[volt-sbmu5]])-MIN(Table2[[#This Row],[volt-sbmu1]:[volt-sbmu5]])</f>
        <v>1.7000000000000455</v>
      </c>
      <c r="T29" s="75">
        <f>MAX(Table2[[#This Row],[soc-sbmu1]:[soc-sbmu5]])-MIN(Table2[[#This Row],[soc-sbmu1]:[soc-sbmu5]])</f>
        <v>0.79999999999999716</v>
      </c>
      <c r="U29" s="75"/>
      <c r="V29" s="75"/>
    </row>
    <row r="30" spans="1:26" ht="15">
      <c r="A30" t="s">
        <v>159</v>
      </c>
      <c r="B30" s="85" t="s">
        <v>446</v>
      </c>
      <c r="C30" s="75">
        <v>86.9</v>
      </c>
      <c r="D30" s="75">
        <v>1384.3</v>
      </c>
      <c r="E30" s="75">
        <v>86.5</v>
      </c>
      <c r="F30" s="75">
        <v>86.8</v>
      </c>
      <c r="G30" s="75">
        <v>87</v>
      </c>
      <c r="H30" s="75">
        <v>86.8</v>
      </c>
      <c r="I30" s="75">
        <v>86.3</v>
      </c>
      <c r="J30" s="83">
        <v>1384.5</v>
      </c>
      <c r="K30" s="83">
        <v>1385.1</v>
      </c>
      <c r="L30" s="83">
        <v>1383.7</v>
      </c>
      <c r="M30" s="83">
        <v>1384.1</v>
      </c>
      <c r="N30" s="83">
        <v>1384.5</v>
      </c>
      <c r="O30" s="75">
        <v>0</v>
      </c>
      <c r="P30" s="75">
        <v>0</v>
      </c>
      <c r="Q30" s="75">
        <v>1</v>
      </c>
      <c r="R30" s="75">
        <v>31</v>
      </c>
      <c r="S30" s="75">
        <f>MAX(Table2[[#This Row],[volt-sbmu1]:[volt-sbmu5]])-MIN(Table2[[#This Row],[volt-sbmu1]:[volt-sbmu5]])</f>
        <v>1.3999999999998636</v>
      </c>
      <c r="T30" s="75">
        <f>MAX(Table2[[#This Row],[soc-sbmu1]:[soc-sbmu5]])-MIN(Table2[[#This Row],[soc-sbmu1]:[soc-sbmu5]])</f>
        <v>0.70000000000000284</v>
      </c>
      <c r="U30" s="75"/>
      <c r="V30" s="75"/>
      <c r="X30" t="s">
        <v>757</v>
      </c>
      <c r="Z30" s="112">
        <f>COUNTIF(C3:C290,"*fail*")</f>
        <v>1</v>
      </c>
    </row>
    <row r="31" spans="1:26" ht="15">
      <c r="A31" t="s">
        <v>160</v>
      </c>
      <c r="B31" s="85" t="s">
        <v>447</v>
      </c>
      <c r="C31" s="75">
        <v>87.1</v>
      </c>
      <c r="D31" s="75">
        <v>1386.5</v>
      </c>
      <c r="E31" s="75">
        <v>86.9</v>
      </c>
      <c r="F31" s="75">
        <v>86.7</v>
      </c>
      <c r="G31" s="75">
        <v>86.7</v>
      </c>
      <c r="H31" s="75">
        <v>86.7</v>
      </c>
      <c r="I31" s="75">
        <v>87.2</v>
      </c>
      <c r="J31" s="83">
        <v>1387.8</v>
      </c>
      <c r="K31" s="83">
        <v>1386</v>
      </c>
      <c r="L31" s="83">
        <v>1386.5</v>
      </c>
      <c r="M31" s="83">
        <v>1385.4</v>
      </c>
      <c r="N31" s="83">
        <v>1386.7</v>
      </c>
      <c r="O31" s="75">
        <v>0</v>
      </c>
      <c r="P31" s="75">
        <v>0</v>
      </c>
      <c r="Q31" s="75">
        <v>1</v>
      </c>
      <c r="R31" s="75">
        <v>30</v>
      </c>
      <c r="S31" s="75">
        <f>MAX(Table2[[#This Row],[volt-sbmu1]:[volt-sbmu5]])-MIN(Table2[[#This Row],[volt-sbmu1]:[volt-sbmu5]])</f>
        <v>2.3999999999998636</v>
      </c>
      <c r="T31" s="75">
        <f>MAX(Table2[[#This Row],[soc-sbmu1]:[soc-sbmu5]])-MIN(Table2[[#This Row],[soc-sbmu1]:[soc-sbmu5]])</f>
        <v>0.5</v>
      </c>
      <c r="U31" s="75"/>
      <c r="V31" s="75"/>
    </row>
    <row r="32" spans="1:26" ht="15">
      <c r="A32" t="s">
        <v>161</v>
      </c>
      <c r="B32" s="85" t="s">
        <v>448</v>
      </c>
      <c r="C32" s="75">
        <v>87.5</v>
      </c>
      <c r="D32" s="75">
        <v>1385.9</v>
      </c>
      <c r="E32" s="75">
        <v>87.7</v>
      </c>
      <c r="F32" s="75">
        <v>86.6</v>
      </c>
      <c r="G32" s="75">
        <v>86.5</v>
      </c>
      <c r="H32" s="75">
        <v>86.9</v>
      </c>
      <c r="I32" s="75">
        <v>86.9</v>
      </c>
      <c r="J32" s="83">
        <v>1386.4</v>
      </c>
      <c r="K32" s="83">
        <v>1385.9</v>
      </c>
      <c r="L32" s="83">
        <v>1385.2</v>
      </c>
      <c r="M32" s="83">
        <v>1384.7</v>
      </c>
      <c r="N32" s="83">
        <v>1386.8</v>
      </c>
      <c r="O32" s="75">
        <v>0</v>
      </c>
      <c r="P32" s="75">
        <v>0</v>
      </c>
      <c r="Q32" s="75">
        <v>1</v>
      </c>
      <c r="R32" s="75">
        <v>29</v>
      </c>
      <c r="S32" s="75">
        <f>MAX(Table2[[#This Row],[volt-sbmu1]:[volt-sbmu5]])-MIN(Table2[[#This Row],[volt-sbmu1]:[volt-sbmu5]])</f>
        <v>2.0999999999999091</v>
      </c>
      <c r="T32" s="75">
        <f>MAX(Table2[[#This Row],[soc-sbmu1]:[soc-sbmu5]])-MIN(Table2[[#This Row],[soc-sbmu1]:[soc-sbmu5]])</f>
        <v>1.2000000000000028</v>
      </c>
      <c r="U32" s="75"/>
      <c r="V32" s="75"/>
    </row>
    <row r="33" spans="1:27" ht="15">
      <c r="A33" t="s">
        <v>162</v>
      </c>
      <c r="B33" s="85" t="s">
        <v>449</v>
      </c>
      <c r="C33" s="75">
        <v>87.1</v>
      </c>
      <c r="D33" s="75">
        <v>0</v>
      </c>
      <c r="E33" s="75">
        <v>87.2</v>
      </c>
      <c r="F33" s="75">
        <v>87.1</v>
      </c>
      <c r="G33" s="75">
        <v>86.9</v>
      </c>
      <c r="H33" s="75">
        <v>87.1</v>
      </c>
      <c r="I33" s="75">
        <v>87.1</v>
      </c>
      <c r="J33" s="83">
        <v>1386.3</v>
      </c>
      <c r="K33" s="83">
        <v>1386</v>
      </c>
      <c r="L33" s="83">
        <v>1386.9</v>
      </c>
      <c r="M33" s="83">
        <v>1384.3</v>
      </c>
      <c r="N33" s="83">
        <v>1385.1</v>
      </c>
      <c r="O33" s="75">
        <v>0</v>
      </c>
      <c r="P33" s="75">
        <v>512</v>
      </c>
      <c r="Q33" s="75">
        <v>5</v>
      </c>
      <c r="R33" s="75">
        <v>28</v>
      </c>
      <c r="S33" s="75">
        <f>MAX(Table2[[#This Row],[volt-sbmu1]:[volt-sbmu5]])-MIN(Table2[[#This Row],[volt-sbmu1]:[volt-sbmu5]])</f>
        <v>2.6000000000001364</v>
      </c>
      <c r="T33" s="75">
        <f>MAX(Table2[[#This Row],[soc-sbmu1]:[soc-sbmu5]])-MIN(Table2[[#This Row],[soc-sbmu1]:[soc-sbmu5]])</f>
        <v>0.29999999999999716</v>
      </c>
      <c r="U33" s="75"/>
      <c r="V33" s="75"/>
      <c r="X33" t="s">
        <v>382</v>
      </c>
      <c r="Y33" t="s">
        <v>383</v>
      </c>
      <c r="Z33" t="s">
        <v>384</v>
      </c>
    </row>
    <row r="34" spans="1:27" ht="15">
      <c r="A34" t="s">
        <v>163</v>
      </c>
      <c r="B34" s="85" t="s">
        <v>450</v>
      </c>
      <c r="C34" s="75">
        <v>87.2</v>
      </c>
      <c r="D34" s="75">
        <v>1386</v>
      </c>
      <c r="E34" s="75">
        <v>87.3</v>
      </c>
      <c r="F34" s="75">
        <v>86.7</v>
      </c>
      <c r="G34" s="75">
        <v>86.7</v>
      </c>
      <c r="H34" s="75">
        <v>86.9</v>
      </c>
      <c r="I34" s="75">
        <v>87.1</v>
      </c>
      <c r="J34" s="83">
        <v>1384.6</v>
      </c>
      <c r="K34" s="83">
        <v>1385.7</v>
      </c>
      <c r="L34" s="83">
        <v>1387.2</v>
      </c>
      <c r="M34" s="83">
        <v>1386.3</v>
      </c>
      <c r="N34" s="83">
        <v>1386.7</v>
      </c>
      <c r="O34" s="75">
        <v>0</v>
      </c>
      <c r="P34" s="75">
        <v>0</v>
      </c>
      <c r="Q34" s="75">
        <v>1</v>
      </c>
      <c r="R34" s="75">
        <v>30</v>
      </c>
      <c r="S34" s="75">
        <f>MAX(Table2[[#This Row],[volt-sbmu1]:[volt-sbmu5]])-MIN(Table2[[#This Row],[volt-sbmu1]:[volt-sbmu5]])</f>
        <v>2.6000000000001364</v>
      </c>
      <c r="T34" s="75">
        <f>MAX(Table2[[#This Row],[soc-sbmu1]:[soc-sbmu5]])-MIN(Table2[[#This Row],[soc-sbmu1]:[soc-sbmu5]])</f>
        <v>0.59999999999999432</v>
      </c>
      <c r="U34" s="75"/>
      <c r="V34" s="75"/>
      <c r="X34" s="61">
        <f>COUNTIF(Q:Q,5)</f>
        <v>44</v>
      </c>
      <c r="Y34" s="47">
        <f>COUNTIF(Q:Q,4)</f>
        <v>6</v>
      </c>
      <c r="Z34" s="62">
        <f>COUNTIF(Q:Q,1)</f>
        <v>237</v>
      </c>
    </row>
    <row r="35" spans="1:27" ht="15">
      <c r="A35" t="s">
        <v>164</v>
      </c>
      <c r="B35" s="85" t="s">
        <v>451</v>
      </c>
      <c r="C35" s="75">
        <v>86.4</v>
      </c>
      <c r="D35" s="75">
        <v>1383.9</v>
      </c>
      <c r="E35" s="75">
        <v>86.5</v>
      </c>
      <c r="F35" s="75">
        <v>86.5</v>
      </c>
      <c r="G35" s="75">
        <v>86.5</v>
      </c>
      <c r="H35" s="75">
        <v>86.2</v>
      </c>
      <c r="I35" s="75">
        <v>86.5</v>
      </c>
      <c r="J35" s="83">
        <v>1383.5</v>
      </c>
      <c r="K35" s="83">
        <v>1383.9</v>
      </c>
      <c r="L35" s="83">
        <v>1383.2</v>
      </c>
      <c r="M35" s="83">
        <v>1384</v>
      </c>
      <c r="N35" s="83">
        <v>1384.3</v>
      </c>
      <c r="O35" s="75">
        <v>0</v>
      </c>
      <c r="P35" s="75">
        <v>0</v>
      </c>
      <c r="Q35" s="75">
        <v>1</v>
      </c>
      <c r="R35" s="75">
        <v>30</v>
      </c>
      <c r="S35" s="75">
        <f>MAX(Table2[[#This Row],[volt-sbmu1]:[volt-sbmu5]])-MIN(Table2[[#This Row],[volt-sbmu1]:[volt-sbmu5]])</f>
        <v>1.0999999999999091</v>
      </c>
      <c r="T35" s="75">
        <f>MAX(Table2[[#This Row],[soc-sbmu1]:[soc-sbmu5]])-MIN(Table2[[#This Row],[soc-sbmu1]:[soc-sbmu5]])</f>
        <v>0.29999999999999716</v>
      </c>
      <c r="U35" s="75"/>
      <c r="V35" s="75"/>
    </row>
    <row r="36" spans="1:27" ht="15">
      <c r="A36" t="s">
        <v>165</v>
      </c>
      <c r="B36" s="85" t="s">
        <v>452</v>
      </c>
      <c r="C36" s="75">
        <v>86.8</v>
      </c>
      <c r="D36" s="75">
        <v>1384</v>
      </c>
      <c r="E36" s="75">
        <v>87</v>
      </c>
      <c r="F36" s="75">
        <v>85.8</v>
      </c>
      <c r="G36" s="75">
        <v>86.1</v>
      </c>
      <c r="H36" s="75">
        <v>86.7</v>
      </c>
      <c r="I36" s="75">
        <v>86.6</v>
      </c>
      <c r="J36" s="83">
        <v>1383.2</v>
      </c>
      <c r="K36" s="83">
        <v>1385</v>
      </c>
      <c r="L36" s="83">
        <v>1383.4</v>
      </c>
      <c r="M36" s="83">
        <v>1383.9</v>
      </c>
      <c r="N36" s="83">
        <v>1384.9</v>
      </c>
      <c r="O36" s="75">
        <v>0</v>
      </c>
      <c r="P36" s="75">
        <v>0</v>
      </c>
      <c r="Q36" s="75">
        <v>1</v>
      </c>
      <c r="R36" s="75">
        <v>30</v>
      </c>
      <c r="S36" s="75">
        <f>MAX(Table2[[#This Row],[volt-sbmu1]:[volt-sbmu5]])-MIN(Table2[[#This Row],[volt-sbmu1]:[volt-sbmu5]])</f>
        <v>1.7999999999999545</v>
      </c>
      <c r="T36" s="75">
        <f>MAX(Table2[[#This Row],[soc-sbmu1]:[soc-sbmu5]])-MIN(Table2[[#This Row],[soc-sbmu1]:[soc-sbmu5]])</f>
        <v>1.2000000000000028</v>
      </c>
      <c r="U36" s="75"/>
      <c r="V36" s="75"/>
    </row>
    <row r="37" spans="1:27" ht="15">
      <c r="A37" t="s">
        <v>166</v>
      </c>
      <c r="B37" s="85" t="s">
        <v>453</v>
      </c>
      <c r="C37" s="75">
        <v>87.3</v>
      </c>
      <c r="D37" s="75">
        <v>1384.3</v>
      </c>
      <c r="E37" s="75">
        <v>86.6</v>
      </c>
      <c r="F37" s="75">
        <v>87.8</v>
      </c>
      <c r="G37" s="75">
        <v>86.5</v>
      </c>
      <c r="H37" s="75">
        <v>84.5</v>
      </c>
      <c r="I37" s="75">
        <v>86.6</v>
      </c>
      <c r="J37" s="83">
        <v>1384.5</v>
      </c>
      <c r="K37" s="83">
        <v>1384.8</v>
      </c>
      <c r="L37" s="83">
        <v>1384.4</v>
      </c>
      <c r="M37" s="83">
        <v>1386.2</v>
      </c>
      <c r="N37" s="83">
        <v>1384.8</v>
      </c>
      <c r="O37" s="75">
        <v>0</v>
      </c>
      <c r="P37" s="75">
        <v>0</v>
      </c>
      <c r="Q37" s="75">
        <v>1</v>
      </c>
      <c r="R37" s="75">
        <v>30</v>
      </c>
      <c r="S37" s="75">
        <f>MAX(Table2[[#This Row],[volt-sbmu1]:[volt-sbmu5]])-MIN(Table2[[#This Row],[volt-sbmu1]:[volt-sbmu5]])</f>
        <v>1.7999999999999545</v>
      </c>
      <c r="T37" s="75">
        <f>MAX(Table2[[#This Row],[soc-sbmu1]:[soc-sbmu5]])-MIN(Table2[[#This Row],[soc-sbmu1]:[soc-sbmu5]])</f>
        <v>3.2999999999999972</v>
      </c>
      <c r="U37" s="75"/>
      <c r="V37" s="75"/>
      <c r="X37">
        <v>256</v>
      </c>
      <c r="Y37" t="s">
        <v>707</v>
      </c>
      <c r="Z37">
        <v>512</v>
      </c>
      <c r="AA37" t="s">
        <v>704</v>
      </c>
    </row>
    <row r="38" spans="1:27" ht="15">
      <c r="A38" t="s">
        <v>167</v>
      </c>
      <c r="B38" s="85" t="s">
        <v>454</v>
      </c>
      <c r="C38" s="75">
        <v>86.6</v>
      </c>
      <c r="D38" s="75">
        <v>1384.1</v>
      </c>
      <c r="E38" s="75">
        <v>86.5</v>
      </c>
      <c r="F38" s="75">
        <v>86.7</v>
      </c>
      <c r="G38" s="75">
        <v>86.7</v>
      </c>
      <c r="H38" s="75">
        <v>86.5</v>
      </c>
      <c r="I38" s="75">
        <v>86.2</v>
      </c>
      <c r="J38" s="83">
        <v>1383.4</v>
      </c>
      <c r="K38" s="83">
        <v>1383</v>
      </c>
      <c r="L38" s="83">
        <v>1383.5</v>
      </c>
      <c r="M38" s="83">
        <v>1383.7</v>
      </c>
      <c r="N38" s="83">
        <v>1384.9</v>
      </c>
      <c r="O38" s="75">
        <v>0</v>
      </c>
      <c r="P38" s="75">
        <v>0</v>
      </c>
      <c r="Q38" s="75">
        <v>1</v>
      </c>
      <c r="R38" s="75">
        <v>31</v>
      </c>
      <c r="S38" s="75">
        <f>MAX(Table2[[#This Row],[volt-sbmu1]:[volt-sbmu5]])-MIN(Table2[[#This Row],[volt-sbmu1]:[volt-sbmu5]])</f>
        <v>1.9000000000000909</v>
      </c>
      <c r="T38" s="75">
        <f>MAX(Table2[[#This Row],[soc-sbmu1]:[soc-sbmu5]])-MIN(Table2[[#This Row],[soc-sbmu1]:[soc-sbmu5]])</f>
        <v>0.5</v>
      </c>
      <c r="U38" s="75"/>
      <c r="V38" s="75"/>
      <c r="X38">
        <v>128</v>
      </c>
      <c r="Y38" t="s">
        <v>708</v>
      </c>
      <c r="Z38">
        <v>128</v>
      </c>
      <c r="AA38" t="s">
        <v>703</v>
      </c>
    </row>
    <row r="39" spans="1:27" ht="15">
      <c r="A39" t="s">
        <v>168</v>
      </c>
      <c r="B39" s="85" t="s">
        <v>455</v>
      </c>
      <c r="C39" s="75">
        <v>87.6</v>
      </c>
      <c r="D39" s="75">
        <v>1382.8</v>
      </c>
      <c r="E39" s="75">
        <v>87.8</v>
      </c>
      <c r="F39" s="75">
        <v>87</v>
      </c>
      <c r="G39" s="75">
        <v>86.5</v>
      </c>
      <c r="H39" s="75">
        <v>86.8</v>
      </c>
      <c r="I39" s="75">
        <v>86.5</v>
      </c>
      <c r="J39" s="83">
        <v>1382.6</v>
      </c>
      <c r="K39" s="83">
        <v>1382.5</v>
      </c>
      <c r="L39" s="83">
        <v>1383.4</v>
      </c>
      <c r="M39" s="83">
        <v>1380.9</v>
      </c>
      <c r="N39" s="83">
        <v>1383.9</v>
      </c>
      <c r="O39" s="75">
        <v>0</v>
      </c>
      <c r="P39" s="75">
        <v>0</v>
      </c>
      <c r="Q39" s="75">
        <v>1</v>
      </c>
      <c r="R39" s="75">
        <v>29</v>
      </c>
      <c r="S39" s="75">
        <f>MAX(Table2[[#This Row],[volt-sbmu1]:[volt-sbmu5]])-MIN(Table2[[#This Row],[volt-sbmu1]:[volt-sbmu5]])</f>
        <v>3</v>
      </c>
      <c r="T39" s="75">
        <f>MAX(Table2[[#This Row],[soc-sbmu1]:[soc-sbmu5]])-MIN(Table2[[#This Row],[soc-sbmu1]:[soc-sbmu5]])</f>
        <v>1.2999999999999972</v>
      </c>
      <c r="U39" s="75"/>
      <c r="V39" s="75"/>
      <c r="X39">
        <v>16384</v>
      </c>
      <c r="Y39" t="s">
        <v>711</v>
      </c>
      <c r="Z39">
        <v>1024</v>
      </c>
      <c r="AA39" t="s">
        <v>705</v>
      </c>
    </row>
    <row r="40" spans="1:27" ht="15">
      <c r="A40" t="s">
        <v>169</v>
      </c>
      <c r="B40" s="85" t="s">
        <v>456</v>
      </c>
      <c r="C40" s="75">
        <v>87.2</v>
      </c>
      <c r="D40" s="75">
        <v>1384.4</v>
      </c>
      <c r="E40" s="75">
        <v>87.4</v>
      </c>
      <c r="F40" s="75">
        <v>86.7</v>
      </c>
      <c r="G40" s="75">
        <v>87</v>
      </c>
      <c r="H40" s="75">
        <v>87.1</v>
      </c>
      <c r="I40" s="75">
        <v>86.5</v>
      </c>
      <c r="J40" s="83">
        <v>1384.9</v>
      </c>
      <c r="K40" s="83">
        <v>1384.2</v>
      </c>
      <c r="L40" s="83">
        <v>1383.2</v>
      </c>
      <c r="M40" s="83">
        <v>1385.4</v>
      </c>
      <c r="N40" s="83">
        <v>1383.7</v>
      </c>
      <c r="O40" s="75">
        <v>0</v>
      </c>
      <c r="P40" s="75">
        <v>0</v>
      </c>
      <c r="Q40" s="75">
        <v>1</v>
      </c>
      <c r="R40" s="75">
        <v>29</v>
      </c>
      <c r="S40" s="75">
        <f>MAX(Table2[[#This Row],[volt-sbmu1]:[volt-sbmu5]])-MIN(Table2[[#This Row],[volt-sbmu1]:[volt-sbmu5]])</f>
        <v>2.2000000000000455</v>
      </c>
      <c r="T40" s="75">
        <f>MAX(Table2[[#This Row],[soc-sbmu1]:[soc-sbmu5]])-MIN(Table2[[#This Row],[soc-sbmu1]:[soc-sbmu5]])</f>
        <v>0.90000000000000568</v>
      </c>
      <c r="U40" s="75"/>
      <c r="V40" s="75"/>
      <c r="X40">
        <v>8192</v>
      </c>
      <c r="Y40" t="s">
        <v>712</v>
      </c>
      <c r="Z40">
        <v>64</v>
      </c>
      <c r="AA40" t="s">
        <v>706</v>
      </c>
    </row>
    <row r="41" spans="1:27" ht="15">
      <c r="A41" t="s">
        <v>170</v>
      </c>
      <c r="B41" s="85" t="s">
        <v>457</v>
      </c>
      <c r="C41" s="75">
        <v>87.4</v>
      </c>
      <c r="D41" s="75">
        <v>1384.4</v>
      </c>
      <c r="E41" s="75">
        <v>87.5</v>
      </c>
      <c r="F41" s="75">
        <v>86.8</v>
      </c>
      <c r="G41" s="75">
        <v>87</v>
      </c>
      <c r="H41" s="75">
        <v>87.1</v>
      </c>
      <c r="I41" s="75">
        <v>87</v>
      </c>
      <c r="J41" s="83">
        <v>1384.6</v>
      </c>
      <c r="K41" s="83">
        <v>1384.7</v>
      </c>
      <c r="L41" s="83">
        <v>1384.9</v>
      </c>
      <c r="M41" s="83">
        <v>1383.9</v>
      </c>
      <c r="N41" s="83">
        <v>1384.9</v>
      </c>
      <c r="O41" s="75">
        <v>0</v>
      </c>
      <c r="P41" s="75">
        <v>0</v>
      </c>
      <c r="Q41" s="75">
        <v>1</v>
      </c>
      <c r="R41" s="75">
        <v>29</v>
      </c>
      <c r="S41" s="75">
        <f>MAX(Table2[[#This Row],[volt-sbmu1]:[volt-sbmu5]])-MIN(Table2[[#This Row],[volt-sbmu1]:[volt-sbmu5]])</f>
        <v>1</v>
      </c>
      <c r="T41" s="75">
        <f>MAX(Table2[[#This Row],[soc-sbmu1]:[soc-sbmu5]])-MIN(Table2[[#This Row],[soc-sbmu1]:[soc-sbmu5]])</f>
        <v>0.70000000000000284</v>
      </c>
      <c r="U41" s="75"/>
      <c r="V41" s="75"/>
    </row>
    <row r="42" spans="1:27" ht="15">
      <c r="A42" t="s">
        <v>171</v>
      </c>
      <c r="B42" s="85" t="s">
        <v>458</v>
      </c>
      <c r="C42" s="75">
        <v>87.1</v>
      </c>
      <c r="D42" s="75">
        <v>1384.7</v>
      </c>
      <c r="E42" s="75">
        <v>87.2</v>
      </c>
      <c r="F42" s="75">
        <v>87</v>
      </c>
      <c r="G42" s="75">
        <v>87.2</v>
      </c>
      <c r="H42" s="75">
        <v>86.8</v>
      </c>
      <c r="I42" s="75">
        <v>86.5</v>
      </c>
      <c r="J42" s="83">
        <v>1384.6</v>
      </c>
      <c r="K42" s="83">
        <v>1383.6</v>
      </c>
      <c r="L42" s="83">
        <v>1386.3</v>
      </c>
      <c r="M42" s="83">
        <v>1384.8</v>
      </c>
      <c r="N42" s="83">
        <v>1383.9</v>
      </c>
      <c r="O42" s="75">
        <v>0</v>
      </c>
      <c r="P42" s="75">
        <v>0</v>
      </c>
      <c r="Q42" s="75">
        <v>1</v>
      </c>
      <c r="R42" s="75">
        <v>30</v>
      </c>
      <c r="S42" s="75">
        <f>MAX(Table2[[#This Row],[volt-sbmu1]:[volt-sbmu5]])-MIN(Table2[[#This Row],[volt-sbmu1]:[volt-sbmu5]])</f>
        <v>2.7000000000000455</v>
      </c>
      <c r="T42" s="75">
        <f>MAX(Table2[[#This Row],[soc-sbmu1]:[soc-sbmu5]])-MIN(Table2[[#This Row],[soc-sbmu1]:[soc-sbmu5]])</f>
        <v>0.70000000000000284</v>
      </c>
      <c r="U42" s="75"/>
      <c r="V42" s="75"/>
    </row>
    <row r="43" spans="1:27" ht="15">
      <c r="A43" t="s">
        <v>172</v>
      </c>
      <c r="B43" s="85" t="s">
        <v>459</v>
      </c>
      <c r="C43" s="75">
        <v>86.8</v>
      </c>
      <c r="D43" s="75">
        <v>1385.5</v>
      </c>
      <c r="E43" s="75">
        <v>86.9</v>
      </c>
      <c r="F43" s="75">
        <v>86.7</v>
      </c>
      <c r="G43" s="75">
        <v>86.7</v>
      </c>
      <c r="H43" s="75">
        <v>86.8</v>
      </c>
      <c r="I43" s="75">
        <v>86.9</v>
      </c>
      <c r="J43" s="83">
        <v>1385.1</v>
      </c>
      <c r="K43" s="83">
        <v>1384.9</v>
      </c>
      <c r="L43" s="83">
        <v>1385.9</v>
      </c>
      <c r="M43" s="83">
        <v>1385.1</v>
      </c>
      <c r="N43" s="83">
        <v>1385.2</v>
      </c>
      <c r="O43" s="75">
        <v>0</v>
      </c>
      <c r="P43" s="75">
        <v>0</v>
      </c>
      <c r="Q43" s="75">
        <v>1</v>
      </c>
      <c r="R43" s="75">
        <v>30</v>
      </c>
      <c r="S43" s="75">
        <f>MAX(Table2[[#This Row],[volt-sbmu1]:[volt-sbmu5]])-MIN(Table2[[#This Row],[volt-sbmu1]:[volt-sbmu5]])</f>
        <v>1</v>
      </c>
      <c r="T43" s="75">
        <f>MAX(Table2[[#This Row],[soc-sbmu1]:[soc-sbmu5]])-MIN(Table2[[#This Row],[soc-sbmu1]:[soc-sbmu5]])</f>
        <v>0.20000000000000284</v>
      </c>
      <c r="U43" s="75"/>
      <c r="V43" s="75"/>
    </row>
    <row r="44" spans="1:27" ht="15">
      <c r="A44" t="s">
        <v>173</v>
      </c>
      <c r="B44" s="85" t="s">
        <v>460</v>
      </c>
      <c r="C44" s="75">
        <v>87.4</v>
      </c>
      <c r="D44" s="75">
        <v>1384.9</v>
      </c>
      <c r="E44" s="75">
        <v>87.6</v>
      </c>
      <c r="F44" s="75">
        <v>87.5</v>
      </c>
      <c r="G44" s="75">
        <v>87.6</v>
      </c>
      <c r="H44" s="75">
        <v>86.7</v>
      </c>
      <c r="I44" s="75">
        <v>87.4</v>
      </c>
      <c r="J44" s="83">
        <v>1385</v>
      </c>
      <c r="K44" s="83">
        <v>1385.1</v>
      </c>
      <c r="L44" s="83">
        <v>1385</v>
      </c>
      <c r="M44" s="83">
        <v>1384.6</v>
      </c>
      <c r="N44" s="83">
        <v>1384.5</v>
      </c>
      <c r="O44" s="75">
        <v>0</v>
      </c>
      <c r="P44" s="75">
        <v>0</v>
      </c>
      <c r="Q44" s="75">
        <v>1</v>
      </c>
      <c r="R44" s="75">
        <v>30</v>
      </c>
      <c r="S44" s="75">
        <f>MAX(Table2[[#This Row],[volt-sbmu1]:[volt-sbmu5]])-MIN(Table2[[#This Row],[volt-sbmu1]:[volt-sbmu5]])</f>
        <v>0.59999999999990905</v>
      </c>
      <c r="T44" s="75">
        <f>MAX(Table2[[#This Row],[soc-sbmu1]:[soc-sbmu5]])-MIN(Table2[[#This Row],[soc-sbmu1]:[soc-sbmu5]])</f>
        <v>0.89999999999999147</v>
      </c>
      <c r="U44" s="75"/>
      <c r="V44" s="75"/>
    </row>
    <row r="45" spans="1:27" ht="15">
      <c r="A45" t="s">
        <v>174</v>
      </c>
      <c r="B45" s="85" t="s">
        <v>461</v>
      </c>
      <c r="C45" s="75">
        <v>87.1</v>
      </c>
      <c r="D45" s="75">
        <v>1385.8</v>
      </c>
      <c r="E45" s="75">
        <v>87.2</v>
      </c>
      <c r="F45" s="75">
        <v>87.2</v>
      </c>
      <c r="G45" s="75">
        <v>87.2</v>
      </c>
      <c r="H45" s="75">
        <v>87.1</v>
      </c>
      <c r="I45" s="75">
        <v>86.9</v>
      </c>
      <c r="J45" s="83">
        <v>1387.2</v>
      </c>
      <c r="K45" s="83">
        <v>1386.2</v>
      </c>
      <c r="L45" s="83">
        <v>1385.7</v>
      </c>
      <c r="M45" s="83">
        <v>1385.1</v>
      </c>
      <c r="N45" s="83">
        <v>1385.2</v>
      </c>
      <c r="O45" s="75">
        <v>0</v>
      </c>
      <c r="P45" s="75">
        <v>0</v>
      </c>
      <c r="Q45" s="75">
        <v>1</v>
      </c>
      <c r="R45" s="75">
        <v>30</v>
      </c>
      <c r="S45" s="75">
        <f>MAX(Table2[[#This Row],[volt-sbmu1]:[volt-sbmu5]])-MIN(Table2[[#This Row],[volt-sbmu1]:[volt-sbmu5]])</f>
        <v>2.1000000000001364</v>
      </c>
      <c r="T45" s="75">
        <f>MAX(Table2[[#This Row],[soc-sbmu1]:[soc-sbmu5]])-MIN(Table2[[#This Row],[soc-sbmu1]:[soc-sbmu5]])</f>
        <v>0.29999999999999716</v>
      </c>
      <c r="U45" s="75"/>
      <c r="V45" s="75"/>
    </row>
    <row r="46" spans="1:27" ht="15">
      <c r="A46" t="s">
        <v>175</v>
      </c>
      <c r="B46" s="85" t="s">
        <v>462</v>
      </c>
      <c r="C46" s="75">
        <v>87.3</v>
      </c>
      <c r="D46" s="75">
        <v>1384.8</v>
      </c>
      <c r="E46" s="75">
        <v>87.5</v>
      </c>
      <c r="F46" s="75">
        <v>86.9</v>
      </c>
      <c r="G46" s="75">
        <v>86.6</v>
      </c>
      <c r="H46" s="75">
        <v>87.4</v>
      </c>
      <c r="I46" s="75">
        <v>87.1</v>
      </c>
      <c r="J46" s="83">
        <v>1384.7</v>
      </c>
      <c r="K46" s="83">
        <v>1385.1</v>
      </c>
      <c r="L46" s="83">
        <v>1384.2</v>
      </c>
      <c r="M46" s="83">
        <v>1385.2</v>
      </c>
      <c r="N46" s="83">
        <v>1386</v>
      </c>
      <c r="O46" s="75">
        <v>0</v>
      </c>
      <c r="P46" s="75">
        <v>0</v>
      </c>
      <c r="Q46" s="75">
        <v>1</v>
      </c>
      <c r="R46" s="75">
        <v>31</v>
      </c>
      <c r="S46" s="75">
        <f>MAX(Table2[[#This Row],[volt-sbmu1]:[volt-sbmu5]])-MIN(Table2[[#This Row],[volt-sbmu1]:[volt-sbmu5]])</f>
        <v>1.7999999999999545</v>
      </c>
      <c r="T46" s="75">
        <f>MAX(Table2[[#This Row],[soc-sbmu1]:[soc-sbmu5]])-MIN(Table2[[#This Row],[soc-sbmu1]:[soc-sbmu5]])</f>
        <v>0.90000000000000568</v>
      </c>
      <c r="U46" s="75"/>
      <c r="V46" s="75"/>
    </row>
    <row r="47" spans="1:27" ht="15">
      <c r="A47" t="s">
        <v>176</v>
      </c>
      <c r="B47" s="85" t="s">
        <v>463</v>
      </c>
      <c r="C47" s="75">
        <v>87.4</v>
      </c>
      <c r="D47" s="75">
        <v>1383.3</v>
      </c>
      <c r="E47" s="75">
        <v>87.5</v>
      </c>
      <c r="F47" s="75">
        <v>87.5</v>
      </c>
      <c r="G47" s="75">
        <v>87.5</v>
      </c>
      <c r="H47" s="75">
        <v>87.3</v>
      </c>
      <c r="I47" s="75">
        <v>87.2</v>
      </c>
      <c r="J47" s="83">
        <v>1383.3</v>
      </c>
      <c r="K47" s="83">
        <v>1384.6</v>
      </c>
      <c r="L47" s="83">
        <v>1382.4</v>
      </c>
      <c r="M47" s="83">
        <v>1382.7</v>
      </c>
      <c r="N47" s="83">
        <v>1384.7</v>
      </c>
      <c r="O47" s="75">
        <v>0</v>
      </c>
      <c r="P47" s="75">
        <v>0</v>
      </c>
      <c r="Q47" s="75">
        <v>1</v>
      </c>
      <c r="R47" s="75">
        <v>29</v>
      </c>
      <c r="S47" s="75">
        <f>MAX(Table2[[#This Row],[volt-sbmu1]:[volt-sbmu5]])-MIN(Table2[[#This Row],[volt-sbmu1]:[volt-sbmu5]])</f>
        <v>2.2999999999999545</v>
      </c>
      <c r="T47" s="75">
        <f>MAX(Table2[[#This Row],[soc-sbmu1]:[soc-sbmu5]])-MIN(Table2[[#This Row],[soc-sbmu1]:[soc-sbmu5]])</f>
        <v>0.29999999999999716</v>
      </c>
      <c r="U47" s="75"/>
      <c r="V47" s="75"/>
    </row>
    <row r="48" spans="1:27" ht="15">
      <c r="A48" t="s">
        <v>177</v>
      </c>
      <c r="B48" s="85" t="s">
        <v>464</v>
      </c>
      <c r="C48" s="75">
        <v>87.3</v>
      </c>
      <c r="D48" s="75">
        <v>1383.7</v>
      </c>
      <c r="E48" s="75">
        <v>87.5</v>
      </c>
      <c r="F48" s="75">
        <v>86.5</v>
      </c>
      <c r="G48" s="75">
        <v>86.7</v>
      </c>
      <c r="H48" s="75">
        <v>87.2</v>
      </c>
      <c r="I48" s="75">
        <v>86.5</v>
      </c>
      <c r="J48" s="83">
        <v>1383.3</v>
      </c>
      <c r="K48" s="83">
        <v>1383.3</v>
      </c>
      <c r="L48" s="83">
        <v>1383.9</v>
      </c>
      <c r="M48" s="83">
        <v>1383.7</v>
      </c>
      <c r="N48" s="83">
        <v>1384.5</v>
      </c>
      <c r="O48" s="75">
        <v>0</v>
      </c>
      <c r="P48" s="75">
        <v>0</v>
      </c>
      <c r="Q48" s="75">
        <v>1</v>
      </c>
      <c r="R48" s="75">
        <v>30</v>
      </c>
      <c r="S48" s="75">
        <f>MAX(Table2[[#This Row],[volt-sbmu1]:[volt-sbmu5]])-MIN(Table2[[#This Row],[volt-sbmu1]:[volt-sbmu5]])</f>
        <v>1.2000000000000455</v>
      </c>
      <c r="T48" s="75">
        <f>MAX(Table2[[#This Row],[soc-sbmu1]:[soc-sbmu5]])-MIN(Table2[[#This Row],[soc-sbmu1]:[soc-sbmu5]])</f>
        <v>1</v>
      </c>
      <c r="U48" s="75"/>
      <c r="V48" s="75"/>
    </row>
    <row r="49" spans="1:22" ht="15">
      <c r="A49" t="s">
        <v>178</v>
      </c>
      <c r="B49" s="85" t="s">
        <v>465</v>
      </c>
      <c r="C49" s="75">
        <v>87.3</v>
      </c>
      <c r="D49" s="75">
        <v>1383.6</v>
      </c>
      <c r="E49" s="75">
        <v>86.7</v>
      </c>
      <c r="F49" s="75">
        <v>87.5</v>
      </c>
      <c r="G49" s="75">
        <v>87.5</v>
      </c>
      <c r="H49" s="75">
        <v>86.5</v>
      </c>
      <c r="I49" s="75">
        <v>86.5</v>
      </c>
      <c r="J49" s="83">
        <v>1384</v>
      </c>
      <c r="K49" s="83">
        <v>1383.8</v>
      </c>
      <c r="L49" s="83">
        <v>1384.7</v>
      </c>
      <c r="M49" s="83">
        <v>1383.5</v>
      </c>
      <c r="N49" s="83">
        <v>1383.3</v>
      </c>
      <c r="O49" s="75">
        <v>0</v>
      </c>
      <c r="P49" s="75">
        <v>0</v>
      </c>
      <c r="Q49" s="75">
        <v>1</v>
      </c>
      <c r="R49" s="75">
        <v>30</v>
      </c>
      <c r="S49" s="75">
        <f>MAX(Table2[[#This Row],[volt-sbmu1]:[volt-sbmu5]])-MIN(Table2[[#This Row],[volt-sbmu1]:[volt-sbmu5]])</f>
        <v>1.4000000000000909</v>
      </c>
      <c r="T49" s="75">
        <f>MAX(Table2[[#This Row],[soc-sbmu1]:[soc-sbmu5]])-MIN(Table2[[#This Row],[soc-sbmu1]:[soc-sbmu5]])</f>
        <v>1</v>
      </c>
      <c r="U49" s="75"/>
      <c r="V49" s="75"/>
    </row>
    <row r="50" spans="1:22" ht="15">
      <c r="A50" t="s">
        <v>179</v>
      </c>
      <c r="B50" s="85" t="s">
        <v>466</v>
      </c>
      <c r="C50" s="75">
        <v>87.3</v>
      </c>
      <c r="D50" s="75">
        <v>1383.9</v>
      </c>
      <c r="E50" s="75">
        <v>87.5</v>
      </c>
      <c r="F50" s="75">
        <v>86.7</v>
      </c>
      <c r="G50" s="75">
        <v>86.6</v>
      </c>
      <c r="H50" s="75">
        <v>86.9</v>
      </c>
      <c r="I50" s="75">
        <v>86.7</v>
      </c>
      <c r="J50" s="83">
        <v>1383.1</v>
      </c>
      <c r="K50" s="83">
        <v>1383.7</v>
      </c>
      <c r="L50" s="83">
        <v>1383.7</v>
      </c>
      <c r="M50" s="83">
        <v>1383.3</v>
      </c>
      <c r="N50" s="83">
        <v>1384.7</v>
      </c>
      <c r="O50" s="75">
        <v>0</v>
      </c>
      <c r="P50" s="75">
        <v>0</v>
      </c>
      <c r="Q50" s="75">
        <v>1</v>
      </c>
      <c r="R50" s="75">
        <v>30</v>
      </c>
      <c r="S50" s="75">
        <f>MAX(Table2[[#This Row],[volt-sbmu1]:[volt-sbmu5]])-MIN(Table2[[#This Row],[volt-sbmu1]:[volt-sbmu5]])</f>
        <v>1.6000000000001364</v>
      </c>
      <c r="T50" s="75">
        <f>MAX(Table2[[#This Row],[soc-sbmu1]:[soc-sbmu5]])-MIN(Table2[[#This Row],[soc-sbmu1]:[soc-sbmu5]])</f>
        <v>0.90000000000000568</v>
      </c>
      <c r="U50" s="75"/>
      <c r="V50" s="75"/>
    </row>
    <row r="51" spans="1:22" ht="15">
      <c r="A51" t="s">
        <v>180</v>
      </c>
      <c r="B51" s="85" t="s">
        <v>467</v>
      </c>
      <c r="C51" s="75">
        <v>87.2</v>
      </c>
      <c r="D51" s="75">
        <v>1386.2</v>
      </c>
      <c r="E51" s="75">
        <v>87.3</v>
      </c>
      <c r="F51" s="75">
        <v>87</v>
      </c>
      <c r="G51" s="75">
        <v>87.2</v>
      </c>
      <c r="H51" s="75">
        <v>87</v>
      </c>
      <c r="I51" s="75">
        <v>87.3</v>
      </c>
      <c r="J51" s="83">
        <v>1385.9</v>
      </c>
      <c r="K51" s="83">
        <v>1386.3</v>
      </c>
      <c r="L51" s="83">
        <v>1385.4</v>
      </c>
      <c r="M51" s="83">
        <v>1386.6</v>
      </c>
      <c r="N51" s="83">
        <v>1384.9</v>
      </c>
      <c r="O51" s="75">
        <v>0</v>
      </c>
      <c r="P51" s="75">
        <v>0</v>
      </c>
      <c r="Q51" s="75">
        <v>1</v>
      </c>
      <c r="R51" s="75">
        <v>31</v>
      </c>
      <c r="S51" s="75">
        <f>MAX(Table2[[#This Row],[volt-sbmu1]:[volt-sbmu5]])-MIN(Table2[[#This Row],[volt-sbmu1]:[volt-sbmu5]])</f>
        <v>1.6999999999998181</v>
      </c>
      <c r="T51" s="75">
        <f>MAX(Table2[[#This Row],[soc-sbmu1]:[soc-sbmu5]])-MIN(Table2[[#This Row],[soc-sbmu1]:[soc-sbmu5]])</f>
        <v>0.29999999999999716</v>
      </c>
      <c r="U51" s="75"/>
      <c r="V51" s="75"/>
    </row>
    <row r="52" spans="1:22" ht="15">
      <c r="A52" t="s">
        <v>181</v>
      </c>
      <c r="B52" s="85" t="s">
        <v>468</v>
      </c>
      <c r="C52" s="75">
        <v>87.5</v>
      </c>
      <c r="D52" s="75">
        <v>1383.9</v>
      </c>
      <c r="E52" s="75">
        <v>87.5</v>
      </c>
      <c r="F52" s="75">
        <v>87.6</v>
      </c>
      <c r="G52" s="75">
        <v>87.6</v>
      </c>
      <c r="H52" s="75">
        <v>87.2</v>
      </c>
      <c r="I52" s="75">
        <v>87.2</v>
      </c>
      <c r="J52" s="83">
        <v>1383.8</v>
      </c>
      <c r="K52" s="83">
        <v>1384</v>
      </c>
      <c r="L52" s="83">
        <v>1383.4</v>
      </c>
      <c r="M52" s="83">
        <v>1383.5</v>
      </c>
      <c r="N52" s="83">
        <v>1384.3</v>
      </c>
      <c r="O52" s="75">
        <v>0</v>
      </c>
      <c r="P52" s="75">
        <v>0</v>
      </c>
      <c r="Q52" s="75">
        <v>1</v>
      </c>
      <c r="R52" s="75">
        <v>32</v>
      </c>
      <c r="S52" s="75">
        <f>MAX(Table2[[#This Row],[volt-sbmu1]:[volt-sbmu5]])-MIN(Table2[[#This Row],[volt-sbmu1]:[volt-sbmu5]])</f>
        <v>0.89999999999986358</v>
      </c>
      <c r="T52" s="75">
        <f>MAX(Table2[[#This Row],[soc-sbmu1]:[soc-sbmu5]])-MIN(Table2[[#This Row],[soc-sbmu1]:[soc-sbmu5]])</f>
        <v>0.39999999999999147</v>
      </c>
      <c r="U52" s="75"/>
      <c r="V52" s="75"/>
    </row>
    <row r="53" spans="1:22" ht="15">
      <c r="A53" t="s">
        <v>182</v>
      </c>
      <c r="B53" s="85" t="s">
        <v>469</v>
      </c>
      <c r="C53" s="75">
        <v>87.6</v>
      </c>
      <c r="D53" s="75">
        <v>1384.8</v>
      </c>
      <c r="E53" s="75">
        <v>87.7</v>
      </c>
      <c r="F53" s="75">
        <v>87.5</v>
      </c>
      <c r="G53" s="75">
        <v>87.7</v>
      </c>
      <c r="H53" s="75">
        <v>87.6</v>
      </c>
      <c r="I53" s="75">
        <v>87.7</v>
      </c>
      <c r="J53" s="83">
        <v>1384.8</v>
      </c>
      <c r="K53" s="83">
        <v>1386.1</v>
      </c>
      <c r="L53" s="83">
        <v>1384.7</v>
      </c>
      <c r="M53" s="83">
        <v>1383.6</v>
      </c>
      <c r="N53" s="83">
        <v>1384.4</v>
      </c>
      <c r="O53" s="75">
        <v>0</v>
      </c>
      <c r="P53" s="75">
        <v>0</v>
      </c>
      <c r="Q53" s="75">
        <v>1</v>
      </c>
      <c r="R53" s="75">
        <v>30</v>
      </c>
      <c r="S53" s="75">
        <f>MAX(Table2[[#This Row],[volt-sbmu1]:[volt-sbmu5]])-MIN(Table2[[#This Row],[volt-sbmu1]:[volt-sbmu5]])</f>
        <v>2.5</v>
      </c>
      <c r="T53" s="75">
        <f>MAX(Table2[[#This Row],[soc-sbmu1]:[soc-sbmu5]])-MIN(Table2[[#This Row],[soc-sbmu1]:[soc-sbmu5]])</f>
        <v>0.20000000000000284</v>
      </c>
      <c r="U53" s="75"/>
      <c r="V53" s="75"/>
    </row>
    <row r="54" spans="1:22" ht="15">
      <c r="A54" t="s">
        <v>183</v>
      </c>
      <c r="B54" s="85" t="s">
        <v>470</v>
      </c>
      <c r="C54" s="75">
        <v>87.5</v>
      </c>
      <c r="D54" s="75">
        <v>1385.8</v>
      </c>
      <c r="E54" s="75">
        <v>87.7</v>
      </c>
      <c r="F54" s="75">
        <v>87.7</v>
      </c>
      <c r="G54" s="75">
        <v>86.9</v>
      </c>
      <c r="H54" s="75">
        <v>87.7</v>
      </c>
      <c r="I54" s="75">
        <v>86.7</v>
      </c>
      <c r="J54" s="83">
        <v>1385.5</v>
      </c>
      <c r="K54" s="83">
        <v>1384.5</v>
      </c>
      <c r="L54" s="83">
        <v>1389.4</v>
      </c>
      <c r="M54" s="83">
        <v>1385.9</v>
      </c>
      <c r="N54" s="83">
        <v>1386.5</v>
      </c>
      <c r="O54" s="75">
        <v>0</v>
      </c>
      <c r="P54" s="75">
        <v>0</v>
      </c>
      <c r="Q54" s="75">
        <v>1</v>
      </c>
      <c r="R54" s="75">
        <v>31</v>
      </c>
      <c r="S54" s="75">
        <f>MAX(Table2[[#This Row],[volt-sbmu1]:[volt-sbmu5]])-MIN(Table2[[#This Row],[volt-sbmu1]:[volt-sbmu5]])</f>
        <v>4.9000000000000909</v>
      </c>
      <c r="T54" s="75">
        <f>MAX(Table2[[#This Row],[soc-sbmu1]:[soc-sbmu5]])-MIN(Table2[[#This Row],[soc-sbmu1]:[soc-sbmu5]])</f>
        <v>1</v>
      </c>
      <c r="U54" s="75"/>
      <c r="V54" s="75"/>
    </row>
    <row r="55" spans="1:22" ht="15">
      <c r="A55" t="s">
        <v>184</v>
      </c>
      <c r="B55" s="85" t="s">
        <v>471</v>
      </c>
      <c r="C55" s="75">
        <v>91.2</v>
      </c>
      <c r="D55" s="75">
        <v>1385.9</v>
      </c>
      <c r="E55" s="75">
        <v>89.7</v>
      </c>
      <c r="F55" s="75">
        <v>89.7</v>
      </c>
      <c r="G55" s="75">
        <v>90.4</v>
      </c>
      <c r="H55" s="75">
        <v>91.4</v>
      </c>
      <c r="I55" s="75">
        <v>89.7</v>
      </c>
      <c r="J55" s="83">
        <v>1384.9</v>
      </c>
      <c r="K55" s="83">
        <v>1385.9</v>
      </c>
      <c r="L55" s="83">
        <v>1385.6</v>
      </c>
      <c r="M55" s="83">
        <v>1387.2</v>
      </c>
      <c r="N55" s="83">
        <v>1385.6</v>
      </c>
      <c r="O55" s="75">
        <v>0</v>
      </c>
      <c r="P55" s="75">
        <v>0</v>
      </c>
      <c r="Q55" s="75">
        <v>1</v>
      </c>
      <c r="R55" s="75">
        <v>30</v>
      </c>
      <c r="S55" s="75">
        <f>MAX(Table2[[#This Row],[volt-sbmu1]:[volt-sbmu5]])-MIN(Table2[[#This Row],[volt-sbmu1]:[volt-sbmu5]])</f>
        <v>2.2999999999999545</v>
      </c>
      <c r="T55" s="75">
        <f>MAX(Table2[[#This Row],[soc-sbmu1]:[soc-sbmu5]])-MIN(Table2[[#This Row],[soc-sbmu1]:[soc-sbmu5]])</f>
        <v>1.7000000000000028</v>
      </c>
      <c r="U55" s="75"/>
      <c r="V55" s="75"/>
    </row>
    <row r="56" spans="1:22" ht="15">
      <c r="A56" t="s">
        <v>185</v>
      </c>
      <c r="B56" s="85" t="s">
        <v>472</v>
      </c>
      <c r="C56" s="75">
        <v>90.6</v>
      </c>
      <c r="D56" s="75">
        <v>1385.7</v>
      </c>
      <c r="E56" s="75">
        <v>89.7</v>
      </c>
      <c r="F56" s="75">
        <v>88.7</v>
      </c>
      <c r="G56" s="75">
        <v>89.7</v>
      </c>
      <c r="H56" s="75">
        <v>90.9</v>
      </c>
      <c r="I56" s="75">
        <v>89.4</v>
      </c>
      <c r="J56" s="83">
        <v>1385.3</v>
      </c>
      <c r="K56" s="83">
        <v>1385.1</v>
      </c>
      <c r="L56" s="83">
        <v>1385.7</v>
      </c>
      <c r="M56" s="83">
        <v>1386.1</v>
      </c>
      <c r="N56" s="83">
        <v>1386.5</v>
      </c>
      <c r="O56" s="75">
        <v>0</v>
      </c>
      <c r="P56" s="75">
        <v>0</v>
      </c>
      <c r="Q56" s="75">
        <v>1</v>
      </c>
      <c r="R56" s="75">
        <v>30</v>
      </c>
      <c r="S56" s="75">
        <f>MAX(Table2[[#This Row],[volt-sbmu1]:[volt-sbmu5]])-MIN(Table2[[#This Row],[volt-sbmu1]:[volt-sbmu5]])</f>
        <v>1.4000000000000909</v>
      </c>
      <c r="T56" s="75">
        <f>MAX(Table2[[#This Row],[soc-sbmu1]:[soc-sbmu5]])-MIN(Table2[[#This Row],[soc-sbmu1]:[soc-sbmu5]])</f>
        <v>2.2000000000000028</v>
      </c>
      <c r="U56" s="75"/>
      <c r="V56" s="75"/>
    </row>
    <row r="57" spans="1:22" ht="15">
      <c r="A57" t="s">
        <v>186</v>
      </c>
      <c r="B57" s="85" t="s">
        <v>473</v>
      </c>
      <c r="C57" s="75">
        <v>91.1</v>
      </c>
      <c r="D57" s="75">
        <v>1386.1</v>
      </c>
      <c r="E57" s="75">
        <v>89.7</v>
      </c>
      <c r="F57" s="75">
        <v>88.8</v>
      </c>
      <c r="G57" s="75">
        <v>91.4</v>
      </c>
      <c r="H57" s="75">
        <v>89.2</v>
      </c>
      <c r="I57" s="75">
        <v>89.2</v>
      </c>
      <c r="J57" s="83">
        <v>1385.7</v>
      </c>
      <c r="K57" s="83">
        <v>1385.8</v>
      </c>
      <c r="L57" s="83">
        <v>1386.5</v>
      </c>
      <c r="M57" s="83">
        <v>1387.8</v>
      </c>
      <c r="N57" s="83">
        <v>1385.2</v>
      </c>
      <c r="O57" s="75">
        <v>0</v>
      </c>
      <c r="P57" s="75">
        <v>0</v>
      </c>
      <c r="Q57" s="75">
        <v>1</v>
      </c>
      <c r="R57" s="75">
        <v>30</v>
      </c>
      <c r="S57" s="75">
        <f>MAX(Table2[[#This Row],[volt-sbmu1]:[volt-sbmu5]])-MIN(Table2[[#This Row],[volt-sbmu1]:[volt-sbmu5]])</f>
        <v>2.5999999999999091</v>
      </c>
      <c r="T57" s="75">
        <f>MAX(Table2[[#This Row],[soc-sbmu1]:[soc-sbmu5]])-MIN(Table2[[#This Row],[soc-sbmu1]:[soc-sbmu5]])</f>
        <v>2.6000000000000085</v>
      </c>
      <c r="U57" s="75"/>
      <c r="V57" s="75"/>
    </row>
    <row r="58" spans="1:22" ht="15">
      <c r="A58" t="s">
        <v>187</v>
      </c>
      <c r="B58" s="85" t="s">
        <v>474</v>
      </c>
      <c r="C58" s="75">
        <v>90.5</v>
      </c>
      <c r="D58" s="75">
        <v>1386.1</v>
      </c>
      <c r="E58" s="75">
        <v>90.7</v>
      </c>
      <c r="F58" s="75">
        <v>89.1</v>
      </c>
      <c r="G58" s="75">
        <v>89.3</v>
      </c>
      <c r="H58" s="75">
        <v>88.7</v>
      </c>
      <c r="I58" s="75">
        <v>90.5</v>
      </c>
      <c r="J58" s="83">
        <v>1386.2</v>
      </c>
      <c r="K58" s="83">
        <v>1384</v>
      </c>
      <c r="L58" s="83">
        <v>1386.8</v>
      </c>
      <c r="M58" s="83">
        <v>1387.9</v>
      </c>
      <c r="N58" s="83">
        <v>1386.3</v>
      </c>
      <c r="O58" s="75">
        <v>0</v>
      </c>
      <c r="P58" s="75">
        <v>0</v>
      </c>
      <c r="Q58" s="75">
        <v>1</v>
      </c>
      <c r="R58" s="75">
        <v>30</v>
      </c>
      <c r="S58" s="75">
        <f>MAX(Table2[[#This Row],[volt-sbmu1]:[volt-sbmu5]])-MIN(Table2[[#This Row],[volt-sbmu1]:[volt-sbmu5]])</f>
        <v>3.9000000000000909</v>
      </c>
      <c r="T58" s="75">
        <f>MAX(Table2[[#This Row],[soc-sbmu1]:[soc-sbmu5]])-MIN(Table2[[#This Row],[soc-sbmu1]:[soc-sbmu5]])</f>
        <v>2</v>
      </c>
      <c r="U58" s="75"/>
      <c r="V58" s="75"/>
    </row>
    <row r="59" spans="1:22" ht="15">
      <c r="A59" t="s">
        <v>188</v>
      </c>
      <c r="B59" s="85" t="s">
        <v>475</v>
      </c>
      <c r="C59" s="75">
        <v>87.3</v>
      </c>
      <c r="D59" s="75">
        <v>1385.6</v>
      </c>
      <c r="E59" s="75">
        <v>87.4</v>
      </c>
      <c r="F59" s="75">
        <v>87.4</v>
      </c>
      <c r="G59" s="75">
        <v>87.4</v>
      </c>
      <c r="H59" s="75">
        <v>87.2</v>
      </c>
      <c r="I59" s="75">
        <v>87.2</v>
      </c>
      <c r="J59" s="83">
        <v>1385.6</v>
      </c>
      <c r="K59" s="83">
        <v>1385.3</v>
      </c>
      <c r="L59" s="83">
        <v>1386.4</v>
      </c>
      <c r="M59" s="83">
        <v>1386.2</v>
      </c>
      <c r="N59" s="83">
        <v>1385.2</v>
      </c>
      <c r="O59" s="75">
        <v>0</v>
      </c>
      <c r="P59" s="75">
        <v>0</v>
      </c>
      <c r="Q59" s="75">
        <v>1</v>
      </c>
      <c r="R59" s="75">
        <v>31</v>
      </c>
      <c r="S59" s="75">
        <f>MAX(Table2[[#This Row],[volt-sbmu1]:[volt-sbmu5]])-MIN(Table2[[#This Row],[volt-sbmu1]:[volt-sbmu5]])</f>
        <v>1.2000000000000455</v>
      </c>
      <c r="T59" s="75">
        <f>MAX(Table2[[#This Row],[soc-sbmu1]:[soc-sbmu5]])-MIN(Table2[[#This Row],[soc-sbmu1]:[soc-sbmu5]])</f>
        <v>0.20000000000000284</v>
      </c>
      <c r="U59" s="75"/>
      <c r="V59" s="75"/>
    </row>
    <row r="60" spans="1:22" ht="15">
      <c r="A60" t="s">
        <v>189</v>
      </c>
      <c r="B60" s="85" t="s">
        <v>476</v>
      </c>
      <c r="C60" s="75">
        <v>87.4</v>
      </c>
      <c r="D60" s="75">
        <v>1384.4</v>
      </c>
      <c r="E60" s="75">
        <v>87.3</v>
      </c>
      <c r="F60" s="75">
        <v>87.4</v>
      </c>
      <c r="G60" s="75">
        <v>87.5</v>
      </c>
      <c r="H60" s="75">
        <v>87</v>
      </c>
      <c r="I60" s="75">
        <v>86.8</v>
      </c>
      <c r="J60" s="83">
        <v>1383.7</v>
      </c>
      <c r="K60" s="83">
        <v>1385.1</v>
      </c>
      <c r="L60" s="83">
        <v>1386.4</v>
      </c>
      <c r="M60" s="83">
        <v>1384.3</v>
      </c>
      <c r="N60" s="83">
        <v>1384.4</v>
      </c>
      <c r="O60" s="75">
        <v>0</v>
      </c>
      <c r="P60" s="75">
        <v>0</v>
      </c>
      <c r="Q60" s="75">
        <v>1</v>
      </c>
      <c r="R60" s="75">
        <v>31</v>
      </c>
      <c r="S60" s="75">
        <f>MAX(Table2[[#This Row],[volt-sbmu1]:[volt-sbmu5]])-MIN(Table2[[#This Row],[volt-sbmu1]:[volt-sbmu5]])</f>
        <v>2.7000000000000455</v>
      </c>
      <c r="T60" s="75">
        <f>MAX(Table2[[#This Row],[soc-sbmu1]:[soc-sbmu5]])-MIN(Table2[[#This Row],[soc-sbmu1]:[soc-sbmu5]])</f>
        <v>0.70000000000000284</v>
      </c>
      <c r="U60" s="75"/>
      <c r="V60" s="75"/>
    </row>
    <row r="61" spans="1:22" ht="15">
      <c r="A61" t="s">
        <v>190</v>
      </c>
      <c r="B61" s="85" t="s">
        <v>477</v>
      </c>
      <c r="C61" s="75">
        <v>87.3</v>
      </c>
      <c r="D61" s="75">
        <v>1385.3</v>
      </c>
      <c r="E61" s="75">
        <v>87</v>
      </c>
      <c r="F61" s="75">
        <v>87.5</v>
      </c>
      <c r="G61" s="75">
        <v>86.7</v>
      </c>
      <c r="H61" s="75">
        <v>86.7</v>
      </c>
      <c r="I61" s="75">
        <v>87</v>
      </c>
      <c r="J61" s="83">
        <v>1385.9</v>
      </c>
      <c r="K61" s="83">
        <v>1385.5</v>
      </c>
      <c r="L61" s="83">
        <v>1386.1</v>
      </c>
      <c r="M61" s="83">
        <v>1385.1</v>
      </c>
      <c r="N61" s="83">
        <v>1384.9</v>
      </c>
      <c r="O61" s="75">
        <v>0</v>
      </c>
      <c r="P61" s="75">
        <v>0</v>
      </c>
      <c r="Q61" s="75">
        <v>1</v>
      </c>
      <c r="R61" s="75">
        <v>31</v>
      </c>
      <c r="S61" s="75">
        <f>MAX(Table2[[#This Row],[volt-sbmu1]:[volt-sbmu5]])-MIN(Table2[[#This Row],[volt-sbmu1]:[volt-sbmu5]])</f>
        <v>1.1999999999998181</v>
      </c>
      <c r="T61" s="75">
        <f>MAX(Table2[[#This Row],[soc-sbmu1]:[soc-sbmu5]])-MIN(Table2[[#This Row],[soc-sbmu1]:[soc-sbmu5]])</f>
        <v>0.79999999999999716</v>
      </c>
      <c r="U61" s="75"/>
      <c r="V61" s="75"/>
    </row>
    <row r="62" spans="1:22" ht="15">
      <c r="A62" t="s">
        <v>191</v>
      </c>
      <c r="B62" s="85" t="s">
        <v>478</v>
      </c>
      <c r="C62" s="75">
        <v>87.5</v>
      </c>
      <c r="D62" s="75">
        <v>1386.3</v>
      </c>
      <c r="E62" s="75">
        <v>87.8</v>
      </c>
      <c r="F62" s="75">
        <v>86.1</v>
      </c>
      <c r="G62" s="75">
        <v>87.8</v>
      </c>
      <c r="H62" s="75">
        <v>87.6</v>
      </c>
      <c r="I62" s="75">
        <v>87.7</v>
      </c>
      <c r="J62" s="83">
        <v>1386.6</v>
      </c>
      <c r="K62" s="83">
        <v>1385.3</v>
      </c>
      <c r="L62" s="83">
        <v>1387.5</v>
      </c>
      <c r="M62" s="83">
        <v>1386.4</v>
      </c>
      <c r="N62" s="83">
        <v>1385.6</v>
      </c>
      <c r="O62" s="75">
        <v>0</v>
      </c>
      <c r="P62" s="75">
        <v>0</v>
      </c>
      <c r="Q62" s="75">
        <v>1</v>
      </c>
      <c r="R62" s="75">
        <v>31</v>
      </c>
      <c r="S62" s="75">
        <f>MAX(Table2[[#This Row],[volt-sbmu1]:[volt-sbmu5]])-MIN(Table2[[#This Row],[volt-sbmu1]:[volt-sbmu5]])</f>
        <v>2.2000000000000455</v>
      </c>
      <c r="T62" s="75">
        <f>MAX(Table2[[#This Row],[soc-sbmu1]:[soc-sbmu5]])-MIN(Table2[[#This Row],[soc-sbmu1]:[soc-sbmu5]])</f>
        <v>1.7000000000000028</v>
      </c>
      <c r="U62" s="75"/>
      <c r="V62" s="75"/>
    </row>
    <row r="63" spans="1:22" ht="15">
      <c r="A63" t="s">
        <v>192</v>
      </c>
      <c r="B63" s="85" t="s">
        <v>479</v>
      </c>
      <c r="C63" s="75">
        <v>86.8</v>
      </c>
      <c r="D63" s="75">
        <v>1385.3</v>
      </c>
      <c r="E63" s="75">
        <v>86.9</v>
      </c>
      <c r="F63" s="75">
        <v>86.7</v>
      </c>
      <c r="G63" s="75">
        <v>86.7</v>
      </c>
      <c r="H63" s="75">
        <v>86.7</v>
      </c>
      <c r="I63" s="75">
        <v>86.9</v>
      </c>
      <c r="J63" s="83">
        <v>1385.1</v>
      </c>
      <c r="K63" s="83">
        <v>1385.6</v>
      </c>
      <c r="L63" s="83">
        <v>1384.9</v>
      </c>
      <c r="M63" s="83">
        <v>1384.9</v>
      </c>
      <c r="N63" s="83">
        <v>1385.1</v>
      </c>
      <c r="O63" s="75">
        <v>0</v>
      </c>
      <c r="P63" s="75">
        <v>0</v>
      </c>
      <c r="Q63" s="75">
        <v>1</v>
      </c>
      <c r="R63" s="75">
        <v>30</v>
      </c>
      <c r="S63" s="75">
        <f>MAX(Table2[[#This Row],[volt-sbmu1]:[volt-sbmu5]])-MIN(Table2[[#This Row],[volt-sbmu1]:[volt-sbmu5]])</f>
        <v>0.6999999999998181</v>
      </c>
      <c r="T63" s="75">
        <f>MAX(Table2[[#This Row],[soc-sbmu1]:[soc-sbmu5]])-MIN(Table2[[#This Row],[soc-sbmu1]:[soc-sbmu5]])</f>
        <v>0.20000000000000284</v>
      </c>
      <c r="U63" s="75"/>
      <c r="V63" s="75"/>
    </row>
    <row r="64" spans="1:22" ht="15">
      <c r="A64" t="s">
        <v>193</v>
      </c>
      <c r="B64" s="85" t="s">
        <v>480</v>
      </c>
      <c r="C64" s="75">
        <v>87.7</v>
      </c>
      <c r="D64" s="75">
        <v>1386.2</v>
      </c>
      <c r="E64" s="75">
        <v>86.9</v>
      </c>
      <c r="F64" s="75">
        <v>87</v>
      </c>
      <c r="G64" s="75">
        <v>86.9</v>
      </c>
      <c r="H64" s="75">
        <v>86.9</v>
      </c>
      <c r="I64" s="75">
        <v>87.9</v>
      </c>
      <c r="J64" s="83">
        <v>1386.2</v>
      </c>
      <c r="K64" s="83">
        <v>1389.1</v>
      </c>
      <c r="L64" s="83">
        <v>1385.1</v>
      </c>
      <c r="M64" s="83">
        <v>1385.2</v>
      </c>
      <c r="N64" s="83">
        <v>1386.4</v>
      </c>
      <c r="O64" s="75">
        <v>0</v>
      </c>
      <c r="P64" s="75">
        <v>0</v>
      </c>
      <c r="Q64" s="75">
        <v>1</v>
      </c>
      <c r="R64" s="75">
        <v>30</v>
      </c>
      <c r="S64" s="75">
        <f>MAX(Table2[[#This Row],[volt-sbmu1]:[volt-sbmu5]])-MIN(Table2[[#This Row],[volt-sbmu1]:[volt-sbmu5]])</f>
        <v>4</v>
      </c>
      <c r="T64" s="75">
        <f>MAX(Table2[[#This Row],[soc-sbmu1]:[soc-sbmu5]])-MIN(Table2[[#This Row],[soc-sbmu1]:[soc-sbmu5]])</f>
        <v>1</v>
      </c>
      <c r="U64" s="75"/>
      <c r="V64" s="75"/>
    </row>
    <row r="65" spans="1:22" ht="15">
      <c r="A65" t="s">
        <v>194</v>
      </c>
      <c r="B65" s="85" t="s">
        <v>481</v>
      </c>
      <c r="C65" s="75">
        <v>87</v>
      </c>
      <c r="D65" s="75">
        <v>1385.4</v>
      </c>
      <c r="E65" s="75">
        <v>87.1</v>
      </c>
      <c r="F65" s="75">
        <v>86.7</v>
      </c>
      <c r="G65" s="75">
        <v>86.9</v>
      </c>
      <c r="H65" s="75">
        <v>87</v>
      </c>
      <c r="I65" s="75">
        <v>86.7</v>
      </c>
      <c r="J65" s="83">
        <v>1384.6</v>
      </c>
      <c r="K65" s="83">
        <v>1387.2</v>
      </c>
      <c r="L65" s="83">
        <v>1385.4</v>
      </c>
      <c r="M65" s="83">
        <v>1386.4</v>
      </c>
      <c r="N65" s="83">
        <v>1384.9</v>
      </c>
      <c r="O65" s="75">
        <v>0</v>
      </c>
      <c r="P65" s="75">
        <v>0</v>
      </c>
      <c r="Q65" s="75">
        <v>1</v>
      </c>
      <c r="R65" s="75">
        <v>30</v>
      </c>
      <c r="S65" s="75">
        <f>MAX(Table2[[#This Row],[volt-sbmu1]:[volt-sbmu5]])-MIN(Table2[[#This Row],[volt-sbmu1]:[volt-sbmu5]])</f>
        <v>2.6000000000001364</v>
      </c>
      <c r="T65" s="75">
        <f>MAX(Table2[[#This Row],[soc-sbmu1]:[soc-sbmu5]])-MIN(Table2[[#This Row],[soc-sbmu1]:[soc-sbmu5]])</f>
        <v>0.39999999999999147</v>
      </c>
      <c r="U65" s="75"/>
      <c r="V65" s="75"/>
    </row>
    <row r="66" spans="1:22" ht="15">
      <c r="A66" t="s">
        <v>195</v>
      </c>
      <c r="B66" s="85" t="s">
        <v>482</v>
      </c>
      <c r="C66" s="75">
        <v>87.2</v>
      </c>
      <c r="D66" s="75">
        <v>1385.3</v>
      </c>
      <c r="E66" s="75">
        <v>87.3</v>
      </c>
      <c r="F66" s="75">
        <v>86.6</v>
      </c>
      <c r="G66" s="75">
        <v>87.3</v>
      </c>
      <c r="H66" s="75">
        <v>87.1</v>
      </c>
      <c r="I66" s="75">
        <v>87.2</v>
      </c>
      <c r="J66" s="83">
        <v>1386.9</v>
      </c>
      <c r="K66" s="83">
        <v>1385</v>
      </c>
      <c r="L66" s="83">
        <v>1384.1</v>
      </c>
      <c r="M66" s="83">
        <v>1384.1</v>
      </c>
      <c r="N66" s="83">
        <v>1385.6</v>
      </c>
      <c r="O66" s="75">
        <v>0</v>
      </c>
      <c r="P66" s="75">
        <v>0</v>
      </c>
      <c r="Q66" s="75">
        <v>1</v>
      </c>
      <c r="R66" s="75">
        <v>30</v>
      </c>
      <c r="S66" s="75">
        <f>MAX(Table2[[#This Row],[volt-sbmu1]:[volt-sbmu5]])-MIN(Table2[[#This Row],[volt-sbmu1]:[volt-sbmu5]])</f>
        <v>2.8000000000001819</v>
      </c>
      <c r="T66" s="75">
        <f>MAX(Table2[[#This Row],[soc-sbmu1]:[soc-sbmu5]])-MIN(Table2[[#This Row],[soc-sbmu1]:[soc-sbmu5]])</f>
        <v>0.70000000000000284</v>
      </c>
      <c r="U66" s="75"/>
      <c r="V66" s="75"/>
    </row>
    <row r="67" spans="1:22" ht="15">
      <c r="A67" t="s">
        <v>196</v>
      </c>
      <c r="B67" s="85" t="s">
        <v>483</v>
      </c>
      <c r="C67" s="75">
        <v>86.8</v>
      </c>
      <c r="D67" s="75">
        <v>1384</v>
      </c>
      <c r="E67" s="75">
        <v>86.7</v>
      </c>
      <c r="F67" s="75">
        <v>86.8</v>
      </c>
      <c r="G67" s="75">
        <v>86.9</v>
      </c>
      <c r="H67" s="75">
        <v>86.9</v>
      </c>
      <c r="I67" s="75">
        <v>86.7</v>
      </c>
      <c r="J67" s="83">
        <v>1384.6</v>
      </c>
      <c r="K67" s="83">
        <v>1384.7</v>
      </c>
      <c r="L67" s="83">
        <v>1384.2</v>
      </c>
      <c r="M67" s="83">
        <v>1383.5</v>
      </c>
      <c r="N67" s="83">
        <v>1383.1</v>
      </c>
      <c r="O67" s="75">
        <v>0</v>
      </c>
      <c r="P67" s="75">
        <v>0</v>
      </c>
      <c r="Q67" s="75">
        <v>1</v>
      </c>
      <c r="R67" s="75">
        <v>30</v>
      </c>
      <c r="S67" s="75">
        <f>MAX(Table2[[#This Row],[volt-sbmu1]:[volt-sbmu5]])-MIN(Table2[[#This Row],[volt-sbmu1]:[volt-sbmu5]])</f>
        <v>1.6000000000001364</v>
      </c>
      <c r="T67" s="75">
        <f>MAX(Table2[[#This Row],[soc-sbmu1]:[soc-sbmu5]])-MIN(Table2[[#This Row],[soc-sbmu1]:[soc-sbmu5]])</f>
        <v>0.20000000000000284</v>
      </c>
      <c r="U67" s="75"/>
      <c r="V67" s="75"/>
    </row>
    <row r="68" spans="1:22" ht="15">
      <c r="A68" t="s">
        <v>197</v>
      </c>
      <c r="B68" s="85" t="s">
        <v>484</v>
      </c>
      <c r="C68" s="75">
        <v>86.9</v>
      </c>
      <c r="D68" s="75">
        <v>1384</v>
      </c>
      <c r="E68" s="75">
        <v>86.8</v>
      </c>
      <c r="F68" s="75">
        <v>87</v>
      </c>
      <c r="G68" s="75">
        <v>87.1</v>
      </c>
      <c r="H68" s="75">
        <v>86.5</v>
      </c>
      <c r="I68" s="75">
        <v>85.9</v>
      </c>
      <c r="J68" s="83">
        <v>1384.4</v>
      </c>
      <c r="K68" s="83">
        <v>1383.5</v>
      </c>
      <c r="L68" s="83">
        <v>1385.3</v>
      </c>
      <c r="M68" s="83">
        <v>1384.1</v>
      </c>
      <c r="N68" s="83">
        <v>1383.6</v>
      </c>
      <c r="O68" s="75">
        <v>0</v>
      </c>
      <c r="P68" s="75">
        <v>0</v>
      </c>
      <c r="Q68" s="75">
        <v>1</v>
      </c>
      <c r="R68" s="75">
        <v>31</v>
      </c>
      <c r="S68" s="75">
        <f>MAX(Table2[[#This Row],[volt-sbmu1]:[volt-sbmu5]])-MIN(Table2[[#This Row],[volt-sbmu1]:[volt-sbmu5]])</f>
        <v>1.7999999999999545</v>
      </c>
      <c r="T68" s="75">
        <f>MAX(Table2[[#This Row],[soc-sbmu1]:[soc-sbmu5]])-MIN(Table2[[#This Row],[soc-sbmu1]:[soc-sbmu5]])</f>
        <v>1.1999999999999886</v>
      </c>
      <c r="U68" s="75"/>
      <c r="V68" s="75"/>
    </row>
    <row r="69" spans="1:22" ht="15">
      <c r="A69" t="s">
        <v>198</v>
      </c>
      <c r="B69" s="85" t="s">
        <v>485</v>
      </c>
      <c r="C69" s="75">
        <v>87</v>
      </c>
      <c r="D69" s="75">
        <v>1384.5</v>
      </c>
      <c r="E69" s="75">
        <v>86.7</v>
      </c>
      <c r="F69" s="75">
        <v>87.1</v>
      </c>
      <c r="G69" s="75">
        <v>87</v>
      </c>
      <c r="H69" s="75">
        <v>86.9</v>
      </c>
      <c r="I69" s="75">
        <v>87.1</v>
      </c>
      <c r="J69" s="83">
        <v>1384.5</v>
      </c>
      <c r="K69" s="83">
        <v>1383.9</v>
      </c>
      <c r="L69" s="83">
        <v>1384.5</v>
      </c>
      <c r="M69" s="83">
        <v>1384.8</v>
      </c>
      <c r="N69" s="83">
        <v>1384.8</v>
      </c>
      <c r="O69" s="75">
        <v>0</v>
      </c>
      <c r="P69" s="75">
        <v>0</v>
      </c>
      <c r="Q69" s="75">
        <v>1</v>
      </c>
      <c r="R69" s="75">
        <v>31</v>
      </c>
      <c r="S69" s="75">
        <f>MAX(Table2[[#This Row],[volt-sbmu1]:[volt-sbmu5]])-MIN(Table2[[#This Row],[volt-sbmu1]:[volt-sbmu5]])</f>
        <v>0.89999999999986358</v>
      </c>
      <c r="T69" s="75">
        <f>MAX(Table2[[#This Row],[soc-sbmu1]:[soc-sbmu5]])-MIN(Table2[[#This Row],[soc-sbmu1]:[soc-sbmu5]])</f>
        <v>0.39999999999999147</v>
      </c>
      <c r="U69" s="75"/>
      <c r="V69" s="75"/>
    </row>
    <row r="70" spans="1:22" ht="15">
      <c r="A70" t="s">
        <v>199</v>
      </c>
      <c r="B70" s="85" t="s">
        <v>486</v>
      </c>
      <c r="C70" s="75">
        <v>87.5</v>
      </c>
      <c r="D70" s="75">
        <v>1383.7</v>
      </c>
      <c r="E70" s="75">
        <v>86.7</v>
      </c>
      <c r="F70" s="75">
        <v>87.7</v>
      </c>
      <c r="G70" s="75">
        <v>86.8</v>
      </c>
      <c r="H70" s="75">
        <v>86.7</v>
      </c>
      <c r="I70" s="75">
        <v>86.3</v>
      </c>
      <c r="J70" s="83">
        <v>1384.1</v>
      </c>
      <c r="K70" s="83">
        <v>1383.7</v>
      </c>
      <c r="L70" s="83">
        <v>1381.7</v>
      </c>
      <c r="M70" s="83">
        <v>1383.3</v>
      </c>
      <c r="N70" s="83">
        <v>1385.7</v>
      </c>
      <c r="O70" s="75">
        <v>0</v>
      </c>
      <c r="P70" s="75">
        <v>0</v>
      </c>
      <c r="Q70" s="75">
        <v>1</v>
      </c>
      <c r="R70" s="75">
        <v>32</v>
      </c>
      <c r="S70" s="75">
        <f>MAX(Table2[[#This Row],[volt-sbmu1]:[volt-sbmu5]])-MIN(Table2[[#This Row],[volt-sbmu1]:[volt-sbmu5]])</f>
        <v>4</v>
      </c>
      <c r="T70" s="75">
        <f>MAX(Table2[[#This Row],[soc-sbmu1]:[soc-sbmu5]])-MIN(Table2[[#This Row],[soc-sbmu1]:[soc-sbmu5]])</f>
        <v>1.4000000000000057</v>
      </c>
      <c r="U70" s="75"/>
      <c r="V70" s="75"/>
    </row>
    <row r="71" spans="1:22" ht="15">
      <c r="A71" t="s">
        <v>200</v>
      </c>
      <c r="B71" s="85" t="s">
        <v>487</v>
      </c>
      <c r="C71" s="75">
        <v>86.7</v>
      </c>
      <c r="D71" s="75">
        <v>1385.8</v>
      </c>
      <c r="E71" s="75">
        <v>86.1</v>
      </c>
      <c r="F71" s="75">
        <v>85.7</v>
      </c>
      <c r="G71" s="75">
        <v>86.9</v>
      </c>
      <c r="H71" s="75">
        <v>86.9</v>
      </c>
      <c r="I71" s="75">
        <v>86.9</v>
      </c>
      <c r="J71" s="83">
        <v>1386.4</v>
      </c>
      <c r="K71" s="83">
        <v>1385.4</v>
      </c>
      <c r="L71" s="83">
        <v>1386.7</v>
      </c>
      <c r="M71" s="83">
        <v>1385.5</v>
      </c>
      <c r="N71" s="83">
        <v>1385.4</v>
      </c>
      <c r="O71" s="75">
        <v>0</v>
      </c>
      <c r="P71" s="75">
        <v>0</v>
      </c>
      <c r="Q71" s="75">
        <v>1</v>
      </c>
      <c r="R71" s="75">
        <v>30</v>
      </c>
      <c r="S71" s="75">
        <f>MAX(Table2[[#This Row],[volt-sbmu1]:[volt-sbmu5]])-MIN(Table2[[#This Row],[volt-sbmu1]:[volt-sbmu5]])</f>
        <v>1.2999999999999545</v>
      </c>
      <c r="T71" s="75">
        <f>MAX(Table2[[#This Row],[soc-sbmu1]:[soc-sbmu5]])-MIN(Table2[[#This Row],[soc-sbmu1]:[soc-sbmu5]])</f>
        <v>1.2000000000000028</v>
      </c>
      <c r="U71" s="75"/>
      <c r="V71" s="75"/>
    </row>
    <row r="72" spans="1:22" ht="15">
      <c r="A72" t="s">
        <v>201</v>
      </c>
      <c r="B72" s="85" t="s">
        <v>488</v>
      </c>
      <c r="C72" s="75">
        <v>87.3</v>
      </c>
      <c r="D72" s="75">
        <v>1386.1</v>
      </c>
      <c r="E72" s="75">
        <v>86.9</v>
      </c>
      <c r="F72" s="75">
        <v>86.7</v>
      </c>
      <c r="G72" s="75">
        <v>86.8</v>
      </c>
      <c r="H72" s="75">
        <v>87.4</v>
      </c>
      <c r="I72" s="75">
        <v>86.7</v>
      </c>
      <c r="J72" s="83">
        <v>1385.3</v>
      </c>
      <c r="K72" s="83">
        <v>1385.4</v>
      </c>
      <c r="L72" s="83">
        <v>1385.1</v>
      </c>
      <c r="M72" s="83">
        <v>1386.4</v>
      </c>
      <c r="N72" s="83">
        <v>1387.5</v>
      </c>
      <c r="O72" s="75">
        <v>0</v>
      </c>
      <c r="P72" s="75">
        <v>0</v>
      </c>
      <c r="Q72" s="75">
        <v>1</v>
      </c>
      <c r="R72" s="75">
        <v>29</v>
      </c>
      <c r="S72" s="75">
        <f>MAX(Table2[[#This Row],[volt-sbmu1]:[volt-sbmu5]])-MIN(Table2[[#This Row],[volt-sbmu1]:[volt-sbmu5]])</f>
        <v>2.4000000000000909</v>
      </c>
      <c r="T72" s="75">
        <f>MAX(Table2[[#This Row],[soc-sbmu1]:[soc-sbmu5]])-MIN(Table2[[#This Row],[soc-sbmu1]:[soc-sbmu5]])</f>
        <v>0.70000000000000284</v>
      </c>
      <c r="U72" s="75"/>
      <c r="V72" s="75"/>
    </row>
    <row r="73" spans="1:22" ht="15">
      <c r="A73" t="s">
        <v>202</v>
      </c>
      <c r="B73" s="85" t="s">
        <v>489</v>
      </c>
      <c r="C73" s="75">
        <v>87</v>
      </c>
      <c r="D73" s="75">
        <v>1385.2</v>
      </c>
      <c r="E73" s="75">
        <v>86.8</v>
      </c>
      <c r="F73" s="75">
        <v>86.7</v>
      </c>
      <c r="G73" s="75">
        <v>86.9</v>
      </c>
      <c r="H73" s="75">
        <v>87.1</v>
      </c>
      <c r="I73" s="75">
        <v>86.9</v>
      </c>
      <c r="J73" s="83">
        <v>1384.9</v>
      </c>
      <c r="K73" s="83">
        <v>1384.8</v>
      </c>
      <c r="L73" s="83">
        <v>1385.2</v>
      </c>
      <c r="M73" s="83">
        <v>1386.1</v>
      </c>
      <c r="N73" s="83">
        <v>1385.4</v>
      </c>
      <c r="O73" s="75">
        <v>0</v>
      </c>
      <c r="P73" s="75">
        <v>0</v>
      </c>
      <c r="Q73" s="75">
        <v>1</v>
      </c>
      <c r="R73" s="75">
        <v>29</v>
      </c>
      <c r="S73" s="75">
        <f>MAX(Table2[[#This Row],[volt-sbmu1]:[volt-sbmu5]])-MIN(Table2[[#This Row],[volt-sbmu1]:[volt-sbmu5]])</f>
        <v>1.2999999999999545</v>
      </c>
      <c r="T73" s="75">
        <f>MAX(Table2[[#This Row],[soc-sbmu1]:[soc-sbmu5]])-MIN(Table2[[#This Row],[soc-sbmu1]:[soc-sbmu5]])</f>
        <v>0.39999999999999147</v>
      </c>
      <c r="U73" s="75"/>
      <c r="V73" s="75"/>
    </row>
    <row r="74" spans="1:22" ht="15">
      <c r="A74" t="s">
        <v>203</v>
      </c>
      <c r="B74" s="85" t="s">
        <v>490</v>
      </c>
      <c r="C74" s="75">
        <v>89.6</v>
      </c>
      <c r="D74" s="75">
        <v>1385.8</v>
      </c>
      <c r="E74" s="75">
        <v>90</v>
      </c>
      <c r="F74" s="75">
        <v>89</v>
      </c>
      <c r="G74" s="75">
        <v>86.7</v>
      </c>
      <c r="H74" s="75">
        <v>88.9</v>
      </c>
      <c r="I74" s="75">
        <v>87.9</v>
      </c>
      <c r="J74" s="83">
        <v>1385.6</v>
      </c>
      <c r="K74" s="83">
        <v>1385.8</v>
      </c>
      <c r="L74" s="83">
        <v>1386.5</v>
      </c>
      <c r="M74" s="83">
        <v>1385.5</v>
      </c>
      <c r="N74" s="83">
        <v>1386.5</v>
      </c>
      <c r="O74" s="75">
        <v>0</v>
      </c>
      <c r="P74" s="75">
        <v>0</v>
      </c>
      <c r="Q74" s="75">
        <v>1</v>
      </c>
      <c r="R74" s="75">
        <v>30</v>
      </c>
      <c r="S74" s="75">
        <f>MAX(Table2[[#This Row],[volt-sbmu1]:[volt-sbmu5]])-MIN(Table2[[#This Row],[volt-sbmu1]:[volt-sbmu5]])</f>
        <v>1</v>
      </c>
      <c r="T74" s="75">
        <f>MAX(Table2[[#This Row],[soc-sbmu1]:[soc-sbmu5]])-MIN(Table2[[#This Row],[soc-sbmu1]:[soc-sbmu5]])</f>
        <v>3.2999999999999972</v>
      </c>
      <c r="U74" s="75"/>
      <c r="V74" s="75"/>
    </row>
    <row r="75" spans="1:22" ht="15">
      <c r="A75" t="s">
        <v>204</v>
      </c>
      <c r="B75" s="85" t="s">
        <v>415</v>
      </c>
      <c r="C75" s="75">
        <v>86.9</v>
      </c>
      <c r="D75" s="75">
        <v>1386.4</v>
      </c>
      <c r="E75" s="75">
        <v>86.9</v>
      </c>
      <c r="F75" s="75">
        <v>87</v>
      </c>
      <c r="G75" s="75">
        <v>86.7</v>
      </c>
      <c r="H75" s="75">
        <v>86.7</v>
      </c>
      <c r="I75" s="75">
        <v>86.9</v>
      </c>
      <c r="J75" s="83">
        <v>1388.1</v>
      </c>
      <c r="K75" s="83">
        <v>1385.9</v>
      </c>
      <c r="L75" s="83">
        <v>1385.8</v>
      </c>
      <c r="M75" s="83">
        <v>1386.6</v>
      </c>
      <c r="N75" s="83">
        <v>1387.1</v>
      </c>
      <c r="O75" s="75">
        <v>0</v>
      </c>
      <c r="P75" s="75">
        <v>0</v>
      </c>
      <c r="Q75" s="75">
        <v>1</v>
      </c>
      <c r="R75" s="75">
        <v>29</v>
      </c>
      <c r="S75" s="75">
        <f>MAX(Table2[[#This Row],[volt-sbmu1]:[volt-sbmu5]])-MIN(Table2[[#This Row],[volt-sbmu1]:[volt-sbmu5]])</f>
        <v>2.2999999999999545</v>
      </c>
      <c r="T75" s="75">
        <f>MAX(Table2[[#This Row],[soc-sbmu1]:[soc-sbmu5]])-MIN(Table2[[#This Row],[soc-sbmu1]:[soc-sbmu5]])</f>
        <v>0.29999999999999716</v>
      </c>
      <c r="U75" s="75"/>
      <c r="V75" s="75"/>
    </row>
    <row r="76" spans="1:22" ht="15">
      <c r="A76" t="s">
        <v>205</v>
      </c>
      <c r="B76" s="85" t="s">
        <v>414</v>
      </c>
      <c r="C76" s="75">
        <v>87.1</v>
      </c>
      <c r="D76" s="75">
        <v>1385.8</v>
      </c>
      <c r="E76" s="75">
        <v>86.8</v>
      </c>
      <c r="F76" s="75">
        <v>87</v>
      </c>
      <c r="G76" s="75">
        <v>86.7</v>
      </c>
      <c r="H76" s="75">
        <v>87</v>
      </c>
      <c r="I76" s="75">
        <v>87.2</v>
      </c>
      <c r="J76" s="83">
        <v>1384.5</v>
      </c>
      <c r="K76" s="83">
        <v>1385.1</v>
      </c>
      <c r="L76" s="83">
        <v>1385.7</v>
      </c>
      <c r="M76" s="83">
        <v>1385.5</v>
      </c>
      <c r="N76" s="83">
        <v>1386.1</v>
      </c>
      <c r="O76" s="75">
        <v>0</v>
      </c>
      <c r="P76" s="75">
        <v>0</v>
      </c>
      <c r="Q76" s="75">
        <v>1</v>
      </c>
      <c r="R76" s="75">
        <v>29</v>
      </c>
      <c r="S76" s="75">
        <f>MAX(Table2[[#This Row],[volt-sbmu1]:[volt-sbmu5]])-MIN(Table2[[#This Row],[volt-sbmu1]:[volt-sbmu5]])</f>
        <v>1.5999999999999091</v>
      </c>
      <c r="T76" s="75">
        <f>MAX(Table2[[#This Row],[soc-sbmu1]:[soc-sbmu5]])-MIN(Table2[[#This Row],[soc-sbmu1]:[soc-sbmu5]])</f>
        <v>0.5</v>
      </c>
      <c r="U76" s="75"/>
      <c r="V76" s="75"/>
    </row>
    <row r="77" spans="1:22" ht="15">
      <c r="A77" t="s">
        <v>206</v>
      </c>
      <c r="B77" s="85" t="s">
        <v>413</v>
      </c>
      <c r="C77" s="75">
        <v>86.9</v>
      </c>
      <c r="D77" s="75">
        <v>1385.6</v>
      </c>
      <c r="E77" s="75">
        <v>86.9</v>
      </c>
      <c r="F77" s="75">
        <v>87.1</v>
      </c>
      <c r="G77" s="75">
        <v>86.7</v>
      </c>
      <c r="H77" s="75">
        <v>86.9</v>
      </c>
      <c r="I77" s="75">
        <v>86.3</v>
      </c>
      <c r="J77" s="83">
        <v>1385.9</v>
      </c>
      <c r="K77" s="83">
        <v>1385.5</v>
      </c>
      <c r="L77" s="83">
        <v>1385.6</v>
      </c>
      <c r="M77" s="83">
        <v>1386.2</v>
      </c>
      <c r="N77" s="83">
        <v>1385.6</v>
      </c>
      <c r="O77" s="75">
        <v>0</v>
      </c>
      <c r="P77" s="75">
        <v>0</v>
      </c>
      <c r="Q77" s="75">
        <v>1</v>
      </c>
      <c r="R77" s="75">
        <v>29</v>
      </c>
      <c r="S77" s="75">
        <f>MAX(Table2[[#This Row],[volt-sbmu1]:[volt-sbmu5]])-MIN(Table2[[#This Row],[volt-sbmu1]:[volt-sbmu5]])</f>
        <v>0.70000000000004547</v>
      </c>
      <c r="T77" s="75">
        <f>MAX(Table2[[#This Row],[soc-sbmu1]:[soc-sbmu5]])-MIN(Table2[[#This Row],[soc-sbmu1]:[soc-sbmu5]])</f>
        <v>0.79999999999999716</v>
      </c>
      <c r="U77" s="75"/>
      <c r="V77" s="75"/>
    </row>
    <row r="78" spans="1:22" ht="15">
      <c r="A78" t="s">
        <v>207</v>
      </c>
      <c r="B78" s="85" t="s">
        <v>412</v>
      </c>
      <c r="C78" s="75">
        <v>89.2</v>
      </c>
      <c r="D78" s="75">
        <v>1385.4</v>
      </c>
      <c r="E78" s="75">
        <v>88.6</v>
      </c>
      <c r="F78" s="75">
        <v>85.9</v>
      </c>
      <c r="G78" s="75">
        <v>89.6</v>
      </c>
      <c r="H78" s="75">
        <v>86.6</v>
      </c>
      <c r="I78" s="75">
        <v>87.9</v>
      </c>
      <c r="J78" s="83">
        <v>1384.9</v>
      </c>
      <c r="K78" s="83">
        <v>1387.8</v>
      </c>
      <c r="L78" s="83">
        <v>1384.1</v>
      </c>
      <c r="M78" s="83">
        <v>1385</v>
      </c>
      <c r="N78" s="83">
        <v>1386.4</v>
      </c>
      <c r="O78" s="75">
        <v>0</v>
      </c>
      <c r="P78" s="75">
        <v>0</v>
      </c>
      <c r="Q78" s="75">
        <v>1</v>
      </c>
      <c r="R78" s="75">
        <v>30</v>
      </c>
      <c r="S78" s="75">
        <f>MAX(Table2[[#This Row],[volt-sbmu1]:[volt-sbmu5]])-MIN(Table2[[#This Row],[volt-sbmu1]:[volt-sbmu5]])</f>
        <v>3.7000000000000455</v>
      </c>
      <c r="T78" s="75">
        <f>MAX(Table2[[#This Row],[soc-sbmu1]:[soc-sbmu5]])-MIN(Table2[[#This Row],[soc-sbmu1]:[soc-sbmu5]])</f>
        <v>3.6999999999999886</v>
      </c>
      <c r="U78" s="75"/>
      <c r="V78" s="75"/>
    </row>
    <row r="79" spans="1:22" ht="15">
      <c r="A79" t="s">
        <v>208</v>
      </c>
      <c r="B79" s="85" t="s">
        <v>491</v>
      </c>
      <c r="C79" s="75">
        <v>86.8</v>
      </c>
      <c r="D79" s="75">
        <v>1384.1</v>
      </c>
      <c r="E79" s="75">
        <v>86.7</v>
      </c>
      <c r="F79" s="75">
        <v>86.9</v>
      </c>
      <c r="G79" s="75">
        <v>86.7</v>
      </c>
      <c r="H79" s="75">
        <v>86.7</v>
      </c>
      <c r="I79" s="75">
        <v>86.7</v>
      </c>
      <c r="J79" s="83">
        <v>1384.7</v>
      </c>
      <c r="K79" s="83">
        <v>1383.4</v>
      </c>
      <c r="L79" s="83">
        <v>1383.6</v>
      </c>
      <c r="M79" s="83">
        <v>1385.5</v>
      </c>
      <c r="N79" s="83">
        <v>1383.2</v>
      </c>
      <c r="O79" s="75">
        <v>0</v>
      </c>
      <c r="P79" s="75">
        <v>0</v>
      </c>
      <c r="Q79" s="75">
        <v>1</v>
      </c>
      <c r="R79" s="75">
        <v>28</v>
      </c>
      <c r="S79" s="75">
        <f>MAX(Table2[[#This Row],[volt-sbmu1]:[volt-sbmu5]])-MIN(Table2[[#This Row],[volt-sbmu1]:[volt-sbmu5]])</f>
        <v>2.2999999999999545</v>
      </c>
      <c r="T79" s="75">
        <f>MAX(Table2[[#This Row],[soc-sbmu1]:[soc-sbmu5]])-MIN(Table2[[#This Row],[soc-sbmu1]:[soc-sbmu5]])</f>
        <v>0.20000000000000284</v>
      </c>
      <c r="U79" s="75"/>
      <c r="V79" s="75"/>
    </row>
    <row r="80" spans="1:22" ht="15">
      <c r="A80" t="s">
        <v>209</v>
      </c>
      <c r="B80" s="85" t="s">
        <v>492</v>
      </c>
      <c r="C80" s="75">
        <v>87.1</v>
      </c>
      <c r="D80" s="75">
        <v>1383.6</v>
      </c>
      <c r="E80" s="75">
        <v>86.7</v>
      </c>
      <c r="F80" s="75">
        <v>86.5</v>
      </c>
      <c r="G80" s="75">
        <v>86.8</v>
      </c>
      <c r="H80" s="75">
        <v>86.7</v>
      </c>
      <c r="I80" s="75">
        <v>87.2</v>
      </c>
      <c r="J80" s="83">
        <v>1384</v>
      </c>
      <c r="K80" s="83">
        <v>1383.6</v>
      </c>
      <c r="L80" s="83">
        <v>1383.6</v>
      </c>
      <c r="M80" s="83">
        <v>1384.1</v>
      </c>
      <c r="N80" s="83">
        <v>1383</v>
      </c>
      <c r="O80" s="75">
        <v>0</v>
      </c>
      <c r="P80" s="75">
        <v>0</v>
      </c>
      <c r="Q80" s="75">
        <v>1</v>
      </c>
      <c r="R80" s="75">
        <v>29</v>
      </c>
      <c r="S80" s="75">
        <f>MAX(Table2[[#This Row],[volt-sbmu1]:[volt-sbmu5]])-MIN(Table2[[#This Row],[volt-sbmu1]:[volt-sbmu5]])</f>
        <v>1.0999999999999091</v>
      </c>
      <c r="T80" s="75">
        <f>MAX(Table2[[#This Row],[soc-sbmu1]:[soc-sbmu5]])-MIN(Table2[[#This Row],[soc-sbmu1]:[soc-sbmu5]])</f>
        <v>0.70000000000000284</v>
      </c>
      <c r="U80" s="75"/>
      <c r="V80" s="75"/>
    </row>
    <row r="81" spans="1:22" ht="15">
      <c r="A81" t="s">
        <v>210</v>
      </c>
      <c r="B81" s="85" t="s">
        <v>493</v>
      </c>
      <c r="C81" s="75">
        <v>87.3</v>
      </c>
      <c r="D81" s="75">
        <v>1384.5</v>
      </c>
      <c r="E81" s="75">
        <v>87.5</v>
      </c>
      <c r="F81" s="75">
        <v>86.7</v>
      </c>
      <c r="G81" s="75">
        <v>86.5</v>
      </c>
      <c r="H81" s="75">
        <v>86.9</v>
      </c>
      <c r="I81" s="75">
        <v>87.5</v>
      </c>
      <c r="J81" s="83">
        <v>1386.2</v>
      </c>
      <c r="K81" s="83">
        <v>1383.7</v>
      </c>
      <c r="L81" s="83">
        <v>1384.8</v>
      </c>
      <c r="M81" s="83">
        <v>1383.3</v>
      </c>
      <c r="N81" s="83">
        <v>1383</v>
      </c>
      <c r="O81" s="75">
        <v>0</v>
      </c>
      <c r="P81" s="75">
        <v>0</v>
      </c>
      <c r="Q81" s="75">
        <v>1</v>
      </c>
      <c r="R81" s="75">
        <v>29</v>
      </c>
      <c r="S81" s="75">
        <f>MAX(Table2[[#This Row],[volt-sbmu1]:[volt-sbmu5]])-MIN(Table2[[#This Row],[volt-sbmu1]:[volt-sbmu5]])</f>
        <v>3.2000000000000455</v>
      </c>
      <c r="T81" s="75">
        <f>MAX(Table2[[#This Row],[soc-sbmu1]:[soc-sbmu5]])-MIN(Table2[[#This Row],[soc-sbmu1]:[soc-sbmu5]])</f>
        <v>1</v>
      </c>
      <c r="U81" s="75"/>
      <c r="V81" s="75"/>
    </row>
    <row r="82" spans="1:22" ht="15">
      <c r="A82" t="s">
        <v>211</v>
      </c>
      <c r="B82" s="85" t="s">
        <v>494</v>
      </c>
      <c r="C82" s="75">
        <v>87.3</v>
      </c>
      <c r="D82" s="75">
        <v>1384.1</v>
      </c>
      <c r="E82" s="75">
        <v>87.5</v>
      </c>
      <c r="F82" s="75">
        <v>86.8</v>
      </c>
      <c r="G82" s="75">
        <v>86.6</v>
      </c>
      <c r="H82" s="75">
        <v>86.7</v>
      </c>
      <c r="I82" s="75">
        <v>86.5</v>
      </c>
      <c r="J82" s="83">
        <v>1384</v>
      </c>
      <c r="K82" s="83">
        <v>1383.9</v>
      </c>
      <c r="L82" s="83">
        <v>1385.1</v>
      </c>
      <c r="M82" s="83">
        <v>1383.8</v>
      </c>
      <c r="N82" s="83">
        <v>1384.4</v>
      </c>
      <c r="O82" s="75">
        <v>0</v>
      </c>
      <c r="P82" s="75">
        <v>0</v>
      </c>
      <c r="Q82" s="75">
        <v>1</v>
      </c>
      <c r="R82" s="75">
        <v>30</v>
      </c>
      <c r="S82" s="75">
        <f>MAX(Table2[[#This Row],[volt-sbmu1]:[volt-sbmu5]])-MIN(Table2[[#This Row],[volt-sbmu1]:[volt-sbmu5]])</f>
        <v>1.2999999999999545</v>
      </c>
      <c r="T82" s="75">
        <f>MAX(Table2[[#This Row],[soc-sbmu1]:[soc-sbmu5]])-MIN(Table2[[#This Row],[soc-sbmu1]:[soc-sbmu5]])</f>
        <v>1</v>
      </c>
      <c r="U82" s="75"/>
      <c r="V82" s="75"/>
    </row>
    <row r="83" spans="1:22" ht="15">
      <c r="A83" t="s">
        <v>212</v>
      </c>
      <c r="B83" s="85" t="s">
        <v>495</v>
      </c>
      <c r="C83" s="75">
        <v>87.3</v>
      </c>
      <c r="D83" s="75">
        <v>1384.1</v>
      </c>
      <c r="E83" s="75">
        <v>86.8</v>
      </c>
      <c r="F83" s="75">
        <v>87.4</v>
      </c>
      <c r="G83" s="75">
        <v>86.8</v>
      </c>
      <c r="H83" s="75">
        <v>86.8</v>
      </c>
      <c r="I83" s="75">
        <v>86.8</v>
      </c>
      <c r="J83" s="83">
        <v>1384.6</v>
      </c>
      <c r="K83" s="83">
        <v>1383</v>
      </c>
      <c r="L83" s="83">
        <v>1383.8</v>
      </c>
      <c r="M83" s="83">
        <v>1383.2</v>
      </c>
      <c r="N83" s="83">
        <v>1384.3</v>
      </c>
      <c r="O83" s="75">
        <v>0</v>
      </c>
      <c r="P83" s="75">
        <v>0</v>
      </c>
      <c r="Q83" s="75">
        <v>1</v>
      </c>
      <c r="R83" s="75">
        <v>29</v>
      </c>
      <c r="S83" s="75">
        <f>MAX(Table2[[#This Row],[volt-sbmu1]:[volt-sbmu5]])-MIN(Table2[[#This Row],[volt-sbmu1]:[volt-sbmu5]])</f>
        <v>1.5999999999999091</v>
      </c>
      <c r="T83" s="75">
        <f>MAX(Table2[[#This Row],[soc-sbmu1]:[soc-sbmu5]])-MIN(Table2[[#This Row],[soc-sbmu1]:[soc-sbmu5]])</f>
        <v>0.60000000000000853</v>
      </c>
      <c r="U83" s="75"/>
      <c r="V83" s="75"/>
    </row>
    <row r="84" spans="1:22" ht="15">
      <c r="A84" t="s">
        <v>213</v>
      </c>
      <c r="B84" s="85" t="s">
        <v>496</v>
      </c>
      <c r="C84" s="75">
        <v>87.3</v>
      </c>
      <c r="D84" s="75">
        <v>1384</v>
      </c>
      <c r="E84" s="75">
        <v>87.4</v>
      </c>
      <c r="F84" s="75">
        <v>87.2</v>
      </c>
      <c r="G84" s="75">
        <v>86.7</v>
      </c>
      <c r="H84" s="75">
        <v>86.7</v>
      </c>
      <c r="I84" s="75">
        <v>86.7</v>
      </c>
      <c r="J84" s="83">
        <v>1383.8</v>
      </c>
      <c r="K84" s="83">
        <v>1384.3</v>
      </c>
      <c r="L84" s="83">
        <v>1382.6</v>
      </c>
      <c r="M84" s="83">
        <v>1383.3</v>
      </c>
      <c r="N84" s="83">
        <v>1383.9</v>
      </c>
      <c r="O84" s="75">
        <v>0</v>
      </c>
      <c r="P84" s="75">
        <v>0</v>
      </c>
      <c r="Q84" s="75">
        <v>1</v>
      </c>
      <c r="R84" s="75">
        <v>29</v>
      </c>
      <c r="S84" s="75">
        <f>MAX(Table2[[#This Row],[volt-sbmu1]:[volt-sbmu5]])-MIN(Table2[[#This Row],[volt-sbmu1]:[volt-sbmu5]])</f>
        <v>1.7000000000000455</v>
      </c>
      <c r="T84" s="75">
        <f>MAX(Table2[[#This Row],[soc-sbmu1]:[soc-sbmu5]])-MIN(Table2[[#This Row],[soc-sbmu1]:[soc-sbmu5]])</f>
        <v>0.70000000000000284</v>
      </c>
      <c r="U84" s="75"/>
      <c r="V84" s="75"/>
    </row>
    <row r="85" spans="1:22" ht="15">
      <c r="A85" t="s">
        <v>214</v>
      </c>
      <c r="B85" s="85" t="s">
        <v>497</v>
      </c>
      <c r="C85" s="75">
        <v>87.1</v>
      </c>
      <c r="D85" s="75">
        <v>1383.9</v>
      </c>
      <c r="E85" s="75">
        <v>87.2</v>
      </c>
      <c r="F85" s="75">
        <v>86.9</v>
      </c>
      <c r="G85" s="75">
        <v>86.8</v>
      </c>
      <c r="H85" s="75">
        <v>86.8</v>
      </c>
      <c r="I85" s="75">
        <v>86.8</v>
      </c>
      <c r="J85" s="83">
        <v>1383.9</v>
      </c>
      <c r="K85" s="83">
        <v>1384.3</v>
      </c>
      <c r="L85" s="83">
        <v>1384.4</v>
      </c>
      <c r="M85" s="83">
        <v>1382.7</v>
      </c>
      <c r="N85" s="83">
        <v>1384.5</v>
      </c>
      <c r="O85" s="75">
        <v>0</v>
      </c>
      <c r="P85" s="75">
        <v>0</v>
      </c>
      <c r="Q85" s="75">
        <v>1</v>
      </c>
      <c r="R85" s="75">
        <v>29</v>
      </c>
      <c r="S85" s="75">
        <f>MAX(Table2[[#This Row],[volt-sbmu1]:[volt-sbmu5]])-MIN(Table2[[#This Row],[volt-sbmu1]:[volt-sbmu5]])</f>
        <v>1.7999999999999545</v>
      </c>
      <c r="T85" s="75">
        <f>MAX(Table2[[#This Row],[soc-sbmu1]:[soc-sbmu5]])-MIN(Table2[[#This Row],[soc-sbmu1]:[soc-sbmu5]])</f>
        <v>0.40000000000000568</v>
      </c>
      <c r="U85" s="75"/>
      <c r="V85" s="75"/>
    </row>
    <row r="86" spans="1:22" ht="15">
      <c r="A86" t="s">
        <v>215</v>
      </c>
      <c r="B86" s="85" t="s">
        <v>498</v>
      </c>
      <c r="C86" s="75">
        <v>87.3</v>
      </c>
      <c r="D86" s="75">
        <v>1384.9</v>
      </c>
      <c r="E86" s="75">
        <v>86.5</v>
      </c>
      <c r="F86" s="75">
        <v>86.7</v>
      </c>
      <c r="G86" s="75">
        <v>87.5</v>
      </c>
      <c r="H86" s="75">
        <v>86.9</v>
      </c>
      <c r="I86" s="75">
        <v>86.9</v>
      </c>
      <c r="J86" s="83">
        <v>1383.6</v>
      </c>
      <c r="K86" s="83">
        <v>1386.3</v>
      </c>
      <c r="L86" s="83">
        <v>1384.7</v>
      </c>
      <c r="M86" s="83">
        <v>1383.4</v>
      </c>
      <c r="N86" s="83">
        <v>1386.2</v>
      </c>
      <c r="O86" s="75">
        <v>0</v>
      </c>
      <c r="P86" s="75">
        <v>0</v>
      </c>
      <c r="Q86" s="75">
        <v>1</v>
      </c>
      <c r="R86" s="75">
        <v>30</v>
      </c>
      <c r="S86" s="75">
        <f>MAX(Table2[[#This Row],[volt-sbmu1]:[volt-sbmu5]])-MIN(Table2[[#This Row],[volt-sbmu1]:[volt-sbmu5]])</f>
        <v>2.8999999999998636</v>
      </c>
      <c r="T86" s="75">
        <f>MAX(Table2[[#This Row],[soc-sbmu1]:[soc-sbmu5]])-MIN(Table2[[#This Row],[soc-sbmu1]:[soc-sbmu5]])</f>
        <v>1</v>
      </c>
      <c r="U86" s="75"/>
      <c r="V86" s="75"/>
    </row>
    <row r="87" spans="1:22" ht="15">
      <c r="A87" t="s">
        <v>216</v>
      </c>
      <c r="B87" s="85" t="s">
        <v>499</v>
      </c>
      <c r="C87" s="75">
        <v>86.8</v>
      </c>
      <c r="D87" s="75">
        <v>1383.9</v>
      </c>
      <c r="E87" s="75">
        <v>86.5</v>
      </c>
      <c r="F87" s="75">
        <v>86.8</v>
      </c>
      <c r="G87" s="75">
        <v>86.9</v>
      </c>
      <c r="H87" s="75">
        <v>86.7</v>
      </c>
      <c r="I87" s="75">
        <v>86.9</v>
      </c>
      <c r="J87" s="83">
        <v>1383.9</v>
      </c>
      <c r="K87" s="83">
        <v>1384.3</v>
      </c>
      <c r="L87" s="83">
        <v>1383.8</v>
      </c>
      <c r="M87" s="83">
        <v>1384.2</v>
      </c>
      <c r="N87" s="83">
        <v>1384.6</v>
      </c>
      <c r="O87" s="75">
        <v>0</v>
      </c>
      <c r="P87" s="75">
        <v>0</v>
      </c>
      <c r="Q87" s="75">
        <v>1</v>
      </c>
      <c r="R87" s="75">
        <v>29</v>
      </c>
      <c r="S87" s="75">
        <f>MAX(Table2[[#This Row],[volt-sbmu1]:[volt-sbmu5]])-MIN(Table2[[#This Row],[volt-sbmu1]:[volt-sbmu5]])</f>
        <v>0.79999999999995453</v>
      </c>
      <c r="T87" s="75">
        <f>MAX(Table2[[#This Row],[soc-sbmu1]:[soc-sbmu5]])-MIN(Table2[[#This Row],[soc-sbmu1]:[soc-sbmu5]])</f>
        <v>0.40000000000000568</v>
      </c>
      <c r="U87" s="75"/>
      <c r="V87" s="75"/>
    </row>
    <row r="88" spans="1:22" ht="15">
      <c r="A88" t="s">
        <v>217</v>
      </c>
      <c r="B88" s="85" t="s">
        <v>500</v>
      </c>
      <c r="C88" s="75">
        <v>86.7</v>
      </c>
      <c r="D88" s="75">
        <v>1384.4</v>
      </c>
      <c r="E88" s="75">
        <v>86.8</v>
      </c>
      <c r="F88" s="75">
        <v>86.5</v>
      </c>
      <c r="G88" s="75">
        <v>86.6</v>
      </c>
      <c r="H88" s="75">
        <v>86.7</v>
      </c>
      <c r="I88" s="75">
        <v>86.7</v>
      </c>
      <c r="J88" s="83">
        <v>1383.3</v>
      </c>
      <c r="K88" s="83">
        <v>1384.8</v>
      </c>
      <c r="L88" s="83">
        <v>1383.3</v>
      </c>
      <c r="M88" s="83">
        <v>1384.6</v>
      </c>
      <c r="N88" s="83">
        <v>1386.3</v>
      </c>
      <c r="O88" s="75">
        <v>0</v>
      </c>
      <c r="P88" s="75">
        <v>0</v>
      </c>
      <c r="Q88" s="75">
        <v>1</v>
      </c>
      <c r="R88" s="75">
        <v>29</v>
      </c>
      <c r="S88" s="75">
        <f>MAX(Table2[[#This Row],[volt-sbmu1]:[volt-sbmu5]])-MIN(Table2[[#This Row],[volt-sbmu1]:[volt-sbmu5]])</f>
        <v>3</v>
      </c>
      <c r="T88" s="75">
        <f>MAX(Table2[[#This Row],[soc-sbmu1]:[soc-sbmu5]])-MIN(Table2[[#This Row],[soc-sbmu1]:[soc-sbmu5]])</f>
        <v>0.29999999999999716</v>
      </c>
      <c r="U88" s="75"/>
      <c r="V88" s="75"/>
    </row>
    <row r="89" spans="1:22" ht="15">
      <c r="A89" t="s">
        <v>218</v>
      </c>
      <c r="B89" s="85" t="s">
        <v>501</v>
      </c>
      <c r="C89" s="75">
        <v>87.3</v>
      </c>
      <c r="D89" s="75">
        <v>1384.2</v>
      </c>
      <c r="E89" s="75">
        <v>87.5</v>
      </c>
      <c r="F89" s="75">
        <v>86.9</v>
      </c>
      <c r="G89" s="75">
        <v>86.6</v>
      </c>
      <c r="H89" s="75">
        <v>86.7</v>
      </c>
      <c r="I89" s="75">
        <v>86.7</v>
      </c>
      <c r="J89" s="83">
        <v>1384.3</v>
      </c>
      <c r="K89" s="83">
        <v>1385.2</v>
      </c>
      <c r="L89" s="83">
        <v>1384.3</v>
      </c>
      <c r="M89" s="83">
        <v>1383.9</v>
      </c>
      <c r="N89" s="83">
        <v>1385.1</v>
      </c>
      <c r="O89" s="75">
        <v>0</v>
      </c>
      <c r="P89" s="75">
        <v>0</v>
      </c>
      <c r="Q89" s="75">
        <v>1</v>
      </c>
      <c r="R89" s="75">
        <v>29</v>
      </c>
      <c r="S89" s="75">
        <f>MAX(Table2[[#This Row],[volt-sbmu1]:[volt-sbmu5]])-MIN(Table2[[#This Row],[volt-sbmu1]:[volt-sbmu5]])</f>
        <v>1.2999999999999545</v>
      </c>
      <c r="T89" s="75">
        <f>MAX(Table2[[#This Row],[soc-sbmu1]:[soc-sbmu5]])-MIN(Table2[[#This Row],[soc-sbmu1]:[soc-sbmu5]])</f>
        <v>0.90000000000000568</v>
      </c>
      <c r="U89" s="75"/>
      <c r="V89" s="75"/>
    </row>
    <row r="90" spans="1:22" ht="15">
      <c r="A90" t="s">
        <v>219</v>
      </c>
      <c r="B90" s="85" t="s">
        <v>502</v>
      </c>
      <c r="C90" s="75">
        <v>87.4</v>
      </c>
      <c r="D90" s="75">
        <v>1383.6</v>
      </c>
      <c r="E90" s="75">
        <v>87.6</v>
      </c>
      <c r="F90" s="75">
        <v>86.9</v>
      </c>
      <c r="G90" s="75">
        <v>86.6</v>
      </c>
      <c r="H90" s="75">
        <v>86.5</v>
      </c>
      <c r="I90" s="75">
        <v>86.7</v>
      </c>
      <c r="J90" s="83">
        <v>1384</v>
      </c>
      <c r="K90" s="83">
        <v>1384.2</v>
      </c>
      <c r="L90" s="83">
        <v>1384.6</v>
      </c>
      <c r="M90" s="83">
        <v>1383.5</v>
      </c>
      <c r="N90" s="83">
        <v>1385.1</v>
      </c>
      <c r="O90" s="75">
        <v>0</v>
      </c>
      <c r="P90" s="75">
        <v>0</v>
      </c>
      <c r="Q90" s="75">
        <v>1</v>
      </c>
      <c r="R90" s="75">
        <v>30</v>
      </c>
      <c r="S90" s="75">
        <f>MAX(Table2[[#This Row],[volt-sbmu1]:[volt-sbmu5]])-MIN(Table2[[#This Row],[volt-sbmu1]:[volt-sbmu5]])</f>
        <v>1.5999999999999091</v>
      </c>
      <c r="T90" s="75">
        <f>MAX(Table2[[#This Row],[soc-sbmu1]:[soc-sbmu5]])-MIN(Table2[[#This Row],[soc-sbmu1]:[soc-sbmu5]])</f>
        <v>1.0999999999999943</v>
      </c>
      <c r="U90" s="75"/>
      <c r="V90" s="75"/>
    </row>
    <row r="91" spans="1:22" ht="15">
      <c r="A91" t="s">
        <v>220</v>
      </c>
      <c r="B91" s="85" t="s">
        <v>503</v>
      </c>
      <c r="C91" s="75">
        <v>86.7</v>
      </c>
      <c r="D91" s="75">
        <v>1383.5</v>
      </c>
      <c r="E91" s="75">
        <v>86.8</v>
      </c>
      <c r="F91" s="75">
        <v>86.9</v>
      </c>
      <c r="G91" s="75">
        <v>86.9</v>
      </c>
      <c r="H91" s="75">
        <v>86.8</v>
      </c>
      <c r="I91" s="75">
        <v>85.8</v>
      </c>
      <c r="J91" s="83">
        <v>1383.9</v>
      </c>
      <c r="K91" s="83">
        <v>1384.6</v>
      </c>
      <c r="L91" s="83">
        <v>1384.1</v>
      </c>
      <c r="M91" s="83">
        <v>1383.7</v>
      </c>
      <c r="N91" s="83">
        <v>1381.9</v>
      </c>
      <c r="O91" s="75">
        <v>0</v>
      </c>
      <c r="P91" s="75">
        <v>0</v>
      </c>
      <c r="Q91" s="75">
        <v>1</v>
      </c>
      <c r="R91" s="75">
        <v>29</v>
      </c>
      <c r="S91" s="75">
        <f>MAX(Table2[[#This Row],[volt-sbmu1]:[volt-sbmu5]])-MIN(Table2[[#This Row],[volt-sbmu1]:[volt-sbmu5]])</f>
        <v>2.6999999999998181</v>
      </c>
      <c r="T91" s="75">
        <f>MAX(Table2[[#This Row],[soc-sbmu1]:[soc-sbmu5]])-MIN(Table2[[#This Row],[soc-sbmu1]:[soc-sbmu5]])</f>
        <v>1.1000000000000085</v>
      </c>
      <c r="U91" s="75"/>
      <c r="V91" s="75"/>
    </row>
    <row r="92" spans="1:22" ht="15">
      <c r="A92" t="s">
        <v>221</v>
      </c>
      <c r="B92" s="85" t="s">
        <v>504</v>
      </c>
      <c r="C92" s="75">
        <v>89.4</v>
      </c>
      <c r="D92" s="75">
        <v>1382.1</v>
      </c>
      <c r="E92" s="75">
        <v>88.5</v>
      </c>
      <c r="F92" s="75">
        <v>89.6</v>
      </c>
      <c r="G92" s="75">
        <v>88.6</v>
      </c>
      <c r="H92" s="75">
        <v>88.7</v>
      </c>
      <c r="I92" s="75">
        <v>88.5</v>
      </c>
      <c r="J92" s="83">
        <v>1380.5</v>
      </c>
      <c r="K92" s="83">
        <v>1382.4</v>
      </c>
      <c r="L92" s="83">
        <v>1381.9</v>
      </c>
      <c r="M92" s="83">
        <v>1382.1</v>
      </c>
      <c r="N92" s="83">
        <v>1381.3</v>
      </c>
      <c r="O92" s="75">
        <v>0</v>
      </c>
      <c r="P92" s="75">
        <v>0</v>
      </c>
      <c r="Q92" s="75">
        <v>1</v>
      </c>
      <c r="R92" s="75">
        <v>29</v>
      </c>
      <c r="S92" s="75">
        <f>MAX(Table2[[#This Row],[volt-sbmu1]:[volt-sbmu5]])-MIN(Table2[[#This Row],[volt-sbmu1]:[volt-sbmu5]])</f>
        <v>1.9000000000000909</v>
      </c>
      <c r="T92" s="75">
        <f>MAX(Table2[[#This Row],[soc-sbmu1]:[soc-sbmu5]])-MIN(Table2[[#This Row],[soc-sbmu1]:[soc-sbmu5]])</f>
        <v>1.0999999999999943</v>
      </c>
      <c r="U92" s="75"/>
      <c r="V92" s="75"/>
    </row>
    <row r="93" spans="1:22" ht="15">
      <c r="A93" t="s">
        <v>222</v>
      </c>
      <c r="B93" s="85" t="s">
        <v>505</v>
      </c>
      <c r="C93" s="75">
        <v>87.2</v>
      </c>
      <c r="D93" s="75">
        <v>1386</v>
      </c>
      <c r="E93" s="75">
        <v>87</v>
      </c>
      <c r="F93" s="75">
        <v>86.9</v>
      </c>
      <c r="G93" s="75">
        <v>87.2</v>
      </c>
      <c r="H93" s="75">
        <v>87.2</v>
      </c>
      <c r="I93" s="75">
        <v>87.3</v>
      </c>
      <c r="J93" s="83">
        <v>1385.6</v>
      </c>
      <c r="K93" s="83">
        <v>1385.5</v>
      </c>
      <c r="L93" s="83">
        <v>1386</v>
      </c>
      <c r="M93" s="83">
        <v>1386.8</v>
      </c>
      <c r="N93" s="83">
        <v>1386.6</v>
      </c>
      <c r="O93" s="75">
        <v>0</v>
      </c>
      <c r="P93" s="75">
        <v>0</v>
      </c>
      <c r="Q93" s="75">
        <v>1</v>
      </c>
      <c r="R93" s="75">
        <v>29</v>
      </c>
      <c r="S93" s="75">
        <f>MAX(Table2[[#This Row],[volt-sbmu1]:[volt-sbmu5]])-MIN(Table2[[#This Row],[volt-sbmu1]:[volt-sbmu5]])</f>
        <v>1.2999999999999545</v>
      </c>
      <c r="T93" s="75">
        <f>MAX(Table2[[#This Row],[soc-sbmu1]:[soc-sbmu5]])-MIN(Table2[[#This Row],[soc-sbmu1]:[soc-sbmu5]])</f>
        <v>0.39999999999999147</v>
      </c>
      <c r="U93" s="75"/>
      <c r="V93" s="75"/>
    </row>
    <row r="94" spans="1:22" ht="15">
      <c r="A94" t="s">
        <v>223</v>
      </c>
      <c r="B94" s="85" t="s">
        <v>506</v>
      </c>
      <c r="C94" s="75">
        <v>86.8</v>
      </c>
      <c r="D94" s="75">
        <v>1383.4</v>
      </c>
      <c r="E94" s="75">
        <v>86.5</v>
      </c>
      <c r="F94" s="75">
        <v>86.8</v>
      </c>
      <c r="G94" s="75">
        <v>86.7</v>
      </c>
      <c r="H94" s="75">
        <v>86.9</v>
      </c>
      <c r="I94" s="75">
        <v>86.5</v>
      </c>
      <c r="J94" s="83">
        <v>1383.8</v>
      </c>
      <c r="K94" s="83">
        <v>1383.4</v>
      </c>
      <c r="L94" s="83">
        <v>1383.6</v>
      </c>
      <c r="M94" s="83">
        <v>1383.6</v>
      </c>
      <c r="N94" s="83">
        <v>1383.1</v>
      </c>
      <c r="O94" s="75">
        <v>0</v>
      </c>
      <c r="P94" s="75">
        <v>0</v>
      </c>
      <c r="Q94" s="75">
        <v>1</v>
      </c>
      <c r="R94" s="75">
        <v>29</v>
      </c>
      <c r="S94" s="75">
        <f>MAX(Table2[[#This Row],[volt-sbmu1]:[volt-sbmu5]])-MIN(Table2[[#This Row],[volt-sbmu1]:[volt-sbmu5]])</f>
        <v>0.70000000000004547</v>
      </c>
      <c r="T94" s="75">
        <f>MAX(Table2[[#This Row],[soc-sbmu1]:[soc-sbmu5]])-MIN(Table2[[#This Row],[soc-sbmu1]:[soc-sbmu5]])</f>
        <v>0.40000000000000568</v>
      </c>
      <c r="U94" s="75"/>
      <c r="V94" s="75"/>
    </row>
    <row r="95" spans="1:22" ht="15">
      <c r="A95" t="s">
        <v>224</v>
      </c>
      <c r="B95" s="85" t="s">
        <v>507</v>
      </c>
      <c r="C95" s="75">
        <v>87</v>
      </c>
      <c r="D95" s="75">
        <v>1383.8</v>
      </c>
      <c r="E95" s="75">
        <v>87.2</v>
      </c>
      <c r="F95" s="75">
        <v>86.7</v>
      </c>
      <c r="G95" s="75">
        <v>86.3</v>
      </c>
      <c r="H95" s="75">
        <v>87</v>
      </c>
      <c r="I95" s="75">
        <v>86.7</v>
      </c>
      <c r="J95" s="83">
        <v>1384</v>
      </c>
      <c r="K95" s="83">
        <v>1382.8</v>
      </c>
      <c r="L95" s="83">
        <v>1383.4</v>
      </c>
      <c r="M95" s="83">
        <v>1383.2</v>
      </c>
      <c r="N95" s="83">
        <v>1383.6</v>
      </c>
      <c r="O95" s="75">
        <v>0</v>
      </c>
      <c r="P95" s="75">
        <v>0</v>
      </c>
      <c r="Q95" s="75">
        <v>1</v>
      </c>
      <c r="R95" s="75">
        <v>29</v>
      </c>
      <c r="S95" s="75">
        <f>MAX(Table2[[#This Row],[volt-sbmu1]:[volt-sbmu5]])-MIN(Table2[[#This Row],[volt-sbmu1]:[volt-sbmu5]])</f>
        <v>1.2000000000000455</v>
      </c>
      <c r="T95" s="75">
        <f>MAX(Table2[[#This Row],[soc-sbmu1]:[soc-sbmu5]])-MIN(Table2[[#This Row],[soc-sbmu1]:[soc-sbmu5]])</f>
        <v>0.90000000000000568</v>
      </c>
      <c r="U95" s="75"/>
      <c r="V95" s="75"/>
    </row>
    <row r="96" spans="1:22" ht="15">
      <c r="A96" t="s">
        <v>225</v>
      </c>
      <c r="B96" s="85" t="s">
        <v>508</v>
      </c>
      <c r="C96" s="75">
        <v>86.7</v>
      </c>
      <c r="D96" s="75">
        <v>1383.8</v>
      </c>
      <c r="E96" s="75">
        <v>86.7</v>
      </c>
      <c r="F96" s="75">
        <v>86.7</v>
      </c>
      <c r="G96" s="75">
        <v>86.7</v>
      </c>
      <c r="H96" s="75">
        <v>86.7</v>
      </c>
      <c r="I96" s="75">
        <v>86.7</v>
      </c>
      <c r="J96" s="83">
        <v>1382.7</v>
      </c>
      <c r="K96" s="83">
        <v>1384.1</v>
      </c>
      <c r="L96" s="83">
        <v>1383.3</v>
      </c>
      <c r="M96" s="83">
        <v>1384.8</v>
      </c>
      <c r="N96" s="83">
        <v>1383.6</v>
      </c>
      <c r="O96" s="75">
        <v>0</v>
      </c>
      <c r="P96" s="75">
        <v>0</v>
      </c>
      <c r="Q96" s="75">
        <v>1</v>
      </c>
      <c r="R96" s="75">
        <v>29</v>
      </c>
      <c r="S96" s="75">
        <f>MAX(Table2[[#This Row],[volt-sbmu1]:[volt-sbmu5]])-MIN(Table2[[#This Row],[volt-sbmu1]:[volt-sbmu5]])</f>
        <v>2.0999999999999091</v>
      </c>
      <c r="T96" s="75">
        <f>MAX(Table2[[#This Row],[soc-sbmu1]:[soc-sbmu5]])-MIN(Table2[[#This Row],[soc-sbmu1]:[soc-sbmu5]])</f>
        <v>0</v>
      </c>
      <c r="U96" s="75"/>
      <c r="V96" s="75"/>
    </row>
    <row r="97" spans="1:22" ht="15">
      <c r="A97" t="s">
        <v>226</v>
      </c>
      <c r="B97" s="85" t="s">
        <v>509</v>
      </c>
      <c r="C97" s="75">
        <v>86.9</v>
      </c>
      <c r="D97" s="75">
        <v>1384.1</v>
      </c>
      <c r="E97" s="75">
        <v>87</v>
      </c>
      <c r="F97" s="75">
        <v>87</v>
      </c>
      <c r="G97" s="75">
        <v>86.6</v>
      </c>
      <c r="H97" s="75">
        <v>86.7</v>
      </c>
      <c r="I97" s="75">
        <v>86.7</v>
      </c>
      <c r="J97" s="83">
        <v>1383.1</v>
      </c>
      <c r="K97" s="83">
        <v>1384.1</v>
      </c>
      <c r="L97" s="83">
        <v>1384</v>
      </c>
      <c r="M97" s="83">
        <v>1384.5</v>
      </c>
      <c r="N97" s="83">
        <v>1384.7</v>
      </c>
      <c r="O97" s="75">
        <v>0</v>
      </c>
      <c r="P97" s="75">
        <v>0</v>
      </c>
      <c r="Q97" s="75">
        <v>1</v>
      </c>
      <c r="R97" s="75">
        <v>29</v>
      </c>
      <c r="S97" s="75">
        <f>MAX(Table2[[#This Row],[volt-sbmu1]:[volt-sbmu5]])-MIN(Table2[[#This Row],[volt-sbmu1]:[volt-sbmu5]])</f>
        <v>1.6000000000001364</v>
      </c>
      <c r="T97" s="75">
        <f>MAX(Table2[[#This Row],[soc-sbmu1]:[soc-sbmu5]])-MIN(Table2[[#This Row],[soc-sbmu1]:[soc-sbmu5]])</f>
        <v>0.40000000000000568</v>
      </c>
      <c r="U97" s="75"/>
      <c r="V97" s="75"/>
    </row>
    <row r="98" spans="1:22" ht="15">
      <c r="A98" t="s">
        <v>227</v>
      </c>
      <c r="B98" s="85" t="s">
        <v>510</v>
      </c>
      <c r="C98" s="75">
        <v>87.3</v>
      </c>
      <c r="D98" s="75">
        <v>1383.3</v>
      </c>
      <c r="E98" s="75">
        <v>87.5</v>
      </c>
      <c r="F98" s="75">
        <v>86.7</v>
      </c>
      <c r="G98" s="75">
        <v>87.5</v>
      </c>
      <c r="H98" s="75">
        <v>86.7</v>
      </c>
      <c r="I98" s="75">
        <v>86.4</v>
      </c>
      <c r="J98" s="83">
        <v>1383.5</v>
      </c>
      <c r="K98" s="83">
        <v>1383.9</v>
      </c>
      <c r="L98" s="83">
        <v>1384</v>
      </c>
      <c r="M98" s="83">
        <v>1382.9</v>
      </c>
      <c r="N98" s="83">
        <v>1383.3</v>
      </c>
      <c r="O98" s="75">
        <v>0</v>
      </c>
      <c r="P98" s="75">
        <v>0</v>
      </c>
      <c r="Q98" s="75">
        <v>1</v>
      </c>
      <c r="R98" s="75">
        <v>30</v>
      </c>
      <c r="S98" s="75">
        <f>MAX(Table2[[#This Row],[volt-sbmu1]:[volt-sbmu5]])-MIN(Table2[[#This Row],[volt-sbmu1]:[volt-sbmu5]])</f>
        <v>1.0999999999999091</v>
      </c>
      <c r="T98" s="75">
        <f>MAX(Table2[[#This Row],[soc-sbmu1]:[soc-sbmu5]])-MIN(Table2[[#This Row],[soc-sbmu1]:[soc-sbmu5]])</f>
        <v>1.0999999999999943</v>
      </c>
      <c r="U98" s="75"/>
      <c r="V98" s="75"/>
    </row>
    <row r="99" spans="1:22" ht="15">
      <c r="A99" t="s">
        <v>228</v>
      </c>
      <c r="B99" s="85" t="s">
        <v>511</v>
      </c>
      <c r="C99" s="75">
        <v>87</v>
      </c>
      <c r="D99" s="75">
        <v>1385.9</v>
      </c>
      <c r="E99" s="75">
        <v>86.8</v>
      </c>
      <c r="F99" s="75">
        <v>86.8</v>
      </c>
      <c r="G99" s="75">
        <v>87.1</v>
      </c>
      <c r="H99" s="75">
        <v>87</v>
      </c>
      <c r="I99" s="75">
        <v>87</v>
      </c>
      <c r="J99" s="83">
        <v>1387</v>
      </c>
      <c r="K99" s="83">
        <v>1384.7</v>
      </c>
      <c r="L99" s="83">
        <v>1385.5</v>
      </c>
      <c r="M99" s="83">
        <v>1386.4</v>
      </c>
      <c r="N99" s="83">
        <v>1386.1</v>
      </c>
      <c r="O99" s="75">
        <v>0</v>
      </c>
      <c r="P99" s="75">
        <v>0</v>
      </c>
      <c r="Q99" s="75">
        <v>1</v>
      </c>
      <c r="R99" s="75">
        <v>29</v>
      </c>
      <c r="S99" s="75">
        <f>MAX(Table2[[#This Row],[volt-sbmu1]:[volt-sbmu5]])-MIN(Table2[[#This Row],[volt-sbmu1]:[volt-sbmu5]])</f>
        <v>2.2999999999999545</v>
      </c>
      <c r="T99" s="75">
        <f>MAX(Table2[[#This Row],[soc-sbmu1]:[soc-sbmu5]])-MIN(Table2[[#This Row],[soc-sbmu1]:[soc-sbmu5]])</f>
        <v>0.29999999999999716</v>
      </c>
      <c r="U99" s="75"/>
      <c r="V99" s="75"/>
    </row>
    <row r="100" spans="1:22" ht="15">
      <c r="A100" t="s">
        <v>229</v>
      </c>
      <c r="B100" s="85" t="s">
        <v>512</v>
      </c>
      <c r="C100" s="75">
        <v>86.4</v>
      </c>
      <c r="D100" s="75">
        <v>1377.2</v>
      </c>
      <c r="E100" s="75">
        <v>86.2</v>
      </c>
      <c r="F100" s="75">
        <v>86.5</v>
      </c>
      <c r="G100" s="75">
        <v>86.2</v>
      </c>
      <c r="H100" s="75">
        <v>85.9</v>
      </c>
      <c r="I100" s="75">
        <v>86.1</v>
      </c>
      <c r="J100" s="83">
        <v>1377.8</v>
      </c>
      <c r="K100" s="83">
        <v>1377.4</v>
      </c>
      <c r="L100" s="83">
        <v>1376.6</v>
      </c>
      <c r="M100" s="83">
        <v>1376.8</v>
      </c>
      <c r="N100" s="83">
        <v>1377.5</v>
      </c>
      <c r="O100" s="75">
        <v>0</v>
      </c>
      <c r="P100" s="75">
        <v>0</v>
      </c>
      <c r="Q100" s="75">
        <v>1</v>
      </c>
      <c r="R100" s="75">
        <v>29</v>
      </c>
      <c r="S100" s="75">
        <f>MAX(Table2[[#This Row],[volt-sbmu1]:[volt-sbmu5]])-MIN(Table2[[#This Row],[volt-sbmu1]:[volt-sbmu5]])</f>
        <v>1.2000000000000455</v>
      </c>
      <c r="T100" s="75">
        <f>MAX(Table2[[#This Row],[soc-sbmu1]:[soc-sbmu5]])-MIN(Table2[[#This Row],[soc-sbmu1]:[soc-sbmu5]])</f>
        <v>0.59999999999999432</v>
      </c>
      <c r="U100" s="75"/>
      <c r="V100" s="75"/>
    </row>
    <row r="101" spans="1:22" ht="15">
      <c r="A101" t="s">
        <v>230</v>
      </c>
      <c r="B101" s="85" t="s">
        <v>513</v>
      </c>
      <c r="C101" s="75">
        <v>87.6</v>
      </c>
      <c r="D101" s="75">
        <v>1385.8</v>
      </c>
      <c r="E101" s="75">
        <v>87</v>
      </c>
      <c r="F101" s="75">
        <v>86.9</v>
      </c>
      <c r="G101" s="75">
        <v>87.7</v>
      </c>
      <c r="H101" s="75">
        <v>87.8</v>
      </c>
      <c r="I101" s="75">
        <v>87.2</v>
      </c>
      <c r="J101" s="83">
        <v>1386</v>
      </c>
      <c r="K101" s="83">
        <v>1384.7</v>
      </c>
      <c r="L101" s="83">
        <v>1385.3</v>
      </c>
      <c r="M101" s="83">
        <v>1385.3</v>
      </c>
      <c r="N101" s="83">
        <v>1386.5</v>
      </c>
      <c r="O101" s="75">
        <v>0</v>
      </c>
      <c r="P101" s="75">
        <v>0</v>
      </c>
      <c r="Q101" s="75">
        <v>1</v>
      </c>
      <c r="R101" s="75">
        <v>30</v>
      </c>
      <c r="S101" s="75">
        <f>MAX(Table2[[#This Row],[volt-sbmu1]:[volt-sbmu5]])-MIN(Table2[[#This Row],[volt-sbmu1]:[volt-sbmu5]])</f>
        <v>1.7999999999999545</v>
      </c>
      <c r="T101" s="75">
        <f>MAX(Table2[[#This Row],[soc-sbmu1]:[soc-sbmu5]])-MIN(Table2[[#This Row],[soc-sbmu1]:[soc-sbmu5]])</f>
        <v>0.89999999999999147</v>
      </c>
      <c r="U101" s="75"/>
      <c r="V101" s="75"/>
    </row>
    <row r="102" spans="1:22" ht="15">
      <c r="A102" t="s">
        <v>231</v>
      </c>
      <c r="B102" s="85" t="s">
        <v>514</v>
      </c>
      <c r="C102" s="75">
        <v>87.9</v>
      </c>
      <c r="D102" s="75">
        <v>1385.4</v>
      </c>
      <c r="E102" s="75">
        <v>87.9</v>
      </c>
      <c r="F102" s="75">
        <v>87.1</v>
      </c>
      <c r="G102" s="75">
        <v>87.7</v>
      </c>
      <c r="H102" s="75">
        <v>87.8</v>
      </c>
      <c r="I102" s="75">
        <v>88.1</v>
      </c>
      <c r="J102" s="83">
        <v>1386.7</v>
      </c>
      <c r="K102" s="83">
        <v>1385.2</v>
      </c>
      <c r="L102" s="83">
        <v>1385.9</v>
      </c>
      <c r="M102" s="83">
        <v>1385.9</v>
      </c>
      <c r="N102" s="83">
        <v>1385.2</v>
      </c>
      <c r="O102" s="75">
        <v>0</v>
      </c>
      <c r="P102" s="75">
        <v>0</v>
      </c>
      <c r="Q102" s="75">
        <v>1</v>
      </c>
      <c r="R102" s="75">
        <v>30</v>
      </c>
      <c r="S102" s="75">
        <f>MAX(Table2[[#This Row],[volt-sbmu1]:[volt-sbmu5]])-MIN(Table2[[#This Row],[volt-sbmu1]:[volt-sbmu5]])</f>
        <v>1.5</v>
      </c>
      <c r="T102" s="75">
        <f>MAX(Table2[[#This Row],[soc-sbmu1]:[soc-sbmu5]])-MIN(Table2[[#This Row],[soc-sbmu1]:[soc-sbmu5]])</f>
        <v>1</v>
      </c>
      <c r="U102" s="75"/>
      <c r="V102" s="75"/>
    </row>
    <row r="103" spans="1:22" ht="15">
      <c r="A103" t="s">
        <v>232</v>
      </c>
      <c r="B103" s="85" t="s">
        <v>515</v>
      </c>
      <c r="C103" s="75">
        <v>85.7</v>
      </c>
      <c r="D103" s="75">
        <v>1384.9</v>
      </c>
      <c r="E103" s="75">
        <v>85.8</v>
      </c>
      <c r="F103" s="75">
        <v>85.6</v>
      </c>
      <c r="G103" s="75">
        <v>85.7</v>
      </c>
      <c r="H103" s="75">
        <v>85.6</v>
      </c>
      <c r="I103" s="75">
        <v>85.6</v>
      </c>
      <c r="J103" s="83">
        <v>1385.1</v>
      </c>
      <c r="K103" s="83">
        <v>1383.5</v>
      </c>
      <c r="L103" s="83">
        <v>1386.1</v>
      </c>
      <c r="M103" s="83">
        <v>1385</v>
      </c>
      <c r="N103" s="83">
        <v>1384.6</v>
      </c>
      <c r="O103" s="75">
        <v>0</v>
      </c>
      <c r="P103" s="75">
        <v>0</v>
      </c>
      <c r="Q103" s="75">
        <v>1</v>
      </c>
      <c r="R103" s="75">
        <v>29</v>
      </c>
      <c r="S103" s="75">
        <f>MAX(Table2[[#This Row],[volt-sbmu1]:[volt-sbmu5]])-MIN(Table2[[#This Row],[volt-sbmu1]:[volt-sbmu5]])</f>
        <v>2.5999999999999091</v>
      </c>
      <c r="T103" s="75">
        <f>MAX(Table2[[#This Row],[soc-sbmu1]:[soc-sbmu5]])-MIN(Table2[[#This Row],[soc-sbmu1]:[soc-sbmu5]])</f>
        <v>0.20000000000000284</v>
      </c>
      <c r="U103" s="75"/>
      <c r="V103" s="75"/>
    </row>
    <row r="104" spans="1:22" ht="15">
      <c r="A104" t="s">
        <v>233</v>
      </c>
      <c r="B104" s="85" t="s">
        <v>516</v>
      </c>
      <c r="C104" s="75">
        <v>87.1</v>
      </c>
      <c r="D104" s="75">
        <v>1383.5</v>
      </c>
      <c r="E104" s="75">
        <v>87.5</v>
      </c>
      <c r="F104" s="75">
        <v>86.7</v>
      </c>
      <c r="G104" s="75">
        <v>86.8</v>
      </c>
      <c r="H104" s="75">
        <v>84.5</v>
      </c>
      <c r="I104" s="75">
        <v>87</v>
      </c>
      <c r="J104" s="83">
        <v>1383.7</v>
      </c>
      <c r="K104" s="83">
        <v>1382.3</v>
      </c>
      <c r="L104" s="83">
        <v>1384.1</v>
      </c>
      <c r="M104" s="83">
        <v>1384.7</v>
      </c>
      <c r="N104" s="83">
        <v>1382.7</v>
      </c>
      <c r="O104" s="75">
        <v>0</v>
      </c>
      <c r="P104" s="75">
        <v>0</v>
      </c>
      <c r="Q104" s="75">
        <v>1</v>
      </c>
      <c r="R104" s="75">
        <v>29</v>
      </c>
      <c r="S104" s="75">
        <f>MAX(Table2[[#This Row],[volt-sbmu1]:[volt-sbmu5]])-MIN(Table2[[#This Row],[volt-sbmu1]:[volt-sbmu5]])</f>
        <v>2.4000000000000909</v>
      </c>
      <c r="T104" s="75">
        <f>MAX(Table2[[#This Row],[soc-sbmu1]:[soc-sbmu5]])-MIN(Table2[[#This Row],[soc-sbmu1]:[soc-sbmu5]])</f>
        <v>3</v>
      </c>
      <c r="U104" s="75"/>
      <c r="V104" s="75"/>
    </row>
    <row r="105" spans="1:22" ht="15">
      <c r="A105" t="s">
        <v>234</v>
      </c>
      <c r="B105" s="85" t="s">
        <v>517</v>
      </c>
      <c r="C105" s="75">
        <v>86.8</v>
      </c>
      <c r="D105" s="75">
        <v>1384.1</v>
      </c>
      <c r="E105" s="75">
        <v>86.5</v>
      </c>
      <c r="F105" s="75">
        <v>86.7</v>
      </c>
      <c r="G105" s="75">
        <v>86.5</v>
      </c>
      <c r="H105" s="75">
        <v>86.9</v>
      </c>
      <c r="I105" s="75">
        <v>86.5</v>
      </c>
      <c r="J105" s="83">
        <v>1384.5</v>
      </c>
      <c r="K105" s="83">
        <v>1384</v>
      </c>
      <c r="L105" s="83">
        <v>1384.5</v>
      </c>
      <c r="M105" s="83">
        <v>1384.8</v>
      </c>
      <c r="N105" s="83">
        <v>1384.2</v>
      </c>
      <c r="O105" s="75">
        <v>0</v>
      </c>
      <c r="P105" s="75">
        <v>0</v>
      </c>
      <c r="Q105" s="75">
        <v>1</v>
      </c>
      <c r="R105" s="75">
        <v>29</v>
      </c>
      <c r="S105" s="75">
        <f>MAX(Table2[[#This Row],[volt-sbmu1]:[volt-sbmu5]])-MIN(Table2[[#This Row],[volt-sbmu1]:[volt-sbmu5]])</f>
        <v>0.79999999999995453</v>
      </c>
      <c r="T105" s="75">
        <f>MAX(Table2[[#This Row],[soc-sbmu1]:[soc-sbmu5]])-MIN(Table2[[#This Row],[soc-sbmu1]:[soc-sbmu5]])</f>
        <v>0.40000000000000568</v>
      </c>
      <c r="U105" s="75"/>
      <c r="V105" s="75"/>
    </row>
    <row r="106" spans="1:22" ht="15">
      <c r="A106" t="s">
        <v>235</v>
      </c>
      <c r="B106" s="85" t="s">
        <v>518</v>
      </c>
      <c r="C106" s="75">
        <v>87.3</v>
      </c>
      <c r="D106" s="75">
        <v>1383.8</v>
      </c>
      <c r="E106" s="75">
        <v>87.5</v>
      </c>
      <c r="F106" s="75">
        <v>86.9</v>
      </c>
      <c r="G106" s="75">
        <v>86.7</v>
      </c>
      <c r="H106" s="75">
        <v>86.7</v>
      </c>
      <c r="I106" s="75">
        <v>86.5</v>
      </c>
      <c r="J106" s="83">
        <v>1383</v>
      </c>
      <c r="K106" s="83">
        <v>1384.6</v>
      </c>
      <c r="L106" s="83">
        <v>1383.9</v>
      </c>
      <c r="M106" s="83">
        <v>1383.9</v>
      </c>
      <c r="N106" s="83">
        <v>1383</v>
      </c>
      <c r="O106" s="75">
        <v>0</v>
      </c>
      <c r="P106" s="75">
        <v>0</v>
      </c>
      <c r="Q106" s="75">
        <v>1</v>
      </c>
      <c r="R106" s="75">
        <v>30</v>
      </c>
      <c r="S106" s="75">
        <f>MAX(Table2[[#This Row],[volt-sbmu1]:[volt-sbmu5]])-MIN(Table2[[#This Row],[volt-sbmu1]:[volt-sbmu5]])</f>
        <v>1.5999999999999091</v>
      </c>
      <c r="T106" s="75">
        <f>MAX(Table2[[#This Row],[soc-sbmu1]:[soc-sbmu5]])-MIN(Table2[[#This Row],[soc-sbmu1]:[soc-sbmu5]])</f>
        <v>1</v>
      </c>
      <c r="U106" s="75"/>
      <c r="V106" s="75"/>
    </row>
    <row r="107" spans="1:22" ht="15">
      <c r="A107" t="s">
        <v>236</v>
      </c>
      <c r="B107" s="85" t="s">
        <v>519</v>
      </c>
      <c r="C107" s="75">
        <v>86.9</v>
      </c>
      <c r="D107" s="75">
        <v>1384.6</v>
      </c>
      <c r="E107" s="75">
        <v>86.6</v>
      </c>
      <c r="F107" s="75">
        <v>86.7</v>
      </c>
      <c r="G107" s="75">
        <v>86.6</v>
      </c>
      <c r="H107" s="75">
        <v>86.7</v>
      </c>
      <c r="I107" s="75">
        <v>87</v>
      </c>
      <c r="J107" s="83">
        <v>1385.8</v>
      </c>
      <c r="K107" s="83">
        <v>1384.2</v>
      </c>
      <c r="L107" s="83">
        <v>1385.8</v>
      </c>
      <c r="M107" s="83">
        <v>1384.6</v>
      </c>
      <c r="N107" s="83">
        <v>1383.3</v>
      </c>
      <c r="O107" s="75">
        <v>0</v>
      </c>
      <c r="P107" s="75">
        <v>0</v>
      </c>
      <c r="Q107" s="75">
        <v>1</v>
      </c>
      <c r="R107" s="75">
        <v>29</v>
      </c>
      <c r="S107" s="75">
        <f>MAX(Table2[[#This Row],[volt-sbmu1]:[volt-sbmu5]])-MIN(Table2[[#This Row],[volt-sbmu1]:[volt-sbmu5]])</f>
        <v>2.5</v>
      </c>
      <c r="T107" s="75">
        <f>MAX(Table2[[#This Row],[soc-sbmu1]:[soc-sbmu5]])-MIN(Table2[[#This Row],[soc-sbmu1]:[soc-sbmu5]])</f>
        <v>0.40000000000000568</v>
      </c>
      <c r="U107" s="75"/>
      <c r="V107" s="75"/>
    </row>
    <row r="108" spans="1:22" ht="15">
      <c r="A108" t="s">
        <v>237</v>
      </c>
      <c r="B108" s="85" t="s">
        <v>520</v>
      </c>
      <c r="C108" s="75">
        <v>86.9</v>
      </c>
      <c r="D108" s="75">
        <v>1384.5</v>
      </c>
      <c r="E108" s="75">
        <v>86.8</v>
      </c>
      <c r="F108" s="75">
        <v>86.8</v>
      </c>
      <c r="G108" s="75">
        <v>86.6</v>
      </c>
      <c r="H108" s="75">
        <v>86.7</v>
      </c>
      <c r="I108" s="75">
        <v>87</v>
      </c>
      <c r="J108" s="83">
        <v>1385</v>
      </c>
      <c r="K108" s="83">
        <v>1385</v>
      </c>
      <c r="L108" s="83">
        <v>1383.3</v>
      </c>
      <c r="M108" s="83">
        <v>1383.7</v>
      </c>
      <c r="N108" s="83">
        <v>1385.4</v>
      </c>
      <c r="O108" s="75">
        <v>0</v>
      </c>
      <c r="P108" s="75">
        <v>0</v>
      </c>
      <c r="Q108" s="75">
        <v>1</v>
      </c>
      <c r="R108" s="75">
        <v>29</v>
      </c>
      <c r="S108" s="75">
        <f>MAX(Table2[[#This Row],[volt-sbmu1]:[volt-sbmu5]])-MIN(Table2[[#This Row],[volt-sbmu1]:[volt-sbmu5]])</f>
        <v>2.1000000000001364</v>
      </c>
      <c r="T108" s="75">
        <f>MAX(Table2[[#This Row],[soc-sbmu1]:[soc-sbmu5]])-MIN(Table2[[#This Row],[soc-sbmu1]:[soc-sbmu5]])</f>
        <v>0.40000000000000568</v>
      </c>
      <c r="U108" s="75"/>
      <c r="V108" s="75"/>
    </row>
    <row r="109" spans="1:22" ht="15">
      <c r="A109" t="s">
        <v>238</v>
      </c>
      <c r="B109" s="85" t="s">
        <v>521</v>
      </c>
      <c r="C109" s="75">
        <v>87.4</v>
      </c>
      <c r="D109" s="75">
        <v>1383.3</v>
      </c>
      <c r="E109" s="75">
        <v>87.6</v>
      </c>
      <c r="F109" s="75">
        <v>86.8</v>
      </c>
      <c r="G109" s="75">
        <v>86.7</v>
      </c>
      <c r="H109" s="75">
        <v>86.9</v>
      </c>
      <c r="I109" s="75">
        <v>86.9</v>
      </c>
      <c r="J109" s="83">
        <v>1382.5</v>
      </c>
      <c r="K109" s="83">
        <v>1383.2</v>
      </c>
      <c r="L109" s="83">
        <v>1382.4</v>
      </c>
      <c r="M109" s="83">
        <v>1382.9</v>
      </c>
      <c r="N109" s="83">
        <v>1382.8</v>
      </c>
      <c r="O109" s="75">
        <v>0</v>
      </c>
      <c r="P109" s="75">
        <v>0</v>
      </c>
      <c r="Q109" s="75">
        <v>1</v>
      </c>
      <c r="R109" s="75">
        <v>29</v>
      </c>
      <c r="S109" s="75">
        <f>MAX(Table2[[#This Row],[volt-sbmu1]:[volt-sbmu5]])-MIN(Table2[[#This Row],[volt-sbmu1]:[volt-sbmu5]])</f>
        <v>0.79999999999995453</v>
      </c>
      <c r="T109" s="75">
        <f>MAX(Table2[[#This Row],[soc-sbmu1]:[soc-sbmu5]])-MIN(Table2[[#This Row],[soc-sbmu1]:[soc-sbmu5]])</f>
        <v>0.89999999999999147</v>
      </c>
      <c r="U109" s="75"/>
      <c r="V109" s="75"/>
    </row>
    <row r="110" spans="1:22" ht="15">
      <c r="A110" t="s">
        <v>239</v>
      </c>
      <c r="B110" s="85" t="s">
        <v>522</v>
      </c>
      <c r="C110" s="75">
        <v>87.3</v>
      </c>
      <c r="D110" s="75">
        <v>1384.1</v>
      </c>
      <c r="E110" s="75">
        <v>87.5</v>
      </c>
      <c r="F110" s="75">
        <v>87.5</v>
      </c>
      <c r="G110" s="75">
        <v>86.8</v>
      </c>
      <c r="H110" s="75">
        <v>87.5</v>
      </c>
      <c r="I110" s="75">
        <v>86.5</v>
      </c>
      <c r="J110" s="83">
        <v>1384.8</v>
      </c>
      <c r="K110" s="83">
        <v>1383.7</v>
      </c>
      <c r="L110" s="83">
        <v>1384.5</v>
      </c>
      <c r="M110" s="83">
        <v>1383.6</v>
      </c>
      <c r="N110" s="83">
        <v>1384.2</v>
      </c>
      <c r="O110" s="75">
        <v>0</v>
      </c>
      <c r="P110" s="75">
        <v>0</v>
      </c>
      <c r="Q110" s="75">
        <v>1</v>
      </c>
      <c r="R110" s="75">
        <v>29</v>
      </c>
      <c r="S110" s="75">
        <f>MAX(Table2[[#This Row],[volt-sbmu1]:[volt-sbmu5]])-MIN(Table2[[#This Row],[volt-sbmu1]:[volt-sbmu5]])</f>
        <v>1.2000000000000455</v>
      </c>
      <c r="T110" s="75">
        <f>MAX(Table2[[#This Row],[soc-sbmu1]:[soc-sbmu5]])-MIN(Table2[[#This Row],[soc-sbmu1]:[soc-sbmu5]])</f>
        <v>1</v>
      </c>
      <c r="U110" s="75"/>
      <c r="V110" s="75"/>
    </row>
    <row r="111" spans="1:22" ht="15">
      <c r="A111" t="s">
        <v>240</v>
      </c>
      <c r="B111" s="85" t="s">
        <v>523</v>
      </c>
      <c r="C111" s="75">
        <v>86.7</v>
      </c>
      <c r="D111" s="75">
        <v>1385.2</v>
      </c>
      <c r="E111" s="75">
        <v>86.8</v>
      </c>
      <c r="F111" s="75">
        <v>86.6</v>
      </c>
      <c r="G111" s="75">
        <v>86.6</v>
      </c>
      <c r="H111" s="75">
        <v>86.6</v>
      </c>
      <c r="I111" s="75">
        <v>86.7</v>
      </c>
      <c r="J111" s="83">
        <v>1385.4</v>
      </c>
      <c r="K111" s="83">
        <v>1385.7</v>
      </c>
      <c r="L111" s="83">
        <v>1384.2</v>
      </c>
      <c r="M111" s="83">
        <v>1385</v>
      </c>
      <c r="N111" s="83">
        <v>1386</v>
      </c>
      <c r="O111" s="75">
        <v>0</v>
      </c>
      <c r="P111" s="75">
        <v>0</v>
      </c>
      <c r="Q111" s="75">
        <v>1</v>
      </c>
      <c r="R111" s="75">
        <v>28</v>
      </c>
      <c r="S111" s="75">
        <f>MAX(Table2[[#This Row],[volt-sbmu1]:[volt-sbmu5]])-MIN(Table2[[#This Row],[volt-sbmu1]:[volt-sbmu5]])</f>
        <v>1.7999999999999545</v>
      </c>
      <c r="T111" s="75">
        <f>MAX(Table2[[#This Row],[soc-sbmu1]:[soc-sbmu5]])-MIN(Table2[[#This Row],[soc-sbmu1]:[soc-sbmu5]])</f>
        <v>0.20000000000000284</v>
      </c>
      <c r="U111" s="75"/>
      <c r="V111" s="75"/>
    </row>
    <row r="112" spans="1:22" ht="15">
      <c r="A112" t="s">
        <v>241</v>
      </c>
      <c r="B112" s="85" t="s">
        <v>524</v>
      </c>
      <c r="C112" s="75">
        <v>89.3</v>
      </c>
      <c r="D112" s="75">
        <v>1384.1</v>
      </c>
      <c r="E112" s="75">
        <v>89.5</v>
      </c>
      <c r="F112" s="75">
        <v>88.5</v>
      </c>
      <c r="G112" s="75">
        <v>88.7</v>
      </c>
      <c r="H112" s="75">
        <v>89.5</v>
      </c>
      <c r="I112" s="75">
        <v>88.5</v>
      </c>
      <c r="J112" s="83">
        <v>1384.3</v>
      </c>
      <c r="K112" s="83">
        <v>1384.2</v>
      </c>
      <c r="L112" s="83">
        <v>1384.8</v>
      </c>
      <c r="M112" s="83">
        <v>1384.6</v>
      </c>
      <c r="N112" s="83">
        <v>1384.2</v>
      </c>
      <c r="O112" s="75">
        <v>0</v>
      </c>
      <c r="P112" s="75">
        <v>0</v>
      </c>
      <c r="Q112" s="75">
        <v>1</v>
      </c>
      <c r="R112" s="75">
        <v>28</v>
      </c>
      <c r="S112" s="75">
        <f>MAX(Table2[[#This Row],[volt-sbmu1]:[volt-sbmu5]])-MIN(Table2[[#This Row],[volt-sbmu1]:[volt-sbmu5]])</f>
        <v>0.59999999999990905</v>
      </c>
      <c r="T112" s="75">
        <f>MAX(Table2[[#This Row],[soc-sbmu1]:[soc-sbmu5]])-MIN(Table2[[#This Row],[soc-sbmu1]:[soc-sbmu5]])</f>
        <v>1</v>
      </c>
      <c r="U112" s="75"/>
      <c r="V112" s="75"/>
    </row>
    <row r="113" spans="1:22" ht="15">
      <c r="A113" t="s">
        <v>242</v>
      </c>
      <c r="B113" s="85" t="s">
        <v>525</v>
      </c>
      <c r="C113" s="75">
        <v>87.5</v>
      </c>
      <c r="D113" s="75">
        <v>1385.3</v>
      </c>
      <c r="E113" s="75">
        <v>87.7</v>
      </c>
      <c r="F113" s="75">
        <v>87.5</v>
      </c>
      <c r="G113" s="75">
        <v>86.7</v>
      </c>
      <c r="H113" s="75">
        <v>87.5</v>
      </c>
      <c r="I113" s="75">
        <v>86.7</v>
      </c>
      <c r="J113" s="83">
        <v>1385</v>
      </c>
      <c r="K113" s="83">
        <v>1385.5</v>
      </c>
      <c r="L113" s="83">
        <v>1383.7</v>
      </c>
      <c r="M113" s="83">
        <v>1387.1</v>
      </c>
      <c r="N113" s="83">
        <v>1384.1</v>
      </c>
      <c r="O113" s="75">
        <v>0</v>
      </c>
      <c r="P113" s="75">
        <v>0</v>
      </c>
      <c r="Q113" s="75">
        <v>1</v>
      </c>
      <c r="R113" s="75">
        <v>29</v>
      </c>
      <c r="S113" s="75">
        <f>MAX(Table2[[#This Row],[volt-sbmu1]:[volt-sbmu5]])-MIN(Table2[[#This Row],[volt-sbmu1]:[volt-sbmu5]])</f>
        <v>3.3999999999998636</v>
      </c>
      <c r="T113" s="75">
        <f>MAX(Table2[[#This Row],[soc-sbmu1]:[soc-sbmu5]])-MIN(Table2[[#This Row],[soc-sbmu1]:[soc-sbmu5]])</f>
        <v>1</v>
      </c>
      <c r="U113" s="75"/>
      <c r="V113" s="75"/>
    </row>
    <row r="114" spans="1:22" ht="15">
      <c r="A114" t="s">
        <v>243</v>
      </c>
      <c r="B114" s="85" t="s">
        <v>526</v>
      </c>
      <c r="C114" s="75">
        <v>89.6</v>
      </c>
      <c r="D114" s="75">
        <v>1385.8</v>
      </c>
      <c r="E114" s="75">
        <v>89.8</v>
      </c>
      <c r="F114" s="75">
        <v>88.7</v>
      </c>
      <c r="G114" s="75">
        <v>88.9</v>
      </c>
      <c r="H114" s="75">
        <v>89.7</v>
      </c>
      <c r="I114" s="75">
        <v>87.9</v>
      </c>
      <c r="J114" s="83">
        <v>1386.2</v>
      </c>
      <c r="K114" s="83">
        <v>1386</v>
      </c>
      <c r="L114" s="83">
        <v>1386.4</v>
      </c>
      <c r="M114" s="83">
        <v>1385.4</v>
      </c>
      <c r="N114" s="83">
        <v>1387.3</v>
      </c>
      <c r="O114" s="75">
        <v>0</v>
      </c>
      <c r="P114" s="75">
        <v>0</v>
      </c>
      <c r="Q114" s="75">
        <v>1</v>
      </c>
      <c r="R114" s="75">
        <v>30</v>
      </c>
      <c r="S114" s="75">
        <f>MAX(Table2[[#This Row],[volt-sbmu1]:[volt-sbmu5]])-MIN(Table2[[#This Row],[volt-sbmu1]:[volt-sbmu5]])</f>
        <v>1.8999999999998636</v>
      </c>
      <c r="T114" s="75">
        <f>MAX(Table2[[#This Row],[soc-sbmu1]:[soc-sbmu5]])-MIN(Table2[[#This Row],[soc-sbmu1]:[soc-sbmu5]])</f>
        <v>1.8999999999999915</v>
      </c>
      <c r="U114" s="75"/>
      <c r="V114" s="75"/>
    </row>
    <row r="115" spans="1:22" ht="15">
      <c r="A115" t="s">
        <v>244</v>
      </c>
      <c r="B115" s="85" t="s">
        <v>527</v>
      </c>
      <c r="C115" s="75">
        <v>86.8</v>
      </c>
      <c r="D115" s="75">
        <v>1380.9</v>
      </c>
      <c r="E115" s="75">
        <v>86.5</v>
      </c>
      <c r="F115" s="75">
        <v>86.2</v>
      </c>
      <c r="G115" s="75">
        <v>86.2</v>
      </c>
      <c r="H115" s="75">
        <v>86.2</v>
      </c>
      <c r="I115" s="75">
        <v>87</v>
      </c>
      <c r="J115" s="83">
        <v>1383.4</v>
      </c>
      <c r="K115" s="83">
        <v>1380.3</v>
      </c>
      <c r="L115" s="83">
        <v>1381.6</v>
      </c>
      <c r="M115" s="83">
        <v>1380.6</v>
      </c>
      <c r="N115" s="83">
        <v>1380.5</v>
      </c>
      <c r="O115" s="75">
        <v>0</v>
      </c>
      <c r="P115" s="75">
        <v>0</v>
      </c>
      <c r="Q115" s="75">
        <v>1</v>
      </c>
      <c r="R115" s="75">
        <v>29</v>
      </c>
      <c r="S115" s="75">
        <f>MAX(Table2[[#This Row],[volt-sbmu1]:[volt-sbmu5]])-MIN(Table2[[#This Row],[volt-sbmu1]:[volt-sbmu5]])</f>
        <v>3.1000000000001364</v>
      </c>
      <c r="T115" s="75">
        <f>MAX(Table2[[#This Row],[soc-sbmu1]:[soc-sbmu5]])-MIN(Table2[[#This Row],[soc-sbmu1]:[soc-sbmu5]])</f>
        <v>0.79999999999999716</v>
      </c>
      <c r="U115" s="75"/>
      <c r="V115" s="75"/>
    </row>
    <row r="116" spans="1:22" ht="15">
      <c r="A116" t="s">
        <v>245</v>
      </c>
      <c r="B116" s="85" t="s">
        <v>528</v>
      </c>
      <c r="C116" s="75">
        <v>87.5</v>
      </c>
      <c r="D116" s="75">
        <v>1385.2</v>
      </c>
      <c r="E116" s="75">
        <v>87.7</v>
      </c>
      <c r="F116" s="75">
        <v>86.7</v>
      </c>
      <c r="G116" s="75">
        <v>87.1</v>
      </c>
      <c r="H116" s="75">
        <v>86.9</v>
      </c>
      <c r="I116" s="75">
        <v>87.2</v>
      </c>
      <c r="J116" s="83">
        <v>1385.3</v>
      </c>
      <c r="K116" s="83">
        <v>1385.2</v>
      </c>
      <c r="L116" s="83">
        <v>1385.3</v>
      </c>
      <c r="M116" s="83">
        <v>1385.2</v>
      </c>
      <c r="N116" s="83">
        <v>1385.9</v>
      </c>
      <c r="O116" s="75">
        <v>0</v>
      </c>
      <c r="P116" s="75">
        <v>0</v>
      </c>
      <c r="Q116" s="75">
        <v>1</v>
      </c>
      <c r="R116" s="75">
        <v>29</v>
      </c>
      <c r="S116" s="75">
        <f>MAX(Table2[[#This Row],[volt-sbmu1]:[volt-sbmu5]])-MIN(Table2[[#This Row],[volt-sbmu1]:[volt-sbmu5]])</f>
        <v>0.70000000000004547</v>
      </c>
      <c r="T116" s="75">
        <f>MAX(Table2[[#This Row],[soc-sbmu1]:[soc-sbmu5]])-MIN(Table2[[#This Row],[soc-sbmu1]:[soc-sbmu5]])</f>
        <v>1</v>
      </c>
      <c r="U116" s="75"/>
      <c r="V116" s="75"/>
    </row>
    <row r="117" spans="1:22" ht="15">
      <c r="A117" t="s">
        <v>246</v>
      </c>
      <c r="B117" s="85" t="s">
        <v>529</v>
      </c>
      <c r="C117" s="75">
        <v>86.8</v>
      </c>
      <c r="D117" s="75">
        <v>1386.1</v>
      </c>
      <c r="E117" s="75">
        <v>86.7</v>
      </c>
      <c r="F117" s="75">
        <v>86.9</v>
      </c>
      <c r="G117" s="75">
        <v>86.9</v>
      </c>
      <c r="H117" s="75">
        <v>86.9</v>
      </c>
      <c r="I117" s="75">
        <v>86.9</v>
      </c>
      <c r="J117" s="83">
        <v>1386.1</v>
      </c>
      <c r="K117" s="83">
        <v>1385.9</v>
      </c>
      <c r="L117" s="83">
        <v>1386.3</v>
      </c>
      <c r="M117" s="83">
        <v>1385.8</v>
      </c>
      <c r="N117" s="83">
        <v>1386.3</v>
      </c>
      <c r="O117" s="75">
        <v>0</v>
      </c>
      <c r="P117" s="75">
        <v>0</v>
      </c>
      <c r="Q117" s="75">
        <v>1</v>
      </c>
      <c r="R117" s="75">
        <v>29</v>
      </c>
      <c r="S117" s="75">
        <f>MAX(Table2[[#This Row],[volt-sbmu1]:[volt-sbmu5]])-MIN(Table2[[#This Row],[volt-sbmu1]:[volt-sbmu5]])</f>
        <v>0.5</v>
      </c>
      <c r="T117" s="75">
        <f>MAX(Table2[[#This Row],[soc-sbmu1]:[soc-sbmu5]])-MIN(Table2[[#This Row],[soc-sbmu1]:[soc-sbmu5]])</f>
        <v>0.20000000000000284</v>
      </c>
      <c r="U117" s="75"/>
      <c r="V117" s="75"/>
    </row>
    <row r="118" spans="1:22" ht="15">
      <c r="A118" t="s">
        <v>247</v>
      </c>
      <c r="B118" s="85" t="s">
        <v>530</v>
      </c>
      <c r="C118" s="75">
        <v>87.8</v>
      </c>
      <c r="D118" s="75">
        <v>1385.6</v>
      </c>
      <c r="E118" s="75">
        <v>87.9</v>
      </c>
      <c r="F118" s="75">
        <v>87.9</v>
      </c>
      <c r="G118" s="75">
        <v>87.9</v>
      </c>
      <c r="H118" s="75">
        <v>87.7</v>
      </c>
      <c r="I118" s="75">
        <v>87.9</v>
      </c>
      <c r="J118" s="83">
        <v>1386.7</v>
      </c>
      <c r="K118" s="83">
        <v>1386.7</v>
      </c>
      <c r="L118" s="83">
        <v>1385.5</v>
      </c>
      <c r="M118" s="83">
        <v>1385</v>
      </c>
      <c r="N118" s="83">
        <v>1385.5</v>
      </c>
      <c r="O118" s="75">
        <v>0</v>
      </c>
      <c r="P118" s="75">
        <v>0</v>
      </c>
      <c r="Q118" s="75">
        <v>1</v>
      </c>
      <c r="R118" s="75">
        <v>30</v>
      </c>
      <c r="S118" s="75">
        <f>MAX(Table2[[#This Row],[volt-sbmu1]:[volt-sbmu5]])-MIN(Table2[[#This Row],[volt-sbmu1]:[volt-sbmu5]])</f>
        <v>1.7000000000000455</v>
      </c>
      <c r="T118" s="75">
        <f>MAX(Table2[[#This Row],[soc-sbmu1]:[soc-sbmu5]])-MIN(Table2[[#This Row],[soc-sbmu1]:[soc-sbmu5]])</f>
        <v>0.20000000000000284</v>
      </c>
      <c r="U118" s="75"/>
      <c r="V118" s="75"/>
    </row>
    <row r="119" spans="1:22" ht="15">
      <c r="A119" t="s">
        <v>248</v>
      </c>
      <c r="B119" s="85" t="s">
        <v>531</v>
      </c>
      <c r="C119" s="75">
        <v>87.3</v>
      </c>
      <c r="D119" s="75">
        <v>1386.3</v>
      </c>
      <c r="E119" s="75">
        <v>87.5</v>
      </c>
      <c r="F119" s="75">
        <v>86.9</v>
      </c>
      <c r="G119" s="75">
        <v>87.2</v>
      </c>
      <c r="H119" s="75">
        <v>86.4</v>
      </c>
      <c r="I119" s="75">
        <v>86.4</v>
      </c>
      <c r="J119" s="83">
        <v>1386.4</v>
      </c>
      <c r="K119" s="83">
        <v>1388.2</v>
      </c>
      <c r="L119" s="83">
        <v>1385.6</v>
      </c>
      <c r="M119" s="83">
        <v>1385.7</v>
      </c>
      <c r="N119" s="83">
        <v>1384.6</v>
      </c>
      <c r="O119" s="75">
        <v>0</v>
      </c>
      <c r="P119" s="75">
        <v>0</v>
      </c>
      <c r="Q119" s="75">
        <v>1</v>
      </c>
      <c r="R119" s="75">
        <v>29</v>
      </c>
      <c r="S119" s="75">
        <f>MAX(Table2[[#This Row],[volt-sbmu1]:[volt-sbmu5]])-MIN(Table2[[#This Row],[volt-sbmu1]:[volt-sbmu5]])</f>
        <v>3.6000000000001364</v>
      </c>
      <c r="T119" s="75">
        <f>MAX(Table2[[#This Row],[soc-sbmu1]:[soc-sbmu5]])-MIN(Table2[[#This Row],[soc-sbmu1]:[soc-sbmu5]])</f>
        <v>1.0999999999999943</v>
      </c>
      <c r="U119" s="75"/>
      <c r="V119" s="75"/>
    </row>
    <row r="120" spans="1:22" ht="15">
      <c r="A120" t="s">
        <v>249</v>
      </c>
      <c r="B120" s="85" t="s">
        <v>532</v>
      </c>
      <c r="C120" s="75">
        <v>87</v>
      </c>
      <c r="D120" s="75">
        <v>1381.7</v>
      </c>
      <c r="E120" s="75">
        <v>86.9</v>
      </c>
      <c r="F120" s="75">
        <v>87</v>
      </c>
      <c r="G120" s="75">
        <v>87.1</v>
      </c>
      <c r="H120" s="75">
        <v>86.6</v>
      </c>
      <c r="I120" s="75">
        <v>86.7</v>
      </c>
      <c r="J120" s="83">
        <v>1382</v>
      </c>
      <c r="K120" s="83">
        <v>1381.1</v>
      </c>
      <c r="L120" s="83">
        <v>1381.2</v>
      </c>
      <c r="M120" s="83">
        <v>1382</v>
      </c>
      <c r="N120" s="83">
        <v>1381.8</v>
      </c>
      <c r="O120" s="75">
        <v>0</v>
      </c>
      <c r="P120" s="75">
        <v>0</v>
      </c>
      <c r="Q120" s="75">
        <v>1</v>
      </c>
      <c r="R120" s="75">
        <v>29</v>
      </c>
      <c r="S120" s="75">
        <f>MAX(Table2[[#This Row],[volt-sbmu1]:[volt-sbmu5]])-MIN(Table2[[#This Row],[volt-sbmu1]:[volt-sbmu5]])</f>
        <v>0.90000000000009095</v>
      </c>
      <c r="T120" s="75">
        <f>MAX(Table2[[#This Row],[soc-sbmu1]:[soc-sbmu5]])-MIN(Table2[[#This Row],[soc-sbmu1]:[soc-sbmu5]])</f>
        <v>0.5</v>
      </c>
      <c r="U120" s="75"/>
      <c r="V120" s="75"/>
    </row>
    <row r="121" spans="1:22" ht="15">
      <c r="A121" t="s">
        <v>250</v>
      </c>
      <c r="B121" s="85" t="s">
        <v>533</v>
      </c>
      <c r="C121" s="75">
        <v>87.7</v>
      </c>
      <c r="D121" s="75">
        <v>1386.2</v>
      </c>
      <c r="E121" s="75">
        <v>87.8</v>
      </c>
      <c r="F121" s="75">
        <v>86.8</v>
      </c>
      <c r="G121" s="75">
        <v>87.9</v>
      </c>
      <c r="H121" s="75">
        <v>86.6</v>
      </c>
      <c r="I121" s="75">
        <v>86.6</v>
      </c>
      <c r="J121" s="83">
        <v>1385.3</v>
      </c>
      <c r="K121" s="83">
        <v>1386.2</v>
      </c>
      <c r="L121" s="83">
        <v>1386.3</v>
      </c>
      <c r="M121" s="83">
        <v>1386.2</v>
      </c>
      <c r="N121" s="83">
        <v>1385.8</v>
      </c>
      <c r="O121" s="75">
        <v>0</v>
      </c>
      <c r="P121" s="75">
        <v>0</v>
      </c>
      <c r="Q121" s="75">
        <v>1</v>
      </c>
      <c r="R121" s="75">
        <v>29</v>
      </c>
      <c r="S121" s="75">
        <f>MAX(Table2[[#This Row],[volt-sbmu1]:[volt-sbmu5]])-MIN(Table2[[#This Row],[volt-sbmu1]:[volt-sbmu5]])</f>
        <v>1</v>
      </c>
      <c r="T121" s="75">
        <f>MAX(Table2[[#This Row],[soc-sbmu1]:[soc-sbmu5]])-MIN(Table2[[#This Row],[soc-sbmu1]:[soc-sbmu5]])</f>
        <v>1.3000000000000114</v>
      </c>
      <c r="U121" s="75"/>
      <c r="V121" s="75"/>
    </row>
    <row r="122" spans="1:22" ht="15">
      <c r="A122" t="s">
        <v>251</v>
      </c>
      <c r="B122" s="85" t="s">
        <v>534</v>
      </c>
      <c r="C122" s="75">
        <v>87.2</v>
      </c>
      <c r="D122" s="75">
        <v>1385.5</v>
      </c>
      <c r="E122" s="75">
        <v>86.8</v>
      </c>
      <c r="F122" s="75">
        <v>87.3</v>
      </c>
      <c r="G122" s="75">
        <v>87.4</v>
      </c>
      <c r="H122" s="75">
        <v>86.9</v>
      </c>
      <c r="I122" s="75">
        <v>86</v>
      </c>
      <c r="J122" s="83">
        <v>1385.7</v>
      </c>
      <c r="K122" s="83">
        <v>1386</v>
      </c>
      <c r="L122" s="83">
        <v>1385.2</v>
      </c>
      <c r="M122" s="83">
        <v>1386.8</v>
      </c>
      <c r="N122" s="83">
        <v>1384.8</v>
      </c>
      <c r="O122" s="75">
        <v>0</v>
      </c>
      <c r="P122" s="75">
        <v>0</v>
      </c>
      <c r="Q122" s="75">
        <v>1</v>
      </c>
      <c r="R122" s="75">
        <v>30</v>
      </c>
      <c r="S122" s="75">
        <f>MAX(Table2[[#This Row],[volt-sbmu1]:[volt-sbmu5]])-MIN(Table2[[#This Row],[volt-sbmu1]:[volt-sbmu5]])</f>
        <v>2</v>
      </c>
      <c r="T122" s="75">
        <f>MAX(Table2[[#This Row],[soc-sbmu1]:[soc-sbmu5]])-MIN(Table2[[#This Row],[soc-sbmu1]:[soc-sbmu5]])</f>
        <v>1.4000000000000057</v>
      </c>
      <c r="U122" s="75"/>
      <c r="V122" s="75"/>
    </row>
    <row r="123" spans="1:22" ht="15">
      <c r="A123" t="s">
        <v>252</v>
      </c>
      <c r="B123" s="85" t="s">
        <v>535</v>
      </c>
      <c r="C123" s="75">
        <v>87</v>
      </c>
      <c r="D123" s="75">
        <v>1385.4</v>
      </c>
      <c r="E123" s="75">
        <v>87</v>
      </c>
      <c r="F123" s="75">
        <v>87.1</v>
      </c>
      <c r="G123" s="75">
        <v>87.1</v>
      </c>
      <c r="H123" s="75">
        <v>87.1</v>
      </c>
      <c r="I123" s="75">
        <v>87.1</v>
      </c>
      <c r="J123" s="83">
        <v>1385</v>
      </c>
      <c r="K123" s="83">
        <v>1385.5</v>
      </c>
      <c r="L123" s="83">
        <v>1385.3</v>
      </c>
      <c r="M123" s="83">
        <v>1385.4</v>
      </c>
      <c r="N123" s="83">
        <v>1385.7</v>
      </c>
      <c r="O123" s="75">
        <v>0</v>
      </c>
      <c r="P123" s="75">
        <v>0</v>
      </c>
      <c r="Q123" s="75">
        <v>1</v>
      </c>
      <c r="R123" s="75">
        <v>30</v>
      </c>
      <c r="S123" s="75">
        <f>MAX(Table2[[#This Row],[volt-sbmu1]:[volt-sbmu5]])-MIN(Table2[[#This Row],[volt-sbmu1]:[volt-sbmu5]])</f>
        <v>0.70000000000004547</v>
      </c>
      <c r="T123" s="75">
        <f>MAX(Table2[[#This Row],[soc-sbmu1]:[soc-sbmu5]])-MIN(Table2[[#This Row],[soc-sbmu1]:[soc-sbmu5]])</f>
        <v>9.9999999999994316E-2</v>
      </c>
      <c r="U123" s="75"/>
      <c r="V123" s="75"/>
    </row>
    <row r="124" spans="1:22" ht="15">
      <c r="A124" t="s">
        <v>253</v>
      </c>
      <c r="B124" s="85" t="s">
        <v>536</v>
      </c>
      <c r="C124" s="75">
        <v>87.1</v>
      </c>
      <c r="D124" s="75">
        <v>1385.7</v>
      </c>
      <c r="E124" s="75">
        <v>87.2</v>
      </c>
      <c r="F124" s="75">
        <v>87.2</v>
      </c>
      <c r="G124" s="75">
        <v>87</v>
      </c>
      <c r="H124" s="75">
        <v>87.2</v>
      </c>
      <c r="I124" s="75">
        <v>86.9</v>
      </c>
      <c r="J124" s="83">
        <v>1386</v>
      </c>
      <c r="K124" s="83">
        <v>1384.9</v>
      </c>
      <c r="L124" s="83">
        <v>1386.5</v>
      </c>
      <c r="M124" s="83">
        <v>1386.2</v>
      </c>
      <c r="N124" s="83">
        <v>1387.9</v>
      </c>
      <c r="O124" s="75">
        <v>0</v>
      </c>
      <c r="P124" s="75">
        <v>0</v>
      </c>
      <c r="Q124" s="75">
        <v>1</v>
      </c>
      <c r="R124" s="75">
        <v>29</v>
      </c>
      <c r="S124" s="75">
        <f>MAX(Table2[[#This Row],[volt-sbmu1]:[volt-sbmu5]])-MIN(Table2[[#This Row],[volt-sbmu1]:[volt-sbmu5]])</f>
        <v>3</v>
      </c>
      <c r="T124" s="75">
        <f>MAX(Table2[[#This Row],[soc-sbmu1]:[soc-sbmu5]])-MIN(Table2[[#This Row],[soc-sbmu1]:[soc-sbmu5]])</f>
        <v>0.29999999999999716</v>
      </c>
      <c r="U124" s="75"/>
      <c r="V124" s="75"/>
    </row>
    <row r="125" spans="1:22" ht="15">
      <c r="A125" t="s">
        <v>254</v>
      </c>
      <c r="B125" s="85" t="s">
        <v>537</v>
      </c>
      <c r="C125" s="75">
        <v>87.4</v>
      </c>
      <c r="D125" s="75">
        <v>1384.9</v>
      </c>
      <c r="E125" s="75">
        <v>86.7</v>
      </c>
      <c r="F125" s="75">
        <v>87.6</v>
      </c>
      <c r="G125" s="75">
        <v>86.7</v>
      </c>
      <c r="H125" s="75">
        <v>87.5</v>
      </c>
      <c r="I125" s="75">
        <v>86.7</v>
      </c>
      <c r="J125" s="83">
        <v>1385.2</v>
      </c>
      <c r="K125" s="83">
        <v>1384.7</v>
      </c>
      <c r="L125" s="83">
        <v>1384.5</v>
      </c>
      <c r="M125" s="83">
        <v>1385.4</v>
      </c>
      <c r="N125" s="83">
        <v>1385.1</v>
      </c>
      <c r="O125" s="75">
        <v>0</v>
      </c>
      <c r="P125" s="75">
        <v>0</v>
      </c>
      <c r="Q125" s="75">
        <v>1</v>
      </c>
      <c r="R125" s="75">
        <v>29</v>
      </c>
      <c r="S125" s="75">
        <f>MAX(Table2[[#This Row],[volt-sbmu1]:[volt-sbmu5]])-MIN(Table2[[#This Row],[volt-sbmu1]:[volt-sbmu5]])</f>
        <v>0.90000000000009095</v>
      </c>
      <c r="T125" s="75">
        <f>MAX(Table2[[#This Row],[soc-sbmu1]:[soc-sbmu5]])-MIN(Table2[[#This Row],[soc-sbmu1]:[soc-sbmu5]])</f>
        <v>0.89999999999999147</v>
      </c>
      <c r="U125" s="75"/>
      <c r="V125" s="75"/>
    </row>
    <row r="126" spans="1:22" ht="15">
      <c r="A126" t="s">
        <v>255</v>
      </c>
      <c r="B126" s="85" t="s">
        <v>538</v>
      </c>
      <c r="C126" s="75">
        <v>87.5</v>
      </c>
      <c r="D126" s="75">
        <v>1385.6</v>
      </c>
      <c r="E126" s="75">
        <v>87.1</v>
      </c>
      <c r="F126" s="75">
        <v>87.7</v>
      </c>
      <c r="G126" s="75">
        <v>87.1</v>
      </c>
      <c r="H126" s="75">
        <v>86.7</v>
      </c>
      <c r="I126" s="75">
        <v>86.7</v>
      </c>
      <c r="J126" s="83">
        <v>1385.9</v>
      </c>
      <c r="K126" s="83">
        <v>1385.7</v>
      </c>
      <c r="L126" s="83">
        <v>1385.2</v>
      </c>
      <c r="M126" s="83">
        <v>1385.9</v>
      </c>
      <c r="N126" s="83">
        <v>1386.3</v>
      </c>
      <c r="O126" s="75">
        <v>0</v>
      </c>
      <c r="P126" s="75">
        <v>0</v>
      </c>
      <c r="Q126" s="75">
        <v>1</v>
      </c>
      <c r="R126" s="75">
        <v>30</v>
      </c>
      <c r="S126" s="75">
        <f>MAX(Table2[[#This Row],[volt-sbmu1]:[volt-sbmu5]])-MIN(Table2[[#This Row],[volt-sbmu1]:[volt-sbmu5]])</f>
        <v>1.0999999999999091</v>
      </c>
      <c r="T126" s="75">
        <f>MAX(Table2[[#This Row],[soc-sbmu1]:[soc-sbmu5]])-MIN(Table2[[#This Row],[soc-sbmu1]:[soc-sbmu5]])</f>
        <v>1</v>
      </c>
      <c r="U126" s="75"/>
      <c r="V126" s="75"/>
    </row>
    <row r="127" spans="1:22" ht="15">
      <c r="A127" t="s">
        <v>256</v>
      </c>
      <c r="B127" s="85" t="s">
        <v>539</v>
      </c>
      <c r="C127" s="75">
        <v>87.2</v>
      </c>
      <c r="D127" s="75">
        <v>1382.7</v>
      </c>
      <c r="E127" s="75">
        <v>87.1</v>
      </c>
      <c r="F127" s="75">
        <v>87.2</v>
      </c>
      <c r="G127" s="75">
        <v>87.3</v>
      </c>
      <c r="H127" s="75">
        <v>87.2</v>
      </c>
      <c r="I127" s="75">
        <v>86.7</v>
      </c>
      <c r="J127" s="83">
        <v>1382.4</v>
      </c>
      <c r="K127" s="83">
        <v>1381.3</v>
      </c>
      <c r="L127" s="83">
        <v>1382.3</v>
      </c>
      <c r="M127" s="83">
        <v>1382.5</v>
      </c>
      <c r="N127" s="83">
        <v>1383</v>
      </c>
      <c r="O127" s="75">
        <v>0</v>
      </c>
      <c r="P127" s="75">
        <v>0</v>
      </c>
      <c r="Q127" s="75">
        <v>1</v>
      </c>
      <c r="R127" s="75">
        <v>29</v>
      </c>
      <c r="S127" s="75">
        <f>MAX(Table2[[#This Row],[volt-sbmu1]:[volt-sbmu5]])-MIN(Table2[[#This Row],[volt-sbmu1]:[volt-sbmu5]])</f>
        <v>1.7000000000000455</v>
      </c>
      <c r="T127" s="75">
        <f>MAX(Table2[[#This Row],[soc-sbmu1]:[soc-sbmu5]])-MIN(Table2[[#This Row],[soc-sbmu1]:[soc-sbmu5]])</f>
        <v>0.59999999999999432</v>
      </c>
      <c r="U127" s="75"/>
      <c r="V127" s="75"/>
    </row>
    <row r="128" spans="1:22" ht="15">
      <c r="A128" t="s">
        <v>257</v>
      </c>
      <c r="B128" s="85" t="s">
        <v>540</v>
      </c>
      <c r="C128" s="75">
        <v>90.6</v>
      </c>
      <c r="D128" s="75">
        <v>1385.7</v>
      </c>
      <c r="E128" s="75">
        <v>90.7</v>
      </c>
      <c r="F128" s="75">
        <v>89.7</v>
      </c>
      <c r="G128" s="75">
        <v>89.7</v>
      </c>
      <c r="H128" s="75">
        <v>89.9</v>
      </c>
      <c r="I128" s="75">
        <v>89.7</v>
      </c>
      <c r="J128" s="83">
        <v>1384.9</v>
      </c>
      <c r="K128" s="83">
        <v>1387.1</v>
      </c>
      <c r="L128" s="83">
        <v>1386</v>
      </c>
      <c r="M128" s="83">
        <v>1385.2</v>
      </c>
      <c r="N128" s="83">
        <v>1385.7</v>
      </c>
      <c r="O128" s="75">
        <v>0</v>
      </c>
      <c r="P128" s="75">
        <v>0</v>
      </c>
      <c r="Q128" s="75">
        <v>1</v>
      </c>
      <c r="R128" s="75">
        <v>29</v>
      </c>
      <c r="S128" s="75">
        <f>MAX(Table2[[#This Row],[volt-sbmu1]:[volt-sbmu5]])-MIN(Table2[[#This Row],[volt-sbmu1]:[volt-sbmu5]])</f>
        <v>2.1999999999998181</v>
      </c>
      <c r="T128" s="75">
        <f>MAX(Table2[[#This Row],[soc-sbmu1]:[soc-sbmu5]])-MIN(Table2[[#This Row],[soc-sbmu1]:[soc-sbmu5]])</f>
        <v>1</v>
      </c>
      <c r="U128" s="75"/>
      <c r="V128" s="75"/>
    </row>
    <row r="129" spans="1:22" ht="15">
      <c r="A129" t="s">
        <v>258</v>
      </c>
      <c r="B129" s="85" t="s">
        <v>541</v>
      </c>
      <c r="C129" s="75">
        <v>86.6</v>
      </c>
      <c r="D129" s="75">
        <v>1383.3</v>
      </c>
      <c r="E129" s="75">
        <v>86.8</v>
      </c>
      <c r="F129" s="75">
        <v>86.4</v>
      </c>
      <c r="G129" s="75">
        <v>85.7</v>
      </c>
      <c r="H129" s="75">
        <v>86.6</v>
      </c>
      <c r="I129" s="75">
        <v>86.5</v>
      </c>
      <c r="J129" s="83">
        <v>1384.1</v>
      </c>
      <c r="K129" s="83">
        <v>1384.5</v>
      </c>
      <c r="L129" s="83">
        <v>1383.1</v>
      </c>
      <c r="M129" s="83">
        <v>1382.4</v>
      </c>
      <c r="N129" s="83">
        <v>1382.8</v>
      </c>
      <c r="O129" s="75">
        <v>0</v>
      </c>
      <c r="P129" s="75">
        <v>0</v>
      </c>
      <c r="Q129" s="75">
        <v>1</v>
      </c>
      <c r="R129" s="75">
        <v>29</v>
      </c>
      <c r="S129" s="75">
        <f>MAX(Table2[[#This Row],[volt-sbmu1]:[volt-sbmu5]])-MIN(Table2[[#This Row],[volt-sbmu1]:[volt-sbmu5]])</f>
        <v>2.0999999999999091</v>
      </c>
      <c r="T129" s="75">
        <f>MAX(Table2[[#This Row],[soc-sbmu1]:[soc-sbmu5]])-MIN(Table2[[#This Row],[soc-sbmu1]:[soc-sbmu5]])</f>
        <v>1.0999999999999943</v>
      </c>
      <c r="U129" s="75"/>
      <c r="V129" s="75"/>
    </row>
    <row r="130" spans="1:22" ht="15">
      <c r="A130" t="s">
        <v>259</v>
      </c>
      <c r="B130" s="85" t="s">
        <v>542</v>
      </c>
      <c r="C130" s="75">
        <v>87</v>
      </c>
      <c r="D130" s="75">
        <v>1383.4</v>
      </c>
      <c r="E130" s="75">
        <v>87.1</v>
      </c>
      <c r="F130" s="75">
        <v>86.6</v>
      </c>
      <c r="G130" s="75">
        <v>86.5</v>
      </c>
      <c r="H130" s="75">
        <v>86.7</v>
      </c>
      <c r="I130" s="75">
        <v>86.7</v>
      </c>
      <c r="J130" s="83">
        <v>1383.8</v>
      </c>
      <c r="K130" s="83">
        <v>1383.3</v>
      </c>
      <c r="L130" s="83">
        <v>1384</v>
      </c>
      <c r="M130" s="83">
        <v>1383.5</v>
      </c>
      <c r="N130" s="83">
        <v>1382.5</v>
      </c>
      <c r="O130" s="75">
        <v>0</v>
      </c>
      <c r="P130" s="75">
        <v>0</v>
      </c>
      <c r="Q130" s="75">
        <v>1</v>
      </c>
      <c r="R130" s="75">
        <v>31</v>
      </c>
      <c r="S130" s="75">
        <f>MAX(Table2[[#This Row],[volt-sbmu1]:[volt-sbmu5]])-MIN(Table2[[#This Row],[volt-sbmu1]:[volt-sbmu5]])</f>
        <v>1.5</v>
      </c>
      <c r="T130" s="75">
        <f>MAX(Table2[[#This Row],[soc-sbmu1]:[soc-sbmu5]])-MIN(Table2[[#This Row],[soc-sbmu1]:[soc-sbmu5]])</f>
        <v>0.59999999999999432</v>
      </c>
      <c r="U130" s="75"/>
      <c r="V130" s="75"/>
    </row>
    <row r="131" spans="1:22" ht="15">
      <c r="A131" t="s">
        <v>260</v>
      </c>
      <c r="B131" s="85" t="s">
        <v>543</v>
      </c>
      <c r="C131" s="75">
        <v>87.5</v>
      </c>
      <c r="D131" s="75">
        <v>1383.7</v>
      </c>
      <c r="E131" s="75">
        <v>87.7</v>
      </c>
      <c r="F131" s="75">
        <v>86.5</v>
      </c>
      <c r="G131" s="75">
        <v>87.3</v>
      </c>
      <c r="H131" s="75">
        <v>87.4</v>
      </c>
      <c r="I131" s="75">
        <v>87.4</v>
      </c>
      <c r="J131" s="83">
        <v>1382.2</v>
      </c>
      <c r="K131" s="83">
        <v>1383.3</v>
      </c>
      <c r="L131" s="83">
        <v>1383.7</v>
      </c>
      <c r="M131" s="83">
        <v>1383.9</v>
      </c>
      <c r="N131" s="83">
        <v>1384</v>
      </c>
      <c r="O131" s="75">
        <v>0</v>
      </c>
      <c r="P131" s="75">
        <v>0</v>
      </c>
      <c r="Q131" s="75">
        <v>1</v>
      </c>
      <c r="R131" s="75">
        <v>29</v>
      </c>
      <c r="S131" s="75">
        <f>MAX(Table2[[#This Row],[volt-sbmu1]:[volt-sbmu5]])-MIN(Table2[[#This Row],[volt-sbmu1]:[volt-sbmu5]])</f>
        <v>1.7999999999999545</v>
      </c>
      <c r="T131" s="75">
        <f>MAX(Table2[[#This Row],[soc-sbmu1]:[soc-sbmu5]])-MIN(Table2[[#This Row],[soc-sbmu1]:[soc-sbmu5]])</f>
        <v>1.2000000000000028</v>
      </c>
      <c r="U131" s="75"/>
      <c r="V131" s="75"/>
    </row>
    <row r="132" spans="1:22" ht="15">
      <c r="A132" t="s">
        <v>261</v>
      </c>
      <c r="B132" s="85" t="s">
        <v>544</v>
      </c>
      <c r="C132" s="75">
        <v>87.3</v>
      </c>
      <c r="D132" s="75">
        <v>1384</v>
      </c>
      <c r="E132" s="75">
        <v>86.7</v>
      </c>
      <c r="F132" s="75">
        <v>87.5</v>
      </c>
      <c r="G132" s="75">
        <v>86.9</v>
      </c>
      <c r="H132" s="75">
        <v>86.7</v>
      </c>
      <c r="I132" s="75">
        <v>86.7</v>
      </c>
      <c r="J132" s="83">
        <v>1383</v>
      </c>
      <c r="K132" s="83">
        <v>1384.1</v>
      </c>
      <c r="L132" s="83">
        <v>1383.1</v>
      </c>
      <c r="M132" s="83">
        <v>1383.6</v>
      </c>
      <c r="N132" s="83">
        <v>1385.1</v>
      </c>
      <c r="O132" s="75">
        <v>0</v>
      </c>
      <c r="P132" s="75">
        <v>0</v>
      </c>
      <c r="Q132" s="75">
        <v>1</v>
      </c>
      <c r="R132" s="75">
        <v>30</v>
      </c>
      <c r="S132" s="75">
        <f>MAX(Table2[[#This Row],[volt-sbmu1]:[volt-sbmu5]])-MIN(Table2[[#This Row],[volt-sbmu1]:[volt-sbmu5]])</f>
        <v>2.0999999999999091</v>
      </c>
      <c r="T132" s="75">
        <f>MAX(Table2[[#This Row],[soc-sbmu1]:[soc-sbmu5]])-MIN(Table2[[#This Row],[soc-sbmu1]:[soc-sbmu5]])</f>
        <v>0.79999999999999716</v>
      </c>
      <c r="U132" s="75"/>
      <c r="V132" s="75"/>
    </row>
    <row r="133" spans="1:22" ht="15">
      <c r="A133" t="s">
        <v>262</v>
      </c>
      <c r="B133" s="85" t="s">
        <v>545</v>
      </c>
      <c r="C133" s="75">
        <v>87.3</v>
      </c>
      <c r="D133" s="75">
        <v>1383.5</v>
      </c>
      <c r="E133" s="75">
        <v>86.7</v>
      </c>
      <c r="F133" s="75">
        <v>86.9</v>
      </c>
      <c r="G133" s="75">
        <v>87.5</v>
      </c>
      <c r="H133" s="75">
        <v>86.9</v>
      </c>
      <c r="I133" s="75">
        <v>86.9</v>
      </c>
      <c r="J133" s="83">
        <v>1383.2</v>
      </c>
      <c r="K133" s="83">
        <v>1383.2</v>
      </c>
      <c r="L133" s="83">
        <v>1383.2</v>
      </c>
      <c r="M133" s="83">
        <v>1384</v>
      </c>
      <c r="N133" s="83">
        <v>1383.8</v>
      </c>
      <c r="O133" s="75">
        <v>0</v>
      </c>
      <c r="P133" s="75">
        <v>0</v>
      </c>
      <c r="Q133" s="75">
        <v>1</v>
      </c>
      <c r="R133" s="75">
        <v>30</v>
      </c>
      <c r="S133" s="75">
        <f>MAX(Table2[[#This Row],[volt-sbmu1]:[volt-sbmu5]])-MIN(Table2[[#This Row],[volt-sbmu1]:[volt-sbmu5]])</f>
        <v>0.79999999999995453</v>
      </c>
      <c r="T133" s="75">
        <f>MAX(Table2[[#This Row],[soc-sbmu1]:[soc-sbmu5]])-MIN(Table2[[#This Row],[soc-sbmu1]:[soc-sbmu5]])</f>
        <v>0.79999999999999716</v>
      </c>
      <c r="U133" s="75"/>
      <c r="V133" s="75"/>
    </row>
    <row r="134" spans="1:22" ht="15">
      <c r="A134" t="s">
        <v>263</v>
      </c>
      <c r="B134" s="85" t="s">
        <v>546</v>
      </c>
      <c r="C134" s="75">
        <v>87.4</v>
      </c>
      <c r="D134" s="75">
        <v>1383.5</v>
      </c>
      <c r="E134" s="75">
        <v>87.6</v>
      </c>
      <c r="F134" s="75">
        <v>86.8</v>
      </c>
      <c r="G134" s="75">
        <v>86.8</v>
      </c>
      <c r="H134" s="75">
        <v>86.7</v>
      </c>
      <c r="I134" s="75">
        <v>87.6</v>
      </c>
      <c r="J134" s="83">
        <v>1382.8</v>
      </c>
      <c r="K134" s="83">
        <v>1383.7</v>
      </c>
      <c r="L134" s="83">
        <v>1382.1</v>
      </c>
      <c r="M134" s="83">
        <v>1381.9</v>
      </c>
      <c r="N134" s="83">
        <v>1384.8</v>
      </c>
      <c r="O134" s="75">
        <v>0</v>
      </c>
      <c r="P134" s="75">
        <v>0</v>
      </c>
      <c r="Q134" s="75">
        <v>1</v>
      </c>
      <c r="R134" s="75">
        <v>30</v>
      </c>
      <c r="S134" s="75">
        <f>MAX(Table2[[#This Row],[volt-sbmu1]:[volt-sbmu5]])-MIN(Table2[[#This Row],[volt-sbmu1]:[volt-sbmu5]])</f>
        <v>2.8999999999998636</v>
      </c>
      <c r="T134" s="75">
        <f>MAX(Table2[[#This Row],[soc-sbmu1]:[soc-sbmu5]])-MIN(Table2[[#This Row],[soc-sbmu1]:[soc-sbmu5]])</f>
        <v>0.89999999999999147</v>
      </c>
      <c r="U134" s="75"/>
      <c r="V134" s="75"/>
    </row>
    <row r="135" spans="1:22" ht="15">
      <c r="A135" t="s">
        <v>264</v>
      </c>
      <c r="B135" s="85" t="s">
        <v>547</v>
      </c>
      <c r="C135" s="75">
        <v>87</v>
      </c>
      <c r="D135" s="75">
        <v>1385.7</v>
      </c>
      <c r="E135" s="75">
        <v>87.1</v>
      </c>
      <c r="F135" s="75">
        <v>86.9</v>
      </c>
      <c r="G135" s="75">
        <v>86.9</v>
      </c>
      <c r="H135" s="75">
        <v>86.9</v>
      </c>
      <c r="I135" s="75">
        <v>86.7</v>
      </c>
      <c r="J135" s="83">
        <v>1385.2</v>
      </c>
      <c r="K135" s="83">
        <v>1386</v>
      </c>
      <c r="L135" s="83">
        <v>1386.2</v>
      </c>
      <c r="M135" s="83">
        <v>1385.8</v>
      </c>
      <c r="N135" s="83">
        <v>1385.3</v>
      </c>
      <c r="O135" s="75">
        <v>0</v>
      </c>
      <c r="P135" s="75">
        <v>0</v>
      </c>
      <c r="Q135" s="75">
        <v>1</v>
      </c>
      <c r="R135" s="75">
        <v>29</v>
      </c>
      <c r="S135" s="75">
        <f>MAX(Table2[[#This Row],[volt-sbmu1]:[volt-sbmu5]])-MIN(Table2[[#This Row],[volt-sbmu1]:[volt-sbmu5]])</f>
        <v>1</v>
      </c>
      <c r="T135" s="75">
        <f>MAX(Table2[[#This Row],[soc-sbmu1]:[soc-sbmu5]])-MIN(Table2[[#This Row],[soc-sbmu1]:[soc-sbmu5]])</f>
        <v>0.39999999999999147</v>
      </c>
      <c r="U135" s="75"/>
      <c r="V135" s="75"/>
    </row>
    <row r="136" spans="1:22" ht="15">
      <c r="A136" t="s">
        <v>265</v>
      </c>
      <c r="B136" s="85" t="s">
        <v>548</v>
      </c>
      <c r="C136" s="75">
        <v>87.7</v>
      </c>
      <c r="D136" s="75">
        <v>1386.1</v>
      </c>
      <c r="E136" s="75">
        <v>86.9</v>
      </c>
      <c r="F136" s="75">
        <v>87.1</v>
      </c>
      <c r="G136" s="75">
        <v>87.9</v>
      </c>
      <c r="H136" s="75">
        <v>87.1</v>
      </c>
      <c r="I136" s="75">
        <v>86.9</v>
      </c>
      <c r="J136" s="83">
        <v>1386.3</v>
      </c>
      <c r="K136" s="83">
        <v>1386.2</v>
      </c>
      <c r="L136" s="83">
        <v>1385.6</v>
      </c>
      <c r="M136" s="83">
        <v>1385.7</v>
      </c>
      <c r="N136" s="83">
        <v>1386.3</v>
      </c>
      <c r="O136" s="75">
        <v>0</v>
      </c>
      <c r="P136" s="75">
        <v>0</v>
      </c>
      <c r="Q136" s="75">
        <v>1</v>
      </c>
      <c r="R136" s="75">
        <v>29</v>
      </c>
      <c r="S136" s="75">
        <f>MAX(Table2[[#This Row],[volt-sbmu1]:[volt-sbmu5]])-MIN(Table2[[#This Row],[volt-sbmu1]:[volt-sbmu5]])</f>
        <v>0.70000000000004547</v>
      </c>
      <c r="T136" s="75">
        <f>MAX(Table2[[#This Row],[soc-sbmu1]:[soc-sbmu5]])-MIN(Table2[[#This Row],[soc-sbmu1]:[soc-sbmu5]])</f>
        <v>1</v>
      </c>
      <c r="U136" s="75"/>
      <c r="V136" s="75"/>
    </row>
    <row r="137" spans="1:22" ht="15">
      <c r="A137" t="s">
        <v>266</v>
      </c>
      <c r="B137" s="85" t="s">
        <v>549</v>
      </c>
      <c r="C137" s="75">
        <v>86.9</v>
      </c>
      <c r="D137" s="75">
        <v>1385.4</v>
      </c>
      <c r="E137" s="75">
        <v>87</v>
      </c>
      <c r="F137" s="75">
        <v>87</v>
      </c>
      <c r="G137" s="75">
        <v>86.7</v>
      </c>
      <c r="H137" s="75">
        <v>86.9</v>
      </c>
      <c r="I137" s="75">
        <v>86.9</v>
      </c>
      <c r="J137" s="83">
        <v>1385.9</v>
      </c>
      <c r="K137" s="83">
        <v>1385.8</v>
      </c>
      <c r="L137" s="83">
        <v>1385.3</v>
      </c>
      <c r="M137" s="83">
        <v>1385.7</v>
      </c>
      <c r="N137" s="83">
        <v>1385.9</v>
      </c>
      <c r="O137" s="75">
        <v>0</v>
      </c>
      <c r="P137" s="75">
        <v>0</v>
      </c>
      <c r="Q137" s="75">
        <v>1</v>
      </c>
      <c r="R137" s="75">
        <v>29</v>
      </c>
      <c r="S137" s="75">
        <f>MAX(Table2[[#This Row],[volt-sbmu1]:[volt-sbmu5]])-MIN(Table2[[#This Row],[volt-sbmu1]:[volt-sbmu5]])</f>
        <v>0.60000000000013642</v>
      </c>
      <c r="T137" s="75">
        <f>MAX(Table2[[#This Row],[soc-sbmu1]:[soc-sbmu5]])-MIN(Table2[[#This Row],[soc-sbmu1]:[soc-sbmu5]])</f>
        <v>0.29999999999999716</v>
      </c>
      <c r="U137" s="75"/>
      <c r="V137" s="75"/>
    </row>
    <row r="138" spans="1:22" ht="15">
      <c r="A138" t="s">
        <v>267</v>
      </c>
      <c r="B138" s="85" t="s">
        <v>550</v>
      </c>
      <c r="C138" s="75">
        <v>87.3</v>
      </c>
      <c r="D138" s="75">
        <v>1385.7</v>
      </c>
      <c r="E138" s="75">
        <v>87.2</v>
      </c>
      <c r="F138" s="75">
        <v>87</v>
      </c>
      <c r="G138" s="75">
        <v>87</v>
      </c>
      <c r="H138" s="75">
        <v>87.3</v>
      </c>
      <c r="I138" s="75">
        <v>87.4</v>
      </c>
      <c r="J138" s="83">
        <v>1385.8</v>
      </c>
      <c r="K138" s="83">
        <v>1385.8</v>
      </c>
      <c r="L138" s="83">
        <v>1386.3</v>
      </c>
      <c r="M138" s="83">
        <v>1385</v>
      </c>
      <c r="N138" s="83">
        <v>1386.4</v>
      </c>
      <c r="O138" s="75">
        <v>0</v>
      </c>
      <c r="P138" s="75">
        <v>0</v>
      </c>
      <c r="Q138" s="75">
        <v>1</v>
      </c>
      <c r="R138" s="75">
        <v>31</v>
      </c>
      <c r="S138" s="75">
        <f>MAX(Table2[[#This Row],[volt-sbmu1]:[volt-sbmu5]])-MIN(Table2[[#This Row],[volt-sbmu1]:[volt-sbmu5]])</f>
        <v>1.4000000000000909</v>
      </c>
      <c r="T138" s="75">
        <f>MAX(Table2[[#This Row],[soc-sbmu1]:[soc-sbmu5]])-MIN(Table2[[#This Row],[soc-sbmu1]:[soc-sbmu5]])</f>
        <v>0.40000000000000568</v>
      </c>
      <c r="U138" s="75"/>
      <c r="V138" s="75"/>
    </row>
    <row r="139" spans="1:22" ht="15">
      <c r="A139" t="s">
        <v>268</v>
      </c>
      <c r="B139" s="85" t="s">
        <v>551</v>
      </c>
      <c r="C139" s="75">
        <v>87.3</v>
      </c>
      <c r="D139" s="75">
        <v>1382.7</v>
      </c>
      <c r="E139" s="75">
        <v>87.3</v>
      </c>
      <c r="F139" s="75">
        <v>86.7</v>
      </c>
      <c r="G139" s="75">
        <v>87.5</v>
      </c>
      <c r="H139" s="75">
        <v>87.3</v>
      </c>
      <c r="I139" s="75">
        <v>87.5</v>
      </c>
      <c r="J139" s="83">
        <v>1383.2</v>
      </c>
      <c r="K139" s="83">
        <v>1384.1</v>
      </c>
      <c r="L139" s="83">
        <v>1383.4</v>
      </c>
      <c r="M139" s="83">
        <v>1383.5</v>
      </c>
      <c r="N139" s="83">
        <v>1382.5</v>
      </c>
      <c r="O139" s="75">
        <v>0</v>
      </c>
      <c r="P139" s="75">
        <v>0</v>
      </c>
      <c r="Q139" s="75">
        <v>1</v>
      </c>
      <c r="R139" s="75">
        <v>30</v>
      </c>
      <c r="S139" s="75">
        <f>MAX(Table2[[#This Row],[volt-sbmu1]:[volt-sbmu5]])-MIN(Table2[[#This Row],[volt-sbmu1]:[volt-sbmu5]])</f>
        <v>1.5999999999999091</v>
      </c>
      <c r="T139" s="75">
        <f>MAX(Table2[[#This Row],[soc-sbmu1]:[soc-sbmu5]])-MIN(Table2[[#This Row],[soc-sbmu1]:[soc-sbmu5]])</f>
        <v>0.79999999999999716</v>
      </c>
      <c r="U139" s="75"/>
      <c r="V139" s="75"/>
    </row>
    <row r="140" spans="1:22" ht="15">
      <c r="A140" t="s">
        <v>269</v>
      </c>
      <c r="B140" s="85" t="s">
        <v>552</v>
      </c>
      <c r="C140" s="75">
        <v>87.2</v>
      </c>
      <c r="D140" s="75">
        <v>1385.3</v>
      </c>
      <c r="E140" s="75">
        <v>87.3</v>
      </c>
      <c r="F140" s="75">
        <v>87.2</v>
      </c>
      <c r="G140" s="75">
        <v>86.7</v>
      </c>
      <c r="H140" s="75">
        <v>87</v>
      </c>
      <c r="I140" s="75">
        <v>86.8</v>
      </c>
      <c r="J140" s="83">
        <v>1385.1</v>
      </c>
      <c r="K140" s="83">
        <v>1384.8</v>
      </c>
      <c r="L140" s="83">
        <v>1385.9</v>
      </c>
      <c r="M140" s="83">
        <v>1385.4</v>
      </c>
      <c r="N140" s="83">
        <v>1384.8</v>
      </c>
      <c r="O140" s="75">
        <v>0</v>
      </c>
      <c r="P140" s="75">
        <v>0</v>
      </c>
      <c r="Q140" s="75">
        <v>1</v>
      </c>
      <c r="R140" s="75">
        <v>29</v>
      </c>
      <c r="S140" s="75">
        <f>MAX(Table2[[#This Row],[volt-sbmu1]:[volt-sbmu5]])-MIN(Table2[[#This Row],[volt-sbmu1]:[volt-sbmu5]])</f>
        <v>1.1000000000001364</v>
      </c>
      <c r="T140" s="75">
        <f>MAX(Table2[[#This Row],[soc-sbmu1]:[soc-sbmu5]])-MIN(Table2[[#This Row],[soc-sbmu1]:[soc-sbmu5]])</f>
        <v>0.59999999999999432</v>
      </c>
      <c r="U140" s="75"/>
      <c r="V140" s="75"/>
    </row>
    <row r="141" spans="1:22" ht="15">
      <c r="A141" t="s">
        <v>270</v>
      </c>
      <c r="B141" s="85" t="s">
        <v>553</v>
      </c>
      <c r="C141" s="75">
        <v>86.6</v>
      </c>
      <c r="D141" s="75">
        <v>1383.4</v>
      </c>
      <c r="E141" s="75">
        <v>86.7</v>
      </c>
      <c r="F141" s="75">
        <v>86.5</v>
      </c>
      <c r="G141" s="75">
        <v>86.7</v>
      </c>
      <c r="H141" s="75">
        <v>86.7</v>
      </c>
      <c r="I141" s="75">
        <v>86.7</v>
      </c>
      <c r="J141" s="83">
        <v>1384.2</v>
      </c>
      <c r="K141" s="83">
        <v>1384.2</v>
      </c>
      <c r="L141" s="83">
        <v>1382.4</v>
      </c>
      <c r="M141" s="83">
        <v>1384.1</v>
      </c>
      <c r="N141" s="83">
        <v>1383.4</v>
      </c>
      <c r="O141" s="75">
        <v>0</v>
      </c>
      <c r="P141" s="75">
        <v>0</v>
      </c>
      <c r="Q141" s="75">
        <v>1</v>
      </c>
      <c r="R141" s="75">
        <v>29</v>
      </c>
      <c r="S141" s="75">
        <f>MAX(Table2[[#This Row],[volt-sbmu1]:[volt-sbmu5]])-MIN(Table2[[#This Row],[volt-sbmu1]:[volt-sbmu5]])</f>
        <v>1.7999999999999545</v>
      </c>
      <c r="T141" s="75">
        <f>MAX(Table2[[#This Row],[soc-sbmu1]:[soc-sbmu5]])-MIN(Table2[[#This Row],[soc-sbmu1]:[soc-sbmu5]])</f>
        <v>0.20000000000000284</v>
      </c>
      <c r="U141" s="75"/>
      <c r="V141" s="75"/>
    </row>
    <row r="142" spans="1:22" ht="15">
      <c r="A142" t="s">
        <v>271</v>
      </c>
      <c r="B142" s="85" t="s">
        <v>554</v>
      </c>
      <c r="C142" s="75">
        <v>86.9</v>
      </c>
      <c r="D142" s="75">
        <v>1383.4</v>
      </c>
      <c r="E142" s="75">
        <v>87</v>
      </c>
      <c r="F142" s="75">
        <v>87</v>
      </c>
      <c r="G142" s="75">
        <v>86.5</v>
      </c>
      <c r="H142" s="75">
        <v>86.5</v>
      </c>
      <c r="I142" s="75">
        <v>86.7</v>
      </c>
      <c r="J142" s="83">
        <v>1383.9</v>
      </c>
      <c r="K142" s="83">
        <v>1382.4</v>
      </c>
      <c r="L142" s="83">
        <v>1382.8</v>
      </c>
      <c r="M142" s="83">
        <v>1384</v>
      </c>
      <c r="N142" s="83">
        <v>1383.1</v>
      </c>
      <c r="O142" s="75">
        <v>0</v>
      </c>
      <c r="P142" s="75">
        <v>0</v>
      </c>
      <c r="Q142" s="75">
        <v>1</v>
      </c>
      <c r="R142" s="75">
        <v>30</v>
      </c>
      <c r="S142" s="75">
        <f>MAX(Table2[[#This Row],[volt-sbmu1]:[volt-sbmu5]])-MIN(Table2[[#This Row],[volt-sbmu1]:[volt-sbmu5]])</f>
        <v>1.5999999999999091</v>
      </c>
      <c r="T142" s="75">
        <f>MAX(Table2[[#This Row],[soc-sbmu1]:[soc-sbmu5]])-MIN(Table2[[#This Row],[soc-sbmu1]:[soc-sbmu5]])</f>
        <v>0.5</v>
      </c>
      <c r="U142" s="75"/>
      <c r="V142" s="75"/>
    </row>
    <row r="143" spans="1:22" ht="15">
      <c r="A143" t="s">
        <v>272</v>
      </c>
      <c r="B143" s="85" t="s">
        <v>555</v>
      </c>
      <c r="C143" s="75">
        <v>87.1</v>
      </c>
      <c r="D143" s="75">
        <v>1382.1</v>
      </c>
      <c r="E143" s="75">
        <v>86.9</v>
      </c>
      <c r="F143" s="75">
        <v>87.3</v>
      </c>
      <c r="G143" s="75">
        <v>86.9</v>
      </c>
      <c r="H143" s="75">
        <v>86.8</v>
      </c>
      <c r="I143" s="75">
        <v>86.5</v>
      </c>
      <c r="J143" s="83">
        <v>1381.1</v>
      </c>
      <c r="K143" s="83">
        <v>1381.4</v>
      </c>
      <c r="L143" s="83">
        <v>1382.1</v>
      </c>
      <c r="M143" s="83">
        <v>1382.5</v>
      </c>
      <c r="N143" s="83">
        <v>1380.6</v>
      </c>
      <c r="O143" s="75">
        <v>0</v>
      </c>
      <c r="P143" s="75">
        <v>0</v>
      </c>
      <c r="Q143" s="75">
        <v>1</v>
      </c>
      <c r="R143" s="75">
        <v>29</v>
      </c>
      <c r="S143" s="75">
        <f>MAX(Table2[[#This Row],[volt-sbmu1]:[volt-sbmu5]])-MIN(Table2[[#This Row],[volt-sbmu1]:[volt-sbmu5]])</f>
        <v>1.9000000000000909</v>
      </c>
      <c r="T143" s="75">
        <f>MAX(Table2[[#This Row],[soc-sbmu1]:[soc-sbmu5]])-MIN(Table2[[#This Row],[soc-sbmu1]:[soc-sbmu5]])</f>
        <v>0.79999999999999716</v>
      </c>
      <c r="U143" s="75"/>
      <c r="V143" s="75"/>
    </row>
    <row r="144" spans="1:22" ht="15">
      <c r="A144" t="s">
        <v>273</v>
      </c>
      <c r="B144" s="85" t="s">
        <v>556</v>
      </c>
      <c r="C144" s="75">
        <v>87.5</v>
      </c>
      <c r="D144" s="75">
        <v>1386</v>
      </c>
      <c r="E144" s="75">
        <v>86.8</v>
      </c>
      <c r="F144" s="75">
        <v>86.9</v>
      </c>
      <c r="G144" s="75">
        <v>86.8</v>
      </c>
      <c r="H144" s="75">
        <v>87.7</v>
      </c>
      <c r="I144" s="75">
        <v>87.1</v>
      </c>
      <c r="J144" s="83">
        <v>1385.6</v>
      </c>
      <c r="K144" s="83">
        <v>1387.3</v>
      </c>
      <c r="L144" s="83">
        <v>1384.7</v>
      </c>
      <c r="M144" s="83">
        <v>1385.9</v>
      </c>
      <c r="N144" s="83">
        <v>1385.5</v>
      </c>
      <c r="O144" s="75">
        <v>0</v>
      </c>
      <c r="P144" s="75">
        <v>0</v>
      </c>
      <c r="Q144" s="75">
        <v>1</v>
      </c>
      <c r="R144" s="75">
        <v>29</v>
      </c>
      <c r="S144" s="75">
        <f>MAX(Table2[[#This Row],[volt-sbmu1]:[volt-sbmu5]])-MIN(Table2[[#This Row],[volt-sbmu1]:[volt-sbmu5]])</f>
        <v>2.5999999999999091</v>
      </c>
      <c r="T144" s="75">
        <f>MAX(Table2[[#This Row],[soc-sbmu1]:[soc-sbmu5]])-MIN(Table2[[#This Row],[soc-sbmu1]:[soc-sbmu5]])</f>
        <v>0.90000000000000568</v>
      </c>
      <c r="U144" s="75"/>
      <c r="V144" s="75"/>
    </row>
    <row r="145" spans="1:22" ht="15">
      <c r="A145" t="s">
        <v>274</v>
      </c>
      <c r="B145" s="85" t="s">
        <v>557</v>
      </c>
      <c r="C145" s="75">
        <v>87</v>
      </c>
      <c r="D145" s="75">
        <v>1386.2</v>
      </c>
      <c r="E145" s="75">
        <v>87.1</v>
      </c>
      <c r="F145" s="75">
        <v>86.8</v>
      </c>
      <c r="G145" s="75">
        <v>86.9</v>
      </c>
      <c r="H145" s="75">
        <v>86.9</v>
      </c>
      <c r="I145" s="75">
        <v>86.9</v>
      </c>
      <c r="J145" s="83">
        <v>1386.4</v>
      </c>
      <c r="K145" s="83">
        <v>1385.6</v>
      </c>
      <c r="L145" s="83">
        <v>1386.4</v>
      </c>
      <c r="M145" s="83">
        <v>1386</v>
      </c>
      <c r="N145" s="83">
        <v>1386.3</v>
      </c>
      <c r="O145" s="75">
        <v>0</v>
      </c>
      <c r="P145" s="75">
        <v>0</v>
      </c>
      <c r="Q145" s="75">
        <v>1</v>
      </c>
      <c r="R145" s="75">
        <v>29</v>
      </c>
      <c r="S145" s="75">
        <f>MAX(Table2[[#This Row],[volt-sbmu1]:[volt-sbmu5]])-MIN(Table2[[#This Row],[volt-sbmu1]:[volt-sbmu5]])</f>
        <v>0.8000000000001819</v>
      </c>
      <c r="T145" s="75">
        <f>MAX(Table2[[#This Row],[soc-sbmu1]:[soc-sbmu5]])-MIN(Table2[[#This Row],[soc-sbmu1]:[soc-sbmu5]])</f>
        <v>0.29999999999999716</v>
      </c>
      <c r="U145" s="75"/>
      <c r="V145" s="75"/>
    </row>
    <row r="146" spans="1:22" ht="15">
      <c r="A146" t="s">
        <v>275</v>
      </c>
      <c r="B146" s="85" t="s">
        <v>558</v>
      </c>
      <c r="C146" s="75">
        <v>87.3</v>
      </c>
      <c r="D146" s="75">
        <v>1381.1</v>
      </c>
      <c r="E146" s="75">
        <v>86.6</v>
      </c>
      <c r="F146" s="75">
        <v>87.5</v>
      </c>
      <c r="G146" s="75">
        <v>86.8</v>
      </c>
      <c r="H146" s="75">
        <v>86.5</v>
      </c>
      <c r="I146" s="75">
        <v>86.3</v>
      </c>
      <c r="J146" s="83">
        <v>1381.7</v>
      </c>
      <c r="K146" s="83">
        <v>1380.9</v>
      </c>
      <c r="L146" s="83">
        <v>1380.9</v>
      </c>
      <c r="M146" s="83">
        <v>1379.8</v>
      </c>
      <c r="N146" s="83">
        <v>1381.3</v>
      </c>
      <c r="O146" s="75">
        <v>0</v>
      </c>
      <c r="P146" s="75">
        <v>0</v>
      </c>
      <c r="Q146" s="75">
        <v>1</v>
      </c>
      <c r="R146" s="75">
        <v>30</v>
      </c>
      <c r="S146" s="75">
        <f>MAX(Table2[[#This Row],[volt-sbmu1]:[volt-sbmu5]])-MIN(Table2[[#This Row],[volt-sbmu1]:[volt-sbmu5]])</f>
        <v>1.9000000000000909</v>
      </c>
      <c r="T146" s="75">
        <f>MAX(Table2[[#This Row],[soc-sbmu1]:[soc-sbmu5]])-MIN(Table2[[#This Row],[soc-sbmu1]:[soc-sbmu5]])</f>
        <v>1.2000000000000028</v>
      </c>
      <c r="U146" s="75"/>
      <c r="V146" s="75"/>
    </row>
    <row r="147" spans="1:22" ht="15">
      <c r="A147" t="s">
        <v>276</v>
      </c>
      <c r="B147" s="85" t="s">
        <v>400</v>
      </c>
      <c r="C147" s="75">
        <v>87.3</v>
      </c>
      <c r="D147" s="75">
        <v>1387.3</v>
      </c>
      <c r="E147" s="75">
        <v>87.5</v>
      </c>
      <c r="F147" s="75">
        <v>87.5</v>
      </c>
      <c r="G147" s="75">
        <v>87.3</v>
      </c>
      <c r="H147" s="75">
        <v>86.7</v>
      </c>
      <c r="I147" s="75">
        <v>87.5</v>
      </c>
      <c r="J147" s="83">
        <v>1385.7</v>
      </c>
      <c r="K147" s="83">
        <v>1386.5</v>
      </c>
      <c r="L147" s="83">
        <v>1385.3</v>
      </c>
      <c r="M147" s="83">
        <v>1386.5</v>
      </c>
      <c r="N147" s="83">
        <v>1388</v>
      </c>
      <c r="O147" s="75">
        <v>0</v>
      </c>
      <c r="P147" s="75">
        <v>0</v>
      </c>
      <c r="Q147" s="75">
        <v>1</v>
      </c>
      <c r="R147" s="75">
        <v>29</v>
      </c>
      <c r="S147" s="75">
        <f>MAX(Table2[[#This Row],[volt-sbmu1]:[volt-sbmu5]])-MIN(Table2[[#This Row],[volt-sbmu1]:[volt-sbmu5]])</f>
        <v>2.7000000000000455</v>
      </c>
      <c r="T147" s="75">
        <f>MAX(Table2[[#This Row],[soc-sbmu1]:[soc-sbmu5]])-MIN(Table2[[#This Row],[soc-sbmu1]:[soc-sbmu5]])</f>
        <v>0.79999999999999716</v>
      </c>
      <c r="U147" s="75"/>
      <c r="V147" s="75"/>
    </row>
    <row r="148" spans="1:22" ht="15">
      <c r="A148" t="s">
        <v>277</v>
      </c>
      <c r="B148" s="85" t="s">
        <v>401</v>
      </c>
      <c r="C148" s="75">
        <v>87.7</v>
      </c>
      <c r="D148" s="75">
        <v>1384.6</v>
      </c>
      <c r="E148" s="75">
        <v>87</v>
      </c>
      <c r="F148" s="75">
        <v>87.9</v>
      </c>
      <c r="G148" s="75">
        <v>86.7</v>
      </c>
      <c r="H148" s="75">
        <v>87.5</v>
      </c>
      <c r="I148" s="75">
        <v>87.5</v>
      </c>
      <c r="J148" s="83">
        <v>1384.4</v>
      </c>
      <c r="K148" s="83">
        <v>1383.7</v>
      </c>
      <c r="L148" s="83">
        <v>1384.4</v>
      </c>
      <c r="M148" s="83">
        <v>1385.3</v>
      </c>
      <c r="N148" s="83">
        <v>1385</v>
      </c>
      <c r="O148" s="75">
        <v>0</v>
      </c>
      <c r="P148" s="75">
        <v>0</v>
      </c>
      <c r="Q148" s="75">
        <v>1</v>
      </c>
      <c r="R148" s="75">
        <v>28</v>
      </c>
      <c r="S148" s="75">
        <f>MAX(Table2[[#This Row],[volt-sbmu1]:[volt-sbmu5]])-MIN(Table2[[#This Row],[volt-sbmu1]:[volt-sbmu5]])</f>
        <v>1.5999999999999091</v>
      </c>
      <c r="T148" s="75">
        <f>MAX(Table2[[#This Row],[soc-sbmu1]:[soc-sbmu5]])-MIN(Table2[[#This Row],[soc-sbmu1]:[soc-sbmu5]])</f>
        <v>1.2000000000000028</v>
      </c>
      <c r="U148" s="75"/>
      <c r="V148" s="75"/>
    </row>
    <row r="149" spans="1:22" ht="15">
      <c r="A149" t="s">
        <v>278</v>
      </c>
      <c r="B149" s="85" t="s">
        <v>402</v>
      </c>
      <c r="C149" s="75">
        <v>87.6</v>
      </c>
      <c r="D149" s="75">
        <v>1384.8</v>
      </c>
      <c r="E149" s="75">
        <v>87.7</v>
      </c>
      <c r="F149" s="75">
        <v>86.9</v>
      </c>
      <c r="G149" s="75">
        <v>87.5</v>
      </c>
      <c r="H149" s="75">
        <v>86.9</v>
      </c>
      <c r="I149" s="75">
        <v>86.9</v>
      </c>
      <c r="J149" s="83">
        <v>1384.8</v>
      </c>
      <c r="K149" s="83">
        <v>1384.6</v>
      </c>
      <c r="L149" s="83">
        <v>1385.5</v>
      </c>
      <c r="M149" s="83">
        <v>1384.6</v>
      </c>
      <c r="N149" s="83">
        <v>1384.7</v>
      </c>
      <c r="O149" s="75">
        <v>0</v>
      </c>
      <c r="P149" s="75">
        <v>0</v>
      </c>
      <c r="Q149" s="75">
        <v>1</v>
      </c>
      <c r="R149" s="75">
        <v>29</v>
      </c>
      <c r="S149" s="75">
        <f>MAX(Table2[[#This Row],[volt-sbmu1]:[volt-sbmu5]])-MIN(Table2[[#This Row],[volt-sbmu1]:[volt-sbmu5]])</f>
        <v>0.90000000000009095</v>
      </c>
      <c r="T149" s="75">
        <f>MAX(Table2[[#This Row],[soc-sbmu1]:[soc-sbmu5]])-MIN(Table2[[#This Row],[soc-sbmu1]:[soc-sbmu5]])</f>
        <v>0.79999999999999716</v>
      </c>
      <c r="U149" s="75"/>
      <c r="V149" s="75"/>
    </row>
    <row r="150" spans="1:22" ht="15">
      <c r="A150" t="s">
        <v>279</v>
      </c>
      <c r="B150" s="85" t="s">
        <v>403</v>
      </c>
      <c r="C150" s="75">
        <v>87.2</v>
      </c>
      <c r="D150" s="75">
        <v>1384.8</v>
      </c>
      <c r="E150" s="75">
        <v>86.9</v>
      </c>
      <c r="F150" s="75">
        <v>87.3</v>
      </c>
      <c r="G150" s="75">
        <v>87.2</v>
      </c>
      <c r="H150" s="75">
        <v>86.9</v>
      </c>
      <c r="I150" s="75">
        <v>86.9</v>
      </c>
      <c r="J150" s="83">
        <v>1384.2</v>
      </c>
      <c r="K150" s="83">
        <v>1384.2</v>
      </c>
      <c r="L150" s="83">
        <v>1384.8</v>
      </c>
      <c r="M150" s="83">
        <v>1384.2</v>
      </c>
      <c r="N150" s="83">
        <v>1385</v>
      </c>
      <c r="O150" s="75">
        <v>0</v>
      </c>
      <c r="P150" s="75">
        <v>0</v>
      </c>
      <c r="Q150" s="75">
        <v>1</v>
      </c>
      <c r="R150" s="75">
        <v>29</v>
      </c>
      <c r="S150" s="75">
        <f>MAX(Table2[[#This Row],[volt-sbmu1]:[volt-sbmu5]])-MIN(Table2[[#This Row],[volt-sbmu1]:[volt-sbmu5]])</f>
        <v>0.79999999999995453</v>
      </c>
      <c r="T150" s="75">
        <f>MAX(Table2[[#This Row],[soc-sbmu1]:[soc-sbmu5]])-MIN(Table2[[#This Row],[soc-sbmu1]:[soc-sbmu5]])</f>
        <v>0.39999999999999147</v>
      </c>
      <c r="U150" s="75"/>
      <c r="V150" s="75"/>
    </row>
    <row r="151" spans="1:22" ht="15">
      <c r="A151" t="s">
        <v>280</v>
      </c>
      <c r="B151" s="85" t="s">
        <v>559</v>
      </c>
      <c r="C151" s="75">
        <v>1</v>
      </c>
      <c r="D151" s="75">
        <v>1226.5999999999999</v>
      </c>
      <c r="E151" s="75">
        <v>1</v>
      </c>
      <c r="F151" s="75">
        <v>1</v>
      </c>
      <c r="G151" s="75">
        <v>1</v>
      </c>
      <c r="H151" s="75">
        <v>1</v>
      </c>
      <c r="I151" s="75">
        <v>1</v>
      </c>
      <c r="J151" s="83">
        <v>1226.4000000000001</v>
      </c>
      <c r="K151" s="83">
        <v>1226.5</v>
      </c>
      <c r="L151" s="83">
        <v>1226.3</v>
      </c>
      <c r="M151" s="83">
        <v>1226.4000000000001</v>
      </c>
      <c r="N151" s="83">
        <v>1226.3</v>
      </c>
      <c r="O151" s="75">
        <v>0</v>
      </c>
      <c r="P151" s="75">
        <v>0</v>
      </c>
      <c r="Q151" s="75">
        <v>4</v>
      </c>
      <c r="R151" s="75">
        <v>29</v>
      </c>
      <c r="S151" s="75">
        <f>MAX(Table2[[#This Row],[volt-sbmu1]:[volt-sbmu5]])-MIN(Table2[[#This Row],[volt-sbmu1]:[volt-sbmu5]])</f>
        <v>0.20000000000004547</v>
      </c>
      <c r="T151" s="75">
        <f>MAX(Table2[[#This Row],[soc-sbmu1]:[soc-sbmu5]])-MIN(Table2[[#This Row],[soc-sbmu1]:[soc-sbmu5]])</f>
        <v>0</v>
      </c>
      <c r="U151" s="75"/>
      <c r="V151" s="75"/>
    </row>
    <row r="152" spans="1:22" ht="15">
      <c r="A152" t="s">
        <v>281</v>
      </c>
      <c r="B152" s="85" t="s">
        <v>560</v>
      </c>
      <c r="C152" s="75">
        <v>1</v>
      </c>
      <c r="D152" s="75">
        <v>1239</v>
      </c>
      <c r="E152" s="75">
        <v>1</v>
      </c>
      <c r="F152" s="75">
        <v>1</v>
      </c>
      <c r="G152" s="75">
        <v>1</v>
      </c>
      <c r="H152" s="75">
        <v>1</v>
      </c>
      <c r="I152" s="75">
        <v>1</v>
      </c>
      <c r="J152" s="83">
        <v>1238.5999999999999</v>
      </c>
      <c r="K152" s="83">
        <v>1238.5</v>
      </c>
      <c r="L152" s="83">
        <v>1239.0999999999999</v>
      </c>
      <c r="M152" s="83">
        <v>1238.2</v>
      </c>
      <c r="N152" s="83">
        <v>1239.3</v>
      </c>
      <c r="O152" s="75">
        <v>0</v>
      </c>
      <c r="P152" s="75">
        <v>0</v>
      </c>
      <c r="Q152" s="75">
        <v>4</v>
      </c>
      <c r="R152" s="75">
        <v>28</v>
      </c>
      <c r="S152" s="75">
        <f>MAX(Table2[[#This Row],[volt-sbmu1]:[volt-sbmu5]])-MIN(Table2[[#This Row],[volt-sbmu1]:[volt-sbmu5]])</f>
        <v>1.0999999999999091</v>
      </c>
      <c r="T152" s="75">
        <f>MAX(Table2[[#This Row],[soc-sbmu1]:[soc-sbmu5]])-MIN(Table2[[#This Row],[soc-sbmu1]:[soc-sbmu5]])</f>
        <v>0</v>
      </c>
      <c r="U152" s="75"/>
      <c r="V152" s="75"/>
    </row>
    <row r="153" spans="1:22" ht="15">
      <c r="A153" t="s">
        <v>282</v>
      </c>
      <c r="B153" s="85" t="s">
        <v>561</v>
      </c>
      <c r="C153" s="75">
        <v>90.7</v>
      </c>
      <c r="D153" s="75">
        <v>1386</v>
      </c>
      <c r="E153" s="75">
        <v>90.9</v>
      </c>
      <c r="F153" s="75">
        <v>89.4</v>
      </c>
      <c r="G153" s="75">
        <v>89.7</v>
      </c>
      <c r="H153" s="75">
        <v>89.7</v>
      </c>
      <c r="I153" s="75">
        <v>90</v>
      </c>
      <c r="J153" s="83">
        <v>1385.9</v>
      </c>
      <c r="K153" s="83">
        <v>1386.1</v>
      </c>
      <c r="L153" s="83">
        <v>1385.6</v>
      </c>
      <c r="M153" s="83">
        <v>1386.7</v>
      </c>
      <c r="N153" s="83">
        <v>1385.2</v>
      </c>
      <c r="O153" s="75">
        <v>0</v>
      </c>
      <c r="P153" s="75">
        <v>0</v>
      </c>
      <c r="Q153" s="75">
        <v>1</v>
      </c>
      <c r="R153" s="75">
        <v>29</v>
      </c>
      <c r="S153" s="75">
        <f>MAX(Table2[[#This Row],[volt-sbmu1]:[volt-sbmu5]])-MIN(Table2[[#This Row],[volt-sbmu1]:[volt-sbmu5]])</f>
        <v>1.5</v>
      </c>
      <c r="T153" s="75">
        <f>MAX(Table2[[#This Row],[soc-sbmu1]:[soc-sbmu5]])-MIN(Table2[[#This Row],[soc-sbmu1]:[soc-sbmu5]])</f>
        <v>1.5</v>
      </c>
      <c r="U153" s="75"/>
      <c r="V153" s="75"/>
    </row>
    <row r="154" spans="1:22" ht="15">
      <c r="A154" t="s">
        <v>283</v>
      </c>
      <c r="B154" s="85" t="s">
        <v>562</v>
      </c>
      <c r="C154" s="75">
        <v>99.8</v>
      </c>
      <c r="D154" s="75">
        <v>1385.5</v>
      </c>
      <c r="E154" s="75">
        <v>99.8</v>
      </c>
      <c r="F154" s="75">
        <v>99.8</v>
      </c>
      <c r="G154" s="75">
        <v>99.9</v>
      </c>
      <c r="H154" s="75">
        <v>99.8</v>
      </c>
      <c r="I154" s="75">
        <v>99.8</v>
      </c>
      <c r="J154" s="83">
        <v>1386.3</v>
      </c>
      <c r="K154" s="83">
        <v>1386.4</v>
      </c>
      <c r="L154" s="83">
        <v>1385.2</v>
      </c>
      <c r="M154" s="83">
        <v>1385.1</v>
      </c>
      <c r="N154" s="83">
        <v>1385.1</v>
      </c>
      <c r="O154" s="75">
        <v>0</v>
      </c>
      <c r="P154" s="75">
        <v>0</v>
      </c>
      <c r="Q154" s="75">
        <v>1</v>
      </c>
      <c r="R154" s="75">
        <v>28</v>
      </c>
      <c r="S154" s="75">
        <f>MAX(Table2[[#This Row],[volt-sbmu1]:[volt-sbmu5]])-MIN(Table2[[#This Row],[volt-sbmu1]:[volt-sbmu5]])</f>
        <v>1.3000000000001819</v>
      </c>
      <c r="T154" s="75">
        <f>MAX(Table2[[#This Row],[soc-sbmu1]:[soc-sbmu5]])-MIN(Table2[[#This Row],[soc-sbmu1]:[soc-sbmu5]])</f>
        <v>0.10000000000000853</v>
      </c>
      <c r="U154" s="75"/>
      <c r="V154" s="75"/>
    </row>
    <row r="155" spans="1:22" ht="15">
      <c r="A155" t="s">
        <v>131</v>
      </c>
      <c r="B155" s="85" t="s">
        <v>563</v>
      </c>
      <c r="C155" s="75">
        <v>87.6</v>
      </c>
      <c r="D155" s="75">
        <v>1385.3</v>
      </c>
      <c r="E155" s="75">
        <v>87.7</v>
      </c>
      <c r="F155" s="75">
        <v>87.9</v>
      </c>
      <c r="G155" s="75">
        <v>85.6</v>
      </c>
      <c r="H155" s="75">
        <v>86.8</v>
      </c>
      <c r="I155" s="75">
        <v>87.7</v>
      </c>
      <c r="J155" s="83">
        <v>1385.7</v>
      </c>
      <c r="K155" s="83">
        <v>1384.6</v>
      </c>
      <c r="L155" s="83">
        <v>1386.2</v>
      </c>
      <c r="M155" s="83">
        <v>1384.9</v>
      </c>
      <c r="N155" s="83">
        <v>1385.9</v>
      </c>
      <c r="O155" s="75">
        <v>0</v>
      </c>
      <c r="P155" s="75">
        <v>0</v>
      </c>
      <c r="Q155" s="75">
        <v>1</v>
      </c>
      <c r="R155" s="75">
        <v>29</v>
      </c>
      <c r="S155" s="75">
        <f>MAX(Table2[[#This Row],[volt-sbmu1]:[volt-sbmu5]])-MIN(Table2[[#This Row],[volt-sbmu1]:[volt-sbmu5]])</f>
        <v>1.6000000000001364</v>
      </c>
      <c r="T155" s="75">
        <f>MAX(Table2[[#This Row],[soc-sbmu1]:[soc-sbmu5]])-MIN(Table2[[#This Row],[soc-sbmu1]:[soc-sbmu5]])</f>
        <v>2.3000000000000114</v>
      </c>
      <c r="U155" s="75"/>
      <c r="V155" s="75"/>
    </row>
    <row r="156" spans="1:22" ht="15">
      <c r="A156" t="s">
        <v>284</v>
      </c>
      <c r="B156" s="85" t="s">
        <v>564</v>
      </c>
      <c r="C156" s="75">
        <v>87.5</v>
      </c>
      <c r="D156" s="75">
        <v>1385.5</v>
      </c>
      <c r="E156" s="75">
        <v>86.9</v>
      </c>
      <c r="F156" s="75">
        <v>86.9</v>
      </c>
      <c r="G156" s="75">
        <v>87.6</v>
      </c>
      <c r="H156" s="75">
        <v>86.9</v>
      </c>
      <c r="I156" s="75">
        <v>86.9</v>
      </c>
      <c r="J156" s="83">
        <v>1385.5</v>
      </c>
      <c r="K156" s="83">
        <v>1385.5</v>
      </c>
      <c r="L156" s="83">
        <v>1385.3</v>
      </c>
      <c r="M156" s="83">
        <v>1385.9</v>
      </c>
      <c r="N156" s="83">
        <v>1385.6</v>
      </c>
      <c r="O156" s="75">
        <v>0</v>
      </c>
      <c r="P156" s="75">
        <v>0</v>
      </c>
      <c r="Q156" s="75">
        <v>1</v>
      </c>
      <c r="R156" s="75">
        <v>29</v>
      </c>
      <c r="S156" s="75">
        <f>MAX(Table2[[#This Row],[volt-sbmu1]:[volt-sbmu5]])-MIN(Table2[[#This Row],[volt-sbmu1]:[volt-sbmu5]])</f>
        <v>0.60000000000013642</v>
      </c>
      <c r="T156" s="75">
        <f>MAX(Table2[[#This Row],[soc-sbmu1]:[soc-sbmu5]])-MIN(Table2[[#This Row],[soc-sbmu1]:[soc-sbmu5]])</f>
        <v>0.69999999999998863</v>
      </c>
      <c r="U156" s="75"/>
      <c r="V156" s="75"/>
    </row>
    <row r="157" spans="1:22" ht="15">
      <c r="A157" t="s">
        <v>285</v>
      </c>
      <c r="B157" s="85" t="s">
        <v>565</v>
      </c>
      <c r="C157" s="75">
        <v>87.4</v>
      </c>
      <c r="D157" s="75">
        <v>1385.7</v>
      </c>
      <c r="E157" s="75">
        <v>86.9</v>
      </c>
      <c r="F157" s="75">
        <v>87.5</v>
      </c>
      <c r="G157" s="75">
        <v>86.9</v>
      </c>
      <c r="H157" s="75">
        <v>86.8</v>
      </c>
      <c r="I157" s="75">
        <v>87.1</v>
      </c>
      <c r="J157" s="83">
        <v>1385.3</v>
      </c>
      <c r="K157" s="83">
        <v>1386.8</v>
      </c>
      <c r="L157" s="83">
        <v>1385.6</v>
      </c>
      <c r="M157" s="83">
        <v>1385</v>
      </c>
      <c r="N157" s="83">
        <v>1385.2</v>
      </c>
      <c r="O157" s="75">
        <v>0</v>
      </c>
      <c r="P157" s="75">
        <v>0</v>
      </c>
      <c r="Q157" s="75">
        <v>1</v>
      </c>
      <c r="R157" s="75">
        <v>29</v>
      </c>
      <c r="S157" s="75">
        <f>MAX(Table2[[#This Row],[volt-sbmu1]:[volt-sbmu5]])-MIN(Table2[[#This Row],[volt-sbmu1]:[volt-sbmu5]])</f>
        <v>1.7999999999999545</v>
      </c>
      <c r="T157" s="75">
        <f>MAX(Table2[[#This Row],[soc-sbmu1]:[soc-sbmu5]])-MIN(Table2[[#This Row],[soc-sbmu1]:[soc-sbmu5]])</f>
        <v>0.70000000000000284</v>
      </c>
      <c r="U157" s="75"/>
      <c r="V157" s="75"/>
    </row>
    <row r="158" spans="1:22" ht="15">
      <c r="A158" t="s">
        <v>286</v>
      </c>
      <c r="B158" s="85" t="s">
        <v>566</v>
      </c>
      <c r="C158" s="75">
        <v>86.8</v>
      </c>
      <c r="D158" s="75">
        <v>1385.5</v>
      </c>
      <c r="E158" s="75">
        <v>86.9</v>
      </c>
      <c r="F158" s="75">
        <v>86.9</v>
      </c>
      <c r="G158" s="75">
        <v>86.7</v>
      </c>
      <c r="H158" s="75">
        <v>86.7</v>
      </c>
      <c r="I158" s="75">
        <v>86.7</v>
      </c>
      <c r="J158" s="83">
        <v>1386.2</v>
      </c>
      <c r="K158" s="83">
        <v>1386.1</v>
      </c>
      <c r="L158" s="83">
        <v>1385.4</v>
      </c>
      <c r="M158" s="83">
        <v>1385.9</v>
      </c>
      <c r="N158" s="83">
        <v>1385.3</v>
      </c>
      <c r="O158" s="75">
        <v>0</v>
      </c>
      <c r="P158" s="75">
        <v>0</v>
      </c>
      <c r="Q158" s="75">
        <v>1</v>
      </c>
      <c r="R158" s="75">
        <v>29</v>
      </c>
      <c r="S158" s="75">
        <f>MAX(Table2[[#This Row],[volt-sbmu1]:[volt-sbmu5]])-MIN(Table2[[#This Row],[volt-sbmu1]:[volt-sbmu5]])</f>
        <v>0.90000000000009095</v>
      </c>
      <c r="T158" s="75">
        <f>MAX(Table2[[#This Row],[soc-sbmu1]:[soc-sbmu5]])-MIN(Table2[[#This Row],[soc-sbmu1]:[soc-sbmu5]])</f>
        <v>0.20000000000000284</v>
      </c>
      <c r="U158" s="75"/>
      <c r="V158" s="75"/>
    </row>
    <row r="159" spans="1:22" ht="15">
      <c r="A159" t="s">
        <v>287</v>
      </c>
      <c r="B159" s="85" t="s">
        <v>567</v>
      </c>
      <c r="C159" s="75">
        <v>87.3</v>
      </c>
      <c r="D159" s="75">
        <v>1383.9</v>
      </c>
      <c r="E159" s="75">
        <v>87.4</v>
      </c>
      <c r="F159" s="75">
        <v>87.4</v>
      </c>
      <c r="G159" s="75">
        <v>86.8</v>
      </c>
      <c r="H159" s="75">
        <v>87.4</v>
      </c>
      <c r="I159" s="75">
        <v>86.7</v>
      </c>
      <c r="J159" s="83">
        <v>1383.8</v>
      </c>
      <c r="K159" s="83">
        <v>1384.1</v>
      </c>
      <c r="L159" s="83">
        <v>1384.4</v>
      </c>
      <c r="M159" s="83">
        <v>1383.7</v>
      </c>
      <c r="N159" s="83">
        <v>1384.3</v>
      </c>
      <c r="O159" s="75">
        <v>0</v>
      </c>
      <c r="P159" s="75">
        <v>0</v>
      </c>
      <c r="Q159" s="75">
        <v>1</v>
      </c>
      <c r="R159" s="75">
        <v>29</v>
      </c>
      <c r="S159" s="75">
        <f>MAX(Table2[[#This Row],[volt-sbmu1]:[volt-sbmu5]])-MIN(Table2[[#This Row],[volt-sbmu1]:[volt-sbmu5]])</f>
        <v>0.70000000000004547</v>
      </c>
      <c r="T159" s="75">
        <f>MAX(Table2[[#This Row],[soc-sbmu1]:[soc-sbmu5]])-MIN(Table2[[#This Row],[soc-sbmu1]:[soc-sbmu5]])</f>
        <v>0.70000000000000284</v>
      </c>
      <c r="U159" s="75"/>
      <c r="V159" s="75"/>
    </row>
    <row r="160" spans="1:22" ht="15">
      <c r="A160" t="s">
        <v>288</v>
      </c>
      <c r="B160" s="85" t="s">
        <v>568</v>
      </c>
      <c r="C160" s="75">
        <v>87.5</v>
      </c>
      <c r="D160" s="75">
        <v>1383.9</v>
      </c>
      <c r="E160" s="75">
        <v>86.8</v>
      </c>
      <c r="F160" s="75">
        <v>87.7</v>
      </c>
      <c r="G160" s="75">
        <v>87.3</v>
      </c>
      <c r="H160" s="75">
        <v>86.9</v>
      </c>
      <c r="I160" s="75">
        <v>86.6</v>
      </c>
      <c r="J160" s="83">
        <v>1384.2</v>
      </c>
      <c r="K160" s="83">
        <v>1384.6</v>
      </c>
      <c r="L160" s="83">
        <v>1383.5</v>
      </c>
      <c r="M160" s="83">
        <v>1382.8</v>
      </c>
      <c r="N160" s="83">
        <v>1383.3</v>
      </c>
      <c r="O160" s="75">
        <v>0</v>
      </c>
      <c r="P160" s="75">
        <v>0</v>
      </c>
      <c r="Q160" s="75">
        <v>1</v>
      </c>
      <c r="R160" s="75">
        <v>28</v>
      </c>
      <c r="S160" s="75">
        <f>MAX(Table2[[#This Row],[volt-sbmu1]:[volt-sbmu5]])-MIN(Table2[[#This Row],[volt-sbmu1]:[volt-sbmu5]])</f>
        <v>1.7999999999999545</v>
      </c>
      <c r="T160" s="75">
        <f>MAX(Table2[[#This Row],[soc-sbmu1]:[soc-sbmu5]])-MIN(Table2[[#This Row],[soc-sbmu1]:[soc-sbmu5]])</f>
        <v>1.1000000000000085</v>
      </c>
      <c r="U160" s="75"/>
      <c r="V160" s="75"/>
    </row>
    <row r="161" spans="1:22" ht="15">
      <c r="A161" t="s">
        <v>289</v>
      </c>
      <c r="B161" s="85" t="s">
        <v>569</v>
      </c>
      <c r="C161" s="75">
        <v>87</v>
      </c>
      <c r="D161" s="75">
        <v>1385.4</v>
      </c>
      <c r="E161" s="75">
        <v>86.9</v>
      </c>
      <c r="F161" s="75">
        <v>87.1</v>
      </c>
      <c r="G161" s="75">
        <v>86.9</v>
      </c>
      <c r="H161" s="75">
        <v>86.9</v>
      </c>
      <c r="I161" s="75">
        <v>87.1</v>
      </c>
      <c r="J161" s="83">
        <v>1385.2</v>
      </c>
      <c r="K161" s="83">
        <v>1384.9</v>
      </c>
      <c r="L161" s="83">
        <v>1386.2</v>
      </c>
      <c r="M161" s="83">
        <v>1384.5</v>
      </c>
      <c r="N161" s="83">
        <v>1385.7</v>
      </c>
      <c r="O161" s="75">
        <v>0</v>
      </c>
      <c r="P161" s="75">
        <v>0</v>
      </c>
      <c r="Q161" s="75">
        <v>1</v>
      </c>
      <c r="R161" s="75">
        <v>28</v>
      </c>
      <c r="S161" s="75">
        <f>MAX(Table2[[#This Row],[volt-sbmu1]:[volt-sbmu5]])-MIN(Table2[[#This Row],[volt-sbmu1]:[volt-sbmu5]])</f>
        <v>1.7000000000000455</v>
      </c>
      <c r="T161" s="75">
        <f>MAX(Table2[[#This Row],[soc-sbmu1]:[soc-sbmu5]])-MIN(Table2[[#This Row],[soc-sbmu1]:[soc-sbmu5]])</f>
        <v>0.19999999999998863</v>
      </c>
      <c r="U161" s="75"/>
      <c r="V161" s="75"/>
    </row>
    <row r="162" spans="1:22" ht="15">
      <c r="A162" t="s">
        <v>290</v>
      </c>
      <c r="B162" s="85" t="s">
        <v>570</v>
      </c>
      <c r="C162" s="75">
        <v>87.7</v>
      </c>
      <c r="D162" s="75">
        <v>1384</v>
      </c>
      <c r="E162" s="75">
        <v>86.7</v>
      </c>
      <c r="F162" s="75">
        <v>87.5</v>
      </c>
      <c r="G162" s="75">
        <v>87.9</v>
      </c>
      <c r="H162" s="75">
        <v>86.7</v>
      </c>
      <c r="I162" s="75">
        <v>86.7</v>
      </c>
      <c r="J162" s="83">
        <v>1385</v>
      </c>
      <c r="K162" s="83">
        <v>1384.4</v>
      </c>
      <c r="L162" s="83">
        <v>1384</v>
      </c>
      <c r="M162" s="83">
        <v>1384.1</v>
      </c>
      <c r="N162" s="83">
        <v>1383.9</v>
      </c>
      <c r="O162" s="75">
        <v>0</v>
      </c>
      <c r="P162" s="75">
        <v>0</v>
      </c>
      <c r="Q162" s="75">
        <v>1</v>
      </c>
      <c r="R162" s="75">
        <v>29</v>
      </c>
      <c r="S162" s="75">
        <f>MAX(Table2[[#This Row],[volt-sbmu1]:[volt-sbmu5]])-MIN(Table2[[#This Row],[volt-sbmu1]:[volt-sbmu5]])</f>
        <v>1.0999999999999091</v>
      </c>
      <c r="T162" s="75">
        <f>MAX(Table2[[#This Row],[soc-sbmu1]:[soc-sbmu5]])-MIN(Table2[[#This Row],[soc-sbmu1]:[soc-sbmu5]])</f>
        <v>1.2000000000000028</v>
      </c>
      <c r="U162" s="75"/>
      <c r="V162" s="75"/>
    </row>
    <row r="163" spans="1:22" ht="15">
      <c r="A163" t="s">
        <v>291</v>
      </c>
      <c r="B163" s="85" t="s">
        <v>571</v>
      </c>
      <c r="C163" s="75">
        <v>87.5</v>
      </c>
      <c r="D163" s="75">
        <v>1385.7</v>
      </c>
      <c r="E163" s="75">
        <v>87.2</v>
      </c>
      <c r="F163" s="75">
        <v>87.7</v>
      </c>
      <c r="G163" s="75">
        <v>86.9</v>
      </c>
      <c r="H163" s="75">
        <v>86.7</v>
      </c>
      <c r="I163" s="75">
        <v>86.7</v>
      </c>
      <c r="J163" s="83">
        <v>1385.7</v>
      </c>
      <c r="K163" s="83">
        <v>1385.5</v>
      </c>
      <c r="L163" s="83">
        <v>1386.3</v>
      </c>
      <c r="M163" s="83">
        <v>1386.5</v>
      </c>
      <c r="N163" s="83">
        <v>1385</v>
      </c>
      <c r="O163" s="75">
        <v>0</v>
      </c>
      <c r="P163" s="75">
        <v>0</v>
      </c>
      <c r="Q163" s="75">
        <v>1</v>
      </c>
      <c r="R163" s="75">
        <v>29</v>
      </c>
      <c r="S163" s="75">
        <f>MAX(Table2[[#This Row],[volt-sbmu1]:[volt-sbmu5]])-MIN(Table2[[#This Row],[volt-sbmu1]:[volt-sbmu5]])</f>
        <v>1.5</v>
      </c>
      <c r="T163" s="75">
        <f>MAX(Table2[[#This Row],[soc-sbmu1]:[soc-sbmu5]])-MIN(Table2[[#This Row],[soc-sbmu1]:[soc-sbmu5]])</f>
        <v>1</v>
      </c>
      <c r="U163" s="75"/>
      <c r="V163" s="75"/>
    </row>
    <row r="164" spans="1:22" ht="15">
      <c r="A164" t="s">
        <v>292</v>
      </c>
      <c r="B164" s="85" t="s">
        <v>572</v>
      </c>
      <c r="C164" s="75">
        <v>87.3</v>
      </c>
      <c r="D164" s="75">
        <v>1384.9</v>
      </c>
      <c r="E164" s="75">
        <v>86.9</v>
      </c>
      <c r="F164" s="75">
        <v>87.4</v>
      </c>
      <c r="G164" s="75">
        <v>87.2</v>
      </c>
      <c r="H164" s="75">
        <v>87.1</v>
      </c>
      <c r="I164" s="75">
        <v>86.7</v>
      </c>
      <c r="J164" s="83">
        <v>1385.3</v>
      </c>
      <c r="K164" s="83">
        <v>1385.7</v>
      </c>
      <c r="L164" s="83">
        <v>1384.7</v>
      </c>
      <c r="M164" s="83">
        <v>1384.5</v>
      </c>
      <c r="N164" s="83">
        <v>1383.7</v>
      </c>
      <c r="O164" s="75">
        <v>0</v>
      </c>
      <c r="P164" s="75">
        <v>0</v>
      </c>
      <c r="Q164" s="75">
        <v>1</v>
      </c>
      <c r="R164" s="75">
        <v>29</v>
      </c>
      <c r="S164" s="75">
        <f>MAX(Table2[[#This Row],[volt-sbmu1]:[volt-sbmu5]])-MIN(Table2[[#This Row],[volt-sbmu1]:[volt-sbmu5]])</f>
        <v>2</v>
      </c>
      <c r="T164" s="75">
        <f>MAX(Table2[[#This Row],[soc-sbmu1]:[soc-sbmu5]])-MIN(Table2[[#This Row],[soc-sbmu1]:[soc-sbmu5]])</f>
        <v>0.70000000000000284</v>
      </c>
      <c r="U164" s="75"/>
      <c r="V164" s="75"/>
    </row>
    <row r="165" spans="1:22" ht="15">
      <c r="A165" t="s">
        <v>293</v>
      </c>
      <c r="B165" s="85" t="s">
        <v>573</v>
      </c>
      <c r="C165" s="75">
        <v>87.5</v>
      </c>
      <c r="D165" s="75">
        <v>1385.2</v>
      </c>
      <c r="E165" s="75">
        <v>87.7</v>
      </c>
      <c r="F165" s="75">
        <v>86.8</v>
      </c>
      <c r="G165" s="75">
        <v>86.7</v>
      </c>
      <c r="H165" s="75">
        <v>86.7</v>
      </c>
      <c r="I165" s="75">
        <v>86.8</v>
      </c>
      <c r="J165" s="83">
        <v>1385.4</v>
      </c>
      <c r="K165" s="83">
        <v>1385.2</v>
      </c>
      <c r="L165" s="83">
        <v>1385.9</v>
      </c>
      <c r="M165" s="83">
        <v>1385.1</v>
      </c>
      <c r="N165" s="83">
        <v>1384.1</v>
      </c>
      <c r="O165" s="75">
        <v>0</v>
      </c>
      <c r="P165" s="75">
        <v>0</v>
      </c>
      <c r="Q165" s="75">
        <v>1</v>
      </c>
      <c r="R165" s="75">
        <v>28</v>
      </c>
      <c r="S165" s="75">
        <f>MAX(Table2[[#This Row],[volt-sbmu1]:[volt-sbmu5]])-MIN(Table2[[#This Row],[volt-sbmu1]:[volt-sbmu5]])</f>
        <v>1.8000000000001819</v>
      </c>
      <c r="T165" s="75">
        <f>MAX(Table2[[#This Row],[soc-sbmu1]:[soc-sbmu5]])-MIN(Table2[[#This Row],[soc-sbmu1]:[soc-sbmu5]])</f>
        <v>1</v>
      </c>
      <c r="U165" s="75"/>
      <c r="V165" s="75"/>
    </row>
    <row r="166" spans="1:22" ht="15">
      <c r="A166" t="s">
        <v>294</v>
      </c>
      <c r="B166" s="85" t="s">
        <v>574</v>
      </c>
      <c r="C166" s="75">
        <v>87.5</v>
      </c>
      <c r="D166" s="75">
        <v>1385.9</v>
      </c>
      <c r="E166" s="75">
        <v>87.7</v>
      </c>
      <c r="F166" s="75">
        <v>87.1</v>
      </c>
      <c r="G166" s="75">
        <v>86.7</v>
      </c>
      <c r="H166" s="75">
        <v>87.3</v>
      </c>
      <c r="I166" s="75">
        <v>86.9</v>
      </c>
      <c r="J166" s="83">
        <v>1386.1</v>
      </c>
      <c r="K166" s="83">
        <v>1386.2</v>
      </c>
      <c r="L166" s="83">
        <v>1385.3</v>
      </c>
      <c r="M166" s="83">
        <v>1386.4</v>
      </c>
      <c r="N166" s="83">
        <v>1386.3</v>
      </c>
      <c r="O166" s="75">
        <v>0</v>
      </c>
      <c r="P166" s="75">
        <v>0</v>
      </c>
      <c r="Q166" s="75">
        <v>1</v>
      </c>
      <c r="R166" s="75">
        <v>29</v>
      </c>
      <c r="S166" s="75">
        <f>MAX(Table2[[#This Row],[volt-sbmu1]:[volt-sbmu5]])-MIN(Table2[[#This Row],[volt-sbmu1]:[volt-sbmu5]])</f>
        <v>1.1000000000001364</v>
      </c>
      <c r="T166" s="75">
        <f>MAX(Table2[[#This Row],[soc-sbmu1]:[soc-sbmu5]])-MIN(Table2[[#This Row],[soc-sbmu1]:[soc-sbmu5]])</f>
        <v>1</v>
      </c>
      <c r="U166" s="75"/>
      <c r="V166" s="75"/>
    </row>
    <row r="167" spans="1:22" ht="15">
      <c r="A167" t="s">
        <v>295</v>
      </c>
      <c r="B167" s="85" t="s">
        <v>575</v>
      </c>
      <c r="C167" s="75">
        <v>87.5</v>
      </c>
      <c r="D167" s="75">
        <v>1384.3</v>
      </c>
      <c r="E167" s="75">
        <v>86.9</v>
      </c>
      <c r="F167" s="75">
        <v>87.7</v>
      </c>
      <c r="G167" s="75">
        <v>86.7</v>
      </c>
      <c r="H167" s="75">
        <v>87.6</v>
      </c>
      <c r="I167" s="75">
        <v>86.7</v>
      </c>
      <c r="J167" s="83">
        <v>1383.8</v>
      </c>
      <c r="K167" s="83">
        <v>1383.3</v>
      </c>
      <c r="L167" s="83">
        <v>1384.2</v>
      </c>
      <c r="M167" s="83">
        <v>1383.4</v>
      </c>
      <c r="N167" s="83">
        <v>1384.1</v>
      </c>
      <c r="O167" s="75">
        <v>0</v>
      </c>
      <c r="P167" s="75">
        <v>0</v>
      </c>
      <c r="Q167" s="75">
        <v>1</v>
      </c>
      <c r="R167" s="75">
        <v>29</v>
      </c>
      <c r="S167" s="75">
        <f>MAX(Table2[[#This Row],[volt-sbmu1]:[volt-sbmu5]])-MIN(Table2[[#This Row],[volt-sbmu1]:[volt-sbmu5]])</f>
        <v>0.90000000000009095</v>
      </c>
      <c r="T167" s="75">
        <f>MAX(Table2[[#This Row],[soc-sbmu1]:[soc-sbmu5]])-MIN(Table2[[#This Row],[soc-sbmu1]:[soc-sbmu5]])</f>
        <v>1</v>
      </c>
      <c r="U167" s="75"/>
      <c r="V167" s="75"/>
    </row>
    <row r="168" spans="1:22" ht="15">
      <c r="A168" t="s">
        <v>296</v>
      </c>
      <c r="B168" s="85" t="s">
        <v>576</v>
      </c>
      <c r="C168" s="75">
        <v>87.3</v>
      </c>
      <c r="D168" s="75">
        <v>1384.1</v>
      </c>
      <c r="E168" s="75">
        <v>86.9</v>
      </c>
      <c r="F168" s="75">
        <v>86.9</v>
      </c>
      <c r="G168" s="75">
        <v>87.4</v>
      </c>
      <c r="H168" s="75">
        <v>86.9</v>
      </c>
      <c r="I168" s="75">
        <v>86.9</v>
      </c>
      <c r="J168" s="83">
        <v>1383.5</v>
      </c>
      <c r="K168" s="83">
        <v>1383.9</v>
      </c>
      <c r="L168" s="83">
        <v>1385.2</v>
      </c>
      <c r="M168" s="83">
        <v>1383</v>
      </c>
      <c r="N168" s="83">
        <v>1383.6</v>
      </c>
      <c r="O168" s="75">
        <v>0</v>
      </c>
      <c r="P168" s="75">
        <v>0</v>
      </c>
      <c r="Q168" s="75">
        <v>1</v>
      </c>
      <c r="R168" s="75">
        <v>28</v>
      </c>
      <c r="S168" s="75">
        <f>MAX(Table2[[#This Row],[volt-sbmu1]:[volt-sbmu5]])-MIN(Table2[[#This Row],[volt-sbmu1]:[volt-sbmu5]])</f>
        <v>2.2000000000000455</v>
      </c>
      <c r="T168" s="75">
        <f>MAX(Table2[[#This Row],[soc-sbmu1]:[soc-sbmu5]])-MIN(Table2[[#This Row],[soc-sbmu1]:[soc-sbmu5]])</f>
        <v>0.5</v>
      </c>
      <c r="U168" s="75"/>
      <c r="V168" s="75"/>
    </row>
    <row r="169" spans="1:22" ht="15">
      <c r="A169" t="s">
        <v>297</v>
      </c>
      <c r="B169" s="85" t="s">
        <v>577</v>
      </c>
      <c r="C169" s="75">
        <v>87.2</v>
      </c>
      <c r="D169" s="75">
        <v>1385.2</v>
      </c>
      <c r="E169" s="75">
        <v>87</v>
      </c>
      <c r="F169" s="75">
        <v>87.2</v>
      </c>
      <c r="G169" s="75">
        <v>87.3</v>
      </c>
      <c r="H169" s="75">
        <v>86.9</v>
      </c>
      <c r="I169" s="75">
        <v>86.9</v>
      </c>
      <c r="J169" s="83">
        <v>1386.4</v>
      </c>
      <c r="K169" s="83">
        <v>1385.5</v>
      </c>
      <c r="L169" s="83">
        <v>1385.3</v>
      </c>
      <c r="M169" s="83">
        <v>1384.1</v>
      </c>
      <c r="N169" s="83">
        <v>1384.8</v>
      </c>
      <c r="O169" s="75">
        <v>0</v>
      </c>
      <c r="P169" s="75">
        <v>0</v>
      </c>
      <c r="Q169" s="75">
        <v>1</v>
      </c>
      <c r="R169" s="75">
        <v>28</v>
      </c>
      <c r="S169" s="75">
        <f>MAX(Table2[[#This Row],[volt-sbmu1]:[volt-sbmu5]])-MIN(Table2[[#This Row],[volt-sbmu1]:[volt-sbmu5]])</f>
        <v>2.3000000000001819</v>
      </c>
      <c r="T169" s="75">
        <f>MAX(Table2[[#This Row],[soc-sbmu1]:[soc-sbmu5]])-MIN(Table2[[#This Row],[soc-sbmu1]:[soc-sbmu5]])</f>
        <v>0.39999999999999147</v>
      </c>
      <c r="U169" s="75"/>
      <c r="V169" s="75"/>
    </row>
    <row r="170" spans="1:22" ht="15">
      <c r="A170" t="s">
        <v>298</v>
      </c>
      <c r="B170" s="85" t="s">
        <v>578</v>
      </c>
      <c r="C170" s="75">
        <v>87.2</v>
      </c>
      <c r="D170" s="75">
        <v>1385.1</v>
      </c>
      <c r="E170" s="75">
        <v>87.3</v>
      </c>
      <c r="F170" s="75">
        <v>86.7</v>
      </c>
      <c r="G170" s="75">
        <v>87.1</v>
      </c>
      <c r="H170" s="75">
        <v>86.9</v>
      </c>
      <c r="I170" s="75">
        <v>87.2</v>
      </c>
      <c r="J170" s="83">
        <v>1384.3</v>
      </c>
      <c r="K170" s="83">
        <v>1384.1</v>
      </c>
      <c r="L170" s="83">
        <v>1385.2</v>
      </c>
      <c r="M170" s="83">
        <v>1385.2</v>
      </c>
      <c r="N170" s="83">
        <v>1384</v>
      </c>
      <c r="O170" s="75">
        <v>0</v>
      </c>
      <c r="P170" s="75">
        <v>0</v>
      </c>
      <c r="Q170" s="75">
        <v>1</v>
      </c>
      <c r="R170" s="75">
        <v>28</v>
      </c>
      <c r="S170" s="75">
        <f>MAX(Table2[[#This Row],[volt-sbmu1]:[volt-sbmu5]])-MIN(Table2[[#This Row],[volt-sbmu1]:[volt-sbmu5]])</f>
        <v>1.2000000000000455</v>
      </c>
      <c r="T170" s="75">
        <f>MAX(Table2[[#This Row],[soc-sbmu1]:[soc-sbmu5]])-MIN(Table2[[#This Row],[soc-sbmu1]:[soc-sbmu5]])</f>
        <v>0.59999999999999432</v>
      </c>
      <c r="U170" s="75"/>
      <c r="V170" s="75"/>
    </row>
    <row r="171" spans="1:22" ht="15">
      <c r="A171" t="s">
        <v>299</v>
      </c>
      <c r="B171" s="85" t="s">
        <v>579</v>
      </c>
      <c r="C171" s="75">
        <v>87.2</v>
      </c>
      <c r="D171" s="75">
        <v>1386.5</v>
      </c>
      <c r="E171" s="75">
        <v>87.3</v>
      </c>
      <c r="F171" s="75">
        <v>86.8</v>
      </c>
      <c r="G171" s="75">
        <v>87</v>
      </c>
      <c r="H171" s="75">
        <v>87</v>
      </c>
      <c r="I171" s="75">
        <v>86.8</v>
      </c>
      <c r="J171" s="83">
        <v>1385.8</v>
      </c>
      <c r="K171" s="83">
        <v>1388.3</v>
      </c>
      <c r="L171" s="83">
        <v>1385.8</v>
      </c>
      <c r="M171" s="83">
        <v>1385.4</v>
      </c>
      <c r="N171" s="83">
        <v>1385.9</v>
      </c>
      <c r="O171" s="75">
        <v>0</v>
      </c>
      <c r="P171" s="75">
        <v>0</v>
      </c>
      <c r="Q171" s="75">
        <v>1</v>
      </c>
      <c r="R171" s="75">
        <v>29</v>
      </c>
      <c r="S171" s="75">
        <f>MAX(Table2[[#This Row],[volt-sbmu1]:[volt-sbmu5]])-MIN(Table2[[#This Row],[volt-sbmu1]:[volt-sbmu5]])</f>
        <v>2.8999999999998636</v>
      </c>
      <c r="T171" s="75">
        <f>MAX(Table2[[#This Row],[soc-sbmu1]:[soc-sbmu5]])-MIN(Table2[[#This Row],[soc-sbmu1]:[soc-sbmu5]])</f>
        <v>0.5</v>
      </c>
      <c r="U171" s="75"/>
      <c r="V171" s="75"/>
    </row>
    <row r="172" spans="1:22" ht="15">
      <c r="A172" t="s">
        <v>300</v>
      </c>
      <c r="B172" s="85" t="s">
        <v>580</v>
      </c>
      <c r="C172" s="75">
        <v>87.6</v>
      </c>
      <c r="D172" s="75">
        <v>1385.8</v>
      </c>
      <c r="E172" s="75">
        <v>87.7</v>
      </c>
      <c r="F172" s="75">
        <v>86.9</v>
      </c>
      <c r="G172" s="75">
        <v>87.4</v>
      </c>
      <c r="H172" s="75">
        <v>86.9</v>
      </c>
      <c r="I172" s="75">
        <v>86.9</v>
      </c>
      <c r="J172" s="83">
        <v>1383.4</v>
      </c>
      <c r="K172" s="83">
        <v>1386.3</v>
      </c>
      <c r="L172" s="83">
        <v>1385.5</v>
      </c>
      <c r="M172" s="83">
        <v>1385.7</v>
      </c>
      <c r="N172" s="83">
        <v>1385.9</v>
      </c>
      <c r="O172" s="75">
        <v>0</v>
      </c>
      <c r="P172" s="75">
        <v>0</v>
      </c>
      <c r="Q172" s="75">
        <v>1</v>
      </c>
      <c r="R172" s="75">
        <v>29</v>
      </c>
      <c r="S172" s="75">
        <f>MAX(Table2[[#This Row],[volt-sbmu1]:[volt-sbmu5]])-MIN(Table2[[#This Row],[volt-sbmu1]:[volt-sbmu5]])</f>
        <v>2.8999999999998636</v>
      </c>
      <c r="T172" s="75">
        <f>MAX(Table2[[#This Row],[soc-sbmu1]:[soc-sbmu5]])-MIN(Table2[[#This Row],[soc-sbmu1]:[soc-sbmu5]])</f>
        <v>0.79999999999999716</v>
      </c>
      <c r="U172" s="75"/>
      <c r="V172" s="75"/>
    </row>
    <row r="173" spans="1:22" ht="15">
      <c r="A173" t="s">
        <v>301</v>
      </c>
      <c r="B173" s="85" t="s">
        <v>581</v>
      </c>
      <c r="C173" s="75">
        <v>86.9</v>
      </c>
      <c r="D173" s="75">
        <v>1384.5</v>
      </c>
      <c r="E173" s="75">
        <v>87</v>
      </c>
      <c r="F173" s="75">
        <v>86.9</v>
      </c>
      <c r="G173" s="75">
        <v>86.7</v>
      </c>
      <c r="H173" s="75">
        <v>86.7</v>
      </c>
      <c r="I173" s="75">
        <v>87</v>
      </c>
      <c r="J173" s="83">
        <v>1385.1</v>
      </c>
      <c r="K173" s="83">
        <v>1384.5</v>
      </c>
      <c r="L173" s="83">
        <v>1384.8</v>
      </c>
      <c r="M173" s="83">
        <v>1385.7</v>
      </c>
      <c r="N173" s="83">
        <v>1384.5</v>
      </c>
      <c r="O173" s="75">
        <v>0</v>
      </c>
      <c r="P173" s="75">
        <v>0</v>
      </c>
      <c r="Q173" s="75">
        <v>1</v>
      </c>
      <c r="R173" s="75">
        <v>29</v>
      </c>
      <c r="S173" s="75">
        <f>MAX(Table2[[#This Row],[volt-sbmu1]:[volt-sbmu5]])-MIN(Table2[[#This Row],[volt-sbmu1]:[volt-sbmu5]])</f>
        <v>1.2000000000000455</v>
      </c>
      <c r="T173" s="75">
        <f>MAX(Table2[[#This Row],[soc-sbmu1]:[soc-sbmu5]])-MIN(Table2[[#This Row],[soc-sbmu1]:[soc-sbmu5]])</f>
        <v>0.29999999999999716</v>
      </c>
      <c r="U173" s="75"/>
      <c r="V173" s="75"/>
    </row>
    <row r="174" spans="1:22" ht="15">
      <c r="A174" t="s">
        <v>302</v>
      </c>
      <c r="B174" s="85" t="s">
        <v>582</v>
      </c>
      <c r="C174" s="75">
        <v>87.3</v>
      </c>
      <c r="D174" s="75">
        <v>1385.9</v>
      </c>
      <c r="E174" s="75">
        <v>86.7</v>
      </c>
      <c r="F174" s="75">
        <v>87.3</v>
      </c>
      <c r="G174" s="75">
        <v>87.2</v>
      </c>
      <c r="H174" s="75">
        <v>87.5</v>
      </c>
      <c r="I174" s="75">
        <v>86.7</v>
      </c>
      <c r="J174" s="83">
        <v>1386</v>
      </c>
      <c r="K174" s="83">
        <v>1385.9</v>
      </c>
      <c r="L174" s="83">
        <v>1385.2</v>
      </c>
      <c r="M174" s="83">
        <v>1385.6</v>
      </c>
      <c r="N174" s="83">
        <v>1386.3</v>
      </c>
      <c r="O174" s="75">
        <v>0</v>
      </c>
      <c r="P174" s="75">
        <v>0</v>
      </c>
      <c r="Q174" s="75">
        <v>1</v>
      </c>
      <c r="R174" s="75">
        <v>29</v>
      </c>
      <c r="S174" s="75">
        <f>MAX(Table2[[#This Row],[volt-sbmu1]:[volt-sbmu5]])-MIN(Table2[[#This Row],[volt-sbmu1]:[volt-sbmu5]])</f>
        <v>1.0999999999999091</v>
      </c>
      <c r="T174" s="75">
        <f>MAX(Table2[[#This Row],[soc-sbmu1]:[soc-sbmu5]])-MIN(Table2[[#This Row],[soc-sbmu1]:[soc-sbmu5]])</f>
        <v>0.79999999999999716</v>
      </c>
      <c r="U174" s="75"/>
      <c r="V174" s="75"/>
    </row>
    <row r="175" spans="1:22" ht="15">
      <c r="A175" t="s">
        <v>303</v>
      </c>
      <c r="B175" s="85" t="s">
        <v>583</v>
      </c>
      <c r="C175" s="75">
        <v>87.7</v>
      </c>
      <c r="D175" s="75">
        <v>1385.6</v>
      </c>
      <c r="E175" s="75">
        <v>87</v>
      </c>
      <c r="F175" s="75">
        <v>86.8</v>
      </c>
      <c r="G175" s="75">
        <v>87.9</v>
      </c>
      <c r="H175" s="75">
        <v>87.7</v>
      </c>
      <c r="I175" s="75">
        <v>86.8</v>
      </c>
      <c r="J175" s="83">
        <v>1385.5</v>
      </c>
      <c r="K175" s="83">
        <v>1385.7</v>
      </c>
      <c r="L175" s="83">
        <v>1385.6</v>
      </c>
      <c r="M175" s="83">
        <v>1385.6</v>
      </c>
      <c r="N175" s="83">
        <v>1385.4</v>
      </c>
      <c r="O175" s="75">
        <v>0</v>
      </c>
      <c r="P175" s="75">
        <v>0</v>
      </c>
      <c r="Q175" s="75">
        <v>1</v>
      </c>
      <c r="R175" s="75">
        <v>29</v>
      </c>
      <c r="S175" s="75">
        <f>MAX(Table2[[#This Row],[volt-sbmu1]:[volt-sbmu5]])-MIN(Table2[[#This Row],[volt-sbmu1]:[volt-sbmu5]])</f>
        <v>0.29999999999995453</v>
      </c>
      <c r="T175" s="75">
        <f>MAX(Table2[[#This Row],[soc-sbmu1]:[soc-sbmu5]])-MIN(Table2[[#This Row],[soc-sbmu1]:[soc-sbmu5]])</f>
        <v>1.1000000000000085</v>
      </c>
      <c r="U175" s="75"/>
      <c r="V175" s="75"/>
    </row>
    <row r="176" spans="1:22" ht="15">
      <c r="A176" t="s">
        <v>304</v>
      </c>
      <c r="B176" s="85" t="s">
        <v>584</v>
      </c>
      <c r="C176" s="75">
        <v>87.7</v>
      </c>
      <c r="D176" s="75">
        <v>1386.2</v>
      </c>
      <c r="E176" s="75">
        <v>87.9</v>
      </c>
      <c r="F176" s="75">
        <v>87</v>
      </c>
      <c r="G176" s="75">
        <v>87.1</v>
      </c>
      <c r="H176" s="75">
        <v>87.5</v>
      </c>
      <c r="I176" s="75">
        <v>87.9</v>
      </c>
      <c r="J176" s="83">
        <v>1386.4</v>
      </c>
      <c r="K176" s="83">
        <v>1385.9</v>
      </c>
      <c r="L176" s="83">
        <v>1385</v>
      </c>
      <c r="M176" s="83">
        <v>1385.6</v>
      </c>
      <c r="N176" s="83">
        <v>1385.3</v>
      </c>
      <c r="O176" s="75">
        <v>0</v>
      </c>
      <c r="P176" s="75">
        <v>0</v>
      </c>
      <c r="Q176" s="75">
        <v>1</v>
      </c>
      <c r="R176" s="75">
        <v>28</v>
      </c>
      <c r="S176" s="75">
        <f>MAX(Table2[[#This Row],[volt-sbmu1]:[volt-sbmu5]])-MIN(Table2[[#This Row],[volt-sbmu1]:[volt-sbmu5]])</f>
        <v>1.4000000000000909</v>
      </c>
      <c r="T176" s="75">
        <f>MAX(Table2[[#This Row],[soc-sbmu1]:[soc-sbmu5]])-MIN(Table2[[#This Row],[soc-sbmu1]:[soc-sbmu5]])</f>
        <v>0.90000000000000568</v>
      </c>
      <c r="U176" s="75"/>
      <c r="V176" s="75"/>
    </row>
    <row r="177" spans="1:22" ht="15">
      <c r="A177" t="s">
        <v>305</v>
      </c>
      <c r="B177" s="85" t="s">
        <v>585</v>
      </c>
      <c r="C177" s="75">
        <v>86.8</v>
      </c>
      <c r="D177" s="75">
        <v>1385.3</v>
      </c>
      <c r="E177" s="75">
        <v>86.9</v>
      </c>
      <c r="F177" s="75">
        <v>86.7</v>
      </c>
      <c r="G177" s="75">
        <v>86.9</v>
      </c>
      <c r="H177" s="75">
        <v>86.9</v>
      </c>
      <c r="I177" s="75">
        <v>86.9</v>
      </c>
      <c r="J177" s="83">
        <v>1384.9</v>
      </c>
      <c r="K177" s="83">
        <v>1385.3</v>
      </c>
      <c r="L177" s="83">
        <v>1386</v>
      </c>
      <c r="M177" s="83">
        <v>1386.1</v>
      </c>
      <c r="N177" s="83">
        <v>1385.1</v>
      </c>
      <c r="O177" s="75">
        <v>0</v>
      </c>
      <c r="P177" s="75">
        <v>0</v>
      </c>
      <c r="Q177" s="75">
        <v>1</v>
      </c>
      <c r="R177" s="75">
        <v>28</v>
      </c>
      <c r="S177" s="75">
        <f>MAX(Table2[[#This Row],[volt-sbmu1]:[volt-sbmu5]])-MIN(Table2[[#This Row],[volt-sbmu1]:[volt-sbmu5]])</f>
        <v>1.1999999999998181</v>
      </c>
      <c r="T177" s="75">
        <f>MAX(Table2[[#This Row],[soc-sbmu1]:[soc-sbmu5]])-MIN(Table2[[#This Row],[soc-sbmu1]:[soc-sbmu5]])</f>
        <v>0.20000000000000284</v>
      </c>
      <c r="U177" s="75"/>
      <c r="V177" s="75"/>
    </row>
    <row r="178" spans="1:22" ht="15">
      <c r="A178" t="s">
        <v>306</v>
      </c>
      <c r="B178" s="85" t="s">
        <v>586</v>
      </c>
      <c r="C178" s="75">
        <v>87.8</v>
      </c>
      <c r="D178" s="75">
        <v>1386</v>
      </c>
      <c r="E178" s="75">
        <v>87.9</v>
      </c>
      <c r="F178" s="75">
        <v>87.7</v>
      </c>
      <c r="G178" s="75">
        <v>87.7</v>
      </c>
      <c r="H178" s="75">
        <v>87.7</v>
      </c>
      <c r="I178" s="75">
        <v>87.5</v>
      </c>
      <c r="J178" s="83">
        <v>1385.2</v>
      </c>
      <c r="K178" s="83">
        <v>1385.1</v>
      </c>
      <c r="L178" s="83">
        <v>1386</v>
      </c>
      <c r="M178" s="83">
        <v>1384.5</v>
      </c>
      <c r="N178" s="83">
        <v>1386.2</v>
      </c>
      <c r="O178" s="75">
        <v>0</v>
      </c>
      <c r="P178" s="75">
        <v>0</v>
      </c>
      <c r="Q178" s="75">
        <v>1</v>
      </c>
      <c r="R178" s="75">
        <v>29</v>
      </c>
      <c r="S178" s="75">
        <f>MAX(Table2[[#This Row],[volt-sbmu1]:[volt-sbmu5]])-MIN(Table2[[#This Row],[volt-sbmu1]:[volt-sbmu5]])</f>
        <v>1.7000000000000455</v>
      </c>
      <c r="T178" s="75">
        <f>MAX(Table2[[#This Row],[soc-sbmu1]:[soc-sbmu5]])-MIN(Table2[[#This Row],[soc-sbmu1]:[soc-sbmu5]])</f>
        <v>0.40000000000000568</v>
      </c>
      <c r="U178" s="75"/>
      <c r="V178" s="75"/>
    </row>
    <row r="179" spans="1:22" ht="15">
      <c r="A179" t="s">
        <v>307</v>
      </c>
      <c r="B179" s="85" t="s">
        <v>587</v>
      </c>
      <c r="C179" s="75">
        <v>88.6</v>
      </c>
      <c r="D179" s="75">
        <v>1384.9</v>
      </c>
      <c r="E179" s="75">
        <v>86.7</v>
      </c>
      <c r="F179" s="75">
        <v>87.5</v>
      </c>
      <c r="G179" s="75">
        <v>88.7</v>
      </c>
      <c r="H179" s="75">
        <v>88.9</v>
      </c>
      <c r="I179" s="75">
        <v>87.7</v>
      </c>
      <c r="J179" s="83">
        <v>1384.9</v>
      </c>
      <c r="K179" s="83">
        <v>1386.6</v>
      </c>
      <c r="L179" s="83">
        <v>1383.9</v>
      </c>
      <c r="M179" s="83">
        <v>1384.6</v>
      </c>
      <c r="N179" s="83">
        <v>1385.9</v>
      </c>
      <c r="O179" s="75">
        <v>0</v>
      </c>
      <c r="P179" s="75">
        <v>0</v>
      </c>
      <c r="Q179" s="75">
        <v>1</v>
      </c>
      <c r="R179" s="75">
        <v>29</v>
      </c>
      <c r="S179" s="75">
        <f>MAX(Table2[[#This Row],[volt-sbmu1]:[volt-sbmu5]])-MIN(Table2[[#This Row],[volt-sbmu1]:[volt-sbmu5]])</f>
        <v>2.6999999999998181</v>
      </c>
      <c r="T179" s="75">
        <f>MAX(Table2[[#This Row],[soc-sbmu1]:[soc-sbmu5]])-MIN(Table2[[#This Row],[soc-sbmu1]:[soc-sbmu5]])</f>
        <v>2.2000000000000028</v>
      </c>
      <c r="U179" s="75"/>
      <c r="V179" s="75"/>
    </row>
    <row r="180" spans="1:22" ht="15">
      <c r="A180" t="s">
        <v>308</v>
      </c>
      <c r="B180" s="85" t="s">
        <v>588</v>
      </c>
      <c r="C180" s="75">
        <v>91.7</v>
      </c>
      <c r="D180" s="75">
        <v>1383.4</v>
      </c>
      <c r="E180" s="75">
        <v>91.7</v>
      </c>
      <c r="F180" s="75">
        <v>92.4</v>
      </c>
      <c r="G180" s="75">
        <v>92.6</v>
      </c>
      <c r="H180" s="75">
        <v>82</v>
      </c>
      <c r="I180" s="75">
        <v>82.7</v>
      </c>
      <c r="J180" s="83">
        <v>1383.3</v>
      </c>
      <c r="K180" s="83">
        <v>1383.3</v>
      </c>
      <c r="L180" s="83">
        <v>1383</v>
      </c>
      <c r="M180" s="83">
        <v>1383.4</v>
      </c>
      <c r="N180" s="83">
        <v>1383.1</v>
      </c>
      <c r="O180" s="75">
        <v>0</v>
      </c>
      <c r="P180" s="75">
        <v>0</v>
      </c>
      <c r="Q180" s="75">
        <v>1</v>
      </c>
      <c r="R180" s="75">
        <v>29</v>
      </c>
      <c r="S180" s="75">
        <f>MAX(Table2[[#This Row],[volt-sbmu1]:[volt-sbmu5]])-MIN(Table2[[#This Row],[volt-sbmu1]:[volt-sbmu5]])</f>
        <v>0.40000000000009095</v>
      </c>
      <c r="T180" s="75">
        <f>MAX(Table2[[#This Row],[soc-sbmu1]:[soc-sbmu5]])-MIN(Table2[[#This Row],[soc-sbmu1]:[soc-sbmu5]])</f>
        <v>10.599999999999994</v>
      </c>
      <c r="U180" s="75"/>
      <c r="V180" s="75"/>
    </row>
    <row r="181" spans="1:22" ht="15">
      <c r="A181" t="s">
        <v>309</v>
      </c>
      <c r="B181" s="85" t="s">
        <v>589</v>
      </c>
      <c r="C181" s="75">
        <v>90.3</v>
      </c>
      <c r="D181" s="75">
        <v>1385.1</v>
      </c>
      <c r="E181" s="75">
        <v>90.7</v>
      </c>
      <c r="F181" s="75">
        <v>90.3</v>
      </c>
      <c r="G181" s="75">
        <v>87.2</v>
      </c>
      <c r="H181" s="75">
        <v>87.7</v>
      </c>
      <c r="I181" s="75">
        <v>90.7</v>
      </c>
      <c r="J181" s="83">
        <v>1385.8</v>
      </c>
      <c r="K181" s="83">
        <v>1385.7</v>
      </c>
      <c r="L181" s="83">
        <v>1384.4</v>
      </c>
      <c r="M181" s="83">
        <v>1385.3</v>
      </c>
      <c r="N181" s="83">
        <v>1384.2</v>
      </c>
      <c r="O181" s="75">
        <v>0</v>
      </c>
      <c r="P181" s="75">
        <v>0</v>
      </c>
      <c r="Q181" s="75">
        <v>1</v>
      </c>
      <c r="R181" s="75">
        <v>29</v>
      </c>
      <c r="S181" s="75">
        <f>MAX(Table2[[#This Row],[volt-sbmu1]:[volt-sbmu5]])-MIN(Table2[[#This Row],[volt-sbmu1]:[volt-sbmu5]])</f>
        <v>1.5999999999999091</v>
      </c>
      <c r="T181" s="75">
        <f>MAX(Table2[[#This Row],[soc-sbmu1]:[soc-sbmu5]])-MIN(Table2[[#This Row],[soc-sbmu1]:[soc-sbmu5]])</f>
        <v>3.5</v>
      </c>
      <c r="U181" s="75"/>
      <c r="V181" s="75"/>
    </row>
    <row r="182" spans="1:22" ht="15">
      <c r="A182" t="s">
        <v>310</v>
      </c>
      <c r="B182" s="85" t="s">
        <v>590</v>
      </c>
      <c r="C182" s="75">
        <v>90</v>
      </c>
      <c r="D182" s="75">
        <v>1384.1</v>
      </c>
      <c r="E182" s="75">
        <v>88.7</v>
      </c>
      <c r="F182" s="75">
        <v>90.2</v>
      </c>
      <c r="G182" s="75">
        <v>88.7</v>
      </c>
      <c r="H182" s="75">
        <v>89.7</v>
      </c>
      <c r="I182" s="75">
        <v>88.7</v>
      </c>
      <c r="J182" s="83">
        <v>1385.7</v>
      </c>
      <c r="K182" s="83">
        <v>1384.6</v>
      </c>
      <c r="L182" s="83">
        <v>1384.6</v>
      </c>
      <c r="M182" s="83">
        <v>1384.6</v>
      </c>
      <c r="N182" s="83">
        <v>1384.1</v>
      </c>
      <c r="O182" s="75">
        <v>0</v>
      </c>
      <c r="P182" s="75">
        <v>0</v>
      </c>
      <c r="Q182" s="75">
        <v>1</v>
      </c>
      <c r="R182" s="75">
        <v>29</v>
      </c>
      <c r="S182" s="75">
        <f>MAX(Table2[[#This Row],[volt-sbmu1]:[volt-sbmu5]])-MIN(Table2[[#This Row],[volt-sbmu1]:[volt-sbmu5]])</f>
        <v>1.6000000000001364</v>
      </c>
      <c r="T182" s="75">
        <f>MAX(Table2[[#This Row],[soc-sbmu1]:[soc-sbmu5]])-MIN(Table2[[#This Row],[soc-sbmu1]:[soc-sbmu5]])</f>
        <v>1.5</v>
      </c>
      <c r="U182" s="75"/>
      <c r="V182" s="75"/>
    </row>
    <row r="183" spans="1:22" ht="15">
      <c r="A183" t="s">
        <v>311</v>
      </c>
      <c r="B183" s="85" t="s">
        <v>591</v>
      </c>
      <c r="C183" s="75">
        <v>87.7</v>
      </c>
      <c r="D183" s="75">
        <v>1384.7</v>
      </c>
      <c r="E183" s="75">
        <v>87</v>
      </c>
      <c r="F183" s="75">
        <v>86.5</v>
      </c>
      <c r="G183" s="75">
        <v>87.9</v>
      </c>
      <c r="H183" s="75">
        <v>87.9</v>
      </c>
      <c r="I183" s="75">
        <v>87.8</v>
      </c>
      <c r="J183" s="83">
        <v>1384.8</v>
      </c>
      <c r="K183" s="83">
        <v>1385.7</v>
      </c>
      <c r="L183" s="83">
        <v>1385.2</v>
      </c>
      <c r="M183" s="83">
        <v>1385</v>
      </c>
      <c r="N183" s="83">
        <v>1384.3</v>
      </c>
      <c r="O183" s="75">
        <v>0</v>
      </c>
      <c r="P183" s="75">
        <v>0</v>
      </c>
      <c r="Q183" s="75">
        <v>1</v>
      </c>
      <c r="R183" s="75">
        <v>31</v>
      </c>
      <c r="S183" s="75">
        <f>MAX(Table2[[#This Row],[volt-sbmu1]:[volt-sbmu5]])-MIN(Table2[[#This Row],[volt-sbmu1]:[volt-sbmu5]])</f>
        <v>1.4000000000000909</v>
      </c>
      <c r="T183" s="75">
        <f>MAX(Table2[[#This Row],[soc-sbmu1]:[soc-sbmu5]])-MIN(Table2[[#This Row],[soc-sbmu1]:[soc-sbmu5]])</f>
        <v>1.4000000000000057</v>
      </c>
      <c r="U183" s="75"/>
      <c r="V183" s="75"/>
    </row>
    <row r="184" spans="1:22" ht="15">
      <c r="A184" t="s">
        <v>312</v>
      </c>
      <c r="B184" s="85" t="s">
        <v>592</v>
      </c>
      <c r="C184" s="75">
        <v>87.7</v>
      </c>
      <c r="D184" s="75">
        <v>1385.3</v>
      </c>
      <c r="E184" s="75">
        <v>86.9</v>
      </c>
      <c r="F184" s="75">
        <v>87.9</v>
      </c>
      <c r="G184" s="75">
        <v>86.8</v>
      </c>
      <c r="H184" s="75">
        <v>86.7</v>
      </c>
      <c r="I184" s="75">
        <v>86.9</v>
      </c>
      <c r="J184" s="83">
        <v>1386</v>
      </c>
      <c r="K184" s="83">
        <v>1384.5</v>
      </c>
      <c r="L184" s="83">
        <v>1385.1</v>
      </c>
      <c r="M184" s="83">
        <v>1384.3</v>
      </c>
      <c r="N184" s="83">
        <v>1383.5</v>
      </c>
      <c r="O184" s="75">
        <v>0</v>
      </c>
      <c r="P184" s="75">
        <v>0</v>
      </c>
      <c r="Q184" s="75">
        <v>1</v>
      </c>
      <c r="R184" s="75">
        <v>31</v>
      </c>
      <c r="S184" s="75">
        <f>MAX(Table2[[#This Row],[volt-sbmu1]:[volt-sbmu5]])-MIN(Table2[[#This Row],[volt-sbmu1]:[volt-sbmu5]])</f>
        <v>2.5</v>
      </c>
      <c r="T184" s="75">
        <f>MAX(Table2[[#This Row],[soc-sbmu1]:[soc-sbmu5]])-MIN(Table2[[#This Row],[soc-sbmu1]:[soc-sbmu5]])</f>
        <v>1.2000000000000028</v>
      </c>
      <c r="U184" s="75"/>
      <c r="V184" s="75"/>
    </row>
    <row r="185" spans="1:22" ht="15">
      <c r="A185" t="s">
        <v>313</v>
      </c>
      <c r="B185" s="85" t="s">
        <v>593</v>
      </c>
      <c r="C185" s="75">
        <v>87.5</v>
      </c>
      <c r="D185" s="75">
        <v>1384.3</v>
      </c>
      <c r="E185" s="75">
        <v>86.7</v>
      </c>
      <c r="F185" s="75">
        <v>87.7</v>
      </c>
      <c r="G185" s="75">
        <v>86.7</v>
      </c>
      <c r="H185" s="75">
        <v>86.9</v>
      </c>
      <c r="I185" s="75">
        <v>86.5</v>
      </c>
      <c r="J185" s="83">
        <v>1384.7</v>
      </c>
      <c r="K185" s="83">
        <v>1383.8</v>
      </c>
      <c r="L185" s="83">
        <v>1384.5</v>
      </c>
      <c r="M185" s="83">
        <v>1384.2</v>
      </c>
      <c r="N185" s="83">
        <v>1384.5</v>
      </c>
      <c r="O185" s="75">
        <v>0</v>
      </c>
      <c r="P185" s="75">
        <v>0</v>
      </c>
      <c r="Q185" s="75">
        <v>1</v>
      </c>
      <c r="R185" s="75">
        <v>30</v>
      </c>
      <c r="S185" s="75">
        <f>MAX(Table2[[#This Row],[volt-sbmu1]:[volt-sbmu5]])-MIN(Table2[[#This Row],[volt-sbmu1]:[volt-sbmu5]])</f>
        <v>0.90000000000009095</v>
      </c>
      <c r="T185" s="75">
        <f>MAX(Table2[[#This Row],[soc-sbmu1]:[soc-sbmu5]])-MIN(Table2[[#This Row],[soc-sbmu1]:[soc-sbmu5]])</f>
        <v>1.2000000000000028</v>
      </c>
      <c r="U185" s="75"/>
      <c r="V185" s="75"/>
    </row>
    <row r="186" spans="1:22" ht="15">
      <c r="A186" t="s">
        <v>314</v>
      </c>
      <c r="B186" s="85" t="s">
        <v>594</v>
      </c>
      <c r="C186" s="75">
        <v>87.4</v>
      </c>
      <c r="D186" s="75">
        <v>1385.2</v>
      </c>
      <c r="E186" s="75">
        <v>87.7</v>
      </c>
      <c r="F186" s="75">
        <v>86.7</v>
      </c>
      <c r="G186" s="75">
        <v>86.7</v>
      </c>
      <c r="H186" s="75">
        <v>85.7</v>
      </c>
      <c r="I186" s="75">
        <v>85.9</v>
      </c>
      <c r="J186" s="83">
        <v>1385.2</v>
      </c>
      <c r="K186" s="83">
        <v>1385.6</v>
      </c>
      <c r="L186" s="83">
        <v>1384.6</v>
      </c>
      <c r="M186" s="83">
        <v>1384.4</v>
      </c>
      <c r="N186" s="83">
        <v>1384.8</v>
      </c>
      <c r="O186" s="75">
        <v>0</v>
      </c>
      <c r="P186" s="75">
        <v>0</v>
      </c>
      <c r="Q186" s="75">
        <v>1</v>
      </c>
      <c r="R186" s="75">
        <v>31</v>
      </c>
      <c r="S186" s="75">
        <f>MAX(Table2[[#This Row],[volt-sbmu1]:[volt-sbmu5]])-MIN(Table2[[#This Row],[volt-sbmu1]:[volt-sbmu5]])</f>
        <v>1.1999999999998181</v>
      </c>
      <c r="T186" s="75">
        <f>MAX(Table2[[#This Row],[soc-sbmu1]:[soc-sbmu5]])-MIN(Table2[[#This Row],[soc-sbmu1]:[soc-sbmu5]])</f>
        <v>2</v>
      </c>
      <c r="U186" s="75"/>
      <c r="V186" s="75"/>
    </row>
    <row r="187" spans="1:22" ht="15">
      <c r="A187" t="s">
        <v>315</v>
      </c>
      <c r="B187" s="85" t="s">
        <v>595</v>
      </c>
      <c r="C187" s="75">
        <v>87.8</v>
      </c>
      <c r="D187" s="75">
        <v>1384.5</v>
      </c>
      <c r="E187" s="75">
        <v>87</v>
      </c>
      <c r="F187" s="75">
        <v>88</v>
      </c>
      <c r="G187" s="75">
        <v>87.9</v>
      </c>
      <c r="H187" s="75">
        <v>87.6</v>
      </c>
      <c r="I187" s="75">
        <v>87</v>
      </c>
      <c r="J187" s="83">
        <v>1384.4</v>
      </c>
      <c r="K187" s="83">
        <v>1382.9</v>
      </c>
      <c r="L187" s="83">
        <v>1384.1</v>
      </c>
      <c r="M187" s="83">
        <v>1387.7</v>
      </c>
      <c r="N187" s="83">
        <v>1384.1</v>
      </c>
      <c r="O187" s="75">
        <v>0</v>
      </c>
      <c r="P187" s="75">
        <v>0</v>
      </c>
      <c r="Q187" s="75">
        <v>1</v>
      </c>
      <c r="R187" s="75">
        <v>32</v>
      </c>
      <c r="S187" s="75">
        <f>MAX(Table2[[#This Row],[volt-sbmu1]:[volt-sbmu5]])-MIN(Table2[[#This Row],[volt-sbmu1]:[volt-sbmu5]])</f>
        <v>4.7999999999999545</v>
      </c>
      <c r="T187" s="75">
        <f>MAX(Table2[[#This Row],[soc-sbmu1]:[soc-sbmu5]])-MIN(Table2[[#This Row],[soc-sbmu1]:[soc-sbmu5]])</f>
        <v>1</v>
      </c>
      <c r="U187" s="75"/>
      <c r="V187" s="75"/>
    </row>
    <row r="188" spans="1:22" ht="15">
      <c r="A188" t="s">
        <v>316</v>
      </c>
      <c r="B188" s="85" t="s">
        <v>596</v>
      </c>
      <c r="C188" s="75">
        <v>87.1</v>
      </c>
      <c r="D188" s="75">
        <v>1384.7</v>
      </c>
      <c r="E188" s="75">
        <v>86.7</v>
      </c>
      <c r="F188" s="75">
        <v>86.9</v>
      </c>
      <c r="G188" s="75">
        <v>87.2</v>
      </c>
      <c r="H188" s="75">
        <v>86.7</v>
      </c>
      <c r="I188" s="75">
        <v>86.6</v>
      </c>
      <c r="J188" s="83">
        <v>1384.8</v>
      </c>
      <c r="K188" s="83">
        <v>1384.1</v>
      </c>
      <c r="L188" s="83">
        <v>1385</v>
      </c>
      <c r="M188" s="83">
        <v>1385.2</v>
      </c>
      <c r="N188" s="83">
        <v>1384.3</v>
      </c>
      <c r="O188" s="75">
        <v>0</v>
      </c>
      <c r="P188" s="75">
        <v>0</v>
      </c>
      <c r="Q188" s="75">
        <v>1</v>
      </c>
      <c r="R188" s="75">
        <v>31</v>
      </c>
      <c r="S188" s="75">
        <f>MAX(Table2[[#This Row],[volt-sbmu1]:[volt-sbmu5]])-MIN(Table2[[#This Row],[volt-sbmu1]:[volt-sbmu5]])</f>
        <v>1.1000000000001364</v>
      </c>
      <c r="T188" s="75">
        <f>MAX(Table2[[#This Row],[soc-sbmu1]:[soc-sbmu5]])-MIN(Table2[[#This Row],[soc-sbmu1]:[soc-sbmu5]])</f>
        <v>0.60000000000000853</v>
      </c>
      <c r="U188" s="75"/>
      <c r="V188" s="75"/>
    </row>
    <row r="189" spans="1:22" ht="15">
      <c r="A189" t="s">
        <v>317</v>
      </c>
      <c r="B189" s="85" t="s">
        <v>597</v>
      </c>
      <c r="C189" s="75">
        <v>87.2</v>
      </c>
      <c r="D189" s="75">
        <v>1384.8</v>
      </c>
      <c r="E189" s="75">
        <v>86.8</v>
      </c>
      <c r="F189" s="75">
        <v>86.8</v>
      </c>
      <c r="G189" s="75">
        <v>86.9</v>
      </c>
      <c r="H189" s="75">
        <v>86.6</v>
      </c>
      <c r="I189" s="75">
        <v>87.3</v>
      </c>
      <c r="J189" s="83">
        <v>1384.8</v>
      </c>
      <c r="K189" s="83">
        <v>1386.5</v>
      </c>
      <c r="L189" s="83">
        <v>1385.4</v>
      </c>
      <c r="M189" s="83">
        <v>1384.2</v>
      </c>
      <c r="N189" s="83">
        <v>1385.6</v>
      </c>
      <c r="O189" s="75">
        <v>0</v>
      </c>
      <c r="P189" s="75">
        <v>0</v>
      </c>
      <c r="Q189" s="75">
        <v>1</v>
      </c>
      <c r="R189" s="75">
        <v>31</v>
      </c>
      <c r="S189" s="75">
        <f>MAX(Table2[[#This Row],[volt-sbmu1]:[volt-sbmu5]])-MIN(Table2[[#This Row],[volt-sbmu1]:[volt-sbmu5]])</f>
        <v>2.2999999999999545</v>
      </c>
      <c r="T189" s="75">
        <f>MAX(Table2[[#This Row],[soc-sbmu1]:[soc-sbmu5]])-MIN(Table2[[#This Row],[soc-sbmu1]:[soc-sbmu5]])</f>
        <v>0.70000000000000284</v>
      </c>
      <c r="U189" s="75"/>
      <c r="V189" s="75"/>
    </row>
    <row r="190" spans="1:22" ht="15">
      <c r="A190" t="s">
        <v>318</v>
      </c>
      <c r="B190" s="85" t="s">
        <v>598</v>
      </c>
      <c r="C190" s="75">
        <v>87.7</v>
      </c>
      <c r="D190" s="75">
        <v>1384.3</v>
      </c>
      <c r="E190" s="75">
        <v>85.8</v>
      </c>
      <c r="F190" s="75">
        <v>87.6</v>
      </c>
      <c r="G190" s="75">
        <v>88</v>
      </c>
      <c r="H190" s="75">
        <v>86.7</v>
      </c>
      <c r="I190" s="75">
        <v>87.2</v>
      </c>
      <c r="J190" s="83">
        <v>1383.7</v>
      </c>
      <c r="K190" s="83">
        <v>1383.1</v>
      </c>
      <c r="L190" s="83">
        <v>1385.1</v>
      </c>
      <c r="M190" s="83">
        <v>1384.9</v>
      </c>
      <c r="N190" s="83">
        <v>1384.3</v>
      </c>
      <c r="O190" s="75">
        <v>0</v>
      </c>
      <c r="P190" s="75">
        <v>0</v>
      </c>
      <c r="Q190" s="75">
        <v>1</v>
      </c>
      <c r="R190" s="75">
        <v>32</v>
      </c>
      <c r="S190" s="75">
        <f>MAX(Table2[[#This Row],[volt-sbmu1]:[volt-sbmu5]])-MIN(Table2[[#This Row],[volt-sbmu1]:[volt-sbmu5]])</f>
        <v>2</v>
      </c>
      <c r="T190" s="75">
        <f>MAX(Table2[[#This Row],[soc-sbmu1]:[soc-sbmu5]])-MIN(Table2[[#This Row],[soc-sbmu1]:[soc-sbmu5]])</f>
        <v>2.2000000000000028</v>
      </c>
      <c r="U190" s="75"/>
      <c r="V190" s="75"/>
    </row>
    <row r="191" spans="1:22" ht="15">
      <c r="A191" t="s">
        <v>319</v>
      </c>
      <c r="B191" s="85" t="s">
        <v>599</v>
      </c>
      <c r="C191" s="75">
        <v>87.4</v>
      </c>
      <c r="D191" s="75">
        <v>1384.6</v>
      </c>
      <c r="E191" s="75">
        <v>87.6</v>
      </c>
      <c r="F191" s="75">
        <v>87.4</v>
      </c>
      <c r="G191" s="75">
        <v>86.1</v>
      </c>
      <c r="H191" s="75">
        <v>86.6</v>
      </c>
      <c r="I191" s="75">
        <v>86.8</v>
      </c>
      <c r="J191" s="83">
        <v>1383.6</v>
      </c>
      <c r="K191" s="83">
        <v>1385.2</v>
      </c>
      <c r="L191" s="83">
        <v>1385.9</v>
      </c>
      <c r="M191" s="83">
        <v>1384.7</v>
      </c>
      <c r="N191" s="83">
        <v>1384</v>
      </c>
      <c r="O191" s="75">
        <v>0</v>
      </c>
      <c r="P191" s="75">
        <v>0</v>
      </c>
      <c r="Q191" s="75">
        <v>1</v>
      </c>
      <c r="R191" s="75">
        <v>32</v>
      </c>
      <c r="S191" s="75">
        <f>MAX(Table2[[#This Row],[volt-sbmu1]:[volt-sbmu5]])-MIN(Table2[[#This Row],[volt-sbmu1]:[volt-sbmu5]])</f>
        <v>2.3000000000001819</v>
      </c>
      <c r="T191" s="75">
        <f>MAX(Table2[[#This Row],[soc-sbmu1]:[soc-sbmu5]])-MIN(Table2[[#This Row],[soc-sbmu1]:[soc-sbmu5]])</f>
        <v>1.5</v>
      </c>
      <c r="U191" s="75"/>
      <c r="V191" s="75"/>
    </row>
    <row r="192" spans="1:22" ht="15">
      <c r="A192" t="s">
        <v>320</v>
      </c>
      <c r="B192" s="85" t="s">
        <v>600</v>
      </c>
      <c r="C192" s="75">
        <v>87</v>
      </c>
      <c r="D192" s="75">
        <v>1384.9</v>
      </c>
      <c r="E192" s="75">
        <v>87.1</v>
      </c>
      <c r="F192" s="75">
        <v>87</v>
      </c>
      <c r="G192" s="75">
        <v>86.7</v>
      </c>
      <c r="H192" s="75">
        <v>86.8</v>
      </c>
      <c r="I192" s="75">
        <v>87.1</v>
      </c>
      <c r="J192" s="83">
        <v>1386.2</v>
      </c>
      <c r="K192" s="83">
        <v>1385</v>
      </c>
      <c r="L192" s="83">
        <v>1384.7</v>
      </c>
      <c r="M192" s="83">
        <v>1383.5</v>
      </c>
      <c r="N192" s="83">
        <v>1385.1</v>
      </c>
      <c r="O192" s="75">
        <v>0</v>
      </c>
      <c r="P192" s="75">
        <v>0</v>
      </c>
      <c r="Q192" s="75">
        <v>1</v>
      </c>
      <c r="R192" s="75">
        <v>31</v>
      </c>
      <c r="S192" s="75">
        <f>MAX(Table2[[#This Row],[volt-sbmu1]:[volt-sbmu5]])-MIN(Table2[[#This Row],[volt-sbmu1]:[volt-sbmu5]])</f>
        <v>2.7000000000000455</v>
      </c>
      <c r="T192" s="75">
        <f>MAX(Table2[[#This Row],[soc-sbmu1]:[soc-sbmu5]])-MIN(Table2[[#This Row],[soc-sbmu1]:[soc-sbmu5]])</f>
        <v>0.39999999999999147</v>
      </c>
      <c r="U192" s="75"/>
      <c r="V192" s="75"/>
    </row>
    <row r="193" spans="1:22" ht="15">
      <c r="A193" t="s">
        <v>321</v>
      </c>
      <c r="B193" s="85" t="s">
        <v>601</v>
      </c>
      <c r="C193" s="75">
        <v>87.6</v>
      </c>
      <c r="D193" s="75">
        <v>1384.6</v>
      </c>
      <c r="E193" s="75">
        <v>87.8</v>
      </c>
      <c r="F193" s="75">
        <v>87.8</v>
      </c>
      <c r="G193" s="75">
        <v>86.6</v>
      </c>
      <c r="H193" s="75">
        <v>87.8</v>
      </c>
      <c r="I193" s="75">
        <v>87.8</v>
      </c>
      <c r="J193" s="83">
        <v>1384.3</v>
      </c>
      <c r="K193" s="83">
        <v>1384.8</v>
      </c>
      <c r="L193" s="83">
        <v>1383.9</v>
      </c>
      <c r="M193" s="83">
        <v>1384.6</v>
      </c>
      <c r="N193" s="83">
        <v>1384.4</v>
      </c>
      <c r="O193" s="75">
        <v>0</v>
      </c>
      <c r="P193" s="75">
        <v>0</v>
      </c>
      <c r="Q193" s="75">
        <v>1</v>
      </c>
      <c r="R193" s="75">
        <v>31</v>
      </c>
      <c r="S193" s="75">
        <f>MAX(Table2[[#This Row],[volt-sbmu1]:[volt-sbmu5]])-MIN(Table2[[#This Row],[volt-sbmu1]:[volt-sbmu5]])</f>
        <v>0.89999999999986358</v>
      </c>
      <c r="T193" s="75">
        <f>MAX(Table2[[#This Row],[soc-sbmu1]:[soc-sbmu5]])-MIN(Table2[[#This Row],[soc-sbmu1]:[soc-sbmu5]])</f>
        <v>1.2000000000000028</v>
      </c>
      <c r="U193" s="75"/>
      <c r="V193" s="75"/>
    </row>
    <row r="194" spans="1:22" ht="15">
      <c r="A194" t="s">
        <v>322</v>
      </c>
      <c r="B194" s="85" t="s">
        <v>602</v>
      </c>
      <c r="C194" s="75">
        <v>87.5</v>
      </c>
      <c r="D194" s="75">
        <v>1384.2</v>
      </c>
      <c r="E194" s="75">
        <v>87</v>
      </c>
      <c r="F194" s="75">
        <v>87.6</v>
      </c>
      <c r="G194" s="75">
        <v>87.7</v>
      </c>
      <c r="H194" s="75">
        <v>86.6</v>
      </c>
      <c r="I194" s="75">
        <v>87.7</v>
      </c>
      <c r="J194" s="83">
        <v>1384.8</v>
      </c>
      <c r="K194" s="83">
        <v>1383.8</v>
      </c>
      <c r="L194" s="83">
        <v>1383.8</v>
      </c>
      <c r="M194" s="83">
        <v>1383.7</v>
      </c>
      <c r="N194" s="83">
        <v>1384.4</v>
      </c>
      <c r="O194" s="75">
        <v>0</v>
      </c>
      <c r="P194" s="75">
        <v>0</v>
      </c>
      <c r="Q194" s="75">
        <v>1</v>
      </c>
      <c r="R194" s="75">
        <v>32</v>
      </c>
      <c r="S194" s="75">
        <f>MAX(Table2[[#This Row],[volt-sbmu1]:[volt-sbmu5]])-MIN(Table2[[#This Row],[volt-sbmu1]:[volt-sbmu5]])</f>
        <v>1.0999999999999091</v>
      </c>
      <c r="T194" s="75">
        <f>MAX(Table2[[#This Row],[soc-sbmu1]:[soc-sbmu5]])-MIN(Table2[[#This Row],[soc-sbmu1]:[soc-sbmu5]])</f>
        <v>1.1000000000000085</v>
      </c>
      <c r="U194" s="75"/>
      <c r="V194" s="75"/>
    </row>
    <row r="195" spans="1:22" ht="15">
      <c r="A195" t="s">
        <v>323</v>
      </c>
      <c r="B195" s="85" t="s">
        <v>603</v>
      </c>
      <c r="C195" s="75">
        <v>87</v>
      </c>
      <c r="D195" s="75">
        <v>1384.4</v>
      </c>
      <c r="E195" s="75">
        <v>87.1</v>
      </c>
      <c r="F195" s="75">
        <v>87.1</v>
      </c>
      <c r="G195" s="75">
        <v>86.8</v>
      </c>
      <c r="H195" s="75">
        <v>86.9</v>
      </c>
      <c r="I195" s="75">
        <v>87</v>
      </c>
      <c r="J195" s="83">
        <v>1385.2</v>
      </c>
      <c r="K195" s="83">
        <v>1384.5</v>
      </c>
      <c r="L195" s="83">
        <v>1384.1</v>
      </c>
      <c r="M195" s="83">
        <v>1385.8</v>
      </c>
      <c r="N195" s="83">
        <v>1384.7</v>
      </c>
      <c r="O195" s="75">
        <v>0</v>
      </c>
      <c r="P195" s="75">
        <v>0</v>
      </c>
      <c r="Q195" s="75">
        <v>1</v>
      </c>
      <c r="R195" s="75">
        <v>31</v>
      </c>
      <c r="S195" s="75">
        <f>MAX(Table2[[#This Row],[volt-sbmu1]:[volt-sbmu5]])-MIN(Table2[[#This Row],[volt-sbmu1]:[volt-sbmu5]])</f>
        <v>1.7000000000000455</v>
      </c>
      <c r="T195" s="75">
        <f>MAX(Table2[[#This Row],[soc-sbmu1]:[soc-sbmu5]])-MIN(Table2[[#This Row],[soc-sbmu1]:[soc-sbmu5]])</f>
        <v>0.29999999999999716</v>
      </c>
      <c r="U195" s="75"/>
      <c r="V195" s="75"/>
    </row>
    <row r="196" spans="1:22" ht="15">
      <c r="A196" t="s">
        <v>324</v>
      </c>
      <c r="B196" s="85" t="s">
        <v>604</v>
      </c>
      <c r="C196" s="75">
        <v>86.9</v>
      </c>
      <c r="D196" s="75">
        <v>1385.3</v>
      </c>
      <c r="E196" s="75">
        <v>86.9</v>
      </c>
      <c r="F196" s="75">
        <v>87</v>
      </c>
      <c r="G196" s="75">
        <v>86.7</v>
      </c>
      <c r="H196" s="75">
        <v>86.9</v>
      </c>
      <c r="I196" s="75">
        <v>86.7</v>
      </c>
      <c r="J196" s="83">
        <v>1384.3</v>
      </c>
      <c r="K196" s="83">
        <v>1384.3</v>
      </c>
      <c r="L196" s="83">
        <v>1386.9</v>
      </c>
      <c r="M196" s="83">
        <v>1385.5</v>
      </c>
      <c r="N196" s="83">
        <v>1384.9</v>
      </c>
      <c r="O196" s="75">
        <v>0</v>
      </c>
      <c r="P196" s="75">
        <v>0</v>
      </c>
      <c r="Q196" s="75">
        <v>1</v>
      </c>
      <c r="R196" s="75">
        <v>32</v>
      </c>
      <c r="S196" s="75">
        <f>MAX(Table2[[#This Row],[volt-sbmu1]:[volt-sbmu5]])-MIN(Table2[[#This Row],[volt-sbmu1]:[volt-sbmu5]])</f>
        <v>2.6000000000001364</v>
      </c>
      <c r="T196" s="75">
        <f>MAX(Table2[[#This Row],[soc-sbmu1]:[soc-sbmu5]])-MIN(Table2[[#This Row],[soc-sbmu1]:[soc-sbmu5]])</f>
        <v>0.29999999999999716</v>
      </c>
      <c r="U196" s="75"/>
      <c r="V196" s="75"/>
    </row>
    <row r="197" spans="1:22" ht="15">
      <c r="A197" t="s">
        <v>325</v>
      </c>
      <c r="B197" s="85" t="s">
        <v>605</v>
      </c>
      <c r="C197" s="75">
        <v>87.1</v>
      </c>
      <c r="D197" s="75">
        <v>1385.4</v>
      </c>
      <c r="E197" s="75">
        <v>87.2</v>
      </c>
      <c r="F197" s="75">
        <v>86.7</v>
      </c>
      <c r="G197" s="75">
        <v>87.2</v>
      </c>
      <c r="H197" s="75">
        <v>86.8</v>
      </c>
      <c r="I197" s="75">
        <v>87.2</v>
      </c>
      <c r="J197" s="83">
        <v>1385</v>
      </c>
      <c r="K197" s="83">
        <v>1384.7</v>
      </c>
      <c r="L197" s="83">
        <v>1386.2</v>
      </c>
      <c r="M197" s="83">
        <v>1385.5</v>
      </c>
      <c r="N197" s="83">
        <v>1385.6</v>
      </c>
      <c r="O197" s="75">
        <v>0</v>
      </c>
      <c r="P197" s="75">
        <v>0</v>
      </c>
      <c r="Q197" s="75">
        <v>1</v>
      </c>
      <c r="R197" s="75">
        <v>32</v>
      </c>
      <c r="S197" s="75">
        <f>MAX(Table2[[#This Row],[volt-sbmu1]:[volt-sbmu5]])-MIN(Table2[[#This Row],[volt-sbmu1]:[volt-sbmu5]])</f>
        <v>1.5</v>
      </c>
      <c r="T197" s="75">
        <f>MAX(Table2[[#This Row],[soc-sbmu1]:[soc-sbmu5]])-MIN(Table2[[#This Row],[soc-sbmu1]:[soc-sbmu5]])</f>
        <v>0.5</v>
      </c>
      <c r="U197" s="75"/>
      <c r="V197" s="75"/>
    </row>
    <row r="198" spans="1:22" ht="15">
      <c r="A198" t="s">
        <v>326</v>
      </c>
      <c r="B198" s="85" t="s">
        <v>606</v>
      </c>
      <c r="C198" s="75">
        <v>87.4</v>
      </c>
      <c r="D198" s="75">
        <v>1384.4</v>
      </c>
      <c r="E198" s="75">
        <v>86.6</v>
      </c>
      <c r="F198" s="75">
        <v>87.1</v>
      </c>
      <c r="G198" s="75">
        <v>86.6</v>
      </c>
      <c r="H198" s="75">
        <v>87.6</v>
      </c>
      <c r="I198" s="75">
        <v>87.2</v>
      </c>
      <c r="J198" s="83">
        <v>1383.4</v>
      </c>
      <c r="K198" s="83">
        <v>1385.1</v>
      </c>
      <c r="L198" s="83">
        <v>1384.7</v>
      </c>
      <c r="M198" s="83">
        <v>1384.9</v>
      </c>
      <c r="N198" s="83">
        <v>1384.2</v>
      </c>
      <c r="O198" s="75">
        <v>0</v>
      </c>
      <c r="P198" s="75">
        <v>0</v>
      </c>
      <c r="Q198" s="75">
        <v>1</v>
      </c>
      <c r="R198" s="75">
        <v>32</v>
      </c>
      <c r="S198" s="75">
        <f>MAX(Table2[[#This Row],[volt-sbmu1]:[volt-sbmu5]])-MIN(Table2[[#This Row],[volt-sbmu1]:[volt-sbmu5]])</f>
        <v>1.6999999999998181</v>
      </c>
      <c r="T198" s="75">
        <f>MAX(Table2[[#This Row],[soc-sbmu1]:[soc-sbmu5]])-MIN(Table2[[#This Row],[soc-sbmu1]:[soc-sbmu5]])</f>
        <v>1</v>
      </c>
      <c r="U198" s="75"/>
      <c r="V198" s="75"/>
    </row>
    <row r="199" spans="1:22" ht="15">
      <c r="A199" t="s">
        <v>327</v>
      </c>
      <c r="B199" s="85" t="s">
        <v>607</v>
      </c>
      <c r="C199" s="75">
        <v>87</v>
      </c>
      <c r="D199" s="75">
        <v>0</v>
      </c>
      <c r="E199" s="75">
        <v>87.2</v>
      </c>
      <c r="F199" s="75">
        <v>86.9</v>
      </c>
      <c r="G199" s="75">
        <v>85.7</v>
      </c>
      <c r="H199" s="75">
        <v>86.7</v>
      </c>
      <c r="I199" s="75">
        <v>86.9</v>
      </c>
      <c r="J199" s="83">
        <v>1385.7</v>
      </c>
      <c r="K199" s="83">
        <v>1385.9</v>
      </c>
      <c r="L199" s="83">
        <v>1386.5</v>
      </c>
      <c r="M199" s="83">
        <v>1386.3</v>
      </c>
      <c r="N199" s="83">
        <v>1386.5</v>
      </c>
      <c r="O199" s="75">
        <v>256</v>
      </c>
      <c r="P199" s="75">
        <v>128</v>
      </c>
      <c r="Q199" s="75">
        <v>5</v>
      </c>
      <c r="R199" s="75">
        <v>32</v>
      </c>
      <c r="S199" s="75">
        <f>MAX(Table2[[#This Row],[volt-sbmu1]:[volt-sbmu5]])-MIN(Table2[[#This Row],[volt-sbmu1]:[volt-sbmu5]])</f>
        <v>0.79999999999995453</v>
      </c>
      <c r="T199" s="75">
        <f>MAX(Table2[[#This Row],[soc-sbmu1]:[soc-sbmu5]])-MIN(Table2[[#This Row],[soc-sbmu1]:[soc-sbmu5]])</f>
        <v>1.5</v>
      </c>
      <c r="U199" s="75"/>
      <c r="V199" s="75"/>
    </row>
    <row r="200" spans="1:22" ht="15">
      <c r="A200" t="s">
        <v>328</v>
      </c>
      <c r="B200" s="85" t="s">
        <v>608</v>
      </c>
      <c r="C200" s="75">
        <v>87.2</v>
      </c>
      <c r="D200" s="75">
        <v>0</v>
      </c>
      <c r="E200" s="75">
        <v>87.1</v>
      </c>
      <c r="F200" s="75">
        <v>86.6</v>
      </c>
      <c r="G200" s="75">
        <v>87.3</v>
      </c>
      <c r="H200" s="75">
        <v>86.8</v>
      </c>
      <c r="I200" s="75">
        <v>86.8</v>
      </c>
      <c r="J200" s="83">
        <v>1385.7</v>
      </c>
      <c r="K200" s="83">
        <v>1386.2</v>
      </c>
      <c r="L200" s="83">
        <v>1386.5</v>
      </c>
      <c r="M200" s="83">
        <v>1385.8</v>
      </c>
      <c r="N200" s="83">
        <v>1386.8</v>
      </c>
      <c r="O200" s="75">
        <v>256</v>
      </c>
      <c r="P200" s="75">
        <v>128</v>
      </c>
      <c r="Q200" s="75">
        <v>5</v>
      </c>
      <c r="R200" s="75">
        <v>31</v>
      </c>
      <c r="S200" s="75">
        <f>MAX(Table2[[#This Row],[volt-sbmu1]:[volt-sbmu5]])-MIN(Table2[[#This Row],[volt-sbmu1]:[volt-sbmu5]])</f>
        <v>1.0999999999999091</v>
      </c>
      <c r="T200" s="75">
        <f>MAX(Table2[[#This Row],[soc-sbmu1]:[soc-sbmu5]])-MIN(Table2[[#This Row],[soc-sbmu1]:[soc-sbmu5]])</f>
        <v>0.70000000000000284</v>
      </c>
      <c r="U200" s="75"/>
      <c r="V200" s="75"/>
    </row>
    <row r="201" spans="1:22" ht="15">
      <c r="A201" t="s">
        <v>329</v>
      </c>
      <c r="B201" s="85" t="s">
        <v>609</v>
      </c>
      <c r="C201" s="75">
        <v>87.3</v>
      </c>
      <c r="D201" s="75">
        <v>0</v>
      </c>
      <c r="E201" s="75">
        <v>86.7</v>
      </c>
      <c r="F201" s="75">
        <v>87.4</v>
      </c>
      <c r="G201" s="75">
        <v>87.1</v>
      </c>
      <c r="H201" s="75">
        <v>87.5</v>
      </c>
      <c r="I201" s="75">
        <v>86.7</v>
      </c>
      <c r="J201" s="83">
        <v>1385.7</v>
      </c>
      <c r="K201" s="83">
        <v>1386.6</v>
      </c>
      <c r="L201" s="83">
        <v>1385</v>
      </c>
      <c r="M201" s="83">
        <v>1385.9</v>
      </c>
      <c r="N201" s="83">
        <v>1385.4</v>
      </c>
      <c r="O201" s="75">
        <v>256</v>
      </c>
      <c r="P201" s="75">
        <v>128</v>
      </c>
      <c r="Q201" s="75">
        <v>5</v>
      </c>
      <c r="R201" s="75">
        <v>31</v>
      </c>
      <c r="S201" s="75">
        <f>MAX(Table2[[#This Row],[volt-sbmu1]:[volt-sbmu5]])-MIN(Table2[[#This Row],[volt-sbmu1]:[volt-sbmu5]])</f>
        <v>1.5999999999999091</v>
      </c>
      <c r="T201" s="75">
        <f>MAX(Table2[[#This Row],[soc-sbmu1]:[soc-sbmu5]])-MIN(Table2[[#This Row],[soc-sbmu1]:[soc-sbmu5]])</f>
        <v>0.79999999999999716</v>
      </c>
      <c r="U201" s="75"/>
      <c r="V201" s="75"/>
    </row>
    <row r="202" spans="1:22" ht="15">
      <c r="A202" t="s">
        <v>330</v>
      </c>
      <c r="B202" s="85" t="s">
        <v>610</v>
      </c>
      <c r="C202" s="75">
        <v>86.9</v>
      </c>
      <c r="D202" s="75">
        <v>0</v>
      </c>
      <c r="E202" s="75">
        <v>87.1</v>
      </c>
      <c r="F202" s="75">
        <v>87.1</v>
      </c>
      <c r="G202" s="75">
        <v>86.9</v>
      </c>
      <c r="H202" s="75">
        <v>85.7</v>
      </c>
      <c r="I202" s="75">
        <v>86.3</v>
      </c>
      <c r="J202" s="83">
        <v>1385.5</v>
      </c>
      <c r="K202" s="83">
        <v>1385.1</v>
      </c>
      <c r="L202" s="83">
        <v>1386</v>
      </c>
      <c r="M202" s="83">
        <v>1385.7</v>
      </c>
      <c r="N202" s="83">
        <v>1386</v>
      </c>
      <c r="O202" s="75">
        <v>256</v>
      </c>
      <c r="P202" s="75">
        <v>128</v>
      </c>
      <c r="Q202" s="75">
        <v>5</v>
      </c>
      <c r="R202" s="75">
        <v>32</v>
      </c>
      <c r="S202" s="75">
        <f>MAX(Table2[[#This Row],[volt-sbmu1]:[volt-sbmu5]])-MIN(Table2[[#This Row],[volt-sbmu1]:[volt-sbmu5]])</f>
        <v>0.90000000000009095</v>
      </c>
      <c r="T202" s="75">
        <f>MAX(Table2[[#This Row],[soc-sbmu1]:[soc-sbmu5]])-MIN(Table2[[#This Row],[soc-sbmu1]:[soc-sbmu5]])</f>
        <v>1.3999999999999915</v>
      </c>
      <c r="U202" s="75"/>
      <c r="V202" s="75"/>
    </row>
    <row r="203" spans="1:22" ht="15">
      <c r="A203" t="s">
        <v>331</v>
      </c>
      <c r="B203" s="85" t="s">
        <v>611</v>
      </c>
      <c r="C203" s="75">
        <v>86.9</v>
      </c>
      <c r="D203" s="75">
        <v>1383</v>
      </c>
      <c r="E203" s="75">
        <v>87</v>
      </c>
      <c r="F203" s="75">
        <v>86.6</v>
      </c>
      <c r="G203" s="75">
        <v>87</v>
      </c>
      <c r="H203" s="75">
        <v>87</v>
      </c>
      <c r="I203" s="75">
        <v>86.8</v>
      </c>
      <c r="J203" s="83">
        <v>1383.9</v>
      </c>
      <c r="K203" s="83">
        <v>1382.9</v>
      </c>
      <c r="L203" s="83">
        <v>1383.2</v>
      </c>
      <c r="M203" s="83">
        <v>1384.1</v>
      </c>
      <c r="N203" s="83">
        <v>1383.6</v>
      </c>
      <c r="O203" s="75">
        <v>0</v>
      </c>
      <c r="P203" s="75">
        <v>0</v>
      </c>
      <c r="Q203" s="75">
        <v>1</v>
      </c>
      <c r="R203" s="75">
        <v>32</v>
      </c>
      <c r="S203" s="75">
        <f>MAX(Table2[[#This Row],[volt-sbmu1]:[volt-sbmu5]])-MIN(Table2[[#This Row],[volt-sbmu1]:[volt-sbmu5]])</f>
        <v>1.1999999999998181</v>
      </c>
      <c r="T203" s="75">
        <f>MAX(Table2[[#This Row],[soc-sbmu1]:[soc-sbmu5]])-MIN(Table2[[#This Row],[soc-sbmu1]:[soc-sbmu5]])</f>
        <v>0.40000000000000568</v>
      </c>
      <c r="U203" s="75"/>
      <c r="V203" s="75"/>
    </row>
    <row r="204" spans="1:22" ht="15">
      <c r="A204" t="s">
        <v>332</v>
      </c>
      <c r="B204" s="85" t="s">
        <v>612</v>
      </c>
      <c r="C204" s="75">
        <v>87.2</v>
      </c>
      <c r="D204" s="75">
        <v>1386</v>
      </c>
      <c r="E204" s="75">
        <v>86.9</v>
      </c>
      <c r="F204" s="75">
        <v>86.7</v>
      </c>
      <c r="G204" s="75">
        <v>86.9</v>
      </c>
      <c r="H204" s="75">
        <v>87.3</v>
      </c>
      <c r="I204" s="75">
        <v>86.9</v>
      </c>
      <c r="J204" s="83">
        <v>1385.3</v>
      </c>
      <c r="K204" s="83">
        <v>1387.4</v>
      </c>
      <c r="L204" s="83">
        <v>1385.5</v>
      </c>
      <c r="M204" s="83">
        <v>1386.2</v>
      </c>
      <c r="N204" s="83">
        <v>1385.7</v>
      </c>
      <c r="O204" s="75">
        <v>0</v>
      </c>
      <c r="P204" s="75">
        <v>0</v>
      </c>
      <c r="Q204" s="75">
        <v>1</v>
      </c>
      <c r="R204" s="75">
        <v>31</v>
      </c>
      <c r="S204" s="75">
        <f>MAX(Table2[[#This Row],[volt-sbmu1]:[volt-sbmu5]])-MIN(Table2[[#This Row],[volt-sbmu1]:[volt-sbmu5]])</f>
        <v>2.1000000000001364</v>
      </c>
      <c r="T204" s="75">
        <f>MAX(Table2[[#This Row],[soc-sbmu1]:[soc-sbmu5]])-MIN(Table2[[#This Row],[soc-sbmu1]:[soc-sbmu5]])</f>
        <v>0.59999999999999432</v>
      </c>
      <c r="U204" s="75"/>
      <c r="V204" s="75"/>
    </row>
    <row r="205" spans="1:22" ht="15">
      <c r="A205" t="s">
        <v>333</v>
      </c>
      <c r="B205" s="85" t="s">
        <v>613</v>
      </c>
      <c r="C205" s="75">
        <v>87.2</v>
      </c>
      <c r="D205" s="75">
        <v>1385.4</v>
      </c>
      <c r="E205" s="75">
        <v>87.3</v>
      </c>
      <c r="F205" s="75">
        <v>87.2</v>
      </c>
      <c r="G205" s="75">
        <v>86.8</v>
      </c>
      <c r="H205" s="75">
        <v>86.9</v>
      </c>
      <c r="I205" s="75">
        <v>87.3</v>
      </c>
      <c r="J205" s="83">
        <v>1385.1</v>
      </c>
      <c r="K205" s="83">
        <v>1385.3</v>
      </c>
      <c r="L205" s="83">
        <v>1386.1</v>
      </c>
      <c r="M205" s="83">
        <v>1385.7</v>
      </c>
      <c r="N205" s="83">
        <v>1385.6</v>
      </c>
      <c r="O205" s="75">
        <v>0</v>
      </c>
      <c r="P205" s="75">
        <v>0</v>
      </c>
      <c r="Q205" s="75">
        <v>1</v>
      </c>
      <c r="R205" s="75">
        <v>31</v>
      </c>
      <c r="S205" s="75">
        <f>MAX(Table2[[#This Row],[volt-sbmu1]:[volt-sbmu5]])-MIN(Table2[[#This Row],[volt-sbmu1]:[volt-sbmu5]])</f>
        <v>1</v>
      </c>
      <c r="T205" s="75">
        <f>MAX(Table2[[#This Row],[soc-sbmu1]:[soc-sbmu5]])-MIN(Table2[[#This Row],[soc-sbmu1]:[soc-sbmu5]])</f>
        <v>0.5</v>
      </c>
      <c r="U205" s="75"/>
      <c r="V205" s="75"/>
    </row>
    <row r="206" spans="1:22" ht="15">
      <c r="A206" t="s">
        <v>334</v>
      </c>
      <c r="B206" s="85" t="s">
        <v>614</v>
      </c>
      <c r="C206" s="75">
        <v>87</v>
      </c>
      <c r="D206" s="75">
        <v>1385.9</v>
      </c>
      <c r="E206" s="75">
        <v>86.7</v>
      </c>
      <c r="F206" s="75">
        <v>86.7</v>
      </c>
      <c r="G206" s="75">
        <v>86.9</v>
      </c>
      <c r="H206" s="75">
        <v>87.1</v>
      </c>
      <c r="I206" s="75">
        <v>86.8</v>
      </c>
      <c r="J206" s="83">
        <v>1385.3</v>
      </c>
      <c r="K206" s="83">
        <v>1385.9</v>
      </c>
      <c r="L206" s="83">
        <v>1386</v>
      </c>
      <c r="M206" s="83">
        <v>1386.6</v>
      </c>
      <c r="N206" s="83">
        <v>1384.3</v>
      </c>
      <c r="O206" s="75">
        <v>0</v>
      </c>
      <c r="P206" s="75">
        <v>0</v>
      </c>
      <c r="Q206" s="75">
        <v>1</v>
      </c>
      <c r="R206" s="75">
        <v>32</v>
      </c>
      <c r="S206" s="75">
        <f>MAX(Table2[[#This Row],[volt-sbmu1]:[volt-sbmu5]])-MIN(Table2[[#This Row],[volt-sbmu1]:[volt-sbmu5]])</f>
        <v>2.2999999999999545</v>
      </c>
      <c r="T206" s="75">
        <f>MAX(Table2[[#This Row],[soc-sbmu1]:[soc-sbmu5]])-MIN(Table2[[#This Row],[soc-sbmu1]:[soc-sbmu5]])</f>
        <v>0.39999999999999147</v>
      </c>
      <c r="U206" s="75"/>
      <c r="V206" s="75"/>
    </row>
    <row r="207" spans="1:22" ht="15">
      <c r="A207" t="s">
        <v>335</v>
      </c>
      <c r="B207" s="85" t="s">
        <v>615</v>
      </c>
      <c r="C207" s="75">
        <v>87.5</v>
      </c>
      <c r="D207" s="75">
        <v>0</v>
      </c>
      <c r="E207" s="75">
        <v>87</v>
      </c>
      <c r="F207" s="75">
        <v>87.2</v>
      </c>
      <c r="G207" s="75">
        <v>87.6</v>
      </c>
      <c r="H207" s="75">
        <v>87.1</v>
      </c>
      <c r="I207" s="75">
        <v>87.1</v>
      </c>
      <c r="J207" s="83">
        <v>1385.1</v>
      </c>
      <c r="K207" s="83">
        <v>1385.4</v>
      </c>
      <c r="L207" s="83">
        <v>1384.2</v>
      </c>
      <c r="M207" s="83">
        <v>1384</v>
      </c>
      <c r="N207" s="83">
        <v>1384.5</v>
      </c>
      <c r="O207" s="75">
        <v>0</v>
      </c>
      <c r="P207" s="75">
        <v>0</v>
      </c>
      <c r="Q207" s="75">
        <v>1</v>
      </c>
      <c r="R207" s="75">
        <v>32</v>
      </c>
      <c r="S207" s="75">
        <f>MAX(Table2[[#This Row],[volt-sbmu1]:[volt-sbmu5]])-MIN(Table2[[#This Row],[volt-sbmu1]:[volt-sbmu5]])</f>
        <v>1.4000000000000909</v>
      </c>
      <c r="T207" s="75">
        <f>MAX(Table2[[#This Row],[soc-sbmu1]:[soc-sbmu5]])-MIN(Table2[[#This Row],[soc-sbmu1]:[soc-sbmu5]])</f>
        <v>0.59999999999999432</v>
      </c>
      <c r="U207" s="75"/>
      <c r="V207" s="75"/>
    </row>
    <row r="208" spans="1:22" ht="15">
      <c r="A208" t="s">
        <v>336</v>
      </c>
      <c r="B208" s="85" t="s">
        <v>616</v>
      </c>
      <c r="C208" s="75">
        <v>87.4</v>
      </c>
      <c r="D208" s="75">
        <v>0</v>
      </c>
      <c r="E208" s="75">
        <v>87.6</v>
      </c>
      <c r="F208" s="75">
        <v>86.9</v>
      </c>
      <c r="G208" s="75">
        <v>86.7</v>
      </c>
      <c r="H208" s="75">
        <v>86.9</v>
      </c>
      <c r="I208" s="75">
        <v>86.8</v>
      </c>
      <c r="J208" s="83">
        <v>1386</v>
      </c>
      <c r="K208" s="83">
        <v>1385.5</v>
      </c>
      <c r="L208" s="83">
        <v>1386</v>
      </c>
      <c r="M208" s="83">
        <v>1385.3</v>
      </c>
      <c r="N208" s="83">
        <v>1385.9</v>
      </c>
      <c r="O208" s="75">
        <v>0</v>
      </c>
      <c r="P208" s="75">
        <v>0</v>
      </c>
      <c r="Q208" s="75">
        <v>1</v>
      </c>
      <c r="R208" s="75">
        <v>32</v>
      </c>
      <c r="S208" s="75">
        <f>MAX(Table2[[#This Row],[volt-sbmu1]:[volt-sbmu5]])-MIN(Table2[[#This Row],[volt-sbmu1]:[volt-sbmu5]])</f>
        <v>0.70000000000004547</v>
      </c>
      <c r="T208" s="75">
        <f>MAX(Table2[[#This Row],[soc-sbmu1]:[soc-sbmu5]])-MIN(Table2[[#This Row],[soc-sbmu1]:[soc-sbmu5]])</f>
        <v>0.89999999999999147</v>
      </c>
      <c r="U208" s="75"/>
      <c r="V208" s="75"/>
    </row>
    <row r="209" spans="1:22" ht="15">
      <c r="A209" t="s">
        <v>337</v>
      </c>
      <c r="B209" s="85" t="s">
        <v>617</v>
      </c>
      <c r="C209" s="75">
        <v>87.7</v>
      </c>
      <c r="D209" s="75">
        <v>1385.1</v>
      </c>
      <c r="E209" s="75">
        <v>87.6</v>
      </c>
      <c r="F209" s="75">
        <v>87.8</v>
      </c>
      <c r="G209" s="75">
        <v>87.6</v>
      </c>
      <c r="H209" s="75">
        <v>87.3</v>
      </c>
      <c r="I209" s="75">
        <v>87</v>
      </c>
      <c r="J209" s="83">
        <v>1385.2</v>
      </c>
      <c r="K209" s="83">
        <v>1384.7</v>
      </c>
      <c r="L209" s="83">
        <v>1385.6</v>
      </c>
      <c r="M209" s="83">
        <v>1385.2</v>
      </c>
      <c r="N209" s="83">
        <v>1385.5</v>
      </c>
      <c r="O209" s="75">
        <v>0</v>
      </c>
      <c r="P209" s="75">
        <v>0</v>
      </c>
      <c r="Q209" s="75">
        <v>1</v>
      </c>
      <c r="R209" s="75">
        <v>31</v>
      </c>
      <c r="S209" s="75">
        <f>MAX(Table2[[#This Row],[volt-sbmu1]:[volt-sbmu5]])-MIN(Table2[[#This Row],[volt-sbmu1]:[volt-sbmu5]])</f>
        <v>0.89999999999986358</v>
      </c>
      <c r="T209" s="75">
        <f>MAX(Table2[[#This Row],[soc-sbmu1]:[soc-sbmu5]])-MIN(Table2[[#This Row],[soc-sbmu1]:[soc-sbmu5]])</f>
        <v>0.79999999999999716</v>
      </c>
      <c r="U209" s="75"/>
      <c r="V209" s="75"/>
    </row>
    <row r="210" spans="1:22" ht="15">
      <c r="A210" t="s">
        <v>338</v>
      </c>
      <c r="B210" s="85" t="s">
        <v>618</v>
      </c>
      <c r="C210" s="75">
        <v>87.8</v>
      </c>
      <c r="D210" s="75">
        <v>1385.8</v>
      </c>
      <c r="E210" s="75">
        <v>87.7</v>
      </c>
      <c r="F210" s="75">
        <v>87.9</v>
      </c>
      <c r="G210" s="75">
        <v>87.9</v>
      </c>
      <c r="H210" s="75">
        <v>87.7</v>
      </c>
      <c r="I210" s="75">
        <v>87.9</v>
      </c>
      <c r="J210" s="83">
        <v>1386.5</v>
      </c>
      <c r="K210" s="83">
        <v>1386.1</v>
      </c>
      <c r="L210" s="83">
        <v>1385.5</v>
      </c>
      <c r="M210" s="83">
        <v>1386.1</v>
      </c>
      <c r="N210" s="83">
        <v>1386.2</v>
      </c>
      <c r="O210" s="75">
        <v>0</v>
      </c>
      <c r="P210" s="75">
        <v>0</v>
      </c>
      <c r="Q210" s="75">
        <v>1</v>
      </c>
      <c r="R210" s="75">
        <v>32</v>
      </c>
      <c r="S210" s="75">
        <f>MAX(Table2[[#This Row],[volt-sbmu1]:[volt-sbmu5]])-MIN(Table2[[#This Row],[volt-sbmu1]:[volt-sbmu5]])</f>
        <v>1</v>
      </c>
      <c r="T210" s="75">
        <f>MAX(Table2[[#This Row],[soc-sbmu1]:[soc-sbmu5]])-MIN(Table2[[#This Row],[soc-sbmu1]:[soc-sbmu5]])</f>
        <v>0.20000000000000284</v>
      </c>
      <c r="U210" s="75"/>
      <c r="V210" s="75"/>
    </row>
    <row r="211" spans="1:22" ht="15">
      <c r="A211" t="s">
        <v>339</v>
      </c>
      <c r="B211" s="85" t="s">
        <v>619</v>
      </c>
      <c r="C211" s="75">
        <v>87.4</v>
      </c>
      <c r="D211" s="75">
        <v>1384.9</v>
      </c>
      <c r="E211" s="75">
        <v>87.5</v>
      </c>
      <c r="F211" s="75">
        <v>87.3</v>
      </c>
      <c r="G211" s="75">
        <v>87.3</v>
      </c>
      <c r="H211" s="75">
        <v>86.9</v>
      </c>
      <c r="I211" s="75">
        <v>87.4</v>
      </c>
      <c r="J211" s="83">
        <v>1385</v>
      </c>
      <c r="K211" s="83">
        <v>1385.1</v>
      </c>
      <c r="L211" s="83">
        <v>1385.3</v>
      </c>
      <c r="M211" s="83">
        <v>1384.8</v>
      </c>
      <c r="N211" s="83">
        <v>1384.4</v>
      </c>
      <c r="O211" s="75">
        <v>0</v>
      </c>
      <c r="P211" s="75">
        <v>0</v>
      </c>
      <c r="Q211" s="75">
        <v>1</v>
      </c>
      <c r="R211" s="75">
        <v>32</v>
      </c>
      <c r="S211" s="75">
        <f>MAX(Table2[[#This Row],[volt-sbmu1]:[volt-sbmu5]])-MIN(Table2[[#This Row],[volt-sbmu1]:[volt-sbmu5]])</f>
        <v>0.89999999999986358</v>
      </c>
      <c r="T211" s="75">
        <f>MAX(Table2[[#This Row],[soc-sbmu1]:[soc-sbmu5]])-MIN(Table2[[#This Row],[soc-sbmu1]:[soc-sbmu5]])</f>
        <v>0.59999999999999432</v>
      </c>
      <c r="U211" s="75"/>
      <c r="V211" s="75"/>
    </row>
    <row r="212" spans="1:22" ht="15">
      <c r="A212" t="s">
        <v>340</v>
      </c>
      <c r="B212" s="85" t="s">
        <v>620</v>
      </c>
      <c r="C212" s="75">
        <v>87.3</v>
      </c>
      <c r="D212" s="75">
        <v>1384.7</v>
      </c>
      <c r="E212" s="75">
        <v>87.4</v>
      </c>
      <c r="F212" s="75">
        <v>87.1</v>
      </c>
      <c r="G212" s="75">
        <v>87.1</v>
      </c>
      <c r="H212" s="75">
        <v>87.2</v>
      </c>
      <c r="I212" s="75">
        <v>87.1</v>
      </c>
      <c r="J212" s="83">
        <v>1385</v>
      </c>
      <c r="K212" s="83">
        <v>1384.4</v>
      </c>
      <c r="L212" s="83">
        <v>1383.5</v>
      </c>
      <c r="M212" s="83">
        <v>1384.6</v>
      </c>
      <c r="N212" s="83">
        <v>1384.8</v>
      </c>
      <c r="O212" s="75">
        <v>0</v>
      </c>
      <c r="P212" s="75">
        <v>0</v>
      </c>
      <c r="Q212" s="75">
        <v>1</v>
      </c>
      <c r="R212" s="75">
        <v>31</v>
      </c>
      <c r="S212" s="75">
        <f>MAX(Table2[[#This Row],[volt-sbmu1]:[volt-sbmu5]])-MIN(Table2[[#This Row],[volt-sbmu1]:[volt-sbmu5]])</f>
        <v>1.5</v>
      </c>
      <c r="T212" s="75">
        <f>MAX(Table2[[#This Row],[soc-sbmu1]:[soc-sbmu5]])-MIN(Table2[[#This Row],[soc-sbmu1]:[soc-sbmu5]])</f>
        <v>0.30000000000001137</v>
      </c>
      <c r="U212" s="75"/>
      <c r="V212" s="75"/>
    </row>
    <row r="213" spans="1:22" ht="15">
      <c r="A213" t="s">
        <v>341</v>
      </c>
      <c r="B213" s="85" t="s">
        <v>621</v>
      </c>
      <c r="C213" s="75">
        <v>86.9</v>
      </c>
      <c r="D213" s="75">
        <v>1384.8</v>
      </c>
      <c r="E213" s="75">
        <v>86.7</v>
      </c>
      <c r="F213" s="75">
        <v>87</v>
      </c>
      <c r="G213" s="75">
        <v>86.9</v>
      </c>
      <c r="H213" s="75">
        <v>86.7</v>
      </c>
      <c r="I213" s="75">
        <v>87</v>
      </c>
      <c r="J213" s="83">
        <v>1385.4</v>
      </c>
      <c r="K213" s="83">
        <v>1385.5</v>
      </c>
      <c r="L213" s="83">
        <v>1384.5</v>
      </c>
      <c r="M213" s="83">
        <v>1384.8</v>
      </c>
      <c r="N213" s="83">
        <v>1385.5</v>
      </c>
      <c r="O213" s="75">
        <v>0</v>
      </c>
      <c r="P213" s="75">
        <v>0</v>
      </c>
      <c r="Q213" s="75">
        <v>1</v>
      </c>
      <c r="R213" s="75">
        <v>31</v>
      </c>
      <c r="S213" s="75">
        <f>MAX(Table2[[#This Row],[volt-sbmu1]:[volt-sbmu5]])-MIN(Table2[[#This Row],[volt-sbmu1]:[volt-sbmu5]])</f>
        <v>1</v>
      </c>
      <c r="T213" s="75">
        <f>MAX(Table2[[#This Row],[soc-sbmu1]:[soc-sbmu5]])-MIN(Table2[[#This Row],[soc-sbmu1]:[soc-sbmu5]])</f>
        <v>0.29999999999999716</v>
      </c>
      <c r="U213" s="75"/>
      <c r="V213" s="75"/>
    </row>
    <row r="214" spans="1:22" ht="15">
      <c r="A214" t="s">
        <v>342</v>
      </c>
      <c r="B214" s="85" t="s">
        <v>622</v>
      </c>
      <c r="C214" s="75">
        <v>87.5</v>
      </c>
      <c r="D214" s="75">
        <v>1384.8</v>
      </c>
      <c r="E214" s="75">
        <v>86.8</v>
      </c>
      <c r="F214" s="75">
        <v>86.9</v>
      </c>
      <c r="G214" s="75">
        <v>86.8</v>
      </c>
      <c r="H214" s="75">
        <v>87.6</v>
      </c>
      <c r="I214" s="75">
        <v>87</v>
      </c>
      <c r="J214" s="83">
        <v>1384.5</v>
      </c>
      <c r="K214" s="83">
        <v>1384.7</v>
      </c>
      <c r="L214" s="83">
        <v>1385</v>
      </c>
      <c r="M214" s="83">
        <v>1383.6</v>
      </c>
      <c r="N214" s="83">
        <v>1386.2</v>
      </c>
      <c r="O214" s="75">
        <v>0</v>
      </c>
      <c r="P214" s="75">
        <v>0</v>
      </c>
      <c r="Q214" s="75">
        <v>1</v>
      </c>
      <c r="R214" s="75">
        <v>33</v>
      </c>
      <c r="S214" s="75">
        <f>MAX(Table2[[#This Row],[volt-sbmu1]:[volt-sbmu5]])-MIN(Table2[[#This Row],[volt-sbmu1]:[volt-sbmu5]])</f>
        <v>2.6000000000001364</v>
      </c>
      <c r="T214" s="75">
        <f>MAX(Table2[[#This Row],[soc-sbmu1]:[soc-sbmu5]])-MIN(Table2[[#This Row],[soc-sbmu1]:[soc-sbmu5]])</f>
        <v>0.79999999999999716</v>
      </c>
      <c r="U214" s="75"/>
      <c r="V214" s="75"/>
    </row>
    <row r="215" spans="1:22" ht="15">
      <c r="A215" t="s">
        <v>343</v>
      </c>
      <c r="B215" s="85" t="s">
        <v>623</v>
      </c>
      <c r="C215" s="75">
        <v>86.9</v>
      </c>
      <c r="D215" s="75">
        <v>1384.5</v>
      </c>
      <c r="E215" s="75">
        <v>87</v>
      </c>
      <c r="F215" s="75">
        <v>86.9</v>
      </c>
      <c r="G215" s="75">
        <v>86.7</v>
      </c>
      <c r="H215" s="75">
        <v>86.7</v>
      </c>
      <c r="I215" s="75">
        <v>86.6</v>
      </c>
      <c r="J215" s="83">
        <v>1385</v>
      </c>
      <c r="K215" s="83">
        <v>1384</v>
      </c>
      <c r="L215" s="83">
        <v>1384.4</v>
      </c>
      <c r="M215" s="83">
        <v>1383.7</v>
      </c>
      <c r="N215" s="83">
        <v>1384.3</v>
      </c>
      <c r="O215" s="75">
        <v>0</v>
      </c>
      <c r="P215" s="75">
        <v>0</v>
      </c>
      <c r="Q215" s="75">
        <v>1</v>
      </c>
      <c r="R215" s="75">
        <v>31</v>
      </c>
      <c r="S215" s="75">
        <f>MAX(Table2[[#This Row],[volt-sbmu1]:[volt-sbmu5]])-MIN(Table2[[#This Row],[volt-sbmu1]:[volt-sbmu5]])</f>
        <v>1.2999999999999545</v>
      </c>
      <c r="T215" s="75">
        <f>MAX(Table2[[#This Row],[soc-sbmu1]:[soc-sbmu5]])-MIN(Table2[[#This Row],[soc-sbmu1]:[soc-sbmu5]])</f>
        <v>0.40000000000000568</v>
      </c>
      <c r="U215" s="75"/>
      <c r="V215" s="75"/>
    </row>
    <row r="216" spans="1:22" ht="15">
      <c r="A216" t="s">
        <v>344</v>
      </c>
      <c r="B216" s="85" t="s">
        <v>624</v>
      </c>
      <c r="C216" s="75">
        <v>86.7</v>
      </c>
      <c r="D216" s="75">
        <v>1384.5</v>
      </c>
      <c r="E216" s="75">
        <v>86.9</v>
      </c>
      <c r="F216" s="75">
        <v>86.7</v>
      </c>
      <c r="G216" s="75">
        <v>86.9</v>
      </c>
      <c r="H216" s="75">
        <v>86.1</v>
      </c>
      <c r="I216" s="75">
        <v>86.7</v>
      </c>
      <c r="J216" s="83">
        <v>1385.5</v>
      </c>
      <c r="K216" s="83">
        <v>1383.5</v>
      </c>
      <c r="L216" s="83">
        <v>1383.3</v>
      </c>
      <c r="M216" s="83">
        <v>1386</v>
      </c>
      <c r="N216" s="83">
        <v>1384.8</v>
      </c>
      <c r="O216" s="75">
        <v>0</v>
      </c>
      <c r="P216" s="75">
        <v>0</v>
      </c>
      <c r="Q216" s="75">
        <v>1</v>
      </c>
      <c r="R216" s="75">
        <v>31</v>
      </c>
      <c r="S216" s="75">
        <f>MAX(Table2[[#This Row],[volt-sbmu1]:[volt-sbmu5]])-MIN(Table2[[#This Row],[volt-sbmu1]:[volt-sbmu5]])</f>
        <v>2.7000000000000455</v>
      </c>
      <c r="T216" s="75">
        <f>MAX(Table2[[#This Row],[soc-sbmu1]:[soc-sbmu5]])-MIN(Table2[[#This Row],[soc-sbmu1]:[soc-sbmu5]])</f>
        <v>0.80000000000001137</v>
      </c>
      <c r="U216" s="75"/>
      <c r="V216" s="75"/>
    </row>
    <row r="217" spans="1:22" ht="15">
      <c r="A217" t="s">
        <v>345</v>
      </c>
      <c r="B217" s="85" t="s">
        <v>625</v>
      </c>
      <c r="C217" s="75">
        <v>87.3</v>
      </c>
      <c r="D217" s="75">
        <v>1385.9</v>
      </c>
      <c r="E217" s="75">
        <v>87.4</v>
      </c>
      <c r="F217" s="75">
        <v>86.7</v>
      </c>
      <c r="G217" s="75">
        <v>87</v>
      </c>
      <c r="H217" s="75">
        <v>87</v>
      </c>
      <c r="I217" s="75">
        <v>87.2</v>
      </c>
      <c r="J217" s="83">
        <v>1388.4</v>
      </c>
      <c r="K217" s="83">
        <v>1385.8</v>
      </c>
      <c r="L217" s="83">
        <v>1385.2</v>
      </c>
      <c r="M217" s="83">
        <v>1385.8</v>
      </c>
      <c r="N217" s="83">
        <v>1384.8</v>
      </c>
      <c r="O217" s="75">
        <v>0</v>
      </c>
      <c r="P217" s="75">
        <v>0</v>
      </c>
      <c r="Q217" s="75">
        <v>1</v>
      </c>
      <c r="R217" s="75">
        <v>31</v>
      </c>
      <c r="S217" s="75">
        <f>MAX(Table2[[#This Row],[volt-sbmu1]:[volt-sbmu5]])-MIN(Table2[[#This Row],[volt-sbmu1]:[volt-sbmu5]])</f>
        <v>3.6000000000001364</v>
      </c>
      <c r="T217" s="75">
        <f>MAX(Table2[[#This Row],[soc-sbmu1]:[soc-sbmu5]])-MIN(Table2[[#This Row],[soc-sbmu1]:[soc-sbmu5]])</f>
        <v>0.70000000000000284</v>
      </c>
      <c r="U217" s="75"/>
      <c r="V217" s="75"/>
    </row>
    <row r="218" spans="1:22" ht="15">
      <c r="A218" t="s">
        <v>346</v>
      </c>
      <c r="B218" s="85" t="s">
        <v>626</v>
      </c>
      <c r="C218" s="75">
        <v>87.4</v>
      </c>
      <c r="D218" s="75">
        <v>1384.8</v>
      </c>
      <c r="E218" s="75">
        <v>87.6</v>
      </c>
      <c r="F218" s="75">
        <v>86.9</v>
      </c>
      <c r="G218" s="75">
        <v>87.1</v>
      </c>
      <c r="H218" s="75">
        <v>86.7</v>
      </c>
      <c r="I218" s="75">
        <v>86.9</v>
      </c>
      <c r="J218" s="83">
        <v>1385.2</v>
      </c>
      <c r="K218" s="83">
        <v>1384.4</v>
      </c>
      <c r="L218" s="83">
        <v>1385.2</v>
      </c>
      <c r="M218" s="83">
        <v>1384</v>
      </c>
      <c r="N218" s="83">
        <v>1384.1</v>
      </c>
      <c r="O218" s="75">
        <v>0</v>
      </c>
      <c r="P218" s="75">
        <v>0</v>
      </c>
      <c r="Q218" s="75">
        <v>1</v>
      </c>
      <c r="R218" s="75">
        <v>31</v>
      </c>
      <c r="S218" s="75">
        <f>MAX(Table2[[#This Row],[volt-sbmu1]:[volt-sbmu5]])-MIN(Table2[[#This Row],[volt-sbmu1]:[volt-sbmu5]])</f>
        <v>1.2000000000000455</v>
      </c>
      <c r="T218" s="75">
        <f>MAX(Table2[[#This Row],[soc-sbmu1]:[soc-sbmu5]])-MIN(Table2[[#This Row],[soc-sbmu1]:[soc-sbmu5]])</f>
        <v>0.89999999999999147</v>
      </c>
      <c r="U218" s="75"/>
      <c r="V218" s="75"/>
    </row>
    <row r="219" spans="1:22" ht="15">
      <c r="A219" t="s">
        <v>347</v>
      </c>
      <c r="B219" s="85" t="s">
        <v>407</v>
      </c>
      <c r="C219" s="75" t="s">
        <v>737</v>
      </c>
      <c r="D219" s="75"/>
      <c r="E219" s="75"/>
      <c r="F219" s="75"/>
      <c r="G219" s="75"/>
      <c r="H219" s="75"/>
      <c r="I219" s="75"/>
      <c r="J219" s="83"/>
      <c r="K219" s="83"/>
      <c r="L219" s="83"/>
      <c r="M219" s="83"/>
      <c r="N219" s="83"/>
      <c r="O219" s="75"/>
      <c r="P219" s="75"/>
      <c r="Q219" s="75"/>
      <c r="R219" s="75"/>
      <c r="S219" s="75">
        <f>MAX(Table2[[#This Row],[volt-sbmu1]:[volt-sbmu5]])-MIN(Table2[[#This Row],[volt-sbmu1]:[volt-sbmu5]])</f>
        <v>0</v>
      </c>
      <c r="T219" s="75">
        <f>MAX(Table2[[#This Row],[soc-sbmu1]:[soc-sbmu5]])-MIN(Table2[[#This Row],[soc-sbmu1]:[soc-sbmu5]])</f>
        <v>0</v>
      </c>
      <c r="U219" s="75"/>
      <c r="V219" s="75"/>
    </row>
    <row r="220" spans="1:22" ht="15">
      <c r="A220" t="s">
        <v>348</v>
      </c>
      <c r="B220" s="85" t="s">
        <v>406</v>
      </c>
      <c r="C220" s="75">
        <v>87.5</v>
      </c>
      <c r="D220" s="75">
        <v>0</v>
      </c>
      <c r="E220" s="75">
        <v>86.7</v>
      </c>
      <c r="F220" s="75">
        <v>87.7</v>
      </c>
      <c r="G220" s="75">
        <v>86.7</v>
      </c>
      <c r="H220" s="75">
        <v>87.1</v>
      </c>
      <c r="I220" s="75">
        <v>87.1</v>
      </c>
      <c r="J220" s="83">
        <v>1385.6</v>
      </c>
      <c r="K220" s="83">
        <v>1386.1</v>
      </c>
      <c r="L220" s="83">
        <v>1384.9</v>
      </c>
      <c r="M220" s="83">
        <v>1386.6</v>
      </c>
      <c r="N220" s="83">
        <v>1385</v>
      </c>
      <c r="O220" s="75">
        <v>0</v>
      </c>
      <c r="P220" s="75">
        <v>0</v>
      </c>
      <c r="Q220" s="75">
        <v>5</v>
      </c>
      <c r="R220" s="75">
        <v>29</v>
      </c>
      <c r="S220" s="75">
        <f>MAX(Table2[[#This Row],[volt-sbmu1]:[volt-sbmu5]])-MIN(Table2[[#This Row],[volt-sbmu1]:[volt-sbmu5]])</f>
        <v>1.6999999999998181</v>
      </c>
      <c r="T220" s="75">
        <f>MAX(Table2[[#This Row],[soc-sbmu1]:[soc-sbmu5]])-MIN(Table2[[#This Row],[soc-sbmu1]:[soc-sbmu5]])</f>
        <v>1</v>
      </c>
      <c r="U220" s="75"/>
      <c r="V220" s="75"/>
    </row>
    <row r="221" spans="1:22" ht="15">
      <c r="A221" t="s">
        <v>349</v>
      </c>
      <c r="B221" s="85" t="s">
        <v>405</v>
      </c>
      <c r="C221" s="75">
        <v>87.1</v>
      </c>
      <c r="D221" s="75">
        <v>0</v>
      </c>
      <c r="E221" s="75">
        <v>87.2</v>
      </c>
      <c r="F221" s="75">
        <v>86.7</v>
      </c>
      <c r="G221" s="75">
        <v>87.1</v>
      </c>
      <c r="H221" s="75">
        <v>87.2</v>
      </c>
      <c r="I221" s="75">
        <v>86.7</v>
      </c>
      <c r="J221" s="83">
        <v>1386.6</v>
      </c>
      <c r="K221" s="83">
        <v>1385.7</v>
      </c>
      <c r="L221" s="83">
        <v>1386.6</v>
      </c>
      <c r="M221" s="83">
        <v>1386.9</v>
      </c>
      <c r="N221" s="83">
        <v>1385.7</v>
      </c>
      <c r="O221" s="75">
        <v>0</v>
      </c>
      <c r="P221" s="75">
        <v>0</v>
      </c>
      <c r="Q221" s="75">
        <v>5</v>
      </c>
      <c r="R221" s="75">
        <v>29</v>
      </c>
      <c r="S221" s="75">
        <f>MAX(Table2[[#This Row],[volt-sbmu1]:[volt-sbmu5]])-MIN(Table2[[#This Row],[volt-sbmu1]:[volt-sbmu5]])</f>
        <v>1.2000000000000455</v>
      </c>
      <c r="T221" s="75">
        <f>MAX(Table2[[#This Row],[soc-sbmu1]:[soc-sbmu5]])-MIN(Table2[[#This Row],[soc-sbmu1]:[soc-sbmu5]])</f>
        <v>0.5</v>
      </c>
      <c r="U221" s="75"/>
      <c r="V221" s="75"/>
    </row>
    <row r="222" spans="1:22" ht="15">
      <c r="A222" t="s">
        <v>350</v>
      </c>
      <c r="B222" s="85" t="s">
        <v>404</v>
      </c>
      <c r="C222" s="75">
        <v>88</v>
      </c>
      <c r="D222" s="75">
        <v>0</v>
      </c>
      <c r="E222" s="75">
        <v>88.2</v>
      </c>
      <c r="F222" s="75">
        <v>87.3</v>
      </c>
      <c r="G222" s="75">
        <v>86.7</v>
      </c>
      <c r="H222" s="75">
        <v>87.2</v>
      </c>
      <c r="I222" s="75">
        <v>87.1</v>
      </c>
      <c r="J222" s="83">
        <v>1386.5</v>
      </c>
      <c r="K222" s="83">
        <v>1385.7</v>
      </c>
      <c r="L222" s="83">
        <v>1384.9</v>
      </c>
      <c r="M222" s="83">
        <v>1386.1</v>
      </c>
      <c r="N222" s="83">
        <v>1386.3</v>
      </c>
      <c r="O222" s="75">
        <v>0</v>
      </c>
      <c r="P222" s="75">
        <v>0</v>
      </c>
      <c r="Q222" s="75">
        <v>5</v>
      </c>
      <c r="R222" s="75">
        <v>29</v>
      </c>
      <c r="S222" s="75">
        <f>MAX(Table2[[#This Row],[volt-sbmu1]:[volt-sbmu5]])-MIN(Table2[[#This Row],[volt-sbmu1]:[volt-sbmu5]])</f>
        <v>1.5999999999999091</v>
      </c>
      <c r="T222" s="75">
        <f>MAX(Table2[[#This Row],[soc-sbmu1]:[soc-sbmu5]])-MIN(Table2[[#This Row],[soc-sbmu1]:[soc-sbmu5]])</f>
        <v>1.5</v>
      </c>
      <c r="U222" s="75"/>
      <c r="V222" s="75"/>
    </row>
    <row r="223" spans="1:22" ht="15">
      <c r="A223" t="s">
        <v>351</v>
      </c>
      <c r="B223" s="85" t="s">
        <v>627</v>
      </c>
      <c r="C223" s="75">
        <v>1</v>
      </c>
      <c r="D223" s="75">
        <v>0</v>
      </c>
      <c r="E223" s="75">
        <v>1</v>
      </c>
      <c r="F223" s="75">
        <v>1</v>
      </c>
      <c r="G223" s="75">
        <v>1</v>
      </c>
      <c r="H223" s="75">
        <v>1</v>
      </c>
      <c r="I223" s="75">
        <v>1</v>
      </c>
      <c r="J223" s="83">
        <v>1239.5</v>
      </c>
      <c r="K223" s="83">
        <v>1239.5999999999999</v>
      </c>
      <c r="L223" s="83">
        <v>1239.9000000000001</v>
      </c>
      <c r="M223" s="83">
        <v>1237.5</v>
      </c>
      <c r="N223" s="83">
        <v>1239.5</v>
      </c>
      <c r="O223" s="75">
        <v>0</v>
      </c>
      <c r="P223" s="75">
        <v>0</v>
      </c>
      <c r="Q223" s="75">
        <v>5</v>
      </c>
      <c r="R223" s="75">
        <v>28</v>
      </c>
      <c r="S223" s="75">
        <f>MAX(Table2[[#This Row],[volt-sbmu1]:[volt-sbmu5]])-MIN(Table2[[#This Row],[volt-sbmu1]:[volt-sbmu5]])</f>
        <v>2.4000000000000909</v>
      </c>
      <c r="T223" s="75">
        <f>MAX(Table2[[#This Row],[soc-sbmu1]:[soc-sbmu5]])-MIN(Table2[[#This Row],[soc-sbmu1]:[soc-sbmu5]])</f>
        <v>0</v>
      </c>
      <c r="U223" s="75"/>
      <c r="V223" s="75"/>
    </row>
    <row r="224" spans="1:22" ht="15">
      <c r="A224" t="s">
        <v>352</v>
      </c>
      <c r="B224" s="85" t="s">
        <v>628</v>
      </c>
      <c r="C224" s="75">
        <v>100</v>
      </c>
      <c r="D224" s="75">
        <v>0</v>
      </c>
      <c r="E224" s="75">
        <v>100</v>
      </c>
      <c r="F224" s="75">
        <v>100</v>
      </c>
      <c r="G224" s="75">
        <v>100</v>
      </c>
      <c r="H224" s="75">
        <v>98.5</v>
      </c>
      <c r="I224" s="75">
        <v>100</v>
      </c>
      <c r="J224" s="83">
        <v>1383.9</v>
      </c>
      <c r="K224" s="83">
        <v>1383.7</v>
      </c>
      <c r="L224" s="83">
        <v>1384.2</v>
      </c>
      <c r="M224" s="83">
        <v>1382.8</v>
      </c>
      <c r="N224" s="83">
        <v>1383.2</v>
      </c>
      <c r="O224" s="75">
        <v>0</v>
      </c>
      <c r="P224" s="75">
        <v>64</v>
      </c>
      <c r="Q224" s="75">
        <v>5</v>
      </c>
      <c r="R224" s="75">
        <v>28</v>
      </c>
      <c r="S224" s="75">
        <f>MAX(Table2[[#This Row],[volt-sbmu1]:[volt-sbmu5]])-MIN(Table2[[#This Row],[volt-sbmu1]:[volt-sbmu5]])</f>
        <v>1.4000000000000909</v>
      </c>
      <c r="T224" s="75">
        <f>MAX(Table2[[#This Row],[soc-sbmu1]:[soc-sbmu5]])-MIN(Table2[[#This Row],[soc-sbmu1]:[soc-sbmu5]])</f>
        <v>1.5</v>
      </c>
      <c r="U224" s="75"/>
      <c r="V224" s="75"/>
    </row>
    <row r="225" spans="1:22" ht="15">
      <c r="A225" t="s">
        <v>353</v>
      </c>
      <c r="B225" s="85" t="s">
        <v>629</v>
      </c>
      <c r="C225" s="75">
        <v>100</v>
      </c>
      <c r="D225" s="75">
        <v>0</v>
      </c>
      <c r="E225" s="75">
        <v>100</v>
      </c>
      <c r="F225" s="75">
        <v>99.8</v>
      </c>
      <c r="G225" s="75">
        <v>100</v>
      </c>
      <c r="H225" s="75">
        <v>99.9</v>
      </c>
      <c r="I225" s="75">
        <v>99.9</v>
      </c>
      <c r="J225" s="83">
        <v>1386.2</v>
      </c>
      <c r="K225" s="83">
        <v>1386.7</v>
      </c>
      <c r="L225" s="83">
        <v>1386.3</v>
      </c>
      <c r="M225" s="83">
        <v>1386.8</v>
      </c>
      <c r="N225" s="83">
        <v>1386.6</v>
      </c>
      <c r="O225" s="75">
        <v>0</v>
      </c>
      <c r="P225" s="75">
        <v>0</v>
      </c>
      <c r="Q225" s="75">
        <v>5</v>
      </c>
      <c r="R225" s="75">
        <v>28</v>
      </c>
      <c r="S225" s="75">
        <f>MAX(Table2[[#This Row],[volt-sbmu1]:[volt-sbmu5]])-MIN(Table2[[#This Row],[volt-sbmu1]:[volt-sbmu5]])</f>
        <v>0.59999999999990905</v>
      </c>
      <c r="T225" s="75">
        <f>MAX(Table2[[#This Row],[soc-sbmu1]:[soc-sbmu5]])-MIN(Table2[[#This Row],[soc-sbmu1]:[soc-sbmu5]])</f>
        <v>0.20000000000000284</v>
      </c>
      <c r="U225" s="75"/>
      <c r="V225" s="75"/>
    </row>
    <row r="226" spans="1:22" ht="15">
      <c r="A226" t="s">
        <v>354</v>
      </c>
      <c r="B226" s="85" t="s">
        <v>630</v>
      </c>
      <c r="C226" s="75">
        <v>1</v>
      </c>
      <c r="D226" s="75">
        <v>0</v>
      </c>
      <c r="E226" s="75">
        <v>1</v>
      </c>
      <c r="F226" s="75">
        <v>1</v>
      </c>
      <c r="G226" s="75">
        <v>1</v>
      </c>
      <c r="H226" s="75">
        <v>1</v>
      </c>
      <c r="I226" s="75">
        <v>1</v>
      </c>
      <c r="J226" s="83">
        <v>1232</v>
      </c>
      <c r="K226" s="83">
        <v>1232.5999999999999</v>
      </c>
      <c r="L226" s="83">
        <v>1232</v>
      </c>
      <c r="M226" s="83">
        <v>1231.9000000000001</v>
      </c>
      <c r="N226" s="83">
        <v>1231.4000000000001</v>
      </c>
      <c r="O226" s="75">
        <v>0</v>
      </c>
      <c r="P226" s="75">
        <v>0</v>
      </c>
      <c r="Q226" s="75">
        <v>5</v>
      </c>
      <c r="R226" s="75">
        <v>28</v>
      </c>
      <c r="S226" s="75">
        <f>MAX(Table2[[#This Row],[volt-sbmu1]:[volt-sbmu5]])-MIN(Table2[[#This Row],[volt-sbmu1]:[volt-sbmu5]])</f>
        <v>1.1999999999998181</v>
      </c>
      <c r="T226" s="75">
        <f>MAX(Table2[[#This Row],[soc-sbmu1]:[soc-sbmu5]])-MIN(Table2[[#This Row],[soc-sbmu1]:[soc-sbmu5]])</f>
        <v>0</v>
      </c>
      <c r="U226" s="75"/>
      <c r="V226" s="75"/>
    </row>
    <row r="227" spans="1:22" ht="15">
      <c r="A227" t="s">
        <v>355</v>
      </c>
      <c r="B227" s="85" t="s">
        <v>631</v>
      </c>
      <c r="C227" s="75">
        <v>87</v>
      </c>
      <c r="D227" s="75">
        <v>0</v>
      </c>
      <c r="E227" s="75">
        <v>86.7</v>
      </c>
      <c r="F227" s="75">
        <v>86.9</v>
      </c>
      <c r="G227" s="75">
        <v>86.7</v>
      </c>
      <c r="H227" s="75">
        <v>87.1</v>
      </c>
      <c r="I227" s="75">
        <v>86.7</v>
      </c>
      <c r="J227" s="83">
        <v>1386</v>
      </c>
      <c r="K227" s="83">
        <v>1386.5</v>
      </c>
      <c r="L227" s="83">
        <v>1385.9</v>
      </c>
      <c r="M227" s="83">
        <v>1385.1</v>
      </c>
      <c r="N227" s="83">
        <v>1383.6</v>
      </c>
      <c r="O227" s="75">
        <v>0</v>
      </c>
      <c r="P227" s="75">
        <v>0</v>
      </c>
      <c r="Q227" s="75">
        <v>5</v>
      </c>
      <c r="R227" s="75">
        <v>29</v>
      </c>
      <c r="S227" s="75">
        <f>MAX(Table2[[#This Row],[volt-sbmu1]:[volt-sbmu5]])-MIN(Table2[[#This Row],[volt-sbmu1]:[volt-sbmu5]])</f>
        <v>2.9000000000000909</v>
      </c>
      <c r="T227" s="75">
        <f>MAX(Table2[[#This Row],[soc-sbmu1]:[soc-sbmu5]])-MIN(Table2[[#This Row],[soc-sbmu1]:[soc-sbmu5]])</f>
        <v>0.39999999999999147</v>
      </c>
      <c r="U227" s="75"/>
      <c r="V227" s="75"/>
    </row>
    <row r="228" spans="1:22" ht="15">
      <c r="A228" t="s">
        <v>356</v>
      </c>
      <c r="B228" s="85" t="s">
        <v>632</v>
      </c>
      <c r="C228" s="75">
        <v>87</v>
      </c>
      <c r="D228" s="75">
        <v>0</v>
      </c>
      <c r="E228" s="75">
        <v>87.1</v>
      </c>
      <c r="F228" s="75">
        <v>87.1</v>
      </c>
      <c r="G228" s="75">
        <v>86.9</v>
      </c>
      <c r="H228" s="75">
        <v>87</v>
      </c>
      <c r="I228" s="75">
        <v>86.9</v>
      </c>
      <c r="J228" s="83">
        <v>1386.7</v>
      </c>
      <c r="K228" s="83">
        <v>1385.4</v>
      </c>
      <c r="L228" s="83">
        <v>1385.2</v>
      </c>
      <c r="M228" s="83">
        <v>1386.1</v>
      </c>
      <c r="N228" s="83">
        <v>1386.5</v>
      </c>
      <c r="O228" s="75">
        <v>0</v>
      </c>
      <c r="P228" s="75">
        <v>0</v>
      </c>
      <c r="Q228" s="75">
        <v>5</v>
      </c>
      <c r="R228" s="75">
        <v>28</v>
      </c>
      <c r="S228" s="75">
        <f>MAX(Table2[[#This Row],[volt-sbmu1]:[volt-sbmu5]])-MIN(Table2[[#This Row],[volt-sbmu1]:[volt-sbmu5]])</f>
        <v>1.5</v>
      </c>
      <c r="T228" s="75">
        <f>MAX(Table2[[#This Row],[soc-sbmu1]:[soc-sbmu5]])-MIN(Table2[[#This Row],[soc-sbmu1]:[soc-sbmu5]])</f>
        <v>0.19999999999998863</v>
      </c>
      <c r="U228" s="75"/>
      <c r="V228" s="75"/>
    </row>
    <row r="229" spans="1:22" ht="15">
      <c r="A229" t="s">
        <v>357</v>
      </c>
      <c r="B229" s="85" t="s">
        <v>633</v>
      </c>
      <c r="C229" s="75">
        <v>87.3</v>
      </c>
      <c r="D229" s="75">
        <v>0</v>
      </c>
      <c r="E229" s="75">
        <v>86.9</v>
      </c>
      <c r="F229" s="75">
        <v>86.7</v>
      </c>
      <c r="G229" s="75">
        <v>87.2</v>
      </c>
      <c r="H229" s="75">
        <v>87.5</v>
      </c>
      <c r="I229" s="75">
        <v>87.4</v>
      </c>
      <c r="J229" s="83">
        <v>1386.7</v>
      </c>
      <c r="K229" s="83">
        <v>1385.7</v>
      </c>
      <c r="L229" s="83">
        <v>1386.4</v>
      </c>
      <c r="M229" s="83">
        <v>1385</v>
      </c>
      <c r="N229" s="83">
        <v>1385.8</v>
      </c>
      <c r="O229" s="75">
        <v>0</v>
      </c>
      <c r="P229" s="75">
        <v>0</v>
      </c>
      <c r="Q229" s="75">
        <v>5</v>
      </c>
      <c r="R229" s="75">
        <v>28</v>
      </c>
      <c r="S229" s="75">
        <f>MAX(Table2[[#This Row],[volt-sbmu1]:[volt-sbmu5]])-MIN(Table2[[#This Row],[volt-sbmu1]:[volt-sbmu5]])</f>
        <v>1.7000000000000455</v>
      </c>
      <c r="T229" s="75">
        <f>MAX(Table2[[#This Row],[soc-sbmu1]:[soc-sbmu5]])-MIN(Table2[[#This Row],[soc-sbmu1]:[soc-sbmu5]])</f>
        <v>0.79999999999999716</v>
      </c>
      <c r="U229" s="75"/>
      <c r="V229" s="75"/>
    </row>
    <row r="230" spans="1:22" ht="15">
      <c r="A230" t="s">
        <v>358</v>
      </c>
      <c r="B230" s="85" t="s">
        <v>634</v>
      </c>
      <c r="C230" s="75">
        <v>87.7</v>
      </c>
      <c r="D230" s="75">
        <v>0</v>
      </c>
      <c r="E230" s="75">
        <v>87.9</v>
      </c>
      <c r="F230" s="75">
        <v>87.8</v>
      </c>
      <c r="G230" s="75">
        <v>87.7</v>
      </c>
      <c r="H230" s="75">
        <v>86.7</v>
      </c>
      <c r="I230" s="75">
        <v>86.9</v>
      </c>
      <c r="J230" s="83">
        <v>1386</v>
      </c>
      <c r="K230" s="83">
        <v>1385.3</v>
      </c>
      <c r="L230" s="83">
        <v>1385.5</v>
      </c>
      <c r="M230" s="83">
        <v>1386.1</v>
      </c>
      <c r="N230" s="83">
        <v>1386.8</v>
      </c>
      <c r="O230" s="75">
        <v>0</v>
      </c>
      <c r="P230" s="75">
        <v>0</v>
      </c>
      <c r="Q230" s="75">
        <v>5</v>
      </c>
      <c r="R230" s="75">
        <v>29</v>
      </c>
      <c r="S230" s="75">
        <f>MAX(Table2[[#This Row],[volt-sbmu1]:[volt-sbmu5]])-MIN(Table2[[#This Row],[volt-sbmu1]:[volt-sbmu5]])</f>
        <v>1.5</v>
      </c>
      <c r="T230" s="75">
        <f>MAX(Table2[[#This Row],[soc-sbmu1]:[soc-sbmu5]])-MIN(Table2[[#This Row],[soc-sbmu1]:[soc-sbmu5]])</f>
        <v>1.2000000000000028</v>
      </c>
      <c r="U230" s="75"/>
      <c r="V230" s="75"/>
    </row>
    <row r="231" spans="1:22" ht="15">
      <c r="A231" t="s">
        <v>359</v>
      </c>
      <c r="B231" s="85" t="s">
        <v>635</v>
      </c>
      <c r="C231" s="75">
        <v>57.6</v>
      </c>
      <c r="D231" s="75">
        <v>0</v>
      </c>
      <c r="E231" s="75">
        <v>86.9</v>
      </c>
      <c r="F231" s="75">
        <v>86.9</v>
      </c>
      <c r="G231" s="75">
        <v>86.9</v>
      </c>
      <c r="H231" s="75">
        <v>16.899999999999999</v>
      </c>
      <c r="I231" s="75">
        <v>87.6</v>
      </c>
      <c r="J231" s="83">
        <v>1385.8</v>
      </c>
      <c r="K231" s="83">
        <v>1385.1</v>
      </c>
      <c r="L231" s="83">
        <v>1385.3</v>
      </c>
      <c r="M231" s="83">
        <v>1387.6</v>
      </c>
      <c r="N231" s="83">
        <v>1386.1</v>
      </c>
      <c r="O231" s="75">
        <v>0</v>
      </c>
      <c r="P231" s="75">
        <v>0</v>
      </c>
      <c r="Q231" s="75">
        <v>5</v>
      </c>
      <c r="R231" s="75">
        <v>27</v>
      </c>
      <c r="S231" s="75">
        <f>MAX(Table2[[#This Row],[volt-sbmu1]:[volt-sbmu5]])-MIN(Table2[[#This Row],[volt-sbmu1]:[volt-sbmu5]])</f>
        <v>2.5</v>
      </c>
      <c r="T231" s="75">
        <f>MAX(Table2[[#This Row],[soc-sbmu1]:[soc-sbmu5]])-MIN(Table2[[#This Row],[soc-sbmu1]:[soc-sbmu5]])</f>
        <v>70.699999999999989</v>
      </c>
      <c r="U231" s="75"/>
      <c r="V231" s="75"/>
    </row>
    <row r="232" spans="1:22" ht="15">
      <c r="A232" t="s">
        <v>360</v>
      </c>
      <c r="B232" s="85" t="s">
        <v>636</v>
      </c>
      <c r="C232" s="75">
        <v>87.5</v>
      </c>
      <c r="D232" s="75">
        <v>0</v>
      </c>
      <c r="E232" s="75">
        <v>87.2</v>
      </c>
      <c r="F232" s="75">
        <v>87.5</v>
      </c>
      <c r="G232" s="75">
        <v>87.3</v>
      </c>
      <c r="H232" s="75">
        <v>87.7</v>
      </c>
      <c r="I232" s="75">
        <v>86.8</v>
      </c>
      <c r="J232" s="83">
        <v>1386.5</v>
      </c>
      <c r="K232" s="83">
        <v>1385.5</v>
      </c>
      <c r="L232" s="83">
        <v>1385</v>
      </c>
      <c r="M232" s="83">
        <v>1386</v>
      </c>
      <c r="N232" s="83">
        <v>1387</v>
      </c>
      <c r="O232" s="75">
        <v>0</v>
      </c>
      <c r="P232" s="75">
        <v>0</v>
      </c>
      <c r="Q232" s="75">
        <v>5</v>
      </c>
      <c r="R232" s="75">
        <v>27</v>
      </c>
      <c r="S232" s="75">
        <f>MAX(Table2[[#This Row],[volt-sbmu1]:[volt-sbmu5]])-MIN(Table2[[#This Row],[volt-sbmu1]:[volt-sbmu5]])</f>
        <v>2</v>
      </c>
      <c r="T232" s="75">
        <f>MAX(Table2[[#This Row],[soc-sbmu1]:[soc-sbmu5]])-MIN(Table2[[#This Row],[soc-sbmu1]:[soc-sbmu5]])</f>
        <v>0.90000000000000568</v>
      </c>
      <c r="U232" s="75"/>
      <c r="V232" s="75"/>
    </row>
    <row r="233" spans="1:22" ht="15">
      <c r="A233" t="s">
        <v>361</v>
      </c>
      <c r="B233" s="85" t="s">
        <v>637</v>
      </c>
      <c r="C233" s="75">
        <v>87</v>
      </c>
      <c r="D233" s="75">
        <v>0</v>
      </c>
      <c r="E233" s="75">
        <v>87.4</v>
      </c>
      <c r="F233" s="75">
        <v>87.3</v>
      </c>
      <c r="G233" s="75">
        <v>87.3</v>
      </c>
      <c r="H233" s="75">
        <v>85.9</v>
      </c>
      <c r="I233" s="75">
        <v>84.9</v>
      </c>
      <c r="J233" s="83">
        <v>1385</v>
      </c>
      <c r="K233" s="83">
        <v>1385.9</v>
      </c>
      <c r="L233" s="83">
        <v>1386.3</v>
      </c>
      <c r="M233" s="83">
        <v>1385</v>
      </c>
      <c r="N233" s="83">
        <v>1385.8</v>
      </c>
      <c r="O233" s="75">
        <v>0</v>
      </c>
      <c r="P233" s="75">
        <v>0</v>
      </c>
      <c r="Q233" s="75">
        <v>5</v>
      </c>
      <c r="R233" s="75">
        <v>28</v>
      </c>
      <c r="S233" s="75">
        <f>MAX(Table2[[#This Row],[volt-sbmu1]:[volt-sbmu5]])-MIN(Table2[[#This Row],[volt-sbmu1]:[volt-sbmu5]])</f>
        <v>1.2999999999999545</v>
      </c>
      <c r="T233" s="75">
        <f>MAX(Table2[[#This Row],[soc-sbmu1]:[soc-sbmu5]])-MIN(Table2[[#This Row],[soc-sbmu1]:[soc-sbmu5]])</f>
        <v>2.5</v>
      </c>
      <c r="U233" s="75"/>
      <c r="V233" s="75"/>
    </row>
    <row r="234" spans="1:22" ht="15">
      <c r="A234" t="s">
        <v>362</v>
      </c>
      <c r="B234" s="85" t="s">
        <v>638</v>
      </c>
      <c r="C234" s="75">
        <v>87.1</v>
      </c>
      <c r="D234" s="75">
        <v>0</v>
      </c>
      <c r="E234" s="75">
        <v>86.9</v>
      </c>
      <c r="F234" s="75">
        <v>87.2</v>
      </c>
      <c r="G234" s="75">
        <v>87.1</v>
      </c>
      <c r="H234" s="75">
        <v>86.9</v>
      </c>
      <c r="I234" s="75">
        <v>87.1</v>
      </c>
      <c r="J234" s="83">
        <v>1386.2</v>
      </c>
      <c r="K234" s="83">
        <v>1385.3</v>
      </c>
      <c r="L234" s="83">
        <v>1386.2</v>
      </c>
      <c r="M234" s="83">
        <v>1386.6</v>
      </c>
      <c r="N234" s="83">
        <v>1385.9</v>
      </c>
      <c r="O234" s="75">
        <v>0</v>
      </c>
      <c r="P234" s="75">
        <v>0</v>
      </c>
      <c r="Q234" s="75">
        <v>5</v>
      </c>
      <c r="R234" s="75">
        <v>29</v>
      </c>
      <c r="S234" s="75">
        <f>MAX(Table2[[#This Row],[volt-sbmu1]:[volt-sbmu5]])-MIN(Table2[[#This Row],[volt-sbmu1]:[volt-sbmu5]])</f>
        <v>1.2999999999999545</v>
      </c>
      <c r="T234" s="75">
        <f>MAX(Table2[[#This Row],[soc-sbmu1]:[soc-sbmu5]])-MIN(Table2[[#This Row],[soc-sbmu1]:[soc-sbmu5]])</f>
        <v>0.29999999999999716</v>
      </c>
      <c r="U234" s="75"/>
      <c r="V234" s="75"/>
    </row>
    <row r="235" spans="1:22" ht="15">
      <c r="A235" t="s">
        <v>363</v>
      </c>
      <c r="B235" s="85" t="s">
        <v>639</v>
      </c>
      <c r="C235" s="75">
        <v>87.5</v>
      </c>
      <c r="D235" s="75">
        <v>0</v>
      </c>
      <c r="E235" s="75">
        <v>87.7</v>
      </c>
      <c r="F235" s="75">
        <v>87.7</v>
      </c>
      <c r="G235" s="75">
        <v>86.7</v>
      </c>
      <c r="H235" s="75">
        <v>86.9</v>
      </c>
      <c r="I235" s="75">
        <v>86.9</v>
      </c>
      <c r="J235" s="83">
        <v>1385.5</v>
      </c>
      <c r="K235" s="83">
        <v>1385</v>
      </c>
      <c r="L235" s="83">
        <v>1386.6</v>
      </c>
      <c r="M235" s="83">
        <v>1388.6</v>
      </c>
      <c r="N235" s="83">
        <v>1386</v>
      </c>
      <c r="O235" s="75">
        <v>0</v>
      </c>
      <c r="P235" s="75">
        <v>0</v>
      </c>
      <c r="Q235" s="75">
        <v>5</v>
      </c>
      <c r="R235" s="75">
        <v>29</v>
      </c>
      <c r="S235" s="75">
        <f>MAX(Table2[[#This Row],[volt-sbmu1]:[volt-sbmu5]])-MIN(Table2[[#This Row],[volt-sbmu1]:[volt-sbmu5]])</f>
        <v>3.5999999999999091</v>
      </c>
      <c r="T235" s="75">
        <f>MAX(Table2[[#This Row],[soc-sbmu1]:[soc-sbmu5]])-MIN(Table2[[#This Row],[soc-sbmu1]:[soc-sbmu5]])</f>
        <v>1</v>
      </c>
      <c r="U235" s="75"/>
      <c r="V235" s="75"/>
    </row>
    <row r="236" spans="1:22" ht="15">
      <c r="A236" t="s">
        <v>364</v>
      </c>
      <c r="B236" s="85" t="s">
        <v>640</v>
      </c>
      <c r="C236" s="75">
        <v>87.8</v>
      </c>
      <c r="D236" s="75">
        <v>0</v>
      </c>
      <c r="E236" s="75">
        <v>87.9</v>
      </c>
      <c r="F236" s="75">
        <v>87.9</v>
      </c>
      <c r="G236" s="75">
        <v>87.7</v>
      </c>
      <c r="H236" s="75">
        <v>87.7</v>
      </c>
      <c r="I236" s="75">
        <v>87.7</v>
      </c>
      <c r="J236" s="83">
        <v>1385.1</v>
      </c>
      <c r="K236" s="83">
        <v>1385</v>
      </c>
      <c r="L236" s="83">
        <v>1386.1</v>
      </c>
      <c r="M236" s="83">
        <v>1385.8</v>
      </c>
      <c r="N236" s="83">
        <v>1386.9</v>
      </c>
      <c r="O236" s="75">
        <v>0</v>
      </c>
      <c r="P236" s="75">
        <v>0</v>
      </c>
      <c r="Q236" s="75">
        <v>5</v>
      </c>
      <c r="R236" s="75">
        <v>29</v>
      </c>
      <c r="S236" s="75">
        <f>MAX(Table2[[#This Row],[volt-sbmu1]:[volt-sbmu5]])-MIN(Table2[[#This Row],[volt-sbmu1]:[volt-sbmu5]])</f>
        <v>1.9000000000000909</v>
      </c>
      <c r="T236" s="75">
        <f>MAX(Table2[[#This Row],[soc-sbmu1]:[soc-sbmu5]])-MIN(Table2[[#This Row],[soc-sbmu1]:[soc-sbmu5]])</f>
        <v>0.20000000000000284</v>
      </c>
      <c r="U236" s="75"/>
      <c r="V236" s="75"/>
    </row>
    <row r="237" spans="1:22" ht="15">
      <c r="A237" t="s">
        <v>365</v>
      </c>
      <c r="B237" s="85" t="s">
        <v>641</v>
      </c>
      <c r="C237" s="75">
        <v>87.4</v>
      </c>
      <c r="D237" s="75">
        <v>0</v>
      </c>
      <c r="E237" s="75">
        <v>87.7</v>
      </c>
      <c r="F237" s="75">
        <v>85.9</v>
      </c>
      <c r="G237" s="75">
        <v>87.7</v>
      </c>
      <c r="H237" s="75">
        <v>86.7</v>
      </c>
      <c r="I237" s="75">
        <v>87.3</v>
      </c>
      <c r="J237" s="83">
        <v>1386.1</v>
      </c>
      <c r="K237" s="83">
        <v>1387.4</v>
      </c>
      <c r="L237" s="83">
        <v>1386.4</v>
      </c>
      <c r="M237" s="83">
        <v>1386.6</v>
      </c>
      <c r="N237" s="83">
        <v>1386.1</v>
      </c>
      <c r="O237" s="75">
        <v>0</v>
      </c>
      <c r="P237" s="75">
        <v>0</v>
      </c>
      <c r="Q237" s="75">
        <v>5</v>
      </c>
      <c r="R237" s="75">
        <v>28</v>
      </c>
      <c r="S237" s="75">
        <f>MAX(Table2[[#This Row],[volt-sbmu1]:[volt-sbmu5]])-MIN(Table2[[#This Row],[volt-sbmu1]:[volt-sbmu5]])</f>
        <v>1.3000000000001819</v>
      </c>
      <c r="T237" s="75">
        <f>MAX(Table2[[#This Row],[soc-sbmu1]:[soc-sbmu5]])-MIN(Table2[[#This Row],[soc-sbmu1]:[soc-sbmu5]])</f>
        <v>1.7999999999999972</v>
      </c>
      <c r="U237" s="75"/>
      <c r="V237" s="75"/>
    </row>
    <row r="238" spans="1:22" ht="15">
      <c r="A238" t="s">
        <v>366</v>
      </c>
      <c r="B238" s="85" t="s">
        <v>642</v>
      </c>
      <c r="C238" s="75">
        <v>87</v>
      </c>
      <c r="D238" s="75">
        <v>0</v>
      </c>
      <c r="E238" s="75">
        <v>87</v>
      </c>
      <c r="F238" s="75">
        <v>87.1</v>
      </c>
      <c r="G238" s="75">
        <v>87.1</v>
      </c>
      <c r="H238" s="75">
        <v>87.1</v>
      </c>
      <c r="I238" s="75">
        <v>87.1</v>
      </c>
      <c r="J238" s="83">
        <v>1386.2</v>
      </c>
      <c r="K238" s="83">
        <v>1385.5</v>
      </c>
      <c r="L238" s="83">
        <v>1385.8</v>
      </c>
      <c r="M238" s="83">
        <v>1385.8</v>
      </c>
      <c r="N238" s="83">
        <v>1385.1</v>
      </c>
      <c r="O238" s="75">
        <v>0</v>
      </c>
      <c r="P238" s="75">
        <v>0</v>
      </c>
      <c r="Q238" s="75">
        <v>5</v>
      </c>
      <c r="R238" s="75">
        <v>29</v>
      </c>
      <c r="S238" s="75">
        <f>MAX(Table2[[#This Row],[volt-sbmu1]:[volt-sbmu5]])-MIN(Table2[[#This Row],[volt-sbmu1]:[volt-sbmu5]])</f>
        <v>1.1000000000001364</v>
      </c>
      <c r="T238" s="75">
        <f>MAX(Table2[[#This Row],[soc-sbmu1]:[soc-sbmu5]])-MIN(Table2[[#This Row],[soc-sbmu1]:[soc-sbmu5]])</f>
        <v>9.9999999999994316E-2</v>
      </c>
      <c r="U238" s="75"/>
      <c r="V238" s="75"/>
    </row>
    <row r="239" spans="1:22" ht="15">
      <c r="A239" t="s">
        <v>367</v>
      </c>
      <c r="B239" s="85" t="s">
        <v>643</v>
      </c>
      <c r="C239" s="75">
        <v>87.5</v>
      </c>
      <c r="D239" s="75">
        <v>0</v>
      </c>
      <c r="E239" s="75">
        <v>86.7</v>
      </c>
      <c r="F239" s="75">
        <v>87.7</v>
      </c>
      <c r="G239" s="75">
        <v>87.2</v>
      </c>
      <c r="H239" s="75">
        <v>87.1</v>
      </c>
      <c r="I239" s="75">
        <v>86.9</v>
      </c>
      <c r="J239" s="83">
        <v>1386</v>
      </c>
      <c r="K239" s="83">
        <v>1385.7</v>
      </c>
      <c r="L239" s="83">
        <v>1385.1</v>
      </c>
      <c r="M239" s="83">
        <v>1386.4</v>
      </c>
      <c r="N239" s="83">
        <v>1384.8</v>
      </c>
      <c r="O239" s="75">
        <v>0</v>
      </c>
      <c r="P239" s="75">
        <v>0</v>
      </c>
      <c r="Q239" s="75">
        <v>5</v>
      </c>
      <c r="R239" s="75">
        <v>27</v>
      </c>
      <c r="S239" s="75">
        <f>MAX(Table2[[#This Row],[volt-sbmu1]:[volt-sbmu5]])-MIN(Table2[[#This Row],[volt-sbmu1]:[volt-sbmu5]])</f>
        <v>1.6000000000001364</v>
      </c>
      <c r="T239" s="75">
        <f>MAX(Table2[[#This Row],[soc-sbmu1]:[soc-sbmu5]])-MIN(Table2[[#This Row],[soc-sbmu1]:[soc-sbmu5]])</f>
        <v>1</v>
      </c>
      <c r="U239" s="75"/>
      <c r="V239" s="75"/>
    </row>
    <row r="240" spans="1:22" ht="15">
      <c r="A240" t="s">
        <v>368</v>
      </c>
      <c r="B240" s="85" t="s">
        <v>644</v>
      </c>
      <c r="C240" s="75">
        <v>87</v>
      </c>
      <c r="D240" s="75">
        <v>0</v>
      </c>
      <c r="E240" s="75">
        <v>86.7</v>
      </c>
      <c r="F240" s="75">
        <v>86.7</v>
      </c>
      <c r="G240" s="75">
        <v>86.7</v>
      </c>
      <c r="H240" s="75">
        <v>86.9</v>
      </c>
      <c r="I240" s="75">
        <v>87.1</v>
      </c>
      <c r="J240" s="83">
        <v>1385</v>
      </c>
      <c r="K240" s="83">
        <v>1385.7</v>
      </c>
      <c r="L240" s="83">
        <v>1386.1</v>
      </c>
      <c r="M240" s="83">
        <v>1385.7</v>
      </c>
      <c r="N240" s="83">
        <v>1387.1</v>
      </c>
      <c r="O240" s="75">
        <v>0</v>
      </c>
      <c r="P240" s="75">
        <v>0</v>
      </c>
      <c r="Q240" s="75">
        <v>5</v>
      </c>
      <c r="R240" s="75">
        <v>28</v>
      </c>
      <c r="S240" s="75">
        <f>MAX(Table2[[#This Row],[volt-sbmu1]:[volt-sbmu5]])-MIN(Table2[[#This Row],[volt-sbmu1]:[volt-sbmu5]])</f>
        <v>2.0999999999999091</v>
      </c>
      <c r="T240" s="75">
        <f>MAX(Table2[[#This Row],[soc-sbmu1]:[soc-sbmu5]])-MIN(Table2[[#This Row],[soc-sbmu1]:[soc-sbmu5]])</f>
        <v>0.39999999999999147</v>
      </c>
      <c r="U240" s="75"/>
      <c r="V240" s="75"/>
    </row>
    <row r="241" spans="1:22" ht="15">
      <c r="A241" t="s">
        <v>369</v>
      </c>
      <c r="B241" s="85" t="s">
        <v>645</v>
      </c>
      <c r="C241" s="75">
        <v>86.8</v>
      </c>
      <c r="D241" s="75">
        <v>0</v>
      </c>
      <c r="E241" s="75">
        <v>86.7</v>
      </c>
      <c r="F241" s="75">
        <v>86.7</v>
      </c>
      <c r="G241" s="75">
        <v>86.9</v>
      </c>
      <c r="H241" s="75">
        <v>86.8</v>
      </c>
      <c r="I241" s="75">
        <v>86.8</v>
      </c>
      <c r="J241" s="83">
        <v>1386.5</v>
      </c>
      <c r="K241" s="83">
        <v>1386.6</v>
      </c>
      <c r="L241" s="83">
        <v>1385.8</v>
      </c>
      <c r="M241" s="83">
        <v>1384.8</v>
      </c>
      <c r="N241" s="83">
        <v>1386.2</v>
      </c>
      <c r="O241" s="75">
        <v>0</v>
      </c>
      <c r="P241" s="75">
        <v>0</v>
      </c>
      <c r="Q241" s="75">
        <v>5</v>
      </c>
      <c r="R241" s="75">
        <v>28</v>
      </c>
      <c r="S241" s="75">
        <f>MAX(Table2[[#This Row],[volt-sbmu1]:[volt-sbmu5]])-MIN(Table2[[#This Row],[volt-sbmu1]:[volt-sbmu5]])</f>
        <v>1.7999999999999545</v>
      </c>
      <c r="T241" s="75">
        <f>MAX(Table2[[#This Row],[soc-sbmu1]:[soc-sbmu5]])-MIN(Table2[[#This Row],[soc-sbmu1]:[soc-sbmu5]])</f>
        <v>0.20000000000000284</v>
      </c>
      <c r="U241" s="75"/>
      <c r="V241" s="75"/>
    </row>
    <row r="242" spans="1:22" ht="15">
      <c r="A242" t="s">
        <v>370</v>
      </c>
      <c r="B242" s="85" t="s">
        <v>646</v>
      </c>
      <c r="C242" s="75">
        <v>87.5</v>
      </c>
      <c r="D242" s="75">
        <v>0</v>
      </c>
      <c r="E242" s="75">
        <v>87.6</v>
      </c>
      <c r="F242" s="75">
        <v>87.7</v>
      </c>
      <c r="G242" s="75">
        <v>87.7</v>
      </c>
      <c r="H242" s="75">
        <v>86.8</v>
      </c>
      <c r="I242" s="75">
        <v>86.7</v>
      </c>
      <c r="J242" s="83">
        <v>1387</v>
      </c>
      <c r="K242" s="83">
        <v>1385.8</v>
      </c>
      <c r="L242" s="83">
        <v>1384.9</v>
      </c>
      <c r="M242" s="83">
        <v>1385.2</v>
      </c>
      <c r="N242" s="83">
        <v>1387.7</v>
      </c>
      <c r="O242" s="75">
        <v>0</v>
      </c>
      <c r="P242" s="75">
        <v>0</v>
      </c>
      <c r="Q242" s="75">
        <v>5</v>
      </c>
      <c r="R242" s="75">
        <v>28</v>
      </c>
      <c r="S242" s="75">
        <f>MAX(Table2[[#This Row],[volt-sbmu1]:[volt-sbmu5]])-MIN(Table2[[#This Row],[volt-sbmu1]:[volt-sbmu5]])</f>
        <v>2.7999999999999545</v>
      </c>
      <c r="T242" s="75">
        <f>MAX(Table2[[#This Row],[soc-sbmu1]:[soc-sbmu5]])-MIN(Table2[[#This Row],[soc-sbmu1]:[soc-sbmu5]])</f>
        <v>1</v>
      </c>
      <c r="U242" s="75"/>
      <c r="V242" s="75"/>
    </row>
    <row r="243" spans="1:22" ht="15">
      <c r="A243" t="s">
        <v>371</v>
      </c>
      <c r="B243" s="85" t="s">
        <v>647</v>
      </c>
      <c r="C243" s="75">
        <v>87.5</v>
      </c>
      <c r="D243" s="75">
        <v>0</v>
      </c>
      <c r="E243" s="75">
        <v>86.8</v>
      </c>
      <c r="F243" s="75">
        <v>86.9</v>
      </c>
      <c r="G243" s="75">
        <v>86.7</v>
      </c>
      <c r="H243" s="75">
        <v>87.7</v>
      </c>
      <c r="I243" s="75">
        <v>86.8</v>
      </c>
      <c r="J243" s="83">
        <v>1385.5</v>
      </c>
      <c r="K243" s="83">
        <v>1385.6</v>
      </c>
      <c r="L243" s="83">
        <v>1386.1</v>
      </c>
      <c r="M243" s="83">
        <v>1385.6</v>
      </c>
      <c r="N243" s="83">
        <v>1385.1</v>
      </c>
      <c r="O243" s="75">
        <v>0</v>
      </c>
      <c r="P243" s="75">
        <v>0</v>
      </c>
      <c r="Q243" s="75">
        <v>5</v>
      </c>
      <c r="R243" s="75">
        <v>29</v>
      </c>
      <c r="S243" s="75">
        <f>MAX(Table2[[#This Row],[volt-sbmu1]:[volt-sbmu5]])-MIN(Table2[[#This Row],[volt-sbmu1]:[volt-sbmu5]])</f>
        <v>1</v>
      </c>
      <c r="T243" s="75">
        <f>MAX(Table2[[#This Row],[soc-sbmu1]:[soc-sbmu5]])-MIN(Table2[[#This Row],[soc-sbmu1]:[soc-sbmu5]])</f>
        <v>1</v>
      </c>
      <c r="U243" s="75"/>
      <c r="V243" s="75"/>
    </row>
    <row r="244" spans="1:22" ht="15">
      <c r="A244" t="s">
        <v>372</v>
      </c>
      <c r="B244" s="85" t="s">
        <v>648</v>
      </c>
      <c r="C244" s="75">
        <v>87.5</v>
      </c>
      <c r="D244" s="75">
        <v>0</v>
      </c>
      <c r="E244" s="75">
        <v>86.7</v>
      </c>
      <c r="F244" s="75">
        <v>86.8</v>
      </c>
      <c r="G244" s="75">
        <v>86.7</v>
      </c>
      <c r="H244" s="75">
        <v>87.4</v>
      </c>
      <c r="I244" s="75">
        <v>87.7</v>
      </c>
      <c r="J244" s="83">
        <v>1386</v>
      </c>
      <c r="K244" s="83">
        <v>1385.9</v>
      </c>
      <c r="L244" s="83">
        <v>1384.7</v>
      </c>
      <c r="M244" s="83">
        <v>1385.4</v>
      </c>
      <c r="N244" s="83">
        <v>1385.9</v>
      </c>
      <c r="O244" s="75">
        <v>0</v>
      </c>
      <c r="P244" s="75">
        <v>0</v>
      </c>
      <c r="Q244" s="75">
        <v>5</v>
      </c>
      <c r="R244" s="75">
        <v>30</v>
      </c>
      <c r="S244" s="75">
        <f>MAX(Table2[[#This Row],[volt-sbmu1]:[volt-sbmu5]])-MIN(Table2[[#This Row],[volt-sbmu1]:[volt-sbmu5]])</f>
        <v>1.2999999999999545</v>
      </c>
      <c r="T244" s="75">
        <f>MAX(Table2[[#This Row],[soc-sbmu1]:[soc-sbmu5]])-MIN(Table2[[#This Row],[soc-sbmu1]:[soc-sbmu5]])</f>
        <v>1</v>
      </c>
      <c r="U244" s="75"/>
      <c r="V244" s="75"/>
    </row>
    <row r="245" spans="1:22" ht="15">
      <c r="A245" t="s">
        <v>373</v>
      </c>
      <c r="B245" s="85" t="s">
        <v>649</v>
      </c>
      <c r="C245" s="75">
        <v>87.5</v>
      </c>
      <c r="D245" s="75">
        <v>0</v>
      </c>
      <c r="E245" s="75">
        <v>87.7</v>
      </c>
      <c r="F245" s="75">
        <v>87.3</v>
      </c>
      <c r="G245" s="75">
        <v>87.7</v>
      </c>
      <c r="H245" s="75">
        <v>86.7</v>
      </c>
      <c r="I245" s="75">
        <v>86.7</v>
      </c>
      <c r="J245" s="83">
        <v>1385.2</v>
      </c>
      <c r="K245" s="83">
        <v>1386.6</v>
      </c>
      <c r="L245" s="83">
        <v>1386.3</v>
      </c>
      <c r="M245" s="83">
        <v>1385.2</v>
      </c>
      <c r="N245" s="83">
        <v>1385.7</v>
      </c>
      <c r="O245" s="75">
        <v>0</v>
      </c>
      <c r="P245" s="75">
        <v>0</v>
      </c>
      <c r="Q245" s="75">
        <v>5</v>
      </c>
      <c r="R245" s="75">
        <v>29</v>
      </c>
      <c r="S245" s="75">
        <f>MAX(Table2[[#This Row],[volt-sbmu1]:[volt-sbmu5]])-MIN(Table2[[#This Row],[volt-sbmu1]:[volt-sbmu5]])</f>
        <v>1.3999999999998636</v>
      </c>
      <c r="T245" s="75">
        <f>MAX(Table2[[#This Row],[soc-sbmu1]:[soc-sbmu5]])-MIN(Table2[[#This Row],[soc-sbmu1]:[soc-sbmu5]])</f>
        <v>1</v>
      </c>
      <c r="U245" s="75"/>
      <c r="V245" s="75"/>
    </row>
    <row r="246" spans="1:22" ht="15">
      <c r="A246" t="s">
        <v>374</v>
      </c>
      <c r="B246" s="85" t="s">
        <v>650</v>
      </c>
      <c r="C246" s="75">
        <v>87.6</v>
      </c>
      <c r="D246" s="75">
        <v>0</v>
      </c>
      <c r="E246" s="75">
        <v>87.7</v>
      </c>
      <c r="F246" s="75">
        <v>87.7</v>
      </c>
      <c r="G246" s="75">
        <v>86.9</v>
      </c>
      <c r="H246" s="75">
        <v>87.5</v>
      </c>
      <c r="I246" s="75">
        <v>87.7</v>
      </c>
      <c r="J246" s="83">
        <v>1386.5</v>
      </c>
      <c r="K246" s="83">
        <v>1386.9</v>
      </c>
      <c r="L246" s="83">
        <v>1385.3</v>
      </c>
      <c r="M246" s="83">
        <v>1386</v>
      </c>
      <c r="N246" s="83">
        <v>1385.3</v>
      </c>
      <c r="O246" s="75">
        <v>0</v>
      </c>
      <c r="P246" s="75">
        <v>0</v>
      </c>
      <c r="Q246" s="75">
        <v>5</v>
      </c>
      <c r="R246" s="75">
        <v>29</v>
      </c>
      <c r="S246" s="75">
        <f>MAX(Table2[[#This Row],[volt-sbmu1]:[volt-sbmu5]])-MIN(Table2[[#This Row],[volt-sbmu1]:[volt-sbmu5]])</f>
        <v>1.6000000000001364</v>
      </c>
      <c r="T246" s="75">
        <f>MAX(Table2[[#This Row],[soc-sbmu1]:[soc-sbmu5]])-MIN(Table2[[#This Row],[soc-sbmu1]:[soc-sbmu5]])</f>
        <v>0.79999999999999716</v>
      </c>
      <c r="U246" s="75"/>
      <c r="V246" s="75"/>
    </row>
    <row r="247" spans="1:22" ht="15">
      <c r="A247" t="s">
        <v>118</v>
      </c>
      <c r="B247" s="85" t="s">
        <v>651</v>
      </c>
      <c r="C247" s="75">
        <v>87.5</v>
      </c>
      <c r="D247" s="75">
        <v>0</v>
      </c>
      <c r="E247" s="75">
        <v>86.7</v>
      </c>
      <c r="F247" s="75">
        <v>86.9</v>
      </c>
      <c r="G247" s="75">
        <v>87.7</v>
      </c>
      <c r="H247" s="75">
        <v>86.9</v>
      </c>
      <c r="I247" s="75">
        <v>86.7</v>
      </c>
      <c r="J247" s="83">
        <v>1385.6</v>
      </c>
      <c r="K247" s="83">
        <v>1385.3</v>
      </c>
      <c r="L247" s="83">
        <v>1386.2</v>
      </c>
      <c r="M247" s="83">
        <v>1386.2</v>
      </c>
      <c r="N247" s="83">
        <v>1385.8</v>
      </c>
      <c r="O247" s="75">
        <v>0</v>
      </c>
      <c r="P247" s="75">
        <v>0</v>
      </c>
      <c r="Q247" s="75">
        <v>5</v>
      </c>
      <c r="R247" s="75">
        <v>28</v>
      </c>
      <c r="S247" s="75">
        <f>MAX(Table2[[#This Row],[volt-sbmu1]:[volt-sbmu5]])-MIN(Table2[[#This Row],[volt-sbmu1]:[volt-sbmu5]])</f>
        <v>0.90000000000009095</v>
      </c>
      <c r="T247" s="75">
        <f>MAX(Table2[[#This Row],[soc-sbmu1]:[soc-sbmu5]])-MIN(Table2[[#This Row],[soc-sbmu1]:[soc-sbmu5]])</f>
        <v>1</v>
      </c>
      <c r="U247" s="75"/>
      <c r="V247" s="75"/>
    </row>
    <row r="248" spans="1:22" ht="15">
      <c r="A248" t="s">
        <v>375</v>
      </c>
      <c r="B248" s="85" t="s">
        <v>652</v>
      </c>
      <c r="C248" s="75">
        <v>87.9</v>
      </c>
      <c r="D248" s="75">
        <v>0</v>
      </c>
      <c r="E248" s="75">
        <v>87.7</v>
      </c>
      <c r="F248" s="75">
        <v>87.9</v>
      </c>
      <c r="G248" s="75">
        <v>88</v>
      </c>
      <c r="H248" s="75">
        <v>87.7</v>
      </c>
      <c r="I248" s="75">
        <v>87.6</v>
      </c>
      <c r="J248" s="83">
        <v>1387.2</v>
      </c>
      <c r="K248" s="83">
        <v>1386.3</v>
      </c>
      <c r="L248" s="83">
        <v>1384.6</v>
      </c>
      <c r="M248" s="83">
        <v>1388</v>
      </c>
      <c r="N248" s="83">
        <v>1386.1</v>
      </c>
      <c r="O248" s="75">
        <v>0</v>
      </c>
      <c r="P248" s="75">
        <v>0</v>
      </c>
      <c r="Q248" s="75">
        <v>5</v>
      </c>
      <c r="R248" s="75">
        <v>28</v>
      </c>
      <c r="S248" s="75">
        <f>MAX(Table2[[#This Row],[volt-sbmu1]:[volt-sbmu5]])-MIN(Table2[[#This Row],[volt-sbmu1]:[volt-sbmu5]])</f>
        <v>3.4000000000000909</v>
      </c>
      <c r="T248" s="75">
        <f>MAX(Table2[[#This Row],[soc-sbmu1]:[soc-sbmu5]])-MIN(Table2[[#This Row],[soc-sbmu1]:[soc-sbmu5]])</f>
        <v>0.40000000000000568</v>
      </c>
      <c r="U248" s="75"/>
      <c r="V248" s="75"/>
    </row>
    <row r="249" spans="1:22" ht="15">
      <c r="A249" t="s">
        <v>376</v>
      </c>
      <c r="B249" s="85" t="s">
        <v>653</v>
      </c>
      <c r="C249" s="75">
        <v>87.4</v>
      </c>
      <c r="D249" s="75">
        <v>0</v>
      </c>
      <c r="E249" s="75">
        <v>87.5</v>
      </c>
      <c r="F249" s="75">
        <v>87.3</v>
      </c>
      <c r="G249" s="75">
        <v>86.9</v>
      </c>
      <c r="H249" s="75">
        <v>87.4</v>
      </c>
      <c r="I249" s="75">
        <v>87.4</v>
      </c>
      <c r="J249" s="83">
        <v>1388.1</v>
      </c>
      <c r="K249" s="83">
        <v>1384.8</v>
      </c>
      <c r="L249" s="83">
        <v>1385.3</v>
      </c>
      <c r="M249" s="83">
        <v>1386.1</v>
      </c>
      <c r="N249" s="83">
        <v>1385.8</v>
      </c>
      <c r="O249" s="75">
        <v>0</v>
      </c>
      <c r="P249" s="75">
        <v>0</v>
      </c>
      <c r="Q249" s="75">
        <v>5</v>
      </c>
      <c r="R249" s="75">
        <v>28</v>
      </c>
      <c r="S249" s="75">
        <f>MAX(Table2[[#This Row],[volt-sbmu1]:[volt-sbmu5]])-MIN(Table2[[#This Row],[volt-sbmu1]:[volt-sbmu5]])</f>
        <v>3.2999999999999545</v>
      </c>
      <c r="T249" s="75">
        <f>MAX(Table2[[#This Row],[soc-sbmu1]:[soc-sbmu5]])-MIN(Table2[[#This Row],[soc-sbmu1]:[soc-sbmu5]])</f>
        <v>0.59999999999999432</v>
      </c>
      <c r="U249" s="75"/>
      <c r="V249" s="75"/>
    </row>
    <row r="250" spans="1:22" ht="15">
      <c r="A250" t="s">
        <v>377</v>
      </c>
      <c r="B250" s="85" t="s">
        <v>654</v>
      </c>
      <c r="C250" s="75">
        <v>87.7</v>
      </c>
      <c r="D250" s="75">
        <v>0</v>
      </c>
      <c r="E250" s="75">
        <v>88.1</v>
      </c>
      <c r="F250" s="75">
        <v>85.1</v>
      </c>
      <c r="G250" s="75">
        <v>87.9</v>
      </c>
      <c r="H250" s="75">
        <v>87.4</v>
      </c>
      <c r="I250" s="75">
        <v>87.8</v>
      </c>
      <c r="J250" s="83">
        <v>1385.3</v>
      </c>
      <c r="K250" s="83">
        <v>1385.3</v>
      </c>
      <c r="L250" s="83">
        <v>1385.9</v>
      </c>
      <c r="M250" s="83">
        <v>1386.9</v>
      </c>
      <c r="N250" s="83">
        <v>1385.9</v>
      </c>
      <c r="O250" s="75">
        <v>0</v>
      </c>
      <c r="P250" s="75">
        <v>0</v>
      </c>
      <c r="Q250" s="75">
        <v>5</v>
      </c>
      <c r="R250" s="75">
        <v>30</v>
      </c>
      <c r="S250" s="75">
        <f>MAX(Table2[[#This Row],[volt-sbmu1]:[volt-sbmu5]])-MIN(Table2[[#This Row],[volt-sbmu1]:[volt-sbmu5]])</f>
        <v>1.6000000000001364</v>
      </c>
      <c r="T250" s="75">
        <f>MAX(Table2[[#This Row],[soc-sbmu1]:[soc-sbmu5]])-MIN(Table2[[#This Row],[soc-sbmu1]:[soc-sbmu5]])</f>
        <v>3</v>
      </c>
      <c r="U250" s="75"/>
      <c r="V250" s="75"/>
    </row>
    <row r="251" spans="1:22" ht="15">
      <c r="A251" t="s">
        <v>378</v>
      </c>
      <c r="B251" s="85" t="s">
        <v>655</v>
      </c>
      <c r="C251" s="75">
        <v>86.8</v>
      </c>
      <c r="D251" s="75">
        <v>0</v>
      </c>
      <c r="E251" s="75">
        <v>86.8</v>
      </c>
      <c r="F251" s="75">
        <v>86.7</v>
      </c>
      <c r="G251" s="75">
        <v>86.9</v>
      </c>
      <c r="H251" s="75">
        <v>86.8</v>
      </c>
      <c r="I251" s="75">
        <v>86.7</v>
      </c>
      <c r="J251" s="83">
        <v>1385.9</v>
      </c>
      <c r="K251" s="83">
        <v>1385.4</v>
      </c>
      <c r="L251" s="83">
        <v>1387</v>
      </c>
      <c r="M251" s="83">
        <v>1385.5</v>
      </c>
      <c r="N251" s="83">
        <v>1385.9</v>
      </c>
      <c r="O251" s="75">
        <v>0</v>
      </c>
      <c r="P251" s="75">
        <v>0</v>
      </c>
      <c r="Q251" s="75">
        <v>5</v>
      </c>
      <c r="R251" s="75">
        <v>28</v>
      </c>
      <c r="S251" s="75">
        <f>MAX(Table2[[#This Row],[volt-sbmu1]:[volt-sbmu5]])-MIN(Table2[[#This Row],[volt-sbmu1]:[volt-sbmu5]])</f>
        <v>1.5999999999999091</v>
      </c>
      <c r="T251" s="75">
        <f>MAX(Table2[[#This Row],[soc-sbmu1]:[soc-sbmu5]])-MIN(Table2[[#This Row],[soc-sbmu1]:[soc-sbmu5]])</f>
        <v>0.20000000000000284</v>
      </c>
      <c r="U251" s="75"/>
      <c r="V251" s="75"/>
    </row>
    <row r="252" spans="1:22" ht="15">
      <c r="A252" t="s">
        <v>379</v>
      </c>
      <c r="B252" s="85" t="s">
        <v>656</v>
      </c>
      <c r="C252" s="75">
        <v>88.6</v>
      </c>
      <c r="D252" s="75">
        <v>0</v>
      </c>
      <c r="E252" s="75">
        <v>88.9</v>
      </c>
      <c r="F252" s="75">
        <v>88.8</v>
      </c>
      <c r="G252" s="75">
        <v>87.8</v>
      </c>
      <c r="H252" s="75">
        <v>86.7</v>
      </c>
      <c r="I252" s="75">
        <v>87.3</v>
      </c>
      <c r="J252" s="83">
        <v>1386.5</v>
      </c>
      <c r="K252" s="83">
        <v>1386.3</v>
      </c>
      <c r="L252" s="83">
        <v>1386.4</v>
      </c>
      <c r="M252" s="83">
        <v>1386.6</v>
      </c>
      <c r="N252" s="83">
        <v>1386.4</v>
      </c>
      <c r="O252" s="75">
        <v>0</v>
      </c>
      <c r="P252" s="75">
        <v>0</v>
      </c>
      <c r="Q252" s="75">
        <v>5</v>
      </c>
      <c r="R252" s="75">
        <v>29</v>
      </c>
      <c r="S252" s="75">
        <f>MAX(Table2[[#This Row],[volt-sbmu1]:[volt-sbmu5]])-MIN(Table2[[#This Row],[volt-sbmu1]:[volt-sbmu5]])</f>
        <v>0.29999999999995453</v>
      </c>
      <c r="T252" s="75">
        <f>MAX(Table2[[#This Row],[soc-sbmu1]:[soc-sbmu5]])-MIN(Table2[[#This Row],[soc-sbmu1]:[soc-sbmu5]])</f>
        <v>2.2000000000000028</v>
      </c>
      <c r="U252" s="75"/>
      <c r="V252" s="75"/>
    </row>
    <row r="253" spans="1:22" ht="15">
      <c r="A253" t="s">
        <v>380</v>
      </c>
      <c r="B253" s="85" t="s">
        <v>657</v>
      </c>
      <c r="C253" s="75">
        <v>87.3</v>
      </c>
      <c r="D253" s="75">
        <v>0</v>
      </c>
      <c r="E253" s="75">
        <v>86.7</v>
      </c>
      <c r="F253" s="75">
        <v>87.4</v>
      </c>
      <c r="G253" s="75">
        <v>87</v>
      </c>
      <c r="H253" s="75">
        <v>86.7</v>
      </c>
      <c r="I253" s="75">
        <v>86.7</v>
      </c>
      <c r="J253" s="83">
        <v>1386.2</v>
      </c>
      <c r="K253" s="83">
        <v>1384.4</v>
      </c>
      <c r="L253" s="83">
        <v>1387.5</v>
      </c>
      <c r="M253" s="83">
        <v>1385.8</v>
      </c>
      <c r="N253" s="83">
        <v>1386.6</v>
      </c>
      <c r="O253" s="75">
        <v>0</v>
      </c>
      <c r="P253" s="75">
        <v>0</v>
      </c>
      <c r="Q253" s="75">
        <v>5</v>
      </c>
      <c r="R253" s="75">
        <v>29</v>
      </c>
      <c r="S253" s="75">
        <f>MAX(Table2[[#This Row],[volt-sbmu1]:[volt-sbmu5]])-MIN(Table2[[#This Row],[volt-sbmu1]:[volt-sbmu5]])</f>
        <v>3.0999999999999091</v>
      </c>
      <c r="T253" s="75">
        <f>MAX(Table2[[#This Row],[soc-sbmu1]:[soc-sbmu5]])-MIN(Table2[[#This Row],[soc-sbmu1]:[soc-sbmu5]])</f>
        <v>0.70000000000000284</v>
      </c>
      <c r="U253" s="75"/>
      <c r="V253" s="75"/>
    </row>
    <row r="254" spans="1:22" ht="15">
      <c r="A254" t="s">
        <v>381</v>
      </c>
      <c r="B254" s="85" t="s">
        <v>658</v>
      </c>
      <c r="C254" s="75">
        <v>87.5</v>
      </c>
      <c r="D254" s="75">
        <v>0</v>
      </c>
      <c r="E254" s="75">
        <v>87.7</v>
      </c>
      <c r="F254" s="75">
        <v>84.7</v>
      </c>
      <c r="G254" s="75">
        <v>87.9</v>
      </c>
      <c r="H254" s="75">
        <v>87.2</v>
      </c>
      <c r="I254" s="75">
        <v>87.7</v>
      </c>
      <c r="J254" s="83">
        <v>1385.7</v>
      </c>
      <c r="K254" s="83">
        <v>1385.1</v>
      </c>
      <c r="L254" s="83">
        <v>1386</v>
      </c>
      <c r="M254" s="83">
        <v>1385</v>
      </c>
      <c r="N254" s="83">
        <v>1385.8</v>
      </c>
      <c r="O254" s="75">
        <v>0</v>
      </c>
      <c r="P254" s="75">
        <v>0</v>
      </c>
      <c r="Q254" s="75">
        <v>5</v>
      </c>
      <c r="R254" s="75">
        <v>30</v>
      </c>
      <c r="S254" s="75">
        <f>MAX(Table2[[#This Row],[volt-sbmu1]:[volt-sbmu5]])-MIN(Table2[[#This Row],[volt-sbmu1]:[volt-sbmu5]])</f>
        <v>1</v>
      </c>
      <c r="T254" s="75">
        <f>MAX(Table2[[#This Row],[soc-sbmu1]:[soc-sbmu5]])-MIN(Table2[[#This Row],[soc-sbmu1]:[soc-sbmu5]])</f>
        <v>3.2000000000000028</v>
      </c>
      <c r="U254" s="75"/>
      <c r="V254" s="75"/>
    </row>
    <row r="255" spans="1:22" ht="15">
      <c r="A255" t="s">
        <v>42</v>
      </c>
      <c r="B255" s="85" t="s">
        <v>659</v>
      </c>
      <c r="C255" s="75">
        <v>86.8</v>
      </c>
      <c r="D255" s="75">
        <v>0</v>
      </c>
      <c r="E255" s="75">
        <v>86.9</v>
      </c>
      <c r="F255" s="75">
        <v>86.7</v>
      </c>
      <c r="G255" s="75">
        <v>86.9</v>
      </c>
      <c r="H255" s="75">
        <v>86.6</v>
      </c>
      <c r="I255" s="75">
        <v>86.9</v>
      </c>
      <c r="J255" s="83">
        <v>1385.3</v>
      </c>
      <c r="K255" s="83">
        <v>1385.1</v>
      </c>
      <c r="L255" s="83">
        <v>1386.5</v>
      </c>
      <c r="M255" s="83">
        <v>1386.3</v>
      </c>
      <c r="N255" s="83">
        <v>1386.6</v>
      </c>
      <c r="O255" s="75">
        <v>2304</v>
      </c>
      <c r="P255" s="75">
        <v>128</v>
      </c>
      <c r="Q255" s="75">
        <v>5</v>
      </c>
      <c r="R255" s="75">
        <v>28</v>
      </c>
      <c r="S255" s="75">
        <f>MAX(Table2[[#This Row],[volt-sbmu1]:[volt-sbmu5]])-MIN(Table2[[#This Row],[volt-sbmu1]:[volt-sbmu5]])</f>
        <v>1.5</v>
      </c>
      <c r="T255" s="75">
        <f>MAX(Table2[[#This Row],[soc-sbmu1]:[soc-sbmu5]])-MIN(Table2[[#This Row],[soc-sbmu1]:[soc-sbmu5]])</f>
        <v>0.30000000000001137</v>
      </c>
      <c r="U255" s="75"/>
      <c r="V255" s="75"/>
    </row>
    <row r="256" spans="1:22" ht="15">
      <c r="A256" t="s">
        <v>43</v>
      </c>
      <c r="B256" s="85" t="s">
        <v>660</v>
      </c>
      <c r="C256" s="75">
        <v>87.5</v>
      </c>
      <c r="D256" s="75">
        <v>0</v>
      </c>
      <c r="E256" s="75">
        <v>86.9</v>
      </c>
      <c r="F256" s="75">
        <v>87.7</v>
      </c>
      <c r="G256" s="75">
        <v>86.8</v>
      </c>
      <c r="H256" s="75">
        <v>87.7</v>
      </c>
      <c r="I256" s="75">
        <v>87.6</v>
      </c>
      <c r="J256" s="83">
        <v>1384.8</v>
      </c>
      <c r="K256" s="83">
        <v>1386.5</v>
      </c>
      <c r="L256" s="83">
        <v>1385.7</v>
      </c>
      <c r="M256" s="83">
        <v>1385.9</v>
      </c>
      <c r="N256" s="83">
        <v>1385.4</v>
      </c>
      <c r="O256" s="75">
        <v>2304</v>
      </c>
      <c r="P256" s="75">
        <v>128</v>
      </c>
      <c r="Q256" s="75">
        <v>5</v>
      </c>
      <c r="R256" s="75">
        <v>28</v>
      </c>
      <c r="S256" s="75">
        <f>MAX(Table2[[#This Row],[volt-sbmu1]:[volt-sbmu5]])-MIN(Table2[[#This Row],[volt-sbmu1]:[volt-sbmu5]])</f>
        <v>1.7000000000000455</v>
      </c>
      <c r="T256" s="75">
        <f>MAX(Table2[[#This Row],[soc-sbmu1]:[soc-sbmu5]])-MIN(Table2[[#This Row],[soc-sbmu1]:[soc-sbmu5]])</f>
        <v>0.90000000000000568</v>
      </c>
      <c r="U256" s="75"/>
      <c r="V256" s="75"/>
    </row>
    <row r="257" spans="1:22" ht="15">
      <c r="A257" t="s">
        <v>44</v>
      </c>
      <c r="B257" s="85" t="s">
        <v>661</v>
      </c>
      <c r="C257" s="75">
        <v>87.3</v>
      </c>
      <c r="D257" s="75">
        <v>0</v>
      </c>
      <c r="E257" s="75">
        <v>87.5</v>
      </c>
      <c r="F257" s="75">
        <v>87.3</v>
      </c>
      <c r="G257" s="75">
        <v>86.7</v>
      </c>
      <c r="H257" s="75">
        <v>86.8</v>
      </c>
      <c r="I257" s="75">
        <v>86.9</v>
      </c>
      <c r="J257" s="83">
        <v>1386.5</v>
      </c>
      <c r="K257" s="83">
        <v>1386.4</v>
      </c>
      <c r="L257" s="83">
        <v>1386.7</v>
      </c>
      <c r="M257" s="83">
        <v>1386.2</v>
      </c>
      <c r="N257" s="83">
        <v>1386.2</v>
      </c>
      <c r="O257" s="75">
        <v>2304</v>
      </c>
      <c r="P257" s="75">
        <v>128</v>
      </c>
      <c r="Q257" s="75">
        <v>5</v>
      </c>
      <c r="R257" s="75">
        <v>28</v>
      </c>
      <c r="S257" s="75">
        <f>MAX(Table2[[#This Row],[volt-sbmu1]:[volt-sbmu5]])-MIN(Table2[[#This Row],[volt-sbmu1]:[volt-sbmu5]])</f>
        <v>0.5</v>
      </c>
      <c r="T257" s="75">
        <f>MAX(Table2[[#This Row],[soc-sbmu1]:[soc-sbmu5]])-MIN(Table2[[#This Row],[soc-sbmu1]:[soc-sbmu5]])</f>
        <v>0.79999999999999716</v>
      </c>
      <c r="U257" s="75"/>
      <c r="V257" s="75"/>
    </row>
    <row r="258" spans="1:22" ht="15">
      <c r="A258" t="s">
        <v>45</v>
      </c>
      <c r="B258" s="85" t="s">
        <v>662</v>
      </c>
      <c r="C258" s="75">
        <v>87.3</v>
      </c>
      <c r="D258" s="75">
        <v>0</v>
      </c>
      <c r="E258" s="75">
        <v>86.8</v>
      </c>
      <c r="F258" s="75">
        <v>86.9</v>
      </c>
      <c r="G258" s="75">
        <v>86.6</v>
      </c>
      <c r="H258" s="75">
        <v>86.9</v>
      </c>
      <c r="I258" s="75">
        <v>87.5</v>
      </c>
      <c r="J258" s="83">
        <v>1386.3</v>
      </c>
      <c r="K258" s="83">
        <v>1385.6</v>
      </c>
      <c r="L258" s="83">
        <v>1387</v>
      </c>
      <c r="M258" s="83">
        <v>1385.1</v>
      </c>
      <c r="N258" s="83">
        <v>1385.9</v>
      </c>
      <c r="O258" s="75">
        <v>2304</v>
      </c>
      <c r="P258" s="75">
        <v>128</v>
      </c>
      <c r="Q258" s="75">
        <v>5</v>
      </c>
      <c r="R258" s="75">
        <v>29</v>
      </c>
      <c r="S258" s="75">
        <f>MAX(Table2[[#This Row],[volt-sbmu1]:[volt-sbmu5]])-MIN(Table2[[#This Row],[volt-sbmu1]:[volt-sbmu5]])</f>
        <v>1.9000000000000909</v>
      </c>
      <c r="T258" s="75">
        <f>MAX(Table2[[#This Row],[soc-sbmu1]:[soc-sbmu5]])-MIN(Table2[[#This Row],[soc-sbmu1]:[soc-sbmu5]])</f>
        <v>0.90000000000000568</v>
      </c>
      <c r="U258" s="75"/>
      <c r="V258" s="75"/>
    </row>
    <row r="259" spans="1:22" ht="15">
      <c r="A259" t="s">
        <v>46</v>
      </c>
      <c r="B259" s="85" t="s">
        <v>663</v>
      </c>
      <c r="C259" s="75">
        <v>87.4</v>
      </c>
      <c r="D259" s="75">
        <v>1385.6</v>
      </c>
      <c r="E259" s="75">
        <v>87.6</v>
      </c>
      <c r="F259" s="75">
        <v>86.8</v>
      </c>
      <c r="G259" s="75">
        <v>87.6</v>
      </c>
      <c r="H259" s="75">
        <v>86.6</v>
      </c>
      <c r="I259" s="75">
        <v>86.9</v>
      </c>
      <c r="J259" s="83">
        <v>1384.6</v>
      </c>
      <c r="K259" s="83">
        <v>1386.4</v>
      </c>
      <c r="L259" s="83">
        <v>1385.9</v>
      </c>
      <c r="M259" s="83">
        <v>1385.7</v>
      </c>
      <c r="N259" s="83">
        <v>1385.2</v>
      </c>
      <c r="O259" s="75">
        <v>0</v>
      </c>
      <c r="P259" s="75">
        <v>0</v>
      </c>
      <c r="Q259" s="75">
        <v>1</v>
      </c>
      <c r="R259" s="75">
        <v>28</v>
      </c>
      <c r="S259" s="75">
        <f>MAX(Table2[[#This Row],[volt-sbmu1]:[volt-sbmu5]])-MIN(Table2[[#This Row],[volt-sbmu1]:[volt-sbmu5]])</f>
        <v>1.8000000000001819</v>
      </c>
      <c r="T259" s="75">
        <f>MAX(Table2[[#This Row],[soc-sbmu1]:[soc-sbmu5]])-MIN(Table2[[#This Row],[soc-sbmu1]:[soc-sbmu5]])</f>
        <v>1</v>
      </c>
      <c r="U259" s="75"/>
      <c r="V259" s="75"/>
    </row>
    <row r="260" spans="1:22" ht="15">
      <c r="A260" t="s">
        <v>47</v>
      </c>
      <c r="B260" s="85" t="s">
        <v>664</v>
      </c>
      <c r="C260" s="75">
        <v>87</v>
      </c>
      <c r="D260" s="75">
        <v>1385.8</v>
      </c>
      <c r="E260" s="75">
        <v>87.2</v>
      </c>
      <c r="F260" s="75">
        <v>87.1</v>
      </c>
      <c r="G260" s="75">
        <v>87.1</v>
      </c>
      <c r="H260" s="75">
        <v>86.1</v>
      </c>
      <c r="I260" s="75">
        <v>86.8</v>
      </c>
      <c r="J260" s="83">
        <v>1385.6</v>
      </c>
      <c r="K260" s="83">
        <v>1385.8</v>
      </c>
      <c r="L260" s="83">
        <v>1385.2</v>
      </c>
      <c r="M260" s="83">
        <v>1386.4</v>
      </c>
      <c r="N260" s="83">
        <v>1386.5</v>
      </c>
      <c r="O260" s="75">
        <v>0</v>
      </c>
      <c r="P260" s="75">
        <v>0</v>
      </c>
      <c r="Q260" s="75">
        <v>1</v>
      </c>
      <c r="R260" s="75">
        <v>29</v>
      </c>
      <c r="S260" s="75">
        <f>MAX(Table2[[#This Row],[volt-sbmu1]:[volt-sbmu5]])-MIN(Table2[[#This Row],[volt-sbmu1]:[volt-sbmu5]])</f>
        <v>1.2999999999999545</v>
      </c>
      <c r="T260" s="75">
        <f>MAX(Table2[[#This Row],[soc-sbmu1]:[soc-sbmu5]])-MIN(Table2[[#This Row],[soc-sbmu1]:[soc-sbmu5]])</f>
        <v>1.1000000000000085</v>
      </c>
      <c r="U260" s="75"/>
      <c r="V260" s="75"/>
    </row>
    <row r="261" spans="1:22" ht="15">
      <c r="A261" t="s">
        <v>48</v>
      </c>
      <c r="B261" s="85" t="s">
        <v>665</v>
      </c>
      <c r="C261" s="75">
        <v>87</v>
      </c>
      <c r="D261" s="75">
        <v>1385.2</v>
      </c>
      <c r="E261" s="75">
        <v>86.7</v>
      </c>
      <c r="F261" s="75">
        <v>87.1</v>
      </c>
      <c r="G261" s="75">
        <v>87.1</v>
      </c>
      <c r="H261" s="75">
        <v>87</v>
      </c>
      <c r="I261" s="75">
        <v>86.7</v>
      </c>
      <c r="J261" s="83">
        <v>1384.1</v>
      </c>
      <c r="K261" s="83">
        <v>1386.6</v>
      </c>
      <c r="L261" s="83">
        <v>1385.4</v>
      </c>
      <c r="M261" s="83">
        <v>1384.8</v>
      </c>
      <c r="N261" s="83">
        <v>1384.7</v>
      </c>
      <c r="O261" s="75">
        <v>0</v>
      </c>
      <c r="P261" s="75">
        <v>0</v>
      </c>
      <c r="Q261" s="75">
        <v>1</v>
      </c>
      <c r="R261" s="75">
        <v>29</v>
      </c>
      <c r="S261" s="75">
        <f>MAX(Table2[[#This Row],[volt-sbmu1]:[volt-sbmu5]])-MIN(Table2[[#This Row],[volt-sbmu1]:[volt-sbmu5]])</f>
        <v>2.5</v>
      </c>
      <c r="T261" s="75">
        <f>MAX(Table2[[#This Row],[soc-sbmu1]:[soc-sbmu5]])-MIN(Table2[[#This Row],[soc-sbmu1]:[soc-sbmu5]])</f>
        <v>0.39999999999999147</v>
      </c>
      <c r="U261" s="75"/>
      <c r="V261" s="75"/>
    </row>
    <row r="262" spans="1:22" ht="15">
      <c r="A262" t="s">
        <v>49</v>
      </c>
      <c r="B262" s="85" t="s">
        <v>666</v>
      </c>
      <c r="C262" s="75">
        <v>87.2</v>
      </c>
      <c r="D262" s="75">
        <v>1386.3</v>
      </c>
      <c r="E262" s="75">
        <v>86.9</v>
      </c>
      <c r="F262" s="75">
        <v>87.3</v>
      </c>
      <c r="G262" s="75">
        <v>86.9</v>
      </c>
      <c r="H262" s="75">
        <v>87.3</v>
      </c>
      <c r="I262" s="75">
        <v>86.9</v>
      </c>
      <c r="J262" s="83">
        <v>1387</v>
      </c>
      <c r="K262" s="83">
        <v>1386.3</v>
      </c>
      <c r="L262" s="83">
        <v>1384.8</v>
      </c>
      <c r="M262" s="83">
        <v>1386.2</v>
      </c>
      <c r="N262" s="83">
        <v>1385.7</v>
      </c>
      <c r="O262" s="75">
        <v>0</v>
      </c>
      <c r="P262" s="75">
        <v>0</v>
      </c>
      <c r="Q262" s="75">
        <v>1</v>
      </c>
      <c r="R262" s="75">
        <v>29</v>
      </c>
      <c r="S262" s="75">
        <f>MAX(Table2[[#This Row],[volt-sbmu1]:[volt-sbmu5]])-MIN(Table2[[#This Row],[volt-sbmu1]:[volt-sbmu5]])</f>
        <v>2.2000000000000455</v>
      </c>
      <c r="T262" s="75">
        <f>MAX(Table2[[#This Row],[soc-sbmu1]:[soc-sbmu5]])-MIN(Table2[[#This Row],[soc-sbmu1]:[soc-sbmu5]])</f>
        <v>0.39999999999999147</v>
      </c>
      <c r="U262" s="75"/>
      <c r="V262" s="75"/>
    </row>
    <row r="263" spans="1:22" ht="15">
      <c r="A263" t="s">
        <v>50</v>
      </c>
      <c r="B263" s="85" t="s">
        <v>667</v>
      </c>
      <c r="C263" s="75">
        <v>87.3</v>
      </c>
      <c r="D263" s="75">
        <v>1385.6</v>
      </c>
      <c r="E263" s="75">
        <v>87.2</v>
      </c>
      <c r="F263" s="75">
        <v>87</v>
      </c>
      <c r="G263" s="75">
        <v>86.9</v>
      </c>
      <c r="H263" s="75">
        <v>87</v>
      </c>
      <c r="I263" s="75">
        <v>87.4</v>
      </c>
      <c r="J263" s="83">
        <v>1385.4</v>
      </c>
      <c r="K263" s="83">
        <v>1385.7</v>
      </c>
      <c r="L263" s="83">
        <v>1384.5</v>
      </c>
      <c r="M263" s="83">
        <v>1385.4</v>
      </c>
      <c r="N263" s="83">
        <v>1386</v>
      </c>
      <c r="O263" s="75">
        <v>0</v>
      </c>
      <c r="P263" s="75">
        <v>0</v>
      </c>
      <c r="Q263" s="75">
        <v>1</v>
      </c>
      <c r="R263" s="75">
        <v>28</v>
      </c>
      <c r="S263" s="75">
        <f>MAX(Table2[[#This Row],[volt-sbmu1]:[volt-sbmu5]])-MIN(Table2[[#This Row],[volt-sbmu1]:[volt-sbmu5]])</f>
        <v>1.5</v>
      </c>
      <c r="T263" s="75">
        <f>MAX(Table2[[#This Row],[soc-sbmu1]:[soc-sbmu5]])-MIN(Table2[[#This Row],[soc-sbmu1]:[soc-sbmu5]])</f>
        <v>0.5</v>
      </c>
      <c r="U263" s="75"/>
      <c r="V263" s="75"/>
    </row>
    <row r="264" spans="1:22" ht="15">
      <c r="A264" t="s">
        <v>51</v>
      </c>
      <c r="B264" s="85" t="s">
        <v>668</v>
      </c>
      <c r="C264" s="75">
        <v>87.6</v>
      </c>
      <c r="D264" s="75">
        <v>1386.1</v>
      </c>
      <c r="E264" s="75">
        <v>87.8</v>
      </c>
      <c r="F264" s="75">
        <v>87.8</v>
      </c>
      <c r="G264" s="75">
        <v>87.5</v>
      </c>
      <c r="H264" s="75">
        <v>86.8</v>
      </c>
      <c r="I264" s="75">
        <v>87.4</v>
      </c>
      <c r="J264" s="83">
        <v>1385.5</v>
      </c>
      <c r="K264" s="83">
        <v>1385.6</v>
      </c>
      <c r="L264" s="83">
        <v>1387.1</v>
      </c>
      <c r="M264" s="83">
        <v>1387.3</v>
      </c>
      <c r="N264" s="83">
        <v>1385.3</v>
      </c>
      <c r="O264" s="75">
        <v>0</v>
      </c>
      <c r="P264" s="75">
        <v>0</v>
      </c>
      <c r="Q264" s="75">
        <v>1</v>
      </c>
      <c r="R264" s="75">
        <v>28</v>
      </c>
      <c r="S264" s="75">
        <f>MAX(Table2[[#This Row],[volt-sbmu1]:[volt-sbmu5]])-MIN(Table2[[#This Row],[volt-sbmu1]:[volt-sbmu5]])</f>
        <v>2</v>
      </c>
      <c r="T264" s="75">
        <f>MAX(Table2[[#This Row],[soc-sbmu1]:[soc-sbmu5]])-MIN(Table2[[#This Row],[soc-sbmu1]:[soc-sbmu5]])</f>
        <v>1</v>
      </c>
      <c r="U264" s="75"/>
      <c r="V264" s="75"/>
    </row>
    <row r="265" spans="1:22" ht="15">
      <c r="A265" t="s">
        <v>52</v>
      </c>
      <c r="B265" s="85" t="s">
        <v>669</v>
      </c>
      <c r="C265" s="75">
        <v>87.5</v>
      </c>
      <c r="D265" s="75">
        <v>1385.7</v>
      </c>
      <c r="E265" s="75">
        <v>86.9</v>
      </c>
      <c r="F265" s="75">
        <v>87.6</v>
      </c>
      <c r="G265" s="75">
        <v>87.7</v>
      </c>
      <c r="H265" s="75">
        <v>87</v>
      </c>
      <c r="I265" s="75">
        <v>86.8</v>
      </c>
      <c r="J265" s="83">
        <v>1385.1</v>
      </c>
      <c r="K265" s="83">
        <v>1385.2</v>
      </c>
      <c r="L265" s="83">
        <v>1385.9</v>
      </c>
      <c r="M265" s="83">
        <v>1386.4</v>
      </c>
      <c r="N265" s="83">
        <v>1385.6</v>
      </c>
      <c r="O265" s="75">
        <v>0</v>
      </c>
      <c r="P265" s="75">
        <v>0</v>
      </c>
      <c r="Q265" s="75">
        <v>1</v>
      </c>
      <c r="R265" s="75">
        <v>28</v>
      </c>
      <c r="S265" s="75">
        <f>MAX(Table2[[#This Row],[volt-sbmu1]:[volt-sbmu5]])-MIN(Table2[[#This Row],[volt-sbmu1]:[volt-sbmu5]])</f>
        <v>1.3000000000001819</v>
      </c>
      <c r="T265" s="75">
        <f>MAX(Table2[[#This Row],[soc-sbmu1]:[soc-sbmu5]])-MIN(Table2[[#This Row],[soc-sbmu1]:[soc-sbmu5]])</f>
        <v>0.90000000000000568</v>
      </c>
      <c r="U265" s="75"/>
      <c r="V265" s="75"/>
    </row>
    <row r="266" spans="1:22" ht="15">
      <c r="A266" t="s">
        <v>53</v>
      </c>
      <c r="B266" s="85" t="s">
        <v>670</v>
      </c>
      <c r="C266" s="75">
        <v>87.8</v>
      </c>
      <c r="D266" s="75">
        <v>1386</v>
      </c>
      <c r="E266" s="75">
        <v>87.8</v>
      </c>
      <c r="F266" s="75">
        <v>87.8</v>
      </c>
      <c r="G266" s="75">
        <v>87.2</v>
      </c>
      <c r="H266" s="75">
        <v>87.1</v>
      </c>
      <c r="I266" s="75">
        <v>87.9</v>
      </c>
      <c r="J266" s="83">
        <v>1386.4</v>
      </c>
      <c r="K266" s="83">
        <v>1386</v>
      </c>
      <c r="L266" s="83">
        <v>1386</v>
      </c>
      <c r="M266" s="83">
        <v>1385.7</v>
      </c>
      <c r="N266" s="83">
        <v>1385.6</v>
      </c>
      <c r="O266" s="75">
        <v>0</v>
      </c>
      <c r="P266" s="75">
        <v>0</v>
      </c>
      <c r="Q266" s="75">
        <v>1</v>
      </c>
      <c r="R266" s="75">
        <v>29</v>
      </c>
      <c r="S266" s="75">
        <f>MAX(Table2[[#This Row],[volt-sbmu1]:[volt-sbmu5]])-MIN(Table2[[#This Row],[volt-sbmu1]:[volt-sbmu5]])</f>
        <v>0.8000000000001819</v>
      </c>
      <c r="T266" s="75">
        <f>MAX(Table2[[#This Row],[soc-sbmu1]:[soc-sbmu5]])-MIN(Table2[[#This Row],[soc-sbmu1]:[soc-sbmu5]])</f>
        <v>0.80000000000001137</v>
      </c>
      <c r="U266" s="75"/>
      <c r="V266" s="75"/>
    </row>
    <row r="267" spans="1:22" ht="15">
      <c r="A267" t="s">
        <v>54</v>
      </c>
      <c r="B267" s="85" t="s">
        <v>671</v>
      </c>
      <c r="C267" s="75">
        <v>87.5</v>
      </c>
      <c r="D267" s="75">
        <v>1384.1</v>
      </c>
      <c r="E267" s="75">
        <v>87.7</v>
      </c>
      <c r="F267" s="75">
        <v>86.7</v>
      </c>
      <c r="G267" s="75">
        <v>86.9</v>
      </c>
      <c r="H267" s="75">
        <v>86.7</v>
      </c>
      <c r="I267" s="75">
        <v>86.7</v>
      </c>
      <c r="J267" s="83">
        <v>1385.1</v>
      </c>
      <c r="K267" s="83">
        <v>1384.4</v>
      </c>
      <c r="L267" s="83">
        <v>1383</v>
      </c>
      <c r="M267" s="83">
        <v>1384.1</v>
      </c>
      <c r="N267" s="83">
        <v>1384.1</v>
      </c>
      <c r="O267" s="75">
        <v>0</v>
      </c>
      <c r="P267" s="75">
        <v>0</v>
      </c>
      <c r="Q267" s="75">
        <v>1</v>
      </c>
      <c r="R267" s="75">
        <v>28</v>
      </c>
      <c r="S267" s="75">
        <f>MAX(Table2[[#This Row],[volt-sbmu1]:[volt-sbmu5]])-MIN(Table2[[#This Row],[volt-sbmu1]:[volt-sbmu5]])</f>
        <v>2.0999999999999091</v>
      </c>
      <c r="T267" s="75">
        <f>MAX(Table2[[#This Row],[soc-sbmu1]:[soc-sbmu5]])-MIN(Table2[[#This Row],[soc-sbmu1]:[soc-sbmu5]])</f>
        <v>1</v>
      </c>
      <c r="U267" s="75"/>
      <c r="V267" s="75"/>
    </row>
    <row r="268" spans="1:22" ht="15">
      <c r="A268" t="s">
        <v>55</v>
      </c>
      <c r="B268" s="85" t="s">
        <v>672</v>
      </c>
      <c r="C268" s="75">
        <v>87.6</v>
      </c>
      <c r="D268" s="75">
        <v>1385.1</v>
      </c>
      <c r="E268" s="75">
        <v>87.5</v>
      </c>
      <c r="F268" s="75">
        <v>87.8</v>
      </c>
      <c r="G268" s="75">
        <v>86.8</v>
      </c>
      <c r="H268" s="75">
        <v>87</v>
      </c>
      <c r="I268" s="75">
        <v>87.1</v>
      </c>
      <c r="J268" s="83">
        <v>1386</v>
      </c>
      <c r="K268" s="83">
        <v>1384.8</v>
      </c>
      <c r="L268" s="83">
        <v>1384.9</v>
      </c>
      <c r="M268" s="83">
        <v>1385.4</v>
      </c>
      <c r="N268" s="83">
        <v>1385.4</v>
      </c>
      <c r="O268" s="75">
        <v>0</v>
      </c>
      <c r="P268" s="75">
        <v>0</v>
      </c>
      <c r="Q268" s="75">
        <v>1</v>
      </c>
      <c r="R268" s="75">
        <v>28</v>
      </c>
      <c r="S268" s="75">
        <f>MAX(Table2[[#This Row],[volt-sbmu1]:[volt-sbmu5]])-MIN(Table2[[#This Row],[volt-sbmu1]:[volt-sbmu5]])</f>
        <v>1.2000000000000455</v>
      </c>
      <c r="T268" s="75">
        <f>MAX(Table2[[#This Row],[soc-sbmu1]:[soc-sbmu5]])-MIN(Table2[[#This Row],[soc-sbmu1]:[soc-sbmu5]])</f>
        <v>1</v>
      </c>
      <c r="U268" s="75"/>
      <c r="V268" s="75"/>
    </row>
    <row r="269" spans="1:22" ht="15">
      <c r="A269" t="s">
        <v>56</v>
      </c>
      <c r="B269" s="85" t="s">
        <v>673</v>
      </c>
      <c r="C269" s="75">
        <v>87.6</v>
      </c>
      <c r="D269" s="75">
        <v>1386.2</v>
      </c>
      <c r="E269" s="75">
        <v>87.7</v>
      </c>
      <c r="F269" s="75">
        <v>87.4</v>
      </c>
      <c r="G269" s="75">
        <v>87.2</v>
      </c>
      <c r="H269" s="75">
        <v>87.2</v>
      </c>
      <c r="I269" s="75">
        <v>87.6</v>
      </c>
      <c r="J269" s="83">
        <v>1386.8</v>
      </c>
      <c r="K269" s="83">
        <v>1386.6</v>
      </c>
      <c r="L269" s="83">
        <v>1387.1</v>
      </c>
      <c r="M269" s="83">
        <v>1386.6</v>
      </c>
      <c r="N269" s="83">
        <v>1386.3</v>
      </c>
      <c r="O269" s="75">
        <v>0</v>
      </c>
      <c r="P269" s="75">
        <v>0</v>
      </c>
      <c r="Q269" s="75">
        <v>1</v>
      </c>
      <c r="R269" s="75">
        <v>28</v>
      </c>
      <c r="S269" s="75">
        <f>MAX(Table2[[#This Row],[volt-sbmu1]:[volt-sbmu5]])-MIN(Table2[[#This Row],[volt-sbmu1]:[volt-sbmu5]])</f>
        <v>0.79999999999995453</v>
      </c>
      <c r="T269" s="75">
        <f>MAX(Table2[[#This Row],[soc-sbmu1]:[soc-sbmu5]])-MIN(Table2[[#This Row],[soc-sbmu1]:[soc-sbmu5]])</f>
        <v>0.5</v>
      </c>
      <c r="U269" s="75"/>
      <c r="V269" s="75"/>
    </row>
    <row r="270" spans="1:22" ht="15">
      <c r="A270" t="s">
        <v>57</v>
      </c>
      <c r="B270" s="85" t="s">
        <v>674</v>
      </c>
      <c r="C270" s="75">
        <v>87.6</v>
      </c>
      <c r="D270" s="75">
        <v>1384.7</v>
      </c>
      <c r="E270" s="75">
        <v>87.8</v>
      </c>
      <c r="F270" s="75">
        <v>86.7</v>
      </c>
      <c r="G270" s="75">
        <v>86.9</v>
      </c>
      <c r="H270" s="75">
        <v>86.7</v>
      </c>
      <c r="I270" s="75">
        <v>86.8</v>
      </c>
      <c r="J270" s="83">
        <v>1384</v>
      </c>
      <c r="K270" s="83">
        <v>1384.3</v>
      </c>
      <c r="L270" s="83">
        <v>1383.4</v>
      </c>
      <c r="M270" s="83">
        <v>1385</v>
      </c>
      <c r="N270" s="83">
        <v>1383.6</v>
      </c>
      <c r="O270" s="75">
        <v>0</v>
      </c>
      <c r="P270" s="75">
        <v>0</v>
      </c>
      <c r="Q270" s="75">
        <v>1</v>
      </c>
      <c r="R270" s="75">
        <v>28</v>
      </c>
      <c r="S270" s="75">
        <f>MAX(Table2[[#This Row],[volt-sbmu1]:[volt-sbmu5]])-MIN(Table2[[#This Row],[volt-sbmu1]:[volt-sbmu5]])</f>
        <v>1.5999999999999091</v>
      </c>
      <c r="T270" s="75">
        <f>MAX(Table2[[#This Row],[soc-sbmu1]:[soc-sbmu5]])-MIN(Table2[[#This Row],[soc-sbmu1]:[soc-sbmu5]])</f>
        <v>1.0999999999999943</v>
      </c>
      <c r="U270" s="75"/>
      <c r="V270" s="75"/>
    </row>
    <row r="271" spans="1:22" ht="15">
      <c r="A271" t="s">
        <v>58</v>
      </c>
      <c r="B271" s="85" t="s">
        <v>675</v>
      </c>
      <c r="C271" s="75">
        <v>87.4</v>
      </c>
      <c r="D271" s="75">
        <v>1384.7</v>
      </c>
      <c r="E271" s="75">
        <v>86.9</v>
      </c>
      <c r="F271" s="75">
        <v>87.5</v>
      </c>
      <c r="G271" s="75">
        <v>87</v>
      </c>
      <c r="H271" s="75">
        <v>87.3</v>
      </c>
      <c r="I271" s="75">
        <v>87.2</v>
      </c>
      <c r="J271" s="83">
        <v>1384.6</v>
      </c>
      <c r="K271" s="83">
        <v>1384.8</v>
      </c>
      <c r="L271" s="83">
        <v>1385.5</v>
      </c>
      <c r="M271" s="83">
        <v>1384.2</v>
      </c>
      <c r="N271" s="83">
        <v>1385.5</v>
      </c>
      <c r="O271" s="75">
        <v>0</v>
      </c>
      <c r="P271" s="75">
        <v>0</v>
      </c>
      <c r="Q271" s="75">
        <v>1</v>
      </c>
      <c r="R271" s="75">
        <v>28</v>
      </c>
      <c r="S271" s="75">
        <f>MAX(Table2[[#This Row],[volt-sbmu1]:[volt-sbmu5]])-MIN(Table2[[#This Row],[volt-sbmu1]:[volt-sbmu5]])</f>
        <v>1.2999999999999545</v>
      </c>
      <c r="T271" s="75">
        <f>MAX(Table2[[#This Row],[soc-sbmu1]:[soc-sbmu5]])-MIN(Table2[[#This Row],[soc-sbmu1]:[soc-sbmu5]])</f>
        <v>0.59999999999999432</v>
      </c>
      <c r="U271" s="75"/>
      <c r="V271" s="75"/>
    </row>
    <row r="272" spans="1:22" ht="15">
      <c r="A272" t="s">
        <v>59</v>
      </c>
      <c r="B272" s="85" t="s">
        <v>676</v>
      </c>
      <c r="C272" s="75">
        <v>87.6</v>
      </c>
      <c r="D272" s="75">
        <v>1384</v>
      </c>
      <c r="E272" s="75">
        <v>87.9</v>
      </c>
      <c r="F272" s="75">
        <v>87.9</v>
      </c>
      <c r="G272" s="75">
        <v>86.2</v>
      </c>
      <c r="H272" s="75">
        <v>87.3</v>
      </c>
      <c r="I272" s="75">
        <v>86.7</v>
      </c>
      <c r="J272" s="83">
        <v>1384.3</v>
      </c>
      <c r="K272" s="83">
        <v>1383.5</v>
      </c>
      <c r="L272" s="83">
        <v>1384.3</v>
      </c>
      <c r="M272" s="83">
        <v>1384.7</v>
      </c>
      <c r="N272" s="83">
        <v>1384.7</v>
      </c>
      <c r="O272" s="75">
        <v>0</v>
      </c>
      <c r="P272" s="75">
        <v>0</v>
      </c>
      <c r="Q272" s="75">
        <v>1</v>
      </c>
      <c r="R272" s="75">
        <v>28</v>
      </c>
      <c r="S272" s="75">
        <f>MAX(Table2[[#This Row],[volt-sbmu1]:[volt-sbmu5]])-MIN(Table2[[#This Row],[volt-sbmu1]:[volt-sbmu5]])</f>
        <v>1.2000000000000455</v>
      </c>
      <c r="T272" s="75">
        <f>MAX(Table2[[#This Row],[soc-sbmu1]:[soc-sbmu5]])-MIN(Table2[[#This Row],[soc-sbmu1]:[soc-sbmu5]])</f>
        <v>1.7000000000000028</v>
      </c>
      <c r="U272" s="75"/>
      <c r="V272" s="75"/>
    </row>
    <row r="273" spans="1:22" ht="15">
      <c r="A273" t="s">
        <v>60</v>
      </c>
      <c r="B273" s="85" t="s">
        <v>677</v>
      </c>
      <c r="C273" s="75">
        <v>87.1</v>
      </c>
      <c r="D273" s="75">
        <v>1385.8</v>
      </c>
      <c r="E273" s="75">
        <v>87.2</v>
      </c>
      <c r="F273" s="75">
        <v>87.2</v>
      </c>
      <c r="G273" s="75">
        <v>86.9</v>
      </c>
      <c r="H273" s="75">
        <v>87.1</v>
      </c>
      <c r="I273" s="75">
        <v>86.7</v>
      </c>
      <c r="J273" s="83">
        <v>1385.9</v>
      </c>
      <c r="K273" s="83">
        <v>1385.7</v>
      </c>
      <c r="L273" s="83">
        <v>1385.6</v>
      </c>
      <c r="M273" s="83">
        <v>1385.1</v>
      </c>
      <c r="N273" s="83">
        <v>1385.1</v>
      </c>
      <c r="O273" s="75">
        <v>0</v>
      </c>
      <c r="P273" s="75">
        <v>0</v>
      </c>
      <c r="Q273" s="75">
        <v>1</v>
      </c>
      <c r="R273" s="75">
        <v>28</v>
      </c>
      <c r="S273" s="75">
        <f>MAX(Table2[[#This Row],[volt-sbmu1]:[volt-sbmu5]])-MIN(Table2[[#This Row],[volt-sbmu1]:[volt-sbmu5]])</f>
        <v>0.8000000000001819</v>
      </c>
      <c r="T273" s="75">
        <f>MAX(Table2[[#This Row],[soc-sbmu1]:[soc-sbmu5]])-MIN(Table2[[#This Row],[soc-sbmu1]:[soc-sbmu5]])</f>
        <v>0.5</v>
      </c>
      <c r="U273" s="75"/>
      <c r="V273" s="75"/>
    </row>
    <row r="274" spans="1:22" ht="15">
      <c r="A274" t="s">
        <v>61</v>
      </c>
      <c r="B274" s="85" t="s">
        <v>678</v>
      </c>
      <c r="C274" s="75">
        <v>87.5</v>
      </c>
      <c r="D274" s="75">
        <v>1385</v>
      </c>
      <c r="E274" s="75">
        <v>87.7</v>
      </c>
      <c r="F274" s="75">
        <v>87</v>
      </c>
      <c r="G274" s="75">
        <v>87.1</v>
      </c>
      <c r="H274" s="75">
        <v>86.6</v>
      </c>
      <c r="I274" s="75">
        <v>87.2</v>
      </c>
      <c r="J274" s="83">
        <v>1385</v>
      </c>
      <c r="K274" s="83">
        <v>1386.7</v>
      </c>
      <c r="L274" s="83">
        <v>1385</v>
      </c>
      <c r="M274" s="83">
        <v>1384.6</v>
      </c>
      <c r="N274" s="83">
        <v>1383.7</v>
      </c>
      <c r="O274" s="75">
        <v>0</v>
      </c>
      <c r="P274" s="75">
        <v>0</v>
      </c>
      <c r="Q274" s="75">
        <v>1</v>
      </c>
      <c r="R274" s="75">
        <v>29</v>
      </c>
      <c r="S274" s="75">
        <f>MAX(Table2[[#This Row],[volt-sbmu1]:[volt-sbmu5]])-MIN(Table2[[#This Row],[volt-sbmu1]:[volt-sbmu5]])</f>
        <v>3</v>
      </c>
      <c r="T274" s="75">
        <f>MAX(Table2[[#This Row],[soc-sbmu1]:[soc-sbmu5]])-MIN(Table2[[#This Row],[soc-sbmu1]:[soc-sbmu5]])</f>
        <v>1.1000000000000085</v>
      </c>
      <c r="U274" s="75"/>
      <c r="V274" s="75"/>
    </row>
    <row r="275" spans="1:22" ht="15">
      <c r="A275" t="s">
        <v>62</v>
      </c>
      <c r="B275" s="85" t="s">
        <v>679</v>
      </c>
      <c r="C275" s="75">
        <v>87</v>
      </c>
      <c r="D275" s="75">
        <v>1384.7</v>
      </c>
      <c r="E275" s="75">
        <v>87.1</v>
      </c>
      <c r="F275" s="75">
        <v>87</v>
      </c>
      <c r="G275" s="75">
        <v>86.9</v>
      </c>
      <c r="H275" s="75">
        <v>86.6</v>
      </c>
      <c r="I275" s="75">
        <v>86.8</v>
      </c>
      <c r="J275" s="83">
        <v>1384.1</v>
      </c>
      <c r="K275" s="83">
        <v>1384.7</v>
      </c>
      <c r="L275" s="83">
        <v>1384.2</v>
      </c>
      <c r="M275" s="83">
        <v>1385.1</v>
      </c>
      <c r="N275" s="83">
        <v>1384.2</v>
      </c>
      <c r="O275" s="75">
        <v>0</v>
      </c>
      <c r="P275" s="75">
        <v>0</v>
      </c>
      <c r="Q275" s="75">
        <v>1</v>
      </c>
      <c r="R275" s="75">
        <v>27</v>
      </c>
      <c r="S275" s="75">
        <f>MAX(Table2[[#This Row],[volt-sbmu1]:[volt-sbmu5]])-MIN(Table2[[#This Row],[volt-sbmu1]:[volt-sbmu5]])</f>
        <v>1</v>
      </c>
      <c r="T275" s="75">
        <f>MAX(Table2[[#This Row],[soc-sbmu1]:[soc-sbmu5]])-MIN(Table2[[#This Row],[soc-sbmu1]:[soc-sbmu5]])</f>
        <v>0.5</v>
      </c>
      <c r="U275" s="75"/>
      <c r="V275" s="75"/>
    </row>
    <row r="276" spans="1:22" ht="15">
      <c r="A276" t="s">
        <v>63</v>
      </c>
      <c r="B276" s="85" t="s">
        <v>680</v>
      </c>
      <c r="C276" s="75">
        <v>87.2</v>
      </c>
      <c r="D276" s="75">
        <v>1384.9</v>
      </c>
      <c r="E276" s="75">
        <v>86.7</v>
      </c>
      <c r="F276" s="75">
        <v>86.9</v>
      </c>
      <c r="G276" s="75">
        <v>87.3</v>
      </c>
      <c r="H276" s="75">
        <v>87.3</v>
      </c>
      <c r="I276" s="75">
        <v>86.7</v>
      </c>
      <c r="J276" s="83">
        <v>1385.1</v>
      </c>
      <c r="K276" s="83">
        <v>1385.5</v>
      </c>
      <c r="L276" s="83">
        <v>1385.6</v>
      </c>
      <c r="M276" s="83">
        <v>1386.2</v>
      </c>
      <c r="N276" s="83">
        <v>1385.5</v>
      </c>
      <c r="O276" s="75">
        <v>0</v>
      </c>
      <c r="P276" s="75">
        <v>0</v>
      </c>
      <c r="Q276" s="75">
        <v>1</v>
      </c>
      <c r="R276" s="75">
        <v>28</v>
      </c>
      <c r="S276" s="75">
        <f>MAX(Table2[[#This Row],[volt-sbmu1]:[volt-sbmu5]])-MIN(Table2[[#This Row],[volt-sbmu1]:[volt-sbmu5]])</f>
        <v>1.1000000000001364</v>
      </c>
      <c r="T276" s="75">
        <f>MAX(Table2[[#This Row],[soc-sbmu1]:[soc-sbmu5]])-MIN(Table2[[#This Row],[soc-sbmu1]:[soc-sbmu5]])</f>
        <v>0.59999999999999432</v>
      </c>
      <c r="U276" s="75"/>
      <c r="V276" s="75"/>
    </row>
    <row r="277" spans="1:22" ht="15">
      <c r="A277" t="s">
        <v>64</v>
      </c>
      <c r="B277" s="85" t="s">
        <v>681</v>
      </c>
      <c r="C277" s="75">
        <v>87.7</v>
      </c>
      <c r="D277" s="75">
        <v>1384.5</v>
      </c>
      <c r="E277" s="75">
        <v>87.2</v>
      </c>
      <c r="F277" s="75">
        <v>87.9</v>
      </c>
      <c r="G277" s="75">
        <v>86.9</v>
      </c>
      <c r="H277" s="75">
        <v>86.7</v>
      </c>
      <c r="I277" s="75">
        <v>86.6</v>
      </c>
      <c r="J277" s="83">
        <v>1383.7</v>
      </c>
      <c r="K277" s="83">
        <v>1385.3</v>
      </c>
      <c r="L277" s="83">
        <v>1385.7</v>
      </c>
      <c r="M277" s="83">
        <v>1383.8</v>
      </c>
      <c r="N277" s="83">
        <v>1385.2</v>
      </c>
      <c r="O277" s="75">
        <v>0</v>
      </c>
      <c r="P277" s="75">
        <v>0</v>
      </c>
      <c r="Q277" s="75">
        <v>1</v>
      </c>
      <c r="R277" s="75">
        <v>28</v>
      </c>
      <c r="S277" s="75">
        <f>MAX(Table2[[#This Row],[volt-sbmu1]:[volt-sbmu5]])-MIN(Table2[[#This Row],[volt-sbmu1]:[volt-sbmu5]])</f>
        <v>2</v>
      </c>
      <c r="T277" s="75">
        <f>MAX(Table2[[#This Row],[soc-sbmu1]:[soc-sbmu5]])-MIN(Table2[[#This Row],[soc-sbmu1]:[soc-sbmu5]])</f>
        <v>1.3000000000000114</v>
      </c>
      <c r="U277" s="75"/>
      <c r="V277" s="75"/>
    </row>
    <row r="278" spans="1:22" ht="15">
      <c r="A278" t="s">
        <v>65</v>
      </c>
      <c r="B278" s="85" t="s">
        <v>682</v>
      </c>
      <c r="C278" s="75">
        <v>87.4</v>
      </c>
      <c r="D278" s="75">
        <v>1385.3</v>
      </c>
      <c r="E278" s="75">
        <v>87.6</v>
      </c>
      <c r="F278" s="75">
        <v>87</v>
      </c>
      <c r="G278" s="75">
        <v>87.2</v>
      </c>
      <c r="H278" s="75">
        <v>86.6</v>
      </c>
      <c r="I278" s="75">
        <v>87.2</v>
      </c>
      <c r="J278" s="83">
        <v>1384.4</v>
      </c>
      <c r="K278" s="83">
        <v>1384.9</v>
      </c>
      <c r="L278" s="83">
        <v>1384</v>
      </c>
      <c r="M278" s="83">
        <v>1385.3</v>
      </c>
      <c r="N278" s="83">
        <v>1385.4</v>
      </c>
      <c r="O278" s="75">
        <v>0</v>
      </c>
      <c r="P278" s="75">
        <v>0</v>
      </c>
      <c r="Q278" s="75">
        <v>1</v>
      </c>
      <c r="R278" s="75">
        <v>28</v>
      </c>
      <c r="S278" s="75">
        <f>MAX(Table2[[#This Row],[volt-sbmu1]:[volt-sbmu5]])-MIN(Table2[[#This Row],[volt-sbmu1]:[volt-sbmu5]])</f>
        <v>1.4000000000000909</v>
      </c>
      <c r="T278" s="75">
        <f>MAX(Table2[[#This Row],[soc-sbmu1]:[soc-sbmu5]])-MIN(Table2[[#This Row],[soc-sbmu1]:[soc-sbmu5]])</f>
        <v>1</v>
      </c>
      <c r="U278" s="75"/>
      <c r="V278" s="75"/>
    </row>
    <row r="279" spans="1:22" ht="15">
      <c r="A279" t="s">
        <v>66</v>
      </c>
      <c r="B279" s="85" t="s">
        <v>683</v>
      </c>
      <c r="C279" s="75">
        <v>87.6</v>
      </c>
      <c r="D279" s="75">
        <v>1385.1</v>
      </c>
      <c r="E279" s="75">
        <v>87.8</v>
      </c>
      <c r="F279" s="75">
        <v>86.8</v>
      </c>
      <c r="G279" s="75">
        <v>87.6</v>
      </c>
      <c r="H279" s="75">
        <v>86.8</v>
      </c>
      <c r="I279" s="75">
        <v>86.9</v>
      </c>
      <c r="J279" s="83">
        <v>1383.6</v>
      </c>
      <c r="K279" s="83">
        <v>1384.5</v>
      </c>
      <c r="L279" s="83">
        <v>1385.8</v>
      </c>
      <c r="M279" s="83">
        <v>1385.1</v>
      </c>
      <c r="N279" s="83">
        <v>1385</v>
      </c>
      <c r="O279" s="75">
        <v>0</v>
      </c>
      <c r="P279" s="75">
        <v>0</v>
      </c>
      <c r="Q279" s="75">
        <v>1</v>
      </c>
      <c r="R279" s="75">
        <v>27</v>
      </c>
      <c r="S279" s="75">
        <f>MAX(Table2[[#This Row],[volt-sbmu1]:[volt-sbmu5]])-MIN(Table2[[#This Row],[volt-sbmu1]:[volt-sbmu5]])</f>
        <v>2.2000000000000455</v>
      </c>
      <c r="T279" s="75">
        <f>MAX(Table2[[#This Row],[soc-sbmu1]:[soc-sbmu5]])-MIN(Table2[[#This Row],[soc-sbmu1]:[soc-sbmu5]])</f>
        <v>1</v>
      </c>
      <c r="U279" s="75"/>
      <c r="V279" s="75"/>
    </row>
    <row r="280" spans="1:22" ht="15">
      <c r="A280" t="s">
        <v>67</v>
      </c>
      <c r="B280" s="85" t="s">
        <v>684</v>
      </c>
      <c r="C280" s="75">
        <v>87.5</v>
      </c>
      <c r="D280" s="75">
        <v>1384.5</v>
      </c>
      <c r="E280" s="75">
        <v>87.6</v>
      </c>
      <c r="F280" s="75">
        <v>86.8</v>
      </c>
      <c r="G280" s="75">
        <v>87.6</v>
      </c>
      <c r="H280" s="75">
        <v>87.4</v>
      </c>
      <c r="I280" s="75">
        <v>86.8</v>
      </c>
      <c r="J280" s="83">
        <v>1383.8</v>
      </c>
      <c r="K280" s="83">
        <v>1385</v>
      </c>
      <c r="L280" s="83">
        <v>1385</v>
      </c>
      <c r="M280" s="83">
        <v>1383.8</v>
      </c>
      <c r="N280" s="83">
        <v>1384.6</v>
      </c>
      <c r="O280" s="75">
        <v>0</v>
      </c>
      <c r="P280" s="75">
        <v>0</v>
      </c>
      <c r="Q280" s="75">
        <v>1</v>
      </c>
      <c r="R280" s="75">
        <v>27</v>
      </c>
      <c r="S280" s="75">
        <f>MAX(Table2[[#This Row],[volt-sbmu1]:[volt-sbmu5]])-MIN(Table2[[#This Row],[volt-sbmu1]:[volt-sbmu5]])</f>
        <v>1.2000000000000455</v>
      </c>
      <c r="T280" s="75">
        <f>MAX(Table2[[#This Row],[soc-sbmu1]:[soc-sbmu5]])-MIN(Table2[[#This Row],[soc-sbmu1]:[soc-sbmu5]])</f>
        <v>0.79999999999999716</v>
      </c>
      <c r="U280" s="75"/>
      <c r="V280" s="75"/>
    </row>
    <row r="281" spans="1:22" ht="15">
      <c r="A281" t="s">
        <v>68</v>
      </c>
      <c r="B281" s="85" t="s">
        <v>685</v>
      </c>
      <c r="C281" s="75">
        <v>87.1</v>
      </c>
      <c r="D281" s="75">
        <v>1385.5</v>
      </c>
      <c r="E281" s="75">
        <v>87.2</v>
      </c>
      <c r="F281" s="75">
        <v>87</v>
      </c>
      <c r="G281" s="75">
        <v>87</v>
      </c>
      <c r="H281" s="75">
        <v>86.9</v>
      </c>
      <c r="I281" s="75">
        <v>86.9</v>
      </c>
      <c r="J281" s="83">
        <v>1385.8</v>
      </c>
      <c r="K281" s="83">
        <v>1385.8</v>
      </c>
      <c r="L281" s="83">
        <v>1385.1</v>
      </c>
      <c r="M281" s="83">
        <v>1386</v>
      </c>
      <c r="N281" s="83">
        <v>1385.6</v>
      </c>
      <c r="O281" s="75">
        <v>0</v>
      </c>
      <c r="P281" s="75">
        <v>0</v>
      </c>
      <c r="Q281" s="75">
        <v>1</v>
      </c>
      <c r="R281" s="75">
        <v>28</v>
      </c>
      <c r="S281" s="75">
        <f>MAX(Table2[[#This Row],[volt-sbmu1]:[volt-sbmu5]])-MIN(Table2[[#This Row],[volt-sbmu1]:[volt-sbmu5]])</f>
        <v>0.90000000000009095</v>
      </c>
      <c r="T281" s="75">
        <f>MAX(Table2[[#This Row],[soc-sbmu1]:[soc-sbmu5]])-MIN(Table2[[#This Row],[soc-sbmu1]:[soc-sbmu5]])</f>
        <v>0.29999999999999716</v>
      </c>
      <c r="U281" s="75"/>
      <c r="V281" s="75"/>
    </row>
    <row r="282" spans="1:22" ht="15">
      <c r="A282" t="s">
        <v>69</v>
      </c>
      <c r="B282" s="85" t="s">
        <v>686</v>
      </c>
      <c r="C282" s="75">
        <v>87.1</v>
      </c>
      <c r="D282" s="75">
        <v>1385.5</v>
      </c>
      <c r="E282" s="75">
        <v>86.9</v>
      </c>
      <c r="F282" s="75">
        <v>86.2</v>
      </c>
      <c r="G282" s="75">
        <v>86.9</v>
      </c>
      <c r="H282" s="75">
        <v>87.3</v>
      </c>
      <c r="I282" s="75">
        <v>86.3</v>
      </c>
      <c r="J282" s="83">
        <v>1385.9</v>
      </c>
      <c r="K282" s="83">
        <v>1385.2</v>
      </c>
      <c r="L282" s="83">
        <v>1386.4</v>
      </c>
      <c r="M282" s="83">
        <v>1385.3</v>
      </c>
      <c r="N282" s="83">
        <v>1384.6</v>
      </c>
      <c r="O282" s="75">
        <v>0</v>
      </c>
      <c r="P282" s="75">
        <v>0</v>
      </c>
      <c r="Q282" s="75">
        <v>1</v>
      </c>
      <c r="R282" s="75">
        <v>29</v>
      </c>
      <c r="S282" s="75">
        <f>MAX(Table2[[#This Row],[volt-sbmu1]:[volt-sbmu5]])-MIN(Table2[[#This Row],[volt-sbmu1]:[volt-sbmu5]])</f>
        <v>1.8000000000001819</v>
      </c>
      <c r="T282" s="75">
        <f>MAX(Table2[[#This Row],[soc-sbmu1]:[soc-sbmu5]])-MIN(Table2[[#This Row],[soc-sbmu1]:[soc-sbmu5]])</f>
        <v>1.0999999999999943</v>
      </c>
      <c r="U282" s="75"/>
      <c r="V282" s="75"/>
    </row>
    <row r="283" spans="1:22" ht="15">
      <c r="A283" t="s">
        <v>70</v>
      </c>
      <c r="B283" s="85" t="s">
        <v>687</v>
      </c>
      <c r="C283" s="75">
        <v>87.6</v>
      </c>
      <c r="D283" s="75">
        <v>1384.7</v>
      </c>
      <c r="E283" s="75">
        <v>86.8</v>
      </c>
      <c r="F283" s="75">
        <v>87.6</v>
      </c>
      <c r="G283" s="75">
        <v>87.1</v>
      </c>
      <c r="H283" s="75">
        <v>87.8</v>
      </c>
      <c r="I283" s="75">
        <v>87.1</v>
      </c>
      <c r="J283" s="83">
        <v>1385.1</v>
      </c>
      <c r="K283" s="83">
        <v>1384.7</v>
      </c>
      <c r="L283" s="83">
        <v>1384.1</v>
      </c>
      <c r="M283" s="83">
        <v>1384.5</v>
      </c>
      <c r="N283" s="83">
        <v>1384.8</v>
      </c>
      <c r="O283" s="75">
        <v>0</v>
      </c>
      <c r="P283" s="75">
        <v>0</v>
      </c>
      <c r="Q283" s="75">
        <v>1</v>
      </c>
      <c r="R283" s="75">
        <v>28</v>
      </c>
      <c r="S283" s="75">
        <f>MAX(Table2[[#This Row],[volt-sbmu1]:[volt-sbmu5]])-MIN(Table2[[#This Row],[volt-sbmu1]:[volt-sbmu5]])</f>
        <v>1</v>
      </c>
      <c r="T283" s="75">
        <f>MAX(Table2[[#This Row],[soc-sbmu1]:[soc-sbmu5]])-MIN(Table2[[#This Row],[soc-sbmu1]:[soc-sbmu5]])</f>
        <v>1</v>
      </c>
      <c r="U283" s="75"/>
      <c r="V283" s="75"/>
    </row>
    <row r="284" spans="1:22" ht="15">
      <c r="A284" t="s">
        <v>71</v>
      </c>
      <c r="B284" s="85" t="s">
        <v>688</v>
      </c>
      <c r="C284" s="75">
        <v>87.5</v>
      </c>
      <c r="D284" s="75">
        <v>1384.5</v>
      </c>
      <c r="E284" s="75">
        <v>87.6</v>
      </c>
      <c r="F284" s="75">
        <v>87.3</v>
      </c>
      <c r="G284" s="75">
        <v>87.1</v>
      </c>
      <c r="H284" s="75">
        <v>87.6</v>
      </c>
      <c r="I284" s="75">
        <v>87.6</v>
      </c>
      <c r="J284" s="83">
        <v>1382.9</v>
      </c>
      <c r="K284" s="83">
        <v>1384.7</v>
      </c>
      <c r="L284" s="83">
        <v>1384.4</v>
      </c>
      <c r="M284" s="83">
        <v>1385</v>
      </c>
      <c r="N284" s="83">
        <v>1385.1</v>
      </c>
      <c r="O284" s="75">
        <v>0</v>
      </c>
      <c r="P284" s="75">
        <v>0</v>
      </c>
      <c r="Q284" s="75">
        <v>1</v>
      </c>
      <c r="R284" s="75">
        <v>27</v>
      </c>
      <c r="S284" s="75">
        <f>MAX(Table2[[#This Row],[volt-sbmu1]:[volt-sbmu5]])-MIN(Table2[[#This Row],[volt-sbmu1]:[volt-sbmu5]])</f>
        <v>2.1999999999998181</v>
      </c>
      <c r="T284" s="75">
        <f>MAX(Table2[[#This Row],[soc-sbmu1]:[soc-sbmu5]])-MIN(Table2[[#This Row],[soc-sbmu1]:[soc-sbmu5]])</f>
        <v>0.5</v>
      </c>
      <c r="U284" s="75"/>
      <c r="V284" s="75"/>
    </row>
    <row r="285" spans="1:22" ht="15">
      <c r="A285" t="s">
        <v>72</v>
      </c>
      <c r="B285" s="85" t="s">
        <v>689</v>
      </c>
      <c r="C285" s="75">
        <v>87.1</v>
      </c>
      <c r="D285" s="75">
        <v>1385</v>
      </c>
      <c r="E285" s="75">
        <v>86.9</v>
      </c>
      <c r="F285" s="75">
        <v>87.2</v>
      </c>
      <c r="G285" s="75">
        <v>87.1</v>
      </c>
      <c r="H285" s="75">
        <v>87.1</v>
      </c>
      <c r="I285" s="75">
        <v>87.1</v>
      </c>
      <c r="J285" s="83">
        <v>1384.3</v>
      </c>
      <c r="K285" s="83">
        <v>1383.4</v>
      </c>
      <c r="L285" s="83">
        <v>1386</v>
      </c>
      <c r="M285" s="83">
        <v>1385.6</v>
      </c>
      <c r="N285" s="83">
        <v>1384.8</v>
      </c>
      <c r="O285" s="75">
        <v>0</v>
      </c>
      <c r="P285" s="75">
        <v>0</v>
      </c>
      <c r="Q285" s="75">
        <v>1</v>
      </c>
      <c r="R285" s="75">
        <v>28</v>
      </c>
      <c r="S285" s="75">
        <f>MAX(Table2[[#This Row],[volt-sbmu1]:[volt-sbmu5]])-MIN(Table2[[#This Row],[volt-sbmu1]:[volt-sbmu5]])</f>
        <v>2.5999999999999091</v>
      </c>
      <c r="T285" s="75">
        <f>MAX(Table2[[#This Row],[soc-sbmu1]:[soc-sbmu5]])-MIN(Table2[[#This Row],[soc-sbmu1]:[soc-sbmu5]])</f>
        <v>0.29999999999999716</v>
      </c>
      <c r="U285" s="75"/>
      <c r="V285" s="75"/>
    </row>
    <row r="286" spans="1:22" ht="15">
      <c r="A286" t="s">
        <v>73</v>
      </c>
      <c r="B286" s="85" t="s">
        <v>690</v>
      </c>
      <c r="C286" s="75">
        <v>87.6</v>
      </c>
      <c r="D286" s="75">
        <v>1384.7</v>
      </c>
      <c r="E286" s="75">
        <v>87.4</v>
      </c>
      <c r="F286" s="75">
        <v>87.8</v>
      </c>
      <c r="G286" s="75">
        <v>87.3</v>
      </c>
      <c r="H286" s="75">
        <v>86.8</v>
      </c>
      <c r="I286" s="75">
        <v>87.2</v>
      </c>
      <c r="J286" s="83">
        <v>1384.7</v>
      </c>
      <c r="K286" s="83">
        <v>1384.7</v>
      </c>
      <c r="L286" s="83">
        <v>1384</v>
      </c>
      <c r="M286" s="83">
        <v>1384.2</v>
      </c>
      <c r="N286" s="83">
        <v>1383.5</v>
      </c>
      <c r="O286" s="75">
        <v>0</v>
      </c>
      <c r="P286" s="75">
        <v>0</v>
      </c>
      <c r="Q286" s="75">
        <v>1</v>
      </c>
      <c r="R286" s="75">
        <v>28</v>
      </c>
      <c r="S286" s="75">
        <f>MAX(Table2[[#This Row],[volt-sbmu1]:[volt-sbmu5]])-MIN(Table2[[#This Row],[volt-sbmu1]:[volt-sbmu5]])</f>
        <v>1.2000000000000455</v>
      </c>
      <c r="T286" s="75">
        <f>MAX(Table2[[#This Row],[soc-sbmu1]:[soc-sbmu5]])-MIN(Table2[[#This Row],[soc-sbmu1]:[soc-sbmu5]])</f>
        <v>1</v>
      </c>
      <c r="U286" s="75"/>
      <c r="V286" s="75"/>
    </row>
    <row r="287" spans="1:22" ht="15">
      <c r="A287" t="s">
        <v>74</v>
      </c>
      <c r="B287" s="85" t="s">
        <v>691</v>
      </c>
      <c r="C287" s="75">
        <v>87.6</v>
      </c>
      <c r="D287" s="75">
        <v>1385.9</v>
      </c>
      <c r="E287" s="75">
        <v>86.7</v>
      </c>
      <c r="F287" s="75">
        <v>87.7</v>
      </c>
      <c r="G287" s="75">
        <v>87.8</v>
      </c>
      <c r="H287" s="75">
        <v>87</v>
      </c>
      <c r="I287" s="75">
        <v>86.9</v>
      </c>
      <c r="J287" s="83">
        <v>1387.2</v>
      </c>
      <c r="K287" s="83">
        <v>1385.5</v>
      </c>
      <c r="L287" s="83">
        <v>1385.2</v>
      </c>
      <c r="M287" s="83">
        <v>1386</v>
      </c>
      <c r="N287" s="83">
        <v>1385.8</v>
      </c>
      <c r="O287" s="75">
        <v>0</v>
      </c>
      <c r="P287" s="75">
        <v>0</v>
      </c>
      <c r="Q287" s="75">
        <v>1</v>
      </c>
      <c r="R287" s="75">
        <v>27</v>
      </c>
      <c r="S287" s="75">
        <f>MAX(Table2[[#This Row],[volt-sbmu1]:[volt-sbmu5]])-MIN(Table2[[#This Row],[volt-sbmu1]:[volt-sbmu5]])</f>
        <v>2</v>
      </c>
      <c r="T287" s="75">
        <f>MAX(Table2[[#This Row],[soc-sbmu1]:[soc-sbmu5]])-MIN(Table2[[#This Row],[soc-sbmu1]:[soc-sbmu5]])</f>
        <v>1.0999999999999943</v>
      </c>
      <c r="U287" s="75"/>
      <c r="V287" s="75"/>
    </row>
    <row r="288" spans="1:22" ht="15">
      <c r="A288" t="s">
        <v>75</v>
      </c>
      <c r="B288" s="85" t="s">
        <v>692</v>
      </c>
      <c r="C288" s="75">
        <v>87.4</v>
      </c>
      <c r="D288" s="75">
        <v>1385.8</v>
      </c>
      <c r="E288" s="75">
        <v>87.5</v>
      </c>
      <c r="F288" s="75">
        <v>87.4</v>
      </c>
      <c r="G288" s="75">
        <v>86.9</v>
      </c>
      <c r="H288" s="75">
        <v>87.2</v>
      </c>
      <c r="I288" s="75">
        <v>87.2</v>
      </c>
      <c r="J288" s="83">
        <v>1384.8</v>
      </c>
      <c r="K288" s="83">
        <v>1384.9</v>
      </c>
      <c r="L288" s="83">
        <v>1385.3</v>
      </c>
      <c r="M288" s="83">
        <v>1386.7</v>
      </c>
      <c r="N288" s="83">
        <v>1384.6</v>
      </c>
      <c r="O288" s="75">
        <v>0</v>
      </c>
      <c r="P288" s="75">
        <v>0</v>
      </c>
      <c r="Q288" s="75">
        <v>1</v>
      </c>
      <c r="R288" s="75">
        <v>28</v>
      </c>
      <c r="S288" s="75">
        <f>MAX(Table2[[#This Row],[volt-sbmu1]:[volt-sbmu5]])-MIN(Table2[[#This Row],[volt-sbmu1]:[volt-sbmu5]])</f>
        <v>2.1000000000001364</v>
      </c>
      <c r="T288" s="75">
        <f>MAX(Table2[[#This Row],[soc-sbmu1]:[soc-sbmu5]])-MIN(Table2[[#This Row],[soc-sbmu1]:[soc-sbmu5]])</f>
        <v>0.59999999999999432</v>
      </c>
      <c r="U288" s="75"/>
      <c r="V288" s="75"/>
    </row>
    <row r="289" spans="1:22" ht="15">
      <c r="A289" t="s">
        <v>76</v>
      </c>
      <c r="B289" s="85" t="s">
        <v>693</v>
      </c>
      <c r="C289" s="75">
        <v>87.5</v>
      </c>
      <c r="D289" s="75">
        <v>1382.8</v>
      </c>
      <c r="E289" s="75">
        <v>87.6</v>
      </c>
      <c r="F289" s="75">
        <v>87.1</v>
      </c>
      <c r="G289" s="75">
        <v>87.2</v>
      </c>
      <c r="H289" s="75">
        <v>87</v>
      </c>
      <c r="I289" s="75">
        <v>87.2</v>
      </c>
      <c r="J289" s="83">
        <v>1382.3</v>
      </c>
      <c r="K289" s="83">
        <v>1382.8</v>
      </c>
      <c r="L289" s="83">
        <v>1382.2</v>
      </c>
      <c r="M289" s="83">
        <v>1382.1</v>
      </c>
      <c r="N289" s="83">
        <v>1382.8</v>
      </c>
      <c r="O289" s="75">
        <v>0</v>
      </c>
      <c r="P289" s="75">
        <v>0</v>
      </c>
      <c r="Q289" s="75">
        <v>1</v>
      </c>
      <c r="R289" s="75">
        <v>28</v>
      </c>
      <c r="S289" s="75">
        <f>MAX(Table2[[#This Row],[volt-sbmu1]:[volt-sbmu5]])-MIN(Table2[[#This Row],[volt-sbmu1]:[volt-sbmu5]])</f>
        <v>0.70000000000004547</v>
      </c>
      <c r="T289" s="75">
        <f>MAX(Table2[[#This Row],[soc-sbmu1]:[soc-sbmu5]])-MIN(Table2[[#This Row],[soc-sbmu1]:[soc-sbmu5]])</f>
        <v>0.59999999999999432</v>
      </c>
      <c r="U289" s="75"/>
      <c r="V289" s="75"/>
    </row>
    <row r="290" spans="1:22" ht="15">
      <c r="A290" t="s">
        <v>77</v>
      </c>
      <c r="B290" s="85" t="s">
        <v>694</v>
      </c>
      <c r="C290" s="75">
        <v>87.5</v>
      </c>
      <c r="D290" s="75">
        <v>1386.6</v>
      </c>
      <c r="E290" s="75">
        <v>86.9</v>
      </c>
      <c r="F290" s="75">
        <v>87</v>
      </c>
      <c r="G290" s="75">
        <v>87.7</v>
      </c>
      <c r="H290" s="75">
        <v>86.7</v>
      </c>
      <c r="I290" s="75">
        <v>86.9</v>
      </c>
      <c r="J290" s="83">
        <v>1387.3</v>
      </c>
      <c r="K290" s="83">
        <v>1385</v>
      </c>
      <c r="L290" s="83">
        <v>1385</v>
      </c>
      <c r="M290" s="83">
        <v>1385.7</v>
      </c>
      <c r="N290" s="83">
        <v>1387.1</v>
      </c>
      <c r="O290" s="75">
        <v>0</v>
      </c>
      <c r="P290" s="75">
        <v>0</v>
      </c>
      <c r="Q290" s="75">
        <v>1</v>
      </c>
      <c r="R290" s="75">
        <v>29</v>
      </c>
      <c r="S290" s="75">
        <f>MAX(Table2[[#This Row],[volt-sbmu1]:[volt-sbmu5]])-MIN(Table2[[#This Row],[volt-sbmu1]:[volt-sbmu5]])</f>
        <v>2.2999999999999545</v>
      </c>
      <c r="T290" s="75">
        <f>MAX(Table2[[#This Row],[soc-sbmu1]:[soc-sbmu5]])-MIN(Table2[[#This Row],[soc-sbmu1]:[soc-sbmu5]])</f>
        <v>1</v>
      </c>
      <c r="U290" s="75"/>
      <c r="V290" s="75"/>
    </row>
  </sheetData>
  <phoneticPr fontId="12" type="noConversion"/>
  <dataValidations count="1">
    <dataValidation type="list" allowBlank="1" showInputMessage="1" showErrorMessage="1" sqref="AB6" xr:uid="{7E7003CD-7EEA-4D52-BB6C-DFEB8C928C98}">
      <formula1>$AF$4:$AF$8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adSOC">
                <anchor>
                  <from>
                    <xdr:col>29</xdr:col>
                    <xdr:colOff>142875</xdr:colOff>
                    <xdr:row>1</xdr:row>
                    <xdr:rowOff>0</xdr:rowOff>
                  </from>
                  <to>
                    <xdr:col>30</xdr:col>
                    <xdr:colOff>352425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adSOCcsv">
                <anchor moveWithCells="1" sizeWithCells="1">
                  <from>
                    <xdr:col>27</xdr:col>
                    <xdr:colOff>9525</xdr:colOff>
                    <xdr:row>1</xdr:row>
                    <xdr:rowOff>38100</xdr:rowOff>
                  </from>
                  <to>
                    <xdr:col>28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B32F2-BD8E-446D-861A-FA0A754B71C9}">
  <sheetPr codeName="Sheet6"/>
  <dimension ref="A1:AJ290"/>
  <sheetViews>
    <sheetView workbookViewId="0">
      <selection activeCell="AB1" sqref="AB1"/>
    </sheetView>
  </sheetViews>
  <sheetFormatPr defaultRowHeight="13.5"/>
  <cols>
    <col min="1" max="1" width="11.875" bestFit="1" customWidth="1"/>
    <col min="2" max="2" width="3.875" bestFit="1" customWidth="1"/>
    <col min="3" max="4" width="4.25" bestFit="1" customWidth="1"/>
    <col min="5" max="9" width="5.875" bestFit="1" customWidth="1"/>
    <col min="10" max="12" width="4.25" bestFit="1" customWidth="1"/>
    <col min="13" max="22" width="7.875" bestFit="1" customWidth="1"/>
    <col min="23" max="23" width="3" customWidth="1"/>
    <col min="24" max="27" width="5.875" bestFit="1" customWidth="1"/>
    <col min="28" max="28" width="6.75" customWidth="1"/>
    <col min="30" max="30" width="7.875" bestFit="1" customWidth="1"/>
    <col min="32" max="32" width="8.875" bestFit="1" customWidth="1"/>
    <col min="33" max="36" width="3.875" bestFit="1" customWidth="1"/>
  </cols>
  <sheetData>
    <row r="1" spans="1:36" ht="15">
      <c r="A1" s="86" t="s">
        <v>27</v>
      </c>
      <c r="B1" s="86" t="s">
        <v>28</v>
      </c>
      <c r="C1" s="123" t="s">
        <v>762</v>
      </c>
      <c r="D1" s="124" t="s">
        <v>763</v>
      </c>
      <c r="E1" s="124" t="s">
        <v>764</v>
      </c>
      <c r="F1" s="124" t="s">
        <v>765</v>
      </c>
      <c r="G1" s="124" t="s">
        <v>766</v>
      </c>
      <c r="H1" s="124" t="s">
        <v>767</v>
      </c>
      <c r="I1" s="124" t="s">
        <v>768</v>
      </c>
      <c r="J1" s="124" t="s">
        <v>769</v>
      </c>
      <c r="K1" s="124" t="s">
        <v>770</v>
      </c>
      <c r="L1" s="125" t="s">
        <v>771</v>
      </c>
      <c r="M1" s="86" t="s">
        <v>772</v>
      </c>
      <c r="N1" s="86" t="s">
        <v>773</v>
      </c>
      <c r="O1" s="86" t="s">
        <v>774</v>
      </c>
      <c r="P1" s="86" t="s">
        <v>775</v>
      </c>
      <c r="Q1" s="86" t="s">
        <v>776</v>
      </c>
      <c r="R1" s="86" t="s">
        <v>777</v>
      </c>
      <c r="S1" s="86" t="s">
        <v>778</v>
      </c>
      <c r="T1" s="86" t="s">
        <v>779</v>
      </c>
      <c r="U1" s="86" t="s">
        <v>780</v>
      </c>
      <c r="V1" s="86" t="s">
        <v>781</v>
      </c>
      <c r="W1" s="59"/>
      <c r="X1" s="85"/>
      <c r="Z1" s="85"/>
      <c r="AB1" t="str">
        <f ca="1">ReadSOC!AB1</f>
        <v>D:\Download\00-CATL\KBESS\HotCommissionTool\data\SocVolt-20250211-153846.csv</v>
      </c>
    </row>
    <row r="2" spans="1:36" ht="15">
      <c r="A2" t="s">
        <v>132</v>
      </c>
      <c r="B2" s="85" t="s">
        <v>408</v>
      </c>
      <c r="C2" s="126">
        <v>100</v>
      </c>
      <c r="D2" s="75">
        <v>651</v>
      </c>
      <c r="E2" s="75">
        <v>103</v>
      </c>
      <c r="F2" s="75">
        <v>648</v>
      </c>
      <c r="G2" s="75">
        <v>103</v>
      </c>
      <c r="H2" s="75">
        <v>646</v>
      </c>
      <c r="I2" s="75">
        <v>107</v>
      </c>
      <c r="J2" s="154">
        <v>643</v>
      </c>
      <c r="K2" s="154">
        <v>105</v>
      </c>
      <c r="L2" s="155">
        <v>647</v>
      </c>
      <c r="M2" s="83">
        <v>28566.1</v>
      </c>
      <c r="N2" s="83">
        <v>26816.799999999999</v>
      </c>
      <c r="O2" s="83">
        <v>28458.7</v>
      </c>
      <c r="P2" s="83">
        <v>26916</v>
      </c>
      <c r="Q2" s="83">
        <v>27658.9</v>
      </c>
      <c r="R2" s="83">
        <v>26704.6</v>
      </c>
      <c r="S2" s="83">
        <v>28046</v>
      </c>
      <c r="T2" s="83">
        <v>26423.8</v>
      </c>
      <c r="U2" s="83">
        <v>24428.1</v>
      </c>
      <c r="V2" s="83">
        <v>23510.5</v>
      </c>
    </row>
    <row r="3" spans="1:36" ht="15">
      <c r="A3" t="s">
        <v>133</v>
      </c>
      <c r="B3" s="85" t="s">
        <v>409</v>
      </c>
      <c r="C3" s="126">
        <v>100</v>
      </c>
      <c r="D3" s="75">
        <v>654</v>
      </c>
      <c r="E3" s="75">
        <v>105</v>
      </c>
      <c r="F3" s="75">
        <v>646</v>
      </c>
      <c r="G3" s="75">
        <v>104</v>
      </c>
      <c r="H3" s="75">
        <v>647</v>
      </c>
      <c r="I3" s="75">
        <v>103</v>
      </c>
      <c r="J3" s="154">
        <v>646</v>
      </c>
      <c r="K3" s="154">
        <v>109</v>
      </c>
      <c r="L3" s="155">
        <v>638</v>
      </c>
      <c r="M3" s="83">
        <v>30298.5</v>
      </c>
      <c r="N3" s="83">
        <v>28672.7</v>
      </c>
      <c r="O3" s="83">
        <v>29434.7</v>
      </c>
      <c r="P3" s="83">
        <v>28283.200000000001</v>
      </c>
      <c r="Q3" s="83">
        <v>30126.9</v>
      </c>
      <c r="R3" s="83">
        <v>28522.799999999999</v>
      </c>
      <c r="S3" s="83">
        <v>29315.3</v>
      </c>
      <c r="T3" s="83">
        <v>27794.7</v>
      </c>
      <c r="U3" s="83">
        <v>28486</v>
      </c>
      <c r="V3" s="83">
        <v>27562.9</v>
      </c>
    </row>
    <row r="4" spans="1:36" ht="15">
      <c r="A4" t="s">
        <v>134</v>
      </c>
      <c r="B4" s="85" t="s">
        <v>410</v>
      </c>
      <c r="C4" s="126">
        <v>102</v>
      </c>
      <c r="D4" s="75">
        <v>653</v>
      </c>
      <c r="E4" s="75">
        <v>104</v>
      </c>
      <c r="F4" s="75">
        <v>650</v>
      </c>
      <c r="G4" s="75">
        <v>104</v>
      </c>
      <c r="H4" s="75">
        <v>645</v>
      </c>
      <c r="I4" s="75">
        <v>103</v>
      </c>
      <c r="J4" s="154">
        <v>652</v>
      </c>
      <c r="K4" s="154">
        <v>103</v>
      </c>
      <c r="L4" s="155">
        <v>647</v>
      </c>
      <c r="M4" s="83">
        <v>28604.400000000001</v>
      </c>
      <c r="N4" s="83">
        <v>27020.2</v>
      </c>
      <c r="O4" s="83">
        <v>28348.9</v>
      </c>
      <c r="P4" s="83">
        <v>26822.5</v>
      </c>
      <c r="Q4" s="83">
        <v>28527.599999999999</v>
      </c>
      <c r="R4" s="83">
        <v>26982.7</v>
      </c>
      <c r="S4" s="83">
        <v>28317.3</v>
      </c>
      <c r="T4" s="83">
        <v>26704.2</v>
      </c>
      <c r="U4" s="83">
        <v>28397.4</v>
      </c>
      <c r="V4" s="83">
        <v>26878.2</v>
      </c>
      <c r="AB4" t="s">
        <v>782</v>
      </c>
      <c r="AC4">
        <f>MEDIAN(Table25[[CC1]:[DC5]])</f>
        <v>377</v>
      </c>
      <c r="AE4" t="s">
        <v>782</v>
      </c>
      <c r="AF4">
        <f>MEDIAN(Table25[[HCC1]:[HDC5]])</f>
        <v>26117.15</v>
      </c>
    </row>
    <row r="5" spans="1:36" ht="15">
      <c r="A5" t="s">
        <v>135</v>
      </c>
      <c r="B5" s="85" t="s">
        <v>411</v>
      </c>
      <c r="C5" s="126">
        <v>105</v>
      </c>
      <c r="D5" s="75">
        <v>647</v>
      </c>
      <c r="E5" s="75">
        <v>102</v>
      </c>
      <c r="F5" s="75">
        <v>644</v>
      </c>
      <c r="G5" s="75">
        <v>105</v>
      </c>
      <c r="H5" s="75">
        <v>645</v>
      </c>
      <c r="I5" s="75">
        <v>104</v>
      </c>
      <c r="J5" s="154">
        <v>645</v>
      </c>
      <c r="K5" s="154">
        <v>105</v>
      </c>
      <c r="L5" s="155">
        <v>643</v>
      </c>
      <c r="M5" s="83">
        <v>29103.200000000001</v>
      </c>
      <c r="N5" s="83">
        <v>27518.1</v>
      </c>
      <c r="O5" s="83">
        <v>29811.8</v>
      </c>
      <c r="P5" s="83">
        <v>28190.799999999999</v>
      </c>
      <c r="Q5" s="83">
        <v>29160.2</v>
      </c>
      <c r="R5" s="83">
        <v>27624.9</v>
      </c>
      <c r="S5" s="83">
        <v>29586.6</v>
      </c>
      <c r="T5" s="83">
        <v>27961.8</v>
      </c>
      <c r="U5" s="83">
        <v>29808.400000000001</v>
      </c>
      <c r="V5" s="83">
        <v>28208.2</v>
      </c>
      <c r="X5" t="s">
        <v>783</v>
      </c>
    </row>
    <row r="6" spans="1:36" ht="15">
      <c r="A6" t="s">
        <v>136</v>
      </c>
      <c r="B6" s="85" t="s">
        <v>423</v>
      </c>
      <c r="C6" s="126">
        <v>107</v>
      </c>
      <c r="D6" s="75">
        <v>652</v>
      </c>
      <c r="E6" s="75">
        <v>111</v>
      </c>
      <c r="F6" s="75">
        <v>647</v>
      </c>
      <c r="G6" s="75">
        <v>113</v>
      </c>
      <c r="H6" s="75">
        <v>644</v>
      </c>
      <c r="I6" s="75">
        <v>114</v>
      </c>
      <c r="J6" s="154">
        <v>646</v>
      </c>
      <c r="K6" s="154">
        <v>103</v>
      </c>
      <c r="L6" s="155">
        <v>655</v>
      </c>
      <c r="M6" s="83">
        <v>28205.5</v>
      </c>
      <c r="N6" s="83">
        <v>26663.599999999999</v>
      </c>
      <c r="O6" s="83">
        <v>27156.5</v>
      </c>
      <c r="P6" s="83">
        <v>25713.8</v>
      </c>
      <c r="Q6" s="83">
        <v>27970</v>
      </c>
      <c r="R6" s="83">
        <v>26448.400000000001</v>
      </c>
      <c r="S6" s="83">
        <v>27200.400000000001</v>
      </c>
      <c r="T6" s="83">
        <v>25796</v>
      </c>
      <c r="U6" s="83">
        <v>27554.799999999999</v>
      </c>
      <c r="V6" s="83">
        <v>26081.1</v>
      </c>
      <c r="X6" s="27">
        <f>Table25[[#This Row],[HDC1]]/Table25[[#This Row],[HCC1]]</f>
        <v>0.94533335696938536</v>
      </c>
      <c r="Y6" s="27">
        <f>Table25[[#This Row],[HDC2]]/Table25[[#This Row],[HCC2]]</f>
        <v>0.94687459724191259</v>
      </c>
      <c r="Z6" s="27">
        <f>Table25[[#This Row],[HDC3]]/Table25[[#This Row],[HCC3]]</f>
        <v>0.94559885591705406</v>
      </c>
      <c r="AA6" s="27">
        <f>Table25[[#This Row],[HDC4]]/Table25[[#This Row],[HCC4]]</f>
        <v>0.9483684063469654</v>
      </c>
      <c r="AB6" s="27">
        <f>Table25[[#This Row],[HDC5]]/Table25[[#This Row],[HCC5]]</f>
        <v>0.94651748515685108</v>
      </c>
      <c r="AC6" s="27"/>
      <c r="AD6" s="27">
        <f>MEDIAN(X6:AB289)</f>
        <v>0.94573214806744632</v>
      </c>
      <c r="AE6" s="27"/>
      <c r="AF6">
        <f>SUM(Table25[[#This Row],[CC1]:[DC1]])</f>
        <v>759</v>
      </c>
      <c r="AG6">
        <f>SUM(Table25[[#This Row],[CC2]:[DC2]])</f>
        <v>758</v>
      </c>
      <c r="AH6">
        <f>SUM(Table25[[#This Row],[CC3]:[DC3]])</f>
        <v>757</v>
      </c>
      <c r="AI6">
        <f>SUM(Table25[[#This Row],[CC4]:[DC4]])</f>
        <v>760</v>
      </c>
      <c r="AJ6">
        <f>SUM(Table25[[#This Row],[CC5]:[DC5]])</f>
        <v>758</v>
      </c>
    </row>
    <row r="7" spans="1:36" ht="15">
      <c r="A7" t="s">
        <v>137</v>
      </c>
      <c r="B7" s="85" t="s">
        <v>424</v>
      </c>
      <c r="C7" s="126">
        <v>111</v>
      </c>
      <c r="D7" s="75">
        <v>648</v>
      </c>
      <c r="E7" s="75">
        <v>108</v>
      </c>
      <c r="F7" s="75">
        <v>648</v>
      </c>
      <c r="G7" s="75">
        <v>107</v>
      </c>
      <c r="H7" s="75">
        <v>651</v>
      </c>
      <c r="I7" s="75">
        <v>107</v>
      </c>
      <c r="J7" s="154">
        <v>651</v>
      </c>
      <c r="K7" s="154">
        <v>112</v>
      </c>
      <c r="L7" s="155">
        <v>645</v>
      </c>
      <c r="M7" s="83">
        <v>26987</v>
      </c>
      <c r="N7" s="83">
        <v>25520.1</v>
      </c>
      <c r="O7" s="83">
        <v>25078.7</v>
      </c>
      <c r="P7" s="83">
        <v>23812.3</v>
      </c>
      <c r="Q7" s="83">
        <v>25850.7</v>
      </c>
      <c r="R7" s="83">
        <v>24456</v>
      </c>
      <c r="S7" s="83">
        <v>26928.1</v>
      </c>
      <c r="T7" s="83">
        <v>25434.799999999999</v>
      </c>
      <c r="U7" s="83">
        <v>26206.799999999999</v>
      </c>
      <c r="V7" s="83">
        <v>24975.599999999999</v>
      </c>
      <c r="X7" s="27">
        <f>Table25[[#This Row],[HDC1]]/Table25[[#This Row],[HCC1]]</f>
        <v>0.94564419905880603</v>
      </c>
      <c r="Y7" s="27">
        <f>Table25[[#This Row],[HDC2]]/Table25[[#This Row],[HCC2]]</f>
        <v>0.9495029646672275</v>
      </c>
      <c r="Z7" s="27">
        <f>Table25[[#This Row],[HDC3]]/Table25[[#This Row],[HCC3]]</f>
        <v>0.94604788264921258</v>
      </c>
      <c r="AA7" s="27">
        <f>Table25[[#This Row],[HDC4]]/Table25[[#This Row],[HCC4]]</f>
        <v>0.94454491776248606</v>
      </c>
      <c r="AB7" s="27">
        <f>Table25[[#This Row],[HDC5]]/Table25[[#This Row],[HCC5]]</f>
        <v>0.95301982691515175</v>
      </c>
      <c r="AC7" s="27"/>
      <c r="AE7" s="27"/>
      <c r="AF7">
        <f>SUM(Table25[[#This Row],[CC1]:[DC1]])</f>
        <v>759</v>
      </c>
      <c r="AG7">
        <f>SUM(Table25[[#This Row],[CC2]:[DC2]])</f>
        <v>756</v>
      </c>
      <c r="AH7">
        <f>SUM(Table25[[#This Row],[CC3]:[DC3]])</f>
        <v>758</v>
      </c>
      <c r="AI7">
        <f>SUM(Table25[[#This Row],[CC4]:[DC4]])</f>
        <v>758</v>
      </c>
      <c r="AJ7">
        <f>SUM(Table25[[#This Row],[CC5]:[DC5]])</f>
        <v>757</v>
      </c>
    </row>
    <row r="8" spans="1:36" ht="15">
      <c r="A8" t="s">
        <v>138</v>
      </c>
      <c r="B8" s="85" t="s">
        <v>425</v>
      </c>
      <c r="C8" s="126">
        <v>44</v>
      </c>
      <c r="D8" s="75">
        <v>642</v>
      </c>
      <c r="E8" s="75">
        <v>49</v>
      </c>
      <c r="F8" s="75">
        <v>635</v>
      </c>
      <c r="G8" s="75">
        <v>50</v>
      </c>
      <c r="H8" s="75">
        <v>633</v>
      </c>
      <c r="I8" s="75">
        <v>57</v>
      </c>
      <c r="J8" s="154">
        <v>625</v>
      </c>
      <c r="K8" s="154">
        <v>53</v>
      </c>
      <c r="L8" s="155">
        <v>631</v>
      </c>
      <c r="M8" s="83">
        <v>27733.1</v>
      </c>
      <c r="N8" s="83">
        <v>26239.7</v>
      </c>
      <c r="O8" s="83">
        <v>26749</v>
      </c>
      <c r="P8" s="83">
        <v>25600.7</v>
      </c>
      <c r="Q8" s="83">
        <v>27390.400000000001</v>
      </c>
      <c r="R8" s="83">
        <v>25947.1</v>
      </c>
      <c r="S8" s="83">
        <v>26809.599999999999</v>
      </c>
      <c r="T8" s="83">
        <v>25394.799999999999</v>
      </c>
      <c r="U8" s="83">
        <v>27403.4</v>
      </c>
      <c r="V8" s="83">
        <v>25957</v>
      </c>
      <c r="X8" s="27">
        <f>Table25[[#This Row],[HDC1]]/Table25[[#This Row],[HCC1]]</f>
        <v>0.94615098925111152</v>
      </c>
      <c r="Y8" s="27">
        <f>Table25[[#This Row],[HDC2]]/Table25[[#This Row],[HCC2]]</f>
        <v>0.95707129238476207</v>
      </c>
      <c r="Z8" s="27">
        <f>Table25[[#This Row],[HDC3]]/Table25[[#This Row],[HCC3]]</f>
        <v>0.94730635551141995</v>
      </c>
      <c r="AA8" s="27">
        <f>Table25[[#This Row],[HDC4]]/Table25[[#This Row],[HCC4]]</f>
        <v>0.94722785867748871</v>
      </c>
      <c r="AB8" s="27">
        <f>Table25[[#This Row],[HDC5]]/Table25[[#This Row],[HCC5]]</f>
        <v>0.94721822839501668</v>
      </c>
      <c r="AC8" s="27" t="s">
        <v>785</v>
      </c>
      <c r="AD8" s="27">
        <f>MIN($X$6:$AB$289)</f>
        <v>0.83843752469770016</v>
      </c>
      <c r="AE8" s="27"/>
      <c r="AF8">
        <f>SUM(Table25[[#This Row],[CC1]:[DC1]])</f>
        <v>686</v>
      </c>
      <c r="AG8">
        <f>SUM(Table25[[#This Row],[CC2]:[DC2]])</f>
        <v>684</v>
      </c>
      <c r="AH8">
        <f>SUM(Table25[[#This Row],[CC3]:[DC3]])</f>
        <v>683</v>
      </c>
      <c r="AI8">
        <f>SUM(Table25[[#This Row],[CC4]:[DC4]])</f>
        <v>682</v>
      </c>
      <c r="AJ8">
        <f>SUM(Table25[[#This Row],[CC5]:[DC5]])</f>
        <v>684</v>
      </c>
    </row>
    <row r="9" spans="1:36" ht="15">
      <c r="A9" t="s">
        <v>139</v>
      </c>
      <c r="B9" s="85" t="s">
        <v>426</v>
      </c>
      <c r="C9" s="126">
        <v>107</v>
      </c>
      <c r="D9" s="75">
        <v>651</v>
      </c>
      <c r="E9" s="75">
        <v>112</v>
      </c>
      <c r="F9" s="75">
        <v>645</v>
      </c>
      <c r="G9" s="75">
        <v>110</v>
      </c>
      <c r="H9" s="75">
        <v>645</v>
      </c>
      <c r="I9" s="75">
        <v>106</v>
      </c>
      <c r="J9" s="154">
        <v>651</v>
      </c>
      <c r="K9" s="154">
        <v>106</v>
      </c>
      <c r="L9" s="155">
        <v>651</v>
      </c>
      <c r="M9" s="83">
        <v>29667.1</v>
      </c>
      <c r="N9" s="83">
        <v>28111.4</v>
      </c>
      <c r="O9" s="83">
        <v>29043.5</v>
      </c>
      <c r="P9" s="83">
        <v>27425.9</v>
      </c>
      <c r="Q9" s="83">
        <v>29430.5</v>
      </c>
      <c r="R9" s="83">
        <v>27919.9</v>
      </c>
      <c r="S9" s="83">
        <v>28411.3</v>
      </c>
      <c r="T9" s="83">
        <v>26991.599999999999</v>
      </c>
      <c r="U9" s="83">
        <v>29405.9</v>
      </c>
      <c r="V9" s="83">
        <v>27759.7</v>
      </c>
      <c r="X9" s="27">
        <f>Table25[[#This Row],[HDC1]]/Table25[[#This Row],[HCC1]]</f>
        <v>0.94756144011379617</v>
      </c>
      <c r="Y9" s="27">
        <f>Table25[[#This Row],[HDC2]]/Table25[[#This Row],[HCC2]]</f>
        <v>0.94430423330521462</v>
      </c>
      <c r="Z9" s="27">
        <f>Table25[[#This Row],[HDC3]]/Table25[[#This Row],[HCC3]]</f>
        <v>0.94867229574760881</v>
      </c>
      <c r="AA9" s="27">
        <f>Table25[[#This Row],[HDC4]]/Table25[[#This Row],[HCC4]]</f>
        <v>0.95003044563254757</v>
      </c>
      <c r="AB9" s="27">
        <f>Table25[[#This Row],[HDC5]]/Table25[[#This Row],[HCC5]]</f>
        <v>0.94401803719661703</v>
      </c>
      <c r="AC9" s="27" t="s">
        <v>786</v>
      </c>
      <c r="AD9" s="27">
        <f>MAX($X$6:$AB$289)</f>
        <v>1.0034498889018828</v>
      </c>
      <c r="AE9" s="27"/>
      <c r="AF9">
        <f>SUM(Table25[[#This Row],[CC1]:[DC1]])</f>
        <v>758</v>
      </c>
      <c r="AG9">
        <f>SUM(Table25[[#This Row],[CC2]:[DC2]])</f>
        <v>757</v>
      </c>
      <c r="AH9">
        <f>SUM(Table25[[#This Row],[CC3]:[DC3]])</f>
        <v>755</v>
      </c>
      <c r="AI9">
        <f>SUM(Table25[[#This Row],[CC4]:[DC4]])</f>
        <v>757</v>
      </c>
      <c r="AJ9">
        <f>SUM(Table25[[#This Row],[CC5]:[DC5]])</f>
        <v>757</v>
      </c>
    </row>
    <row r="10" spans="1:36" ht="15">
      <c r="A10" t="s">
        <v>140</v>
      </c>
      <c r="B10" s="85" t="s">
        <v>427</v>
      </c>
      <c r="C10" s="126">
        <v>106</v>
      </c>
      <c r="D10" s="75">
        <v>640</v>
      </c>
      <c r="E10" s="75">
        <v>103</v>
      </c>
      <c r="F10" s="75">
        <v>651</v>
      </c>
      <c r="G10" s="75">
        <v>104</v>
      </c>
      <c r="H10" s="75">
        <v>650</v>
      </c>
      <c r="I10" s="75">
        <v>102</v>
      </c>
      <c r="J10" s="154">
        <v>650</v>
      </c>
      <c r="K10" s="154">
        <v>108</v>
      </c>
      <c r="L10" s="155">
        <v>646</v>
      </c>
      <c r="M10" s="83">
        <v>24459.8</v>
      </c>
      <c r="N10" s="83">
        <v>23041.5</v>
      </c>
      <c r="O10" s="83">
        <v>25445.9</v>
      </c>
      <c r="P10" s="83">
        <v>23946.9</v>
      </c>
      <c r="Q10" s="83">
        <v>25390.9</v>
      </c>
      <c r="R10" s="83">
        <v>23903.1</v>
      </c>
      <c r="S10" s="83">
        <v>27360.1</v>
      </c>
      <c r="T10" s="83">
        <v>25752</v>
      </c>
      <c r="U10" s="83">
        <v>24285.4</v>
      </c>
      <c r="V10" s="83">
        <v>22957.3</v>
      </c>
      <c r="X10" s="27">
        <f>Table25[[#This Row],[HDC1]]/Table25[[#This Row],[HCC1]]</f>
        <v>0.94201506144776326</v>
      </c>
      <c r="Y10" s="27">
        <f>Table25[[#This Row],[HDC2]]/Table25[[#This Row],[HCC2]]</f>
        <v>0.9410907061648438</v>
      </c>
      <c r="Z10" s="27">
        <f>Table25[[#This Row],[HDC3]]/Table25[[#This Row],[HCC3]]</f>
        <v>0.94140420386831491</v>
      </c>
      <c r="AA10" s="27">
        <f>Table25[[#This Row],[HDC4]]/Table25[[#This Row],[HCC4]]</f>
        <v>0.94122463002693713</v>
      </c>
      <c r="AB10" s="27">
        <f>Table25[[#This Row],[HDC5]]/Table25[[#This Row],[HCC5]]</f>
        <v>0.94531282169533948</v>
      </c>
      <c r="AC10" s="27" t="s">
        <v>787</v>
      </c>
      <c r="AD10" s="27">
        <f>MEDIAN($X$6:$AB$289)</f>
        <v>0.94573214806744632</v>
      </c>
      <c r="AE10" s="27"/>
      <c r="AF10">
        <f>SUM(Table25[[#This Row],[CC1]:[DC1]])</f>
        <v>746</v>
      </c>
      <c r="AG10">
        <f>SUM(Table25[[#This Row],[CC2]:[DC2]])</f>
        <v>754</v>
      </c>
      <c r="AH10">
        <f>SUM(Table25[[#This Row],[CC3]:[DC3]])</f>
        <v>754</v>
      </c>
      <c r="AI10">
        <f>SUM(Table25[[#This Row],[CC4]:[DC4]])</f>
        <v>752</v>
      </c>
      <c r="AJ10">
        <f>SUM(Table25[[#This Row],[CC5]:[DC5]])</f>
        <v>754</v>
      </c>
    </row>
    <row r="11" spans="1:36" ht="15">
      <c r="A11" t="s">
        <v>141</v>
      </c>
      <c r="B11" s="85" t="s">
        <v>428</v>
      </c>
      <c r="C11" s="126">
        <v>105</v>
      </c>
      <c r="D11" s="75">
        <v>652</v>
      </c>
      <c r="E11" s="75">
        <v>106</v>
      </c>
      <c r="F11" s="75">
        <v>644</v>
      </c>
      <c r="G11" s="75">
        <v>101</v>
      </c>
      <c r="H11" s="75">
        <v>651</v>
      </c>
      <c r="I11" s="75">
        <v>105</v>
      </c>
      <c r="J11" s="154">
        <v>650</v>
      </c>
      <c r="K11" s="154">
        <v>104</v>
      </c>
      <c r="L11" s="155">
        <v>649</v>
      </c>
      <c r="M11" s="83">
        <v>24234.9</v>
      </c>
      <c r="N11" s="83">
        <v>22811.9</v>
      </c>
      <c r="O11" s="83">
        <v>28527.3</v>
      </c>
      <c r="P11" s="83">
        <v>27012.799999999999</v>
      </c>
      <c r="Q11" s="83">
        <v>28892.7</v>
      </c>
      <c r="R11" s="83">
        <v>27300.799999999999</v>
      </c>
      <c r="S11" s="83">
        <v>27763.8</v>
      </c>
      <c r="T11" s="83">
        <v>26319</v>
      </c>
      <c r="U11" s="83">
        <v>24238.9</v>
      </c>
      <c r="V11" s="83">
        <v>22774.5</v>
      </c>
      <c r="X11" s="27">
        <f>Table25[[#This Row],[HDC1]]/Table25[[#This Row],[HCC1]]</f>
        <v>0.9412830257191076</v>
      </c>
      <c r="Y11" s="27">
        <f>Table25[[#This Row],[HDC2]]/Table25[[#This Row],[HCC2]]</f>
        <v>0.94691050327230408</v>
      </c>
      <c r="Z11" s="27">
        <f>Table25[[#This Row],[HDC3]]/Table25[[#This Row],[HCC3]]</f>
        <v>0.94490303779155282</v>
      </c>
      <c r="AA11" s="27">
        <f>Table25[[#This Row],[HDC4]]/Table25[[#This Row],[HCC4]]</f>
        <v>0.94796101398223587</v>
      </c>
      <c r="AB11" s="27">
        <f>Table25[[#This Row],[HDC5]]/Table25[[#This Row],[HCC5]]</f>
        <v>0.93958471712825242</v>
      </c>
      <c r="AC11" s="27"/>
      <c r="AE11" s="27"/>
      <c r="AF11">
        <f>SUM(Table25[[#This Row],[CC1]:[DC1]])</f>
        <v>757</v>
      </c>
      <c r="AG11">
        <f>SUM(Table25[[#This Row],[CC2]:[DC2]])</f>
        <v>750</v>
      </c>
      <c r="AH11">
        <f>SUM(Table25[[#This Row],[CC3]:[DC3]])</f>
        <v>752</v>
      </c>
      <c r="AI11">
        <f>SUM(Table25[[#This Row],[CC4]:[DC4]])</f>
        <v>755</v>
      </c>
      <c r="AJ11">
        <f>SUM(Table25[[#This Row],[CC5]:[DC5]])</f>
        <v>753</v>
      </c>
    </row>
    <row r="12" spans="1:36" ht="15">
      <c r="A12" t="s">
        <v>142</v>
      </c>
      <c r="B12" s="85" t="s">
        <v>429</v>
      </c>
      <c r="C12" s="126">
        <v>102</v>
      </c>
      <c r="D12" s="75">
        <v>652</v>
      </c>
      <c r="E12" s="75">
        <v>103</v>
      </c>
      <c r="F12" s="75">
        <v>651</v>
      </c>
      <c r="G12" s="75">
        <v>102</v>
      </c>
      <c r="H12" s="75">
        <v>654</v>
      </c>
      <c r="I12" s="75">
        <v>104</v>
      </c>
      <c r="J12" s="154">
        <v>648</v>
      </c>
      <c r="K12" s="154">
        <v>105</v>
      </c>
      <c r="L12" s="155">
        <v>647</v>
      </c>
      <c r="M12" s="83">
        <v>29004.799999999999</v>
      </c>
      <c r="N12" s="83">
        <v>27438.6</v>
      </c>
      <c r="O12" s="83">
        <v>27670.3</v>
      </c>
      <c r="P12" s="83">
        <v>26182.1</v>
      </c>
      <c r="Q12" s="83">
        <v>6279.1</v>
      </c>
      <c r="R12" s="83">
        <v>6077.7</v>
      </c>
      <c r="S12" s="83">
        <v>27764.2</v>
      </c>
      <c r="T12" s="83">
        <v>26292</v>
      </c>
      <c r="U12" s="83">
        <v>27213.1</v>
      </c>
      <c r="V12" s="83">
        <v>25785.3</v>
      </c>
      <c r="X12" s="27">
        <f>Table25[[#This Row],[HDC1]]/Table25[[#This Row],[HCC1]]</f>
        <v>0.94600204104148278</v>
      </c>
      <c r="Y12" s="27">
        <f>Table25[[#This Row],[HDC2]]/Table25[[#This Row],[HCC2]]</f>
        <v>0.94621670166207084</v>
      </c>
      <c r="Z12" s="27">
        <f>Table25[[#This Row],[HDC3]]/Table25[[#This Row],[HCC3]]</f>
        <v>0.96792533961873506</v>
      </c>
      <c r="AA12" s="27">
        <f>Table25[[#This Row],[HDC4]]/Table25[[#This Row],[HCC4]]</f>
        <v>0.94697488132199015</v>
      </c>
      <c r="AB12" s="27">
        <f>Table25[[#This Row],[HDC5]]/Table25[[#This Row],[HCC5]]</f>
        <v>0.9475326221562409</v>
      </c>
      <c r="AC12" s="27"/>
      <c r="AE12" s="27"/>
      <c r="AF12">
        <f>SUM(Table25[[#This Row],[CC1]:[DC1]])</f>
        <v>754</v>
      </c>
      <c r="AG12">
        <f>SUM(Table25[[#This Row],[CC2]:[DC2]])</f>
        <v>754</v>
      </c>
      <c r="AH12">
        <f>SUM(Table25[[#This Row],[CC3]:[DC3]])</f>
        <v>756</v>
      </c>
      <c r="AI12">
        <f>SUM(Table25[[#This Row],[CC4]:[DC4]])</f>
        <v>752</v>
      </c>
      <c r="AJ12">
        <f>SUM(Table25[[#This Row],[CC5]:[DC5]])</f>
        <v>752</v>
      </c>
    </row>
    <row r="13" spans="1:36" ht="15">
      <c r="A13" t="s">
        <v>143</v>
      </c>
      <c r="B13" s="85" t="s">
        <v>430</v>
      </c>
      <c r="C13" s="126">
        <v>107</v>
      </c>
      <c r="D13" s="75">
        <v>649</v>
      </c>
      <c r="E13" s="75">
        <v>105</v>
      </c>
      <c r="F13" s="75">
        <v>647</v>
      </c>
      <c r="G13" s="75">
        <v>109</v>
      </c>
      <c r="H13" s="75">
        <v>643</v>
      </c>
      <c r="I13" s="75">
        <v>106</v>
      </c>
      <c r="J13" s="154">
        <v>647</v>
      </c>
      <c r="K13" s="154">
        <v>106</v>
      </c>
      <c r="L13" s="155">
        <v>648</v>
      </c>
      <c r="M13" s="83">
        <v>24287.200000000001</v>
      </c>
      <c r="N13" s="83">
        <v>22845.4</v>
      </c>
      <c r="O13" s="83">
        <v>28404.799999999999</v>
      </c>
      <c r="P13" s="83">
        <v>26860.5</v>
      </c>
      <c r="Q13" s="83">
        <v>27709.5</v>
      </c>
      <c r="R13" s="83">
        <v>26244.799999999999</v>
      </c>
      <c r="S13" s="83">
        <v>27769.3</v>
      </c>
      <c r="T13" s="83">
        <v>26234.9</v>
      </c>
      <c r="U13" s="83">
        <v>27692.2</v>
      </c>
      <c r="V13" s="83">
        <v>26261.599999999999</v>
      </c>
      <c r="X13" s="27">
        <f>Table25[[#This Row],[HDC1]]/Table25[[#This Row],[HCC1]]</f>
        <v>0.94063539642280714</v>
      </c>
      <c r="Y13" s="27">
        <f>Table25[[#This Row],[HDC2]]/Table25[[#This Row],[HCC2]]</f>
        <v>0.94563242832197381</v>
      </c>
      <c r="Z13" s="27">
        <f>Table25[[#This Row],[HDC3]]/Table25[[#This Row],[HCC3]]</f>
        <v>0.94714087226402499</v>
      </c>
      <c r="AA13" s="27">
        <f>Table25[[#This Row],[HDC4]]/Table25[[#This Row],[HCC4]]</f>
        <v>0.94474473609345577</v>
      </c>
      <c r="AB13" s="27">
        <f>Table25[[#This Row],[HDC5]]/Table25[[#This Row],[HCC5]]</f>
        <v>0.94833924354150256</v>
      </c>
      <c r="AC13" s="27"/>
      <c r="AE13" s="27"/>
      <c r="AF13">
        <f>SUM(Table25[[#This Row],[CC1]:[DC1]])</f>
        <v>756</v>
      </c>
      <c r="AG13">
        <f>SUM(Table25[[#This Row],[CC2]:[DC2]])</f>
        <v>752</v>
      </c>
      <c r="AH13">
        <f>SUM(Table25[[#This Row],[CC3]:[DC3]])</f>
        <v>752</v>
      </c>
      <c r="AI13">
        <f>SUM(Table25[[#This Row],[CC4]:[DC4]])</f>
        <v>753</v>
      </c>
      <c r="AJ13">
        <f>SUM(Table25[[#This Row],[CC5]:[DC5]])</f>
        <v>754</v>
      </c>
    </row>
    <row r="14" spans="1:36" ht="15">
      <c r="A14" t="s">
        <v>144</v>
      </c>
      <c r="B14" s="85" t="s">
        <v>431</v>
      </c>
      <c r="C14" s="126">
        <v>21</v>
      </c>
      <c r="D14" s="75">
        <v>718</v>
      </c>
      <c r="E14" s="75">
        <v>19</v>
      </c>
      <c r="F14" s="75">
        <v>716</v>
      </c>
      <c r="G14" s="75">
        <v>17</v>
      </c>
      <c r="H14" s="75">
        <v>721</v>
      </c>
      <c r="I14" s="75">
        <v>17</v>
      </c>
      <c r="J14" s="154">
        <v>721</v>
      </c>
      <c r="K14" s="154">
        <v>21</v>
      </c>
      <c r="L14" s="155">
        <v>720</v>
      </c>
      <c r="M14" s="83">
        <v>14387.2</v>
      </c>
      <c r="N14" s="83">
        <v>13166.2</v>
      </c>
      <c r="O14" s="83">
        <v>10658.6</v>
      </c>
      <c r="P14" s="83">
        <v>10055.5</v>
      </c>
      <c r="Q14" s="83">
        <v>13779.7</v>
      </c>
      <c r="R14" s="83">
        <v>13126.5</v>
      </c>
      <c r="S14" s="83">
        <v>14409.6</v>
      </c>
      <c r="T14" s="83">
        <v>13229.9</v>
      </c>
      <c r="U14" s="83">
        <v>14253.8</v>
      </c>
      <c r="V14" s="83">
        <v>13046</v>
      </c>
      <c r="X14" s="27">
        <f>Table25[[#This Row],[HDC1]]/Table25[[#This Row],[HCC1]]</f>
        <v>0.91513289590747326</v>
      </c>
      <c r="Y14" s="27">
        <f>Table25[[#This Row],[HDC2]]/Table25[[#This Row],[HCC2]]</f>
        <v>0.94341658379149229</v>
      </c>
      <c r="Z14" s="27">
        <f>Table25[[#This Row],[HDC3]]/Table25[[#This Row],[HCC3]]</f>
        <v>0.95259693607262852</v>
      </c>
      <c r="AA14" s="27">
        <f>Table25[[#This Row],[HDC4]]/Table25[[#This Row],[HCC4]]</f>
        <v>0.91813096824339324</v>
      </c>
      <c r="AB14" s="27">
        <f>Table25[[#This Row],[HDC5]]/Table25[[#This Row],[HCC5]]</f>
        <v>0.91526470134279991</v>
      </c>
      <c r="AC14" s="27"/>
      <c r="AE14" s="27"/>
      <c r="AF14">
        <f>SUM(Table25[[#This Row],[CC1]:[DC1]])</f>
        <v>739</v>
      </c>
      <c r="AG14">
        <f>SUM(Table25[[#This Row],[CC2]:[DC2]])</f>
        <v>735</v>
      </c>
      <c r="AH14">
        <f>SUM(Table25[[#This Row],[CC3]:[DC3]])</f>
        <v>738</v>
      </c>
      <c r="AI14">
        <f>SUM(Table25[[#This Row],[CC4]:[DC4]])</f>
        <v>738</v>
      </c>
      <c r="AJ14">
        <f>SUM(Table25[[#This Row],[CC5]:[DC5]])</f>
        <v>741</v>
      </c>
    </row>
    <row r="15" spans="1:36" ht="15">
      <c r="A15" t="s">
        <v>145</v>
      </c>
      <c r="B15" s="85" t="s">
        <v>432</v>
      </c>
      <c r="C15" s="126">
        <v>0</v>
      </c>
      <c r="D15" s="75">
        <v>743</v>
      </c>
      <c r="E15" s="75">
        <v>17</v>
      </c>
      <c r="F15" s="75">
        <v>741</v>
      </c>
      <c r="G15" s="75">
        <v>21</v>
      </c>
      <c r="H15" s="75">
        <v>746</v>
      </c>
      <c r="I15" s="75">
        <v>23</v>
      </c>
      <c r="J15" s="154">
        <v>744</v>
      </c>
      <c r="K15" s="154">
        <v>17</v>
      </c>
      <c r="L15" s="155">
        <v>743</v>
      </c>
      <c r="M15" s="83">
        <v>14674.7</v>
      </c>
      <c r="N15" s="83">
        <v>13450.7</v>
      </c>
      <c r="O15" s="83">
        <v>14694.6</v>
      </c>
      <c r="P15" s="83">
        <v>13472.7</v>
      </c>
      <c r="Q15" s="83">
        <v>14810.9</v>
      </c>
      <c r="R15" s="83">
        <v>13589.7</v>
      </c>
      <c r="S15" s="83">
        <v>14695</v>
      </c>
      <c r="T15" s="83">
        <v>13454.5</v>
      </c>
      <c r="U15" s="83">
        <v>14826.8</v>
      </c>
      <c r="V15" s="83">
        <v>13606</v>
      </c>
      <c r="X15" s="27">
        <f>Table25[[#This Row],[HDC1]]/Table25[[#This Row],[HCC1]]</f>
        <v>0.91659113985294416</v>
      </c>
      <c r="Y15" s="27">
        <f>Table25[[#This Row],[HDC2]]/Table25[[#This Row],[HCC2]]</f>
        <v>0.91684700502225314</v>
      </c>
      <c r="Z15" s="27">
        <f>Table25[[#This Row],[HDC3]]/Table25[[#This Row],[HCC3]]</f>
        <v>0.91754721185073163</v>
      </c>
      <c r="AA15" s="27">
        <f>Table25[[#This Row],[HDC4]]/Table25[[#This Row],[HCC4]]</f>
        <v>0.91558353181354202</v>
      </c>
      <c r="AB15" s="27">
        <f>Table25[[#This Row],[HDC5]]/Table25[[#This Row],[HCC5]]</f>
        <v>0.91766261094774337</v>
      </c>
      <c r="AC15" s="27"/>
      <c r="AE15" s="27"/>
      <c r="AF15">
        <f>SUM(Table25[[#This Row],[CC1]:[DC1]])</f>
        <v>743</v>
      </c>
      <c r="AG15">
        <f>SUM(Table25[[#This Row],[CC2]:[DC2]])</f>
        <v>758</v>
      </c>
      <c r="AH15">
        <f>SUM(Table25[[#This Row],[CC3]:[DC3]])</f>
        <v>767</v>
      </c>
      <c r="AI15">
        <f>SUM(Table25[[#This Row],[CC4]:[DC4]])</f>
        <v>767</v>
      </c>
      <c r="AJ15">
        <f>SUM(Table25[[#This Row],[CC5]:[DC5]])</f>
        <v>760</v>
      </c>
    </row>
    <row r="16" spans="1:36" ht="15">
      <c r="A16" t="s">
        <v>146</v>
      </c>
      <c r="B16" s="85" t="s">
        <v>433</v>
      </c>
      <c r="C16" s="126">
        <v>19</v>
      </c>
      <c r="D16" s="75">
        <v>744</v>
      </c>
      <c r="E16" s="75">
        <v>16</v>
      </c>
      <c r="F16" s="75">
        <v>751</v>
      </c>
      <c r="G16" s="75">
        <v>20</v>
      </c>
      <c r="H16" s="75">
        <v>747</v>
      </c>
      <c r="I16" s="75">
        <v>0</v>
      </c>
      <c r="J16" s="154">
        <v>756</v>
      </c>
      <c r="K16" s="154">
        <v>17</v>
      </c>
      <c r="L16" s="155">
        <v>751</v>
      </c>
      <c r="M16" s="83">
        <v>14479.1</v>
      </c>
      <c r="N16" s="83">
        <v>13267.9</v>
      </c>
      <c r="O16" s="83">
        <v>14456.6</v>
      </c>
      <c r="P16" s="83">
        <v>13205.8</v>
      </c>
      <c r="Q16" s="83">
        <v>14325.8</v>
      </c>
      <c r="R16" s="83">
        <v>13137.7</v>
      </c>
      <c r="S16" s="83">
        <v>14268.1</v>
      </c>
      <c r="T16" s="83">
        <v>13119.7</v>
      </c>
      <c r="U16" s="83">
        <v>14319.1</v>
      </c>
      <c r="V16" s="83">
        <v>13104.6</v>
      </c>
      <c r="X16" s="27">
        <f>Table25[[#This Row],[HDC1]]/Table25[[#This Row],[HCC1]]</f>
        <v>0.91634839181993355</v>
      </c>
      <c r="Y16" s="27">
        <f>Table25[[#This Row],[HDC2]]/Table25[[#This Row],[HCC2]]</f>
        <v>0.91347896462515388</v>
      </c>
      <c r="Z16" s="27">
        <f>Table25[[#This Row],[HDC3]]/Table25[[#This Row],[HCC3]]</f>
        <v>0.91706571360761713</v>
      </c>
      <c r="AA16" s="27">
        <f>Table25[[#This Row],[HDC4]]/Table25[[#This Row],[HCC4]]</f>
        <v>0.91951275923213327</v>
      </c>
      <c r="AB16" s="27">
        <f>Table25[[#This Row],[HDC5]]/Table25[[#This Row],[HCC5]]</f>
        <v>0.91518321682228632</v>
      </c>
      <c r="AC16" s="27"/>
      <c r="AE16" s="27"/>
      <c r="AF16">
        <f>SUM(Table25[[#This Row],[CC1]:[DC1]])</f>
        <v>763</v>
      </c>
      <c r="AG16">
        <f>SUM(Table25[[#This Row],[CC2]:[DC2]])</f>
        <v>767</v>
      </c>
      <c r="AH16">
        <f>SUM(Table25[[#This Row],[CC3]:[DC3]])</f>
        <v>767</v>
      </c>
      <c r="AI16">
        <f>SUM(Table25[[#This Row],[CC4]:[DC4]])</f>
        <v>756</v>
      </c>
      <c r="AJ16">
        <f>SUM(Table25[[#This Row],[CC5]:[DC5]])</f>
        <v>768</v>
      </c>
    </row>
    <row r="17" spans="1:36" ht="15">
      <c r="A17" t="s">
        <v>147</v>
      </c>
      <c r="B17" s="85" t="s">
        <v>434</v>
      </c>
      <c r="C17" s="126">
        <v>17</v>
      </c>
      <c r="D17" s="75">
        <v>752</v>
      </c>
      <c r="E17" s="75">
        <v>17</v>
      </c>
      <c r="F17" s="75">
        <v>733</v>
      </c>
      <c r="G17" s="75">
        <v>21</v>
      </c>
      <c r="H17" s="75">
        <v>745</v>
      </c>
      <c r="I17" s="75">
        <v>0</v>
      </c>
      <c r="J17" s="154">
        <v>732</v>
      </c>
      <c r="K17" s="154">
        <v>21</v>
      </c>
      <c r="L17" s="155">
        <v>731</v>
      </c>
      <c r="M17" s="83">
        <v>14511.5</v>
      </c>
      <c r="N17" s="83">
        <v>13317.6</v>
      </c>
      <c r="O17" s="83">
        <v>14420.1</v>
      </c>
      <c r="P17" s="83">
        <v>13232.2</v>
      </c>
      <c r="Q17" s="83">
        <v>14412.4</v>
      </c>
      <c r="R17" s="83">
        <v>13258.7</v>
      </c>
      <c r="S17" s="83">
        <v>14348.9</v>
      </c>
      <c r="T17" s="83">
        <v>13174.3</v>
      </c>
      <c r="U17" s="83">
        <v>14463.4</v>
      </c>
      <c r="V17" s="83">
        <v>13277.8</v>
      </c>
      <c r="X17" s="27">
        <f>Table25[[#This Row],[HDC1]]/Table25[[#This Row],[HCC1]]</f>
        <v>0.91772731971195265</v>
      </c>
      <c r="Y17" s="27">
        <f>Table25[[#This Row],[HDC2]]/Table25[[#This Row],[HCC2]]</f>
        <v>0.91762193049978846</v>
      </c>
      <c r="Z17" s="27">
        <f>Table25[[#This Row],[HDC3]]/Table25[[#This Row],[HCC3]]</f>
        <v>0.9199508756348701</v>
      </c>
      <c r="AA17" s="27">
        <f>Table25[[#This Row],[HDC4]]/Table25[[#This Row],[HCC4]]</f>
        <v>0.91814006648593272</v>
      </c>
      <c r="AB17" s="27">
        <f>Table25[[#This Row],[HDC5]]/Table25[[#This Row],[HCC5]]</f>
        <v>0.91802757304644822</v>
      </c>
      <c r="AC17" s="27"/>
      <c r="AE17" s="27"/>
      <c r="AF17">
        <f>SUM(Table25[[#This Row],[CC1]:[DC1]])</f>
        <v>769</v>
      </c>
      <c r="AG17">
        <f>SUM(Table25[[#This Row],[CC2]:[DC2]])</f>
        <v>750</v>
      </c>
      <c r="AH17">
        <f>SUM(Table25[[#This Row],[CC3]:[DC3]])</f>
        <v>766</v>
      </c>
      <c r="AI17">
        <f>SUM(Table25[[#This Row],[CC4]:[DC4]])</f>
        <v>732</v>
      </c>
      <c r="AJ17">
        <f>SUM(Table25[[#This Row],[CC5]:[DC5]])</f>
        <v>752</v>
      </c>
    </row>
    <row r="18" spans="1:36" ht="15">
      <c r="A18" t="s">
        <v>148</v>
      </c>
      <c r="B18" s="85" t="s">
        <v>435</v>
      </c>
      <c r="C18" s="126">
        <v>99</v>
      </c>
      <c r="D18" s="75">
        <v>659</v>
      </c>
      <c r="E18" s="75">
        <v>102</v>
      </c>
      <c r="F18" s="75">
        <v>656</v>
      </c>
      <c r="G18" s="75">
        <v>101</v>
      </c>
      <c r="H18" s="75">
        <v>655</v>
      </c>
      <c r="I18" s="75">
        <v>102</v>
      </c>
      <c r="J18" s="154">
        <v>656</v>
      </c>
      <c r="K18" s="154">
        <v>103</v>
      </c>
      <c r="L18" s="155">
        <v>655</v>
      </c>
      <c r="M18" s="83">
        <v>28194.6</v>
      </c>
      <c r="N18" s="83">
        <v>26589.4</v>
      </c>
      <c r="O18" s="83">
        <v>27171</v>
      </c>
      <c r="P18" s="83">
        <v>25616.9</v>
      </c>
      <c r="Q18" s="83">
        <v>27802.2</v>
      </c>
      <c r="R18" s="83">
        <v>26268.9</v>
      </c>
      <c r="S18" s="83">
        <v>27707.5</v>
      </c>
      <c r="T18" s="83">
        <v>26121.7</v>
      </c>
      <c r="U18" s="83">
        <v>27511.4</v>
      </c>
      <c r="V18" s="83">
        <v>25956.2</v>
      </c>
      <c r="X18" s="27">
        <f>Table25[[#This Row],[HDC1]]/Table25[[#This Row],[HCC1]]</f>
        <v>0.94306711214204153</v>
      </c>
      <c r="Y18" s="27">
        <f>Table25[[#This Row],[HDC2]]/Table25[[#This Row],[HCC2]]</f>
        <v>0.94280298848036515</v>
      </c>
      <c r="Z18" s="27">
        <f>Table25[[#This Row],[HDC3]]/Table25[[#This Row],[HCC3]]</f>
        <v>0.94484968815417492</v>
      </c>
      <c r="AA18" s="27">
        <f>Table25[[#This Row],[HDC4]]/Table25[[#This Row],[HCC4]]</f>
        <v>0.94276639898944337</v>
      </c>
      <c r="AB18" s="27">
        <f>Table25[[#This Row],[HDC5]]/Table25[[#This Row],[HCC5]]</f>
        <v>0.94347070668886346</v>
      </c>
      <c r="AC18" s="27"/>
      <c r="AE18" s="27"/>
      <c r="AF18">
        <f>SUM(Table25[[#This Row],[CC1]:[DC1]])</f>
        <v>758</v>
      </c>
      <c r="AG18">
        <f>SUM(Table25[[#This Row],[CC2]:[DC2]])</f>
        <v>758</v>
      </c>
      <c r="AH18">
        <f>SUM(Table25[[#This Row],[CC3]:[DC3]])</f>
        <v>756</v>
      </c>
      <c r="AI18">
        <f>SUM(Table25[[#This Row],[CC4]:[DC4]])</f>
        <v>758</v>
      </c>
      <c r="AJ18">
        <f>SUM(Table25[[#This Row],[CC5]:[DC5]])</f>
        <v>758</v>
      </c>
    </row>
    <row r="19" spans="1:36" ht="15">
      <c r="A19" t="s">
        <v>149</v>
      </c>
      <c r="B19" s="85" t="s">
        <v>436</v>
      </c>
      <c r="C19" s="126">
        <v>82</v>
      </c>
      <c r="D19" s="75">
        <v>681</v>
      </c>
      <c r="E19" s="75">
        <v>86</v>
      </c>
      <c r="F19" s="75">
        <v>670</v>
      </c>
      <c r="G19" s="75">
        <v>88</v>
      </c>
      <c r="H19" s="75">
        <v>669</v>
      </c>
      <c r="I19" s="75">
        <v>79</v>
      </c>
      <c r="J19" s="154">
        <v>683</v>
      </c>
      <c r="K19" s="154">
        <v>85</v>
      </c>
      <c r="L19" s="155">
        <v>673</v>
      </c>
      <c r="M19" s="83">
        <v>28249.200000000001</v>
      </c>
      <c r="N19" s="83">
        <v>26693.7</v>
      </c>
      <c r="O19" s="83">
        <v>23725.7</v>
      </c>
      <c r="P19" s="83">
        <v>22821.200000000001</v>
      </c>
      <c r="Q19" s="83">
        <v>27494.7</v>
      </c>
      <c r="R19" s="83">
        <v>26045</v>
      </c>
      <c r="S19" s="83">
        <v>28159.3</v>
      </c>
      <c r="T19" s="83">
        <v>26593.599999999999</v>
      </c>
      <c r="U19" s="83">
        <v>28107.7</v>
      </c>
      <c r="V19" s="83">
        <v>26553.8</v>
      </c>
      <c r="X19" s="27">
        <f>Table25[[#This Row],[HDC1]]/Table25[[#This Row],[HCC1]]</f>
        <v>0.94493649377681488</v>
      </c>
      <c r="Y19" s="27">
        <f>Table25[[#This Row],[HDC2]]/Table25[[#This Row],[HCC2]]</f>
        <v>0.9618767834036509</v>
      </c>
      <c r="Z19" s="27">
        <f>Table25[[#This Row],[HDC3]]/Table25[[#This Row],[HCC3]]</f>
        <v>0.94727347452418098</v>
      </c>
      <c r="AA19" s="27">
        <f>Table25[[#This Row],[HDC4]]/Table25[[#This Row],[HCC4]]</f>
        <v>0.94439847581438452</v>
      </c>
      <c r="AB19" s="27">
        <f>Table25[[#This Row],[HDC5]]/Table25[[#This Row],[HCC5]]</f>
        <v>0.9447162165527595</v>
      </c>
      <c r="AC19" s="27"/>
      <c r="AE19" s="27"/>
      <c r="AF19">
        <f>SUM(Table25[[#This Row],[CC1]:[DC1]])</f>
        <v>763</v>
      </c>
      <c r="AG19">
        <f>SUM(Table25[[#This Row],[CC2]:[DC2]])</f>
        <v>756</v>
      </c>
      <c r="AH19">
        <f>SUM(Table25[[#This Row],[CC3]:[DC3]])</f>
        <v>757</v>
      </c>
      <c r="AI19">
        <f>SUM(Table25[[#This Row],[CC4]:[DC4]])</f>
        <v>762</v>
      </c>
      <c r="AJ19">
        <f>SUM(Table25[[#This Row],[CC5]:[DC5]])</f>
        <v>758</v>
      </c>
    </row>
    <row r="20" spans="1:36" ht="15">
      <c r="A20" t="s">
        <v>150</v>
      </c>
      <c r="B20" s="85" t="s">
        <v>437</v>
      </c>
      <c r="C20" s="126">
        <v>101</v>
      </c>
      <c r="D20" s="75">
        <v>655</v>
      </c>
      <c r="E20" s="75">
        <v>101</v>
      </c>
      <c r="F20" s="75">
        <v>653</v>
      </c>
      <c r="G20" s="75">
        <v>102</v>
      </c>
      <c r="H20" s="75">
        <v>652</v>
      </c>
      <c r="I20" s="75">
        <v>101</v>
      </c>
      <c r="J20" s="154">
        <v>654</v>
      </c>
      <c r="K20" s="154">
        <v>100</v>
      </c>
      <c r="L20" s="155">
        <v>655</v>
      </c>
      <c r="M20" s="83">
        <v>31148</v>
      </c>
      <c r="N20" s="83">
        <v>29432.1</v>
      </c>
      <c r="O20" s="83">
        <v>30911.7</v>
      </c>
      <c r="P20" s="83">
        <v>29171.200000000001</v>
      </c>
      <c r="Q20" s="83">
        <v>30498.400000000001</v>
      </c>
      <c r="R20" s="83">
        <v>28842.3</v>
      </c>
      <c r="S20" s="83">
        <v>31087</v>
      </c>
      <c r="T20" s="83">
        <v>29435.5</v>
      </c>
      <c r="U20" s="83">
        <v>30409.200000000001</v>
      </c>
      <c r="V20" s="83">
        <v>28743.1</v>
      </c>
      <c r="X20" s="27">
        <f>Table25[[#This Row],[HDC1]]/Table25[[#This Row],[HCC1]]</f>
        <v>0.94491139077950426</v>
      </c>
      <c r="Y20" s="27">
        <f>Table25[[#This Row],[HDC2]]/Table25[[#This Row],[HCC2]]</f>
        <v>0.94369445873245406</v>
      </c>
      <c r="Z20" s="27">
        <f>Table25[[#This Row],[HDC3]]/Table25[[#This Row],[HCC3]]</f>
        <v>0.94569879075623631</v>
      </c>
      <c r="AA20" s="27">
        <f>Table25[[#This Row],[HDC4]]/Table25[[#This Row],[HCC4]]</f>
        <v>0.94687489947566505</v>
      </c>
      <c r="AB20" s="27">
        <f>Table25[[#This Row],[HDC5]]/Table25[[#This Row],[HCC5]]</f>
        <v>0.94521065993186271</v>
      </c>
      <c r="AC20" s="27"/>
      <c r="AE20" s="27"/>
      <c r="AF20">
        <f>SUM(Table25[[#This Row],[CC1]:[DC1]])</f>
        <v>756</v>
      </c>
      <c r="AG20">
        <f>SUM(Table25[[#This Row],[CC2]:[DC2]])</f>
        <v>754</v>
      </c>
      <c r="AH20">
        <f>SUM(Table25[[#This Row],[CC3]:[DC3]])</f>
        <v>754</v>
      </c>
      <c r="AI20">
        <f>SUM(Table25[[#This Row],[CC4]:[DC4]])</f>
        <v>755</v>
      </c>
      <c r="AJ20">
        <f>SUM(Table25[[#This Row],[CC5]:[DC5]])</f>
        <v>755</v>
      </c>
    </row>
    <row r="21" spans="1:36" ht="15">
      <c r="A21" t="s">
        <v>151</v>
      </c>
      <c r="B21" s="85" t="s">
        <v>438</v>
      </c>
      <c r="C21" s="126">
        <v>99</v>
      </c>
      <c r="D21" s="75">
        <v>658</v>
      </c>
      <c r="E21" s="75">
        <v>105</v>
      </c>
      <c r="F21" s="75">
        <v>652</v>
      </c>
      <c r="G21" s="75">
        <v>101</v>
      </c>
      <c r="H21" s="75">
        <v>656</v>
      </c>
      <c r="I21" s="75">
        <v>102</v>
      </c>
      <c r="J21" s="154">
        <v>653</v>
      </c>
      <c r="K21" s="154">
        <v>100</v>
      </c>
      <c r="L21" s="155">
        <v>657</v>
      </c>
      <c r="M21" s="83">
        <v>29792.5</v>
      </c>
      <c r="N21" s="83">
        <v>28214</v>
      </c>
      <c r="O21" s="83">
        <v>28692.400000000001</v>
      </c>
      <c r="P21" s="83">
        <v>27149.8</v>
      </c>
      <c r="Q21" s="83">
        <v>28780.5</v>
      </c>
      <c r="R21" s="83">
        <v>27240.7</v>
      </c>
      <c r="S21" s="83">
        <v>25861.5</v>
      </c>
      <c r="T21" s="83">
        <v>24900.1</v>
      </c>
      <c r="U21" s="83">
        <v>29651</v>
      </c>
      <c r="V21" s="83">
        <v>28093.3</v>
      </c>
      <c r="X21" s="27">
        <f>Table25[[#This Row],[HDC1]]/Table25[[#This Row],[HCC1]]</f>
        <v>0.94701686666107243</v>
      </c>
      <c r="Y21" s="27">
        <f>Table25[[#This Row],[HDC2]]/Table25[[#This Row],[HCC2]]</f>
        <v>0.94623663409125758</v>
      </c>
      <c r="Z21" s="27">
        <f>Table25[[#This Row],[HDC3]]/Table25[[#This Row],[HCC3]]</f>
        <v>0.94649849724639945</v>
      </c>
      <c r="AA21" s="27">
        <f>Table25[[#This Row],[HDC4]]/Table25[[#This Row],[HCC4]]</f>
        <v>0.96282504881774056</v>
      </c>
      <c r="AB21" s="27">
        <f>Table25[[#This Row],[HDC5]]/Table25[[#This Row],[HCC5]]</f>
        <v>0.9474655154969478</v>
      </c>
      <c r="AC21" s="27"/>
      <c r="AE21" s="27"/>
      <c r="AF21">
        <f>SUM(Table25[[#This Row],[CC1]:[DC1]])</f>
        <v>757</v>
      </c>
      <c r="AG21">
        <f>SUM(Table25[[#This Row],[CC2]:[DC2]])</f>
        <v>757</v>
      </c>
      <c r="AH21">
        <f>SUM(Table25[[#This Row],[CC3]:[DC3]])</f>
        <v>757</v>
      </c>
      <c r="AI21">
        <f>SUM(Table25[[#This Row],[CC4]:[DC4]])</f>
        <v>755</v>
      </c>
      <c r="AJ21">
        <f>SUM(Table25[[#This Row],[CC5]:[DC5]])</f>
        <v>757</v>
      </c>
    </row>
    <row r="22" spans="1:36" ht="15">
      <c r="A22" t="s">
        <v>152</v>
      </c>
      <c r="B22" s="85" t="s">
        <v>439</v>
      </c>
      <c r="C22" s="126">
        <v>102</v>
      </c>
      <c r="D22" s="75">
        <v>652</v>
      </c>
      <c r="E22" s="75">
        <v>101</v>
      </c>
      <c r="F22" s="75">
        <v>653</v>
      </c>
      <c r="G22" s="75">
        <v>102</v>
      </c>
      <c r="H22" s="75">
        <v>655</v>
      </c>
      <c r="I22" s="75">
        <v>103</v>
      </c>
      <c r="J22" s="154">
        <v>656</v>
      </c>
      <c r="K22" s="154">
        <v>102</v>
      </c>
      <c r="L22" s="155">
        <v>652</v>
      </c>
      <c r="M22" s="83">
        <v>21883.8</v>
      </c>
      <c r="N22" s="83">
        <v>20534.8</v>
      </c>
      <c r="O22" s="83">
        <v>21734.7</v>
      </c>
      <c r="P22" s="83">
        <v>20305.099999999999</v>
      </c>
      <c r="Q22" s="83">
        <v>14239</v>
      </c>
      <c r="R22" s="83">
        <v>13143.3</v>
      </c>
      <c r="S22" s="83">
        <v>21597</v>
      </c>
      <c r="T22" s="83">
        <v>20227.599999999999</v>
      </c>
      <c r="U22" s="83">
        <v>21122.9</v>
      </c>
      <c r="V22" s="83">
        <v>19854.400000000001</v>
      </c>
      <c r="X22" s="27">
        <f>Table25[[#This Row],[HDC1]]/Table25[[#This Row],[HCC1]]</f>
        <v>0.93835622698068888</v>
      </c>
      <c r="Y22" s="27">
        <f>Table25[[#This Row],[HDC2]]/Table25[[#This Row],[HCC2]]</f>
        <v>0.93422499505399192</v>
      </c>
      <c r="Z22" s="27">
        <f>Table25[[#This Row],[HDC3]]/Table25[[#This Row],[HCC3]]</f>
        <v>0.92304937144462385</v>
      </c>
      <c r="AA22" s="27">
        <f>Table25[[#This Row],[HDC4]]/Table25[[#This Row],[HCC4]]</f>
        <v>0.93659304533036991</v>
      </c>
      <c r="AB22" s="27">
        <f>Table25[[#This Row],[HDC5]]/Table25[[#This Row],[HCC5]]</f>
        <v>0.93994669292568733</v>
      </c>
      <c r="AC22" s="27"/>
      <c r="AE22" s="27"/>
      <c r="AF22">
        <f>SUM(Table25[[#This Row],[CC1]:[DC1]])</f>
        <v>754</v>
      </c>
      <c r="AG22">
        <f>SUM(Table25[[#This Row],[CC2]:[DC2]])</f>
        <v>754</v>
      </c>
      <c r="AH22">
        <f>SUM(Table25[[#This Row],[CC3]:[DC3]])</f>
        <v>757</v>
      </c>
      <c r="AI22">
        <f>SUM(Table25[[#This Row],[CC4]:[DC4]])</f>
        <v>759</v>
      </c>
      <c r="AJ22">
        <f>SUM(Table25[[#This Row],[CC5]:[DC5]])</f>
        <v>754</v>
      </c>
    </row>
    <row r="23" spans="1:36" ht="15">
      <c r="A23" t="s">
        <v>153</v>
      </c>
      <c r="B23" s="85" t="s">
        <v>440</v>
      </c>
      <c r="C23" s="126">
        <v>99</v>
      </c>
      <c r="D23" s="75">
        <v>652</v>
      </c>
      <c r="E23" s="75">
        <v>103</v>
      </c>
      <c r="F23" s="75">
        <v>647</v>
      </c>
      <c r="G23" s="75">
        <v>103</v>
      </c>
      <c r="H23" s="75">
        <v>647</v>
      </c>
      <c r="I23" s="75">
        <v>103</v>
      </c>
      <c r="J23" s="154">
        <v>646</v>
      </c>
      <c r="K23" s="154">
        <v>104</v>
      </c>
      <c r="L23" s="155">
        <v>645</v>
      </c>
      <c r="M23" s="83">
        <v>21364.5</v>
      </c>
      <c r="N23" s="83">
        <v>20597.7</v>
      </c>
      <c r="O23" s="83">
        <v>24056.3</v>
      </c>
      <c r="P23" s="83">
        <v>22590.799999999999</v>
      </c>
      <c r="Q23" s="83">
        <v>22084.6</v>
      </c>
      <c r="R23" s="83">
        <v>20727.3</v>
      </c>
      <c r="S23" s="83">
        <v>24192.799999999999</v>
      </c>
      <c r="T23" s="83">
        <v>22707.3</v>
      </c>
      <c r="U23" s="83">
        <v>24051.5</v>
      </c>
      <c r="V23" s="83">
        <v>22594.7</v>
      </c>
      <c r="X23" s="27">
        <f>Table25[[#This Row],[HDC1]]/Table25[[#This Row],[HCC1]]</f>
        <v>0.96410868496805446</v>
      </c>
      <c r="Y23" s="27">
        <f>Table25[[#This Row],[HDC2]]/Table25[[#This Row],[HCC2]]</f>
        <v>0.9390804072114165</v>
      </c>
      <c r="Z23" s="27">
        <f>Table25[[#This Row],[HDC3]]/Table25[[#This Row],[HCC3]]</f>
        <v>0.93854088369270894</v>
      </c>
      <c r="AA23" s="27">
        <f>Table25[[#This Row],[HDC4]]/Table25[[#This Row],[HCC4]]</f>
        <v>0.93859743394729012</v>
      </c>
      <c r="AB23" s="27">
        <f>Table25[[#This Row],[HDC5]]/Table25[[#This Row],[HCC5]]</f>
        <v>0.93942997318254584</v>
      </c>
      <c r="AC23" s="27"/>
      <c r="AE23" s="27"/>
      <c r="AF23">
        <f>SUM(Table25[[#This Row],[CC1]:[DC1]])</f>
        <v>751</v>
      </c>
      <c r="AG23">
        <f>SUM(Table25[[#This Row],[CC2]:[DC2]])</f>
        <v>750</v>
      </c>
      <c r="AH23">
        <f>SUM(Table25[[#This Row],[CC3]:[DC3]])</f>
        <v>750</v>
      </c>
      <c r="AI23">
        <f>SUM(Table25[[#This Row],[CC4]:[DC4]])</f>
        <v>749</v>
      </c>
      <c r="AJ23">
        <f>SUM(Table25[[#This Row],[CC5]:[DC5]])</f>
        <v>749</v>
      </c>
    </row>
    <row r="24" spans="1:36" ht="15">
      <c r="A24" t="s">
        <v>154</v>
      </c>
      <c r="B24" s="85" t="s">
        <v>441</v>
      </c>
      <c r="C24" s="126">
        <v>102</v>
      </c>
      <c r="D24" s="75">
        <v>649</v>
      </c>
      <c r="E24" s="75">
        <v>100</v>
      </c>
      <c r="F24" s="75">
        <v>651</v>
      </c>
      <c r="G24" s="75">
        <v>100</v>
      </c>
      <c r="H24" s="75">
        <v>649</v>
      </c>
      <c r="I24" s="75">
        <v>100</v>
      </c>
      <c r="J24" s="154">
        <v>652</v>
      </c>
      <c r="K24" s="154">
        <v>102</v>
      </c>
      <c r="L24" s="155">
        <v>648</v>
      </c>
      <c r="M24" s="83">
        <v>14389.1</v>
      </c>
      <c r="N24" s="83">
        <v>13255.2</v>
      </c>
      <c r="O24" s="83">
        <v>14540.1</v>
      </c>
      <c r="P24" s="83">
        <v>13394.2</v>
      </c>
      <c r="Q24" s="83">
        <v>14514.5</v>
      </c>
      <c r="R24" s="83">
        <v>13403.7</v>
      </c>
      <c r="S24" s="83">
        <v>14521.3</v>
      </c>
      <c r="T24" s="83">
        <v>13393.9</v>
      </c>
      <c r="U24" s="83">
        <v>14630.8</v>
      </c>
      <c r="V24" s="83">
        <v>13518.9</v>
      </c>
      <c r="X24" s="27">
        <f>Table25[[#This Row],[HDC1]]/Table25[[#This Row],[HCC1]]</f>
        <v>0.92119729517481985</v>
      </c>
      <c r="Y24" s="27">
        <f>Table25[[#This Row],[HDC2]]/Table25[[#This Row],[HCC2]]</f>
        <v>0.92119036320245395</v>
      </c>
      <c r="Z24" s="27">
        <f>Table25[[#This Row],[HDC3]]/Table25[[#This Row],[HCC3]]</f>
        <v>0.92346963381446145</v>
      </c>
      <c r="AA24" s="27">
        <f>Table25[[#This Row],[HDC4]]/Table25[[#This Row],[HCC4]]</f>
        <v>0.92236232293251985</v>
      </c>
      <c r="AB24" s="27">
        <f>Table25[[#This Row],[HDC5]]/Table25[[#This Row],[HCC5]]</f>
        <v>0.92400278863766849</v>
      </c>
      <c r="AC24" s="27"/>
      <c r="AE24" s="27"/>
      <c r="AF24">
        <f>SUM(Table25[[#This Row],[CC1]:[DC1]])</f>
        <v>751</v>
      </c>
      <c r="AG24">
        <f>SUM(Table25[[#This Row],[CC2]:[DC2]])</f>
        <v>751</v>
      </c>
      <c r="AH24">
        <f>SUM(Table25[[#This Row],[CC3]:[DC3]])</f>
        <v>749</v>
      </c>
      <c r="AI24">
        <f>SUM(Table25[[#This Row],[CC4]:[DC4]])</f>
        <v>752</v>
      </c>
      <c r="AJ24">
        <f>SUM(Table25[[#This Row],[CC5]:[DC5]])</f>
        <v>750</v>
      </c>
    </row>
    <row r="25" spans="1:36" ht="15">
      <c r="A25" t="s">
        <v>155</v>
      </c>
      <c r="B25" s="85" t="s">
        <v>442</v>
      </c>
      <c r="C25" s="126">
        <v>103</v>
      </c>
      <c r="D25" s="75">
        <v>652</v>
      </c>
      <c r="E25" s="75">
        <v>101</v>
      </c>
      <c r="F25" s="75">
        <v>654</v>
      </c>
      <c r="G25" s="75">
        <v>104</v>
      </c>
      <c r="H25" s="75">
        <v>651</v>
      </c>
      <c r="I25" s="75">
        <v>103</v>
      </c>
      <c r="J25" s="154">
        <v>650</v>
      </c>
      <c r="K25" s="154">
        <v>101</v>
      </c>
      <c r="L25" s="155">
        <v>652</v>
      </c>
      <c r="M25" s="83">
        <v>22170.3</v>
      </c>
      <c r="N25" s="83">
        <v>20785</v>
      </c>
      <c r="O25" s="83">
        <v>17972.400000000001</v>
      </c>
      <c r="P25" s="83">
        <v>17320.599999999999</v>
      </c>
      <c r="Q25" s="83">
        <v>22017.5</v>
      </c>
      <c r="R25" s="83">
        <v>20636.3</v>
      </c>
      <c r="S25" s="83">
        <v>21912</v>
      </c>
      <c r="T25" s="83">
        <v>20519.400000000001</v>
      </c>
      <c r="U25" s="83">
        <v>22099</v>
      </c>
      <c r="V25" s="83">
        <v>20701.8</v>
      </c>
      <c r="X25" s="27">
        <f>Table25[[#This Row],[HDC1]]/Table25[[#This Row],[HCC1]]</f>
        <v>0.93751550497737968</v>
      </c>
      <c r="Y25" s="27">
        <f>Table25[[#This Row],[HDC2]]/Table25[[#This Row],[HCC2]]</f>
        <v>0.96373327991809643</v>
      </c>
      <c r="Z25" s="27">
        <f>Table25[[#This Row],[HDC3]]/Table25[[#This Row],[HCC3]]</f>
        <v>0.93726808220733504</v>
      </c>
      <c r="AA25" s="27">
        <f>Table25[[#This Row],[HDC4]]/Table25[[#This Row],[HCC4]]</f>
        <v>0.93644578313253024</v>
      </c>
      <c r="AB25" s="27">
        <f>Table25[[#This Row],[HDC5]]/Table25[[#This Row],[HCC5]]</f>
        <v>0.93677541970224898</v>
      </c>
      <c r="AC25" s="27"/>
      <c r="AE25" s="27"/>
      <c r="AF25">
        <f>SUM(Table25[[#This Row],[CC1]:[DC1]])</f>
        <v>755</v>
      </c>
      <c r="AG25">
        <f>SUM(Table25[[#This Row],[CC2]:[DC2]])</f>
        <v>755</v>
      </c>
      <c r="AH25">
        <f>SUM(Table25[[#This Row],[CC3]:[DC3]])</f>
        <v>755</v>
      </c>
      <c r="AI25">
        <f>SUM(Table25[[#This Row],[CC4]:[DC4]])</f>
        <v>753</v>
      </c>
      <c r="AJ25">
        <f>SUM(Table25[[#This Row],[CC5]:[DC5]])</f>
        <v>753</v>
      </c>
    </row>
    <row r="26" spans="1:36" ht="15">
      <c r="A26" t="s">
        <v>156</v>
      </c>
      <c r="B26" s="85" t="s">
        <v>443</v>
      </c>
      <c r="C26" s="126">
        <v>98</v>
      </c>
      <c r="D26" s="75">
        <v>654</v>
      </c>
      <c r="E26" s="75">
        <v>102</v>
      </c>
      <c r="F26" s="75">
        <v>650</v>
      </c>
      <c r="G26" s="75">
        <v>99</v>
      </c>
      <c r="H26" s="75">
        <v>655</v>
      </c>
      <c r="I26" s="75">
        <v>98</v>
      </c>
      <c r="J26" s="154">
        <v>651</v>
      </c>
      <c r="K26" s="154">
        <v>102</v>
      </c>
      <c r="L26" s="155">
        <v>652</v>
      </c>
      <c r="M26" s="83">
        <v>12675.5</v>
      </c>
      <c r="N26" s="83">
        <v>11612.3</v>
      </c>
      <c r="O26" s="83">
        <v>12603</v>
      </c>
      <c r="P26" s="83">
        <v>11552.3</v>
      </c>
      <c r="Q26" s="83">
        <v>12524.6</v>
      </c>
      <c r="R26" s="83">
        <v>11467.5</v>
      </c>
      <c r="S26" s="83">
        <v>12497.4</v>
      </c>
      <c r="T26" s="83">
        <v>11450.1</v>
      </c>
      <c r="U26" s="83">
        <v>12131</v>
      </c>
      <c r="V26" s="83">
        <v>11086.2</v>
      </c>
      <c r="X26" s="27">
        <f>Table25[[#This Row],[HDC1]]/Table25[[#This Row],[HCC1]]</f>
        <v>0.91612165200583795</v>
      </c>
      <c r="Y26" s="27">
        <f>Table25[[#This Row],[HDC2]]/Table25[[#This Row],[HCC2]]</f>
        <v>0.91663096088232954</v>
      </c>
      <c r="Z26" s="27">
        <f>Table25[[#This Row],[HDC3]]/Table25[[#This Row],[HCC3]]</f>
        <v>0.91559810293342703</v>
      </c>
      <c r="AA26" s="27">
        <f>Table25[[#This Row],[HDC4]]/Table25[[#This Row],[HCC4]]</f>
        <v>0.91619856930241494</v>
      </c>
      <c r="AB26" s="27">
        <f>Table25[[#This Row],[HDC5]]/Table25[[#This Row],[HCC5]]</f>
        <v>0.91387354711070812</v>
      </c>
      <c r="AC26" s="27"/>
      <c r="AE26" s="27"/>
      <c r="AF26">
        <f>SUM(Table25[[#This Row],[CC1]:[DC1]])</f>
        <v>752</v>
      </c>
      <c r="AG26">
        <f>SUM(Table25[[#This Row],[CC2]:[DC2]])</f>
        <v>752</v>
      </c>
      <c r="AH26">
        <f>SUM(Table25[[#This Row],[CC3]:[DC3]])</f>
        <v>754</v>
      </c>
      <c r="AI26">
        <f>SUM(Table25[[#This Row],[CC4]:[DC4]])</f>
        <v>749</v>
      </c>
      <c r="AJ26">
        <f>SUM(Table25[[#This Row],[CC5]:[DC5]])</f>
        <v>754</v>
      </c>
    </row>
    <row r="27" spans="1:36" ht="15">
      <c r="A27" t="s">
        <v>157</v>
      </c>
      <c r="B27" s="85" t="s">
        <v>444</v>
      </c>
      <c r="C27" s="126">
        <v>101</v>
      </c>
      <c r="D27" s="75">
        <v>652</v>
      </c>
      <c r="E27" s="75">
        <v>102</v>
      </c>
      <c r="F27" s="75">
        <v>647</v>
      </c>
      <c r="G27" s="75">
        <v>103</v>
      </c>
      <c r="H27" s="75">
        <v>648</v>
      </c>
      <c r="I27" s="75">
        <v>100</v>
      </c>
      <c r="J27" s="154">
        <v>652</v>
      </c>
      <c r="K27" s="154">
        <v>102</v>
      </c>
      <c r="L27" s="155">
        <v>653</v>
      </c>
      <c r="M27" s="83">
        <v>16952.8</v>
      </c>
      <c r="N27" s="83">
        <v>15695.3</v>
      </c>
      <c r="O27" s="83">
        <v>16409.400000000001</v>
      </c>
      <c r="P27" s="83">
        <v>15224.9</v>
      </c>
      <c r="Q27" s="83">
        <v>16806.7</v>
      </c>
      <c r="R27" s="83">
        <v>15579.7</v>
      </c>
      <c r="S27" s="83">
        <v>16548.900000000001</v>
      </c>
      <c r="T27" s="83">
        <v>15315.4</v>
      </c>
      <c r="U27" s="83">
        <v>16821.3</v>
      </c>
      <c r="V27" s="83">
        <v>15577.7</v>
      </c>
      <c r="X27" s="27">
        <f>Table25[[#This Row],[HDC1]]/Table25[[#This Row],[HCC1]]</f>
        <v>0.92582346279080741</v>
      </c>
      <c r="Y27" s="27">
        <f>Table25[[#This Row],[HDC2]]/Table25[[#This Row],[HCC2]]</f>
        <v>0.92781576413519073</v>
      </c>
      <c r="Z27" s="27">
        <f>Table25[[#This Row],[HDC3]]/Table25[[#This Row],[HCC3]]</f>
        <v>0.92699340144109199</v>
      </c>
      <c r="AA27" s="27">
        <f>Table25[[#This Row],[HDC4]]/Table25[[#This Row],[HCC4]]</f>
        <v>0.92546332384629781</v>
      </c>
      <c r="AB27" s="27">
        <f>Table25[[#This Row],[HDC5]]/Table25[[#This Row],[HCC5]]</f>
        <v>0.92606992325206738</v>
      </c>
      <c r="AC27" s="27"/>
      <c r="AE27" s="27"/>
      <c r="AF27">
        <f>SUM(Table25[[#This Row],[CC1]:[DC1]])</f>
        <v>753</v>
      </c>
      <c r="AG27">
        <f>SUM(Table25[[#This Row],[CC2]:[DC2]])</f>
        <v>749</v>
      </c>
      <c r="AH27">
        <f>SUM(Table25[[#This Row],[CC3]:[DC3]])</f>
        <v>751</v>
      </c>
      <c r="AI27">
        <f>SUM(Table25[[#This Row],[CC4]:[DC4]])</f>
        <v>752</v>
      </c>
      <c r="AJ27">
        <f>SUM(Table25[[#This Row],[CC5]:[DC5]])</f>
        <v>755</v>
      </c>
    </row>
    <row r="28" spans="1:36" ht="15">
      <c r="A28" t="s">
        <v>158</v>
      </c>
      <c r="B28" s="85" t="s">
        <v>445</v>
      </c>
      <c r="C28" s="126">
        <v>101</v>
      </c>
      <c r="D28" s="75">
        <v>679</v>
      </c>
      <c r="E28" s="75">
        <v>101</v>
      </c>
      <c r="F28" s="75">
        <v>670</v>
      </c>
      <c r="G28" s="75">
        <v>103</v>
      </c>
      <c r="H28" s="75">
        <v>675</v>
      </c>
      <c r="I28" s="75">
        <v>100</v>
      </c>
      <c r="J28" s="154">
        <v>679</v>
      </c>
      <c r="K28" s="154">
        <v>103</v>
      </c>
      <c r="L28" s="155">
        <v>674</v>
      </c>
      <c r="M28" s="83">
        <v>14957.7</v>
      </c>
      <c r="N28" s="83">
        <v>13746.3</v>
      </c>
      <c r="O28" s="83">
        <v>14842.6</v>
      </c>
      <c r="P28" s="83">
        <v>13622.1</v>
      </c>
      <c r="Q28" s="83">
        <v>15014.7</v>
      </c>
      <c r="R28" s="83">
        <v>13863.9</v>
      </c>
      <c r="S28" s="83">
        <v>15599.1</v>
      </c>
      <c r="T28" s="83">
        <v>14365.2</v>
      </c>
      <c r="U28" s="83">
        <v>13249.6</v>
      </c>
      <c r="V28" s="83">
        <v>12888.7</v>
      </c>
      <c r="X28" s="27">
        <f>Table25[[#This Row],[HDC1]]/Table25[[#This Row],[HCC1]]</f>
        <v>0.91901161274794907</v>
      </c>
      <c r="Y28" s="27">
        <f>Table25[[#This Row],[HDC2]]/Table25[[#This Row],[HCC2]]</f>
        <v>0.91777047148073787</v>
      </c>
      <c r="Z28" s="27">
        <f>Table25[[#This Row],[HDC3]]/Table25[[#This Row],[HCC3]]</f>
        <v>0.92335511199024944</v>
      </c>
      <c r="AA28" s="27">
        <f>Table25[[#This Row],[HDC4]]/Table25[[#This Row],[HCC4]]</f>
        <v>0.92089928265092225</v>
      </c>
      <c r="AB28" s="27">
        <f>Table25[[#This Row],[HDC5]]/Table25[[#This Row],[HCC5]]</f>
        <v>0.97276144185484847</v>
      </c>
      <c r="AC28" s="27"/>
      <c r="AE28" s="27"/>
      <c r="AF28">
        <f>SUM(Table25[[#This Row],[CC1]:[DC1]])</f>
        <v>780</v>
      </c>
      <c r="AG28">
        <f>SUM(Table25[[#This Row],[CC2]:[DC2]])</f>
        <v>771</v>
      </c>
      <c r="AH28">
        <f>SUM(Table25[[#This Row],[CC3]:[DC3]])</f>
        <v>778</v>
      </c>
      <c r="AI28">
        <f>SUM(Table25[[#This Row],[CC4]:[DC4]])</f>
        <v>779</v>
      </c>
      <c r="AJ28">
        <f>SUM(Table25[[#This Row],[CC5]:[DC5]])</f>
        <v>777</v>
      </c>
    </row>
    <row r="29" spans="1:36" ht="15">
      <c r="A29" t="s">
        <v>159</v>
      </c>
      <c r="B29" s="85" t="s">
        <v>446</v>
      </c>
      <c r="C29" s="126">
        <v>100</v>
      </c>
      <c r="D29" s="75">
        <v>657</v>
      </c>
      <c r="E29" s="75">
        <v>101</v>
      </c>
      <c r="F29" s="75">
        <v>659</v>
      </c>
      <c r="G29" s="75">
        <v>99</v>
      </c>
      <c r="H29" s="75">
        <v>658</v>
      </c>
      <c r="I29" s="75">
        <v>102</v>
      </c>
      <c r="J29" s="154">
        <v>651</v>
      </c>
      <c r="K29" s="154">
        <v>104</v>
      </c>
      <c r="L29" s="155">
        <v>656</v>
      </c>
      <c r="M29" s="83">
        <v>12253.9</v>
      </c>
      <c r="N29" s="83">
        <v>11173.4</v>
      </c>
      <c r="O29" s="83">
        <v>12179.4</v>
      </c>
      <c r="P29" s="83">
        <v>11117.4</v>
      </c>
      <c r="Q29" s="83">
        <v>12241.5</v>
      </c>
      <c r="R29" s="83">
        <v>11172.6</v>
      </c>
      <c r="S29" s="83">
        <v>12143.9</v>
      </c>
      <c r="T29" s="83">
        <v>11106.4</v>
      </c>
      <c r="U29" s="83">
        <v>12137.2</v>
      </c>
      <c r="V29" s="83">
        <v>11082.7</v>
      </c>
      <c r="X29" s="27">
        <f>Table25[[#This Row],[HDC1]]/Table25[[#This Row],[HCC1]]</f>
        <v>0.91182399072948206</v>
      </c>
      <c r="Y29" s="27">
        <f>Table25[[#This Row],[HDC2]]/Table25[[#This Row],[HCC2]]</f>
        <v>0.91280358638356573</v>
      </c>
      <c r="Z29" s="27">
        <f>Table25[[#This Row],[HDC3]]/Table25[[#This Row],[HCC3]]</f>
        <v>0.91268226932973906</v>
      </c>
      <c r="AA29" s="27">
        <f>Table25[[#This Row],[HDC4]]/Table25[[#This Row],[HCC4]]</f>
        <v>0.91456616078854402</v>
      </c>
      <c r="AB29" s="27">
        <f>Table25[[#This Row],[HDC5]]/Table25[[#This Row],[HCC5]]</f>
        <v>0.91311834690043836</v>
      </c>
      <c r="AC29" s="27"/>
      <c r="AE29" s="27"/>
      <c r="AF29">
        <f>SUM(Table25[[#This Row],[CC1]:[DC1]])</f>
        <v>757</v>
      </c>
      <c r="AG29">
        <f>SUM(Table25[[#This Row],[CC2]:[DC2]])</f>
        <v>760</v>
      </c>
      <c r="AH29">
        <f>SUM(Table25[[#This Row],[CC3]:[DC3]])</f>
        <v>757</v>
      </c>
      <c r="AI29">
        <f>SUM(Table25[[#This Row],[CC4]:[DC4]])</f>
        <v>753</v>
      </c>
      <c r="AJ29">
        <f>SUM(Table25[[#This Row],[CC5]:[DC5]])</f>
        <v>760</v>
      </c>
    </row>
    <row r="30" spans="1:36" ht="15">
      <c r="A30" t="s">
        <v>160</v>
      </c>
      <c r="B30" s="85" t="s">
        <v>447</v>
      </c>
      <c r="C30" s="126">
        <v>102</v>
      </c>
      <c r="D30" s="75">
        <v>656</v>
      </c>
      <c r="E30" s="75">
        <v>103</v>
      </c>
      <c r="F30" s="75">
        <v>657</v>
      </c>
      <c r="G30" s="75">
        <v>104</v>
      </c>
      <c r="H30" s="75">
        <v>651</v>
      </c>
      <c r="I30" s="75">
        <v>103</v>
      </c>
      <c r="J30" s="154">
        <v>654</v>
      </c>
      <c r="K30" s="154">
        <v>104</v>
      </c>
      <c r="L30" s="155">
        <v>655</v>
      </c>
      <c r="M30" s="83">
        <v>28800.3</v>
      </c>
      <c r="N30" s="83">
        <v>27221.8</v>
      </c>
      <c r="O30" s="83">
        <v>29045.7</v>
      </c>
      <c r="P30" s="83">
        <v>27402.9</v>
      </c>
      <c r="Q30" s="83">
        <v>25882.799999999999</v>
      </c>
      <c r="R30" s="83">
        <v>24609</v>
      </c>
      <c r="S30" s="83">
        <v>28505</v>
      </c>
      <c r="T30" s="83">
        <v>26937.5</v>
      </c>
      <c r="U30" s="83">
        <v>25021.200000000001</v>
      </c>
      <c r="V30" s="83">
        <v>24213.599999999999</v>
      </c>
      <c r="X30" s="27">
        <f>Table25[[#This Row],[HDC1]]/Table25[[#This Row],[HCC1]]</f>
        <v>0.94519154314364784</v>
      </c>
      <c r="Y30" s="27">
        <f>Table25[[#This Row],[HDC2]]/Table25[[#This Row],[HCC2]]</f>
        <v>0.94344085355147234</v>
      </c>
      <c r="Z30" s="27">
        <f>Table25[[#This Row],[HDC3]]/Table25[[#This Row],[HCC3]]</f>
        <v>0.95078585006258987</v>
      </c>
      <c r="AA30" s="27">
        <f>Table25[[#This Row],[HDC4]]/Table25[[#This Row],[HCC4]]</f>
        <v>0.94500964743027538</v>
      </c>
      <c r="AB30" s="27">
        <f>Table25[[#This Row],[HDC5]]/Table25[[#This Row],[HCC5]]</f>
        <v>0.96772337058174662</v>
      </c>
      <c r="AC30" s="27"/>
      <c r="AE30" s="27"/>
      <c r="AF30">
        <f>SUM(Table25[[#This Row],[CC1]:[DC1]])</f>
        <v>758</v>
      </c>
      <c r="AG30">
        <f>SUM(Table25[[#This Row],[CC2]:[DC2]])</f>
        <v>760</v>
      </c>
      <c r="AH30">
        <f>SUM(Table25[[#This Row],[CC3]:[DC3]])</f>
        <v>755</v>
      </c>
      <c r="AI30">
        <f>SUM(Table25[[#This Row],[CC4]:[DC4]])</f>
        <v>757</v>
      </c>
      <c r="AJ30">
        <f>SUM(Table25[[#This Row],[CC5]:[DC5]])</f>
        <v>759</v>
      </c>
    </row>
    <row r="31" spans="1:36" ht="15">
      <c r="A31" t="s">
        <v>161</v>
      </c>
      <c r="B31" s="85" t="s">
        <v>448</v>
      </c>
      <c r="C31" s="126">
        <v>101</v>
      </c>
      <c r="D31" s="75">
        <v>655</v>
      </c>
      <c r="E31" s="75">
        <v>106</v>
      </c>
      <c r="F31" s="75">
        <v>652</v>
      </c>
      <c r="G31" s="75">
        <v>104</v>
      </c>
      <c r="H31" s="75">
        <v>655</v>
      </c>
      <c r="I31" s="75">
        <v>107</v>
      </c>
      <c r="J31" s="154">
        <v>648</v>
      </c>
      <c r="K31" s="154">
        <v>103</v>
      </c>
      <c r="L31" s="155">
        <v>654</v>
      </c>
      <c r="M31" s="83">
        <v>25481.200000000001</v>
      </c>
      <c r="N31" s="83">
        <v>24608.5</v>
      </c>
      <c r="O31" s="83">
        <v>24281.599999999999</v>
      </c>
      <c r="P31" s="83">
        <v>23479.7</v>
      </c>
      <c r="Q31" s="83">
        <v>24987.599999999999</v>
      </c>
      <c r="R31" s="83">
        <v>24114.799999999999</v>
      </c>
      <c r="S31" s="83">
        <v>28544.400000000001</v>
      </c>
      <c r="T31" s="83">
        <v>27120.799999999999</v>
      </c>
      <c r="U31" s="83">
        <v>28246.2</v>
      </c>
      <c r="V31" s="83">
        <v>26692.7</v>
      </c>
      <c r="X31" s="27">
        <f>Table25[[#This Row],[HDC1]]/Table25[[#This Row],[HCC1]]</f>
        <v>0.96575122050766837</v>
      </c>
      <c r="Y31" s="27">
        <f>Table25[[#This Row],[HDC2]]/Table25[[#This Row],[HCC2]]</f>
        <v>0.96697499341064852</v>
      </c>
      <c r="Z31" s="27">
        <f>Table25[[#This Row],[HDC3]]/Table25[[#This Row],[HCC3]]</f>
        <v>0.96507067505482724</v>
      </c>
      <c r="AA31" s="27">
        <f>Table25[[#This Row],[HDC4]]/Table25[[#This Row],[HCC4]]</f>
        <v>0.95012681997169313</v>
      </c>
      <c r="AB31" s="27">
        <f>Table25[[#This Row],[HDC5]]/Table25[[#This Row],[HCC5]]</f>
        <v>0.94500145152268267</v>
      </c>
      <c r="AC31" s="27"/>
      <c r="AE31" s="27"/>
      <c r="AF31">
        <f>SUM(Table25[[#This Row],[CC1]:[DC1]])</f>
        <v>756</v>
      </c>
      <c r="AG31">
        <f>SUM(Table25[[#This Row],[CC2]:[DC2]])</f>
        <v>758</v>
      </c>
      <c r="AH31">
        <f>SUM(Table25[[#This Row],[CC3]:[DC3]])</f>
        <v>759</v>
      </c>
      <c r="AI31">
        <f>SUM(Table25[[#This Row],[CC4]:[DC4]])</f>
        <v>755</v>
      </c>
      <c r="AJ31">
        <f>SUM(Table25[[#This Row],[CC5]:[DC5]])</f>
        <v>757</v>
      </c>
    </row>
    <row r="32" spans="1:36" ht="15">
      <c r="A32" t="s">
        <v>162</v>
      </c>
      <c r="B32" s="85" t="s">
        <v>449</v>
      </c>
      <c r="C32" s="126">
        <v>101</v>
      </c>
      <c r="D32" s="75">
        <v>652</v>
      </c>
      <c r="E32" s="75">
        <v>101</v>
      </c>
      <c r="F32" s="75">
        <v>650</v>
      </c>
      <c r="G32" s="75">
        <v>101</v>
      </c>
      <c r="H32" s="75">
        <v>649</v>
      </c>
      <c r="I32" s="75">
        <v>102</v>
      </c>
      <c r="J32" s="154">
        <v>648</v>
      </c>
      <c r="K32" s="154">
        <v>101</v>
      </c>
      <c r="L32" s="155">
        <v>653</v>
      </c>
      <c r="M32" s="83">
        <v>28279.7</v>
      </c>
      <c r="N32" s="83">
        <v>26933.3</v>
      </c>
      <c r="O32" s="83">
        <v>5545.7</v>
      </c>
      <c r="P32" s="83">
        <v>5390</v>
      </c>
      <c r="Q32" s="83">
        <v>28095.4</v>
      </c>
      <c r="R32" s="83">
        <v>26533.8</v>
      </c>
      <c r="S32" s="83">
        <v>23581.3</v>
      </c>
      <c r="T32" s="83">
        <v>22901.9</v>
      </c>
      <c r="U32" s="83">
        <v>28057.5</v>
      </c>
      <c r="V32" s="83">
        <v>26558.7</v>
      </c>
      <c r="X32" s="27">
        <f>Table25[[#This Row],[HDC1]]/Table25[[#This Row],[HCC1]]</f>
        <v>0.95238987683744869</v>
      </c>
      <c r="Y32" s="27">
        <f>Table25[[#This Row],[HDC2]]/Table25[[#This Row],[HCC2]]</f>
        <v>0.97192419351930326</v>
      </c>
      <c r="Z32" s="27">
        <f>Table25[[#This Row],[HDC3]]/Table25[[#This Row],[HCC3]]</f>
        <v>0.94441794742199781</v>
      </c>
      <c r="AA32" s="27">
        <f>Table25[[#This Row],[HDC4]]/Table25[[#This Row],[HCC4]]</f>
        <v>0.97118903537972889</v>
      </c>
      <c r="AB32" s="27">
        <f>Table25[[#This Row],[HDC5]]/Table25[[#This Row],[HCC5]]</f>
        <v>0.94658112804063088</v>
      </c>
      <c r="AC32" s="27"/>
      <c r="AE32" s="27"/>
      <c r="AF32">
        <f>SUM(Table25[[#This Row],[CC1]:[DC1]])</f>
        <v>753</v>
      </c>
      <c r="AG32">
        <f>SUM(Table25[[#This Row],[CC2]:[DC2]])</f>
        <v>751</v>
      </c>
      <c r="AH32">
        <f>SUM(Table25[[#This Row],[CC3]:[DC3]])</f>
        <v>750</v>
      </c>
      <c r="AI32">
        <f>SUM(Table25[[#This Row],[CC4]:[DC4]])</f>
        <v>750</v>
      </c>
      <c r="AJ32">
        <f>SUM(Table25[[#This Row],[CC5]:[DC5]])</f>
        <v>754</v>
      </c>
    </row>
    <row r="33" spans="1:36" ht="15">
      <c r="A33" t="s">
        <v>163</v>
      </c>
      <c r="B33" s="85" t="s">
        <v>450</v>
      </c>
      <c r="C33" s="126">
        <v>101</v>
      </c>
      <c r="D33" s="75">
        <v>656</v>
      </c>
      <c r="E33" s="75">
        <v>102</v>
      </c>
      <c r="F33" s="75">
        <v>656</v>
      </c>
      <c r="G33" s="75">
        <v>102</v>
      </c>
      <c r="H33" s="75">
        <v>653</v>
      </c>
      <c r="I33" s="75">
        <v>105</v>
      </c>
      <c r="J33" s="154">
        <v>650</v>
      </c>
      <c r="K33" s="154">
        <v>102</v>
      </c>
      <c r="L33" s="155">
        <v>655</v>
      </c>
      <c r="M33" s="83">
        <v>29119.5</v>
      </c>
      <c r="N33" s="83">
        <v>27541.1</v>
      </c>
      <c r="O33" s="83">
        <v>28404.2</v>
      </c>
      <c r="P33" s="83">
        <v>26852.9</v>
      </c>
      <c r="Q33" s="83">
        <v>29007.599999999999</v>
      </c>
      <c r="R33" s="83">
        <v>27400.2</v>
      </c>
      <c r="S33" s="83">
        <v>28124.799999999999</v>
      </c>
      <c r="T33" s="83">
        <v>26575.1</v>
      </c>
      <c r="U33" s="83">
        <v>19831.2</v>
      </c>
      <c r="V33" s="83">
        <v>18474.2</v>
      </c>
      <c r="X33" s="27">
        <f>Table25[[#This Row],[HDC1]]/Table25[[#This Row],[HCC1]]</f>
        <v>0.94579577259224912</v>
      </c>
      <c r="Y33" s="27">
        <f>Table25[[#This Row],[HDC2]]/Table25[[#This Row],[HCC2]]</f>
        <v>0.94538483745361601</v>
      </c>
      <c r="Z33" s="27">
        <f>Table25[[#This Row],[HDC3]]/Table25[[#This Row],[HCC3]]</f>
        <v>0.94458693583750475</v>
      </c>
      <c r="AA33" s="27">
        <f>Table25[[#This Row],[HDC4]]/Table25[[#This Row],[HCC4]]</f>
        <v>0.94489916372738647</v>
      </c>
      <c r="AB33" s="27">
        <f>Table25[[#This Row],[HDC5]]/Table25[[#This Row],[HCC5]]</f>
        <v>0.93157247166081725</v>
      </c>
      <c r="AC33" s="27"/>
      <c r="AE33" s="27"/>
      <c r="AF33">
        <f>SUM(Table25[[#This Row],[CC1]:[DC1]])</f>
        <v>757</v>
      </c>
      <c r="AG33">
        <f>SUM(Table25[[#This Row],[CC2]:[DC2]])</f>
        <v>758</v>
      </c>
      <c r="AH33">
        <f>SUM(Table25[[#This Row],[CC3]:[DC3]])</f>
        <v>755</v>
      </c>
      <c r="AI33">
        <f>SUM(Table25[[#This Row],[CC4]:[DC4]])</f>
        <v>755</v>
      </c>
      <c r="AJ33">
        <f>SUM(Table25[[#This Row],[CC5]:[DC5]])</f>
        <v>757</v>
      </c>
    </row>
    <row r="34" spans="1:36" ht="15">
      <c r="A34" t="s">
        <v>164</v>
      </c>
      <c r="B34" s="85" t="s">
        <v>451</v>
      </c>
      <c r="C34" s="126">
        <v>103</v>
      </c>
      <c r="D34" s="75">
        <v>662</v>
      </c>
      <c r="E34" s="75">
        <v>107</v>
      </c>
      <c r="F34" s="75">
        <v>654</v>
      </c>
      <c r="G34" s="75">
        <v>106</v>
      </c>
      <c r="H34" s="75">
        <v>656</v>
      </c>
      <c r="I34" s="75">
        <v>110</v>
      </c>
      <c r="J34" s="154">
        <v>655</v>
      </c>
      <c r="K34" s="154">
        <v>108</v>
      </c>
      <c r="L34" s="155">
        <v>657</v>
      </c>
      <c r="M34" s="83">
        <v>28575.7</v>
      </c>
      <c r="N34" s="83">
        <v>27033.1</v>
      </c>
      <c r="O34" s="83">
        <v>28251.1</v>
      </c>
      <c r="P34" s="83">
        <v>26687.8</v>
      </c>
      <c r="Q34" s="83">
        <v>27474</v>
      </c>
      <c r="R34" s="83">
        <v>25882.400000000001</v>
      </c>
      <c r="S34" s="83">
        <v>27392.1</v>
      </c>
      <c r="T34" s="83">
        <v>25835.9</v>
      </c>
      <c r="U34" s="83">
        <v>28233.599999999999</v>
      </c>
      <c r="V34" s="83">
        <v>26651.5</v>
      </c>
      <c r="X34" s="27">
        <f>Table25[[#This Row],[HDC1]]/Table25[[#This Row],[HCC1]]</f>
        <v>0.9460170704479679</v>
      </c>
      <c r="Y34" s="27">
        <f>Table25[[#This Row],[HDC2]]/Table25[[#This Row],[HCC2]]</f>
        <v>0.94466410157480596</v>
      </c>
      <c r="Z34" s="27">
        <f>Table25[[#This Row],[HDC3]]/Table25[[#This Row],[HCC3]]</f>
        <v>0.94206886510883026</v>
      </c>
      <c r="AA34" s="27">
        <f>Table25[[#This Row],[HDC4]]/Table25[[#This Row],[HCC4]]</f>
        <v>0.94318799945969833</v>
      </c>
      <c r="AB34" s="27">
        <f>Table25[[#This Row],[HDC5]]/Table25[[#This Row],[HCC5]]</f>
        <v>0.9439639295024369</v>
      </c>
      <c r="AC34" s="27"/>
      <c r="AE34" s="27"/>
      <c r="AF34">
        <f>SUM(Table25[[#This Row],[CC1]:[DC1]])</f>
        <v>765</v>
      </c>
      <c r="AG34">
        <f>SUM(Table25[[#This Row],[CC2]:[DC2]])</f>
        <v>761</v>
      </c>
      <c r="AH34">
        <f>SUM(Table25[[#This Row],[CC3]:[DC3]])</f>
        <v>762</v>
      </c>
      <c r="AI34">
        <f>SUM(Table25[[#This Row],[CC4]:[DC4]])</f>
        <v>765</v>
      </c>
      <c r="AJ34">
        <f>SUM(Table25[[#This Row],[CC5]:[DC5]])</f>
        <v>765</v>
      </c>
    </row>
    <row r="35" spans="1:36" ht="15">
      <c r="A35" t="s">
        <v>165</v>
      </c>
      <c r="B35" s="85" t="s">
        <v>452</v>
      </c>
      <c r="C35" s="126">
        <v>103</v>
      </c>
      <c r="D35" s="75">
        <v>658</v>
      </c>
      <c r="E35" s="75">
        <v>112</v>
      </c>
      <c r="F35" s="75">
        <v>650</v>
      </c>
      <c r="G35" s="75">
        <v>109</v>
      </c>
      <c r="H35" s="75">
        <v>654</v>
      </c>
      <c r="I35" s="75">
        <v>106</v>
      </c>
      <c r="J35" s="154">
        <v>653</v>
      </c>
      <c r="K35" s="154">
        <v>107</v>
      </c>
      <c r="L35" s="155">
        <v>654</v>
      </c>
      <c r="M35" s="83">
        <v>25685</v>
      </c>
      <c r="N35" s="83">
        <v>24308.9</v>
      </c>
      <c r="O35" s="83">
        <v>14500.8</v>
      </c>
      <c r="P35" s="83">
        <v>13936</v>
      </c>
      <c r="Q35" s="83">
        <v>26132.9</v>
      </c>
      <c r="R35" s="83">
        <v>24645.200000000001</v>
      </c>
      <c r="S35" s="83">
        <v>21398.6</v>
      </c>
      <c r="T35" s="83">
        <v>20669.900000000001</v>
      </c>
      <c r="U35" s="83">
        <v>25283.200000000001</v>
      </c>
      <c r="V35" s="83">
        <v>23810.6</v>
      </c>
      <c r="X35" s="27">
        <f>Table25[[#This Row],[HDC1]]/Table25[[#This Row],[HCC1]]</f>
        <v>0.94642398286937912</v>
      </c>
      <c r="Y35" s="27">
        <f>Table25[[#This Row],[HDC2]]/Table25[[#This Row],[HCC2]]</f>
        <v>0.96105042480414882</v>
      </c>
      <c r="Z35" s="27">
        <f>Table25[[#This Row],[HDC3]]/Table25[[#This Row],[HCC3]]</f>
        <v>0.94307176011847138</v>
      </c>
      <c r="AA35" s="27">
        <f>Table25[[#This Row],[HDC4]]/Table25[[#This Row],[HCC4]]</f>
        <v>0.96594637032329234</v>
      </c>
      <c r="AB35" s="27">
        <f>Table25[[#This Row],[HDC5]]/Table25[[#This Row],[HCC5]]</f>
        <v>0.94175579040627755</v>
      </c>
      <c r="AC35" s="27"/>
      <c r="AE35" s="27"/>
      <c r="AF35">
        <f>SUM(Table25[[#This Row],[CC1]:[DC1]])</f>
        <v>761</v>
      </c>
      <c r="AG35">
        <f>SUM(Table25[[#This Row],[CC2]:[DC2]])</f>
        <v>762</v>
      </c>
      <c r="AH35">
        <f>SUM(Table25[[#This Row],[CC3]:[DC3]])</f>
        <v>763</v>
      </c>
      <c r="AI35">
        <f>SUM(Table25[[#This Row],[CC4]:[DC4]])</f>
        <v>759</v>
      </c>
      <c r="AJ35">
        <f>SUM(Table25[[#This Row],[CC5]:[DC5]])</f>
        <v>761</v>
      </c>
    </row>
    <row r="36" spans="1:36" ht="15">
      <c r="A36" t="s">
        <v>166</v>
      </c>
      <c r="B36" s="85" t="s">
        <v>453</v>
      </c>
      <c r="C36" s="126">
        <v>104</v>
      </c>
      <c r="D36" s="75">
        <v>653</v>
      </c>
      <c r="E36" s="75">
        <v>99</v>
      </c>
      <c r="F36" s="75">
        <v>657</v>
      </c>
      <c r="G36" s="75">
        <v>109</v>
      </c>
      <c r="H36" s="75">
        <v>651</v>
      </c>
      <c r="I36" s="75">
        <v>118</v>
      </c>
      <c r="J36" s="154">
        <v>642</v>
      </c>
      <c r="K36" s="154">
        <v>108</v>
      </c>
      <c r="L36" s="155">
        <v>651</v>
      </c>
      <c r="M36" s="83">
        <v>27885.3</v>
      </c>
      <c r="N36" s="83">
        <v>26400.7</v>
      </c>
      <c r="O36" s="83">
        <v>28554.3</v>
      </c>
      <c r="P36" s="83">
        <v>27033.9</v>
      </c>
      <c r="Q36" s="83">
        <v>28317.200000000001</v>
      </c>
      <c r="R36" s="83">
        <v>26810.799999999999</v>
      </c>
      <c r="S36" s="83">
        <v>27434</v>
      </c>
      <c r="T36" s="83">
        <v>25985</v>
      </c>
      <c r="U36" s="83">
        <v>28414.400000000001</v>
      </c>
      <c r="V36" s="83">
        <v>26898.1</v>
      </c>
      <c r="X36" s="27">
        <f>Table25[[#This Row],[HDC1]]/Table25[[#This Row],[HCC1]]</f>
        <v>0.94676047953581288</v>
      </c>
      <c r="Y36" s="27">
        <f>Table25[[#This Row],[HDC2]]/Table25[[#This Row],[HCC2]]</f>
        <v>0.94675407907040277</v>
      </c>
      <c r="Z36" s="27">
        <f>Table25[[#This Row],[HDC3]]/Table25[[#This Row],[HCC3]]</f>
        <v>0.94680264997951769</v>
      </c>
      <c r="AA36" s="27">
        <f>Table25[[#This Row],[HDC4]]/Table25[[#This Row],[HCC4]]</f>
        <v>0.94718232849748485</v>
      </c>
      <c r="AB36" s="27">
        <f>Table25[[#This Row],[HDC5]]/Table25[[#This Row],[HCC5]]</f>
        <v>0.94663621262458464</v>
      </c>
      <c r="AC36" s="27"/>
      <c r="AE36" s="27"/>
      <c r="AF36">
        <f>SUM(Table25[[#This Row],[CC1]:[DC1]])</f>
        <v>757</v>
      </c>
      <c r="AG36">
        <f>SUM(Table25[[#This Row],[CC2]:[DC2]])</f>
        <v>756</v>
      </c>
      <c r="AH36">
        <f>SUM(Table25[[#This Row],[CC3]:[DC3]])</f>
        <v>760</v>
      </c>
      <c r="AI36">
        <f>SUM(Table25[[#This Row],[CC4]:[DC4]])</f>
        <v>760</v>
      </c>
      <c r="AJ36">
        <f>SUM(Table25[[#This Row],[CC5]:[DC5]])</f>
        <v>759</v>
      </c>
    </row>
    <row r="37" spans="1:36" ht="15">
      <c r="A37" t="s">
        <v>167</v>
      </c>
      <c r="B37" s="85" t="s">
        <v>454</v>
      </c>
      <c r="C37" s="126">
        <v>108</v>
      </c>
      <c r="D37" s="75">
        <v>653</v>
      </c>
      <c r="E37" s="75">
        <v>103</v>
      </c>
      <c r="F37" s="75">
        <v>656</v>
      </c>
      <c r="G37" s="75">
        <v>106</v>
      </c>
      <c r="H37" s="75">
        <v>651</v>
      </c>
      <c r="I37" s="75">
        <v>107</v>
      </c>
      <c r="J37" s="154">
        <v>649</v>
      </c>
      <c r="K37" s="154">
        <v>104</v>
      </c>
      <c r="L37" s="155">
        <v>653</v>
      </c>
      <c r="M37" s="83">
        <v>21422.9</v>
      </c>
      <c r="N37" s="83">
        <v>20609.099999999999</v>
      </c>
      <c r="O37" s="83">
        <v>26056.400000000001</v>
      </c>
      <c r="P37" s="83">
        <v>24643.5</v>
      </c>
      <c r="Q37" s="83">
        <v>25210.7</v>
      </c>
      <c r="R37" s="83">
        <v>23804.2</v>
      </c>
      <c r="S37" s="83">
        <v>25832.799999999999</v>
      </c>
      <c r="T37" s="83">
        <v>24370.9</v>
      </c>
      <c r="U37" s="83">
        <v>26048.9</v>
      </c>
      <c r="V37" s="83">
        <v>24573.4</v>
      </c>
      <c r="X37" s="27">
        <f>Table25[[#This Row],[HDC1]]/Table25[[#This Row],[HCC1]]</f>
        <v>0.96201261267148697</v>
      </c>
      <c r="Y37" s="27">
        <f>Table25[[#This Row],[HDC2]]/Table25[[#This Row],[HCC2]]</f>
        <v>0.94577531815600002</v>
      </c>
      <c r="Z37" s="27">
        <f>Table25[[#This Row],[HDC3]]/Table25[[#This Row],[HCC3]]</f>
        <v>0.94421019646419968</v>
      </c>
      <c r="AA37" s="27">
        <f>Table25[[#This Row],[HDC4]]/Table25[[#This Row],[HCC4]]</f>
        <v>0.94340915425350724</v>
      </c>
      <c r="AB37" s="27">
        <f>Table25[[#This Row],[HDC5]]/Table25[[#This Row],[HCC5]]</f>
        <v>0.94335653328931357</v>
      </c>
      <c r="AC37" s="27"/>
      <c r="AE37" s="27"/>
      <c r="AF37">
        <f>SUM(Table25[[#This Row],[CC1]:[DC1]])</f>
        <v>761</v>
      </c>
      <c r="AG37">
        <f>SUM(Table25[[#This Row],[CC2]:[DC2]])</f>
        <v>759</v>
      </c>
      <c r="AH37">
        <f>SUM(Table25[[#This Row],[CC3]:[DC3]])</f>
        <v>757</v>
      </c>
      <c r="AI37">
        <f>SUM(Table25[[#This Row],[CC4]:[DC4]])</f>
        <v>756</v>
      </c>
      <c r="AJ37">
        <f>SUM(Table25[[#This Row],[CC5]:[DC5]])</f>
        <v>757</v>
      </c>
    </row>
    <row r="38" spans="1:36" ht="15">
      <c r="A38" t="s">
        <v>168</v>
      </c>
      <c r="B38" s="85" t="s">
        <v>455</v>
      </c>
      <c r="C38" s="126">
        <v>98</v>
      </c>
      <c r="D38" s="75">
        <v>654</v>
      </c>
      <c r="E38" s="75">
        <v>100</v>
      </c>
      <c r="F38" s="75">
        <v>650</v>
      </c>
      <c r="G38" s="75">
        <v>102</v>
      </c>
      <c r="H38" s="75">
        <v>646</v>
      </c>
      <c r="I38" s="75">
        <v>104</v>
      </c>
      <c r="J38" s="154">
        <v>648</v>
      </c>
      <c r="K38" s="154">
        <v>104</v>
      </c>
      <c r="L38" s="155">
        <v>648</v>
      </c>
      <c r="M38" s="83">
        <v>22027.599999999999</v>
      </c>
      <c r="N38" s="83">
        <v>20763.8</v>
      </c>
      <c r="O38" s="83">
        <v>22048</v>
      </c>
      <c r="P38" s="83">
        <v>20948.400000000001</v>
      </c>
      <c r="Q38" s="83">
        <v>21904.7</v>
      </c>
      <c r="R38" s="83">
        <v>20778.900000000001</v>
      </c>
      <c r="S38" s="83">
        <v>21551.9</v>
      </c>
      <c r="T38" s="83">
        <v>20499.8</v>
      </c>
      <c r="U38" s="83">
        <v>22148.7</v>
      </c>
      <c r="V38" s="83">
        <v>21066</v>
      </c>
      <c r="X38" s="27">
        <f>Table25[[#This Row],[HDC1]]/Table25[[#This Row],[HCC1]]</f>
        <v>0.94262652308921535</v>
      </c>
      <c r="Y38" s="27">
        <f>Table25[[#This Row],[HDC2]]/Table25[[#This Row],[HCC2]]</f>
        <v>0.95012699564586367</v>
      </c>
      <c r="Z38" s="27">
        <f>Table25[[#This Row],[HDC3]]/Table25[[#This Row],[HCC3]]</f>
        <v>0.9486046373609317</v>
      </c>
      <c r="AA38" s="27">
        <f>Table25[[#This Row],[HDC4]]/Table25[[#This Row],[HCC4]]</f>
        <v>0.95118295834705979</v>
      </c>
      <c r="AB38" s="27">
        <f>Table25[[#This Row],[HDC5]]/Table25[[#This Row],[HCC5]]</f>
        <v>0.95111676983299243</v>
      </c>
      <c r="AC38" s="27"/>
      <c r="AE38" s="27"/>
      <c r="AF38">
        <f>SUM(Table25[[#This Row],[CC1]:[DC1]])</f>
        <v>752</v>
      </c>
      <c r="AG38">
        <f>SUM(Table25[[#This Row],[CC2]:[DC2]])</f>
        <v>750</v>
      </c>
      <c r="AH38">
        <f>SUM(Table25[[#This Row],[CC3]:[DC3]])</f>
        <v>748</v>
      </c>
      <c r="AI38">
        <f>SUM(Table25[[#This Row],[CC4]:[DC4]])</f>
        <v>752</v>
      </c>
      <c r="AJ38">
        <f>SUM(Table25[[#This Row],[CC5]:[DC5]])</f>
        <v>752</v>
      </c>
    </row>
    <row r="39" spans="1:36" ht="15">
      <c r="A39" t="s">
        <v>169</v>
      </c>
      <c r="B39" s="85" t="s">
        <v>456</v>
      </c>
      <c r="C39" s="126">
        <v>100</v>
      </c>
      <c r="D39" s="75">
        <v>655</v>
      </c>
      <c r="E39" s="75">
        <v>101</v>
      </c>
      <c r="F39" s="75">
        <v>657</v>
      </c>
      <c r="G39" s="75">
        <v>102</v>
      </c>
      <c r="H39" s="75">
        <v>657</v>
      </c>
      <c r="I39" s="75">
        <v>101</v>
      </c>
      <c r="J39" s="154">
        <v>657</v>
      </c>
      <c r="K39" s="154">
        <v>102</v>
      </c>
      <c r="L39" s="155">
        <v>654</v>
      </c>
      <c r="M39" s="83">
        <v>28884</v>
      </c>
      <c r="N39" s="83">
        <v>27323.9</v>
      </c>
      <c r="O39" s="83">
        <v>25817.1</v>
      </c>
      <c r="P39" s="83">
        <v>24341.4</v>
      </c>
      <c r="Q39" s="83">
        <v>25836.7</v>
      </c>
      <c r="R39" s="83">
        <v>24415.200000000001</v>
      </c>
      <c r="S39" s="83">
        <v>28945.599999999999</v>
      </c>
      <c r="T39" s="83">
        <v>27327.1</v>
      </c>
      <c r="U39" s="83">
        <v>28100.1</v>
      </c>
      <c r="V39" s="83">
        <v>26591</v>
      </c>
      <c r="X39" s="27">
        <f>Table25[[#This Row],[HDC1]]/Table25[[#This Row],[HCC1]]</f>
        <v>0.94598739786733144</v>
      </c>
      <c r="Y39" s="27">
        <f>Table25[[#This Row],[HDC2]]/Table25[[#This Row],[HCC2]]</f>
        <v>0.94284021055811862</v>
      </c>
      <c r="Z39" s="27">
        <f>Table25[[#This Row],[HDC3]]/Table25[[#This Row],[HCC3]]</f>
        <v>0.94498136371905084</v>
      </c>
      <c r="AA39" s="27">
        <f>Table25[[#This Row],[HDC4]]/Table25[[#This Row],[HCC4]]</f>
        <v>0.94408476590569901</v>
      </c>
      <c r="AB39" s="27">
        <f>Table25[[#This Row],[HDC5]]/Table25[[#This Row],[HCC5]]</f>
        <v>0.94629556478446697</v>
      </c>
      <c r="AC39" s="27"/>
      <c r="AE39" s="27"/>
      <c r="AF39">
        <f>SUM(Table25[[#This Row],[CC1]:[DC1]])</f>
        <v>755</v>
      </c>
      <c r="AG39">
        <f>SUM(Table25[[#This Row],[CC2]:[DC2]])</f>
        <v>758</v>
      </c>
      <c r="AH39">
        <f>SUM(Table25[[#This Row],[CC3]:[DC3]])</f>
        <v>759</v>
      </c>
      <c r="AI39">
        <f>SUM(Table25[[#This Row],[CC4]:[DC4]])</f>
        <v>758</v>
      </c>
      <c r="AJ39">
        <f>SUM(Table25[[#This Row],[CC5]:[DC5]])</f>
        <v>756</v>
      </c>
    </row>
    <row r="40" spans="1:36" ht="15">
      <c r="A40" t="s">
        <v>170</v>
      </c>
      <c r="B40" s="85" t="s">
        <v>457</v>
      </c>
      <c r="C40" s="126">
        <v>102</v>
      </c>
      <c r="D40" s="75">
        <v>657</v>
      </c>
      <c r="E40" s="75">
        <v>105</v>
      </c>
      <c r="F40" s="75">
        <v>655</v>
      </c>
      <c r="G40" s="75">
        <v>99</v>
      </c>
      <c r="H40" s="75">
        <v>650</v>
      </c>
      <c r="I40" s="75">
        <v>103</v>
      </c>
      <c r="J40" s="154">
        <v>650</v>
      </c>
      <c r="K40" s="154">
        <v>105</v>
      </c>
      <c r="L40" s="155">
        <v>653</v>
      </c>
      <c r="M40" s="83">
        <v>5061.2</v>
      </c>
      <c r="N40" s="83">
        <v>4243.5</v>
      </c>
      <c r="O40" s="83">
        <v>22126.7</v>
      </c>
      <c r="P40" s="83">
        <v>20770.3</v>
      </c>
      <c r="Q40" s="83">
        <v>22163.3</v>
      </c>
      <c r="R40" s="83">
        <v>20799.099999999999</v>
      </c>
      <c r="S40" s="83">
        <v>19055.599999999999</v>
      </c>
      <c r="T40" s="83">
        <v>17785.5</v>
      </c>
      <c r="U40" s="83">
        <v>21759</v>
      </c>
      <c r="V40" s="83">
        <v>20395.599999999999</v>
      </c>
      <c r="X40" s="27">
        <f>Table25[[#This Row],[HDC1]]/Table25[[#This Row],[HCC1]]</f>
        <v>0.83843752469770016</v>
      </c>
      <c r="Y40" s="27">
        <f>Table25[[#This Row],[HDC2]]/Table25[[#This Row],[HCC2]]</f>
        <v>0.93869849548283291</v>
      </c>
      <c r="Z40" s="27">
        <f>Table25[[#This Row],[HDC3]]/Table25[[#This Row],[HCC3]]</f>
        <v>0.93844779432665715</v>
      </c>
      <c r="AA40" s="27">
        <f>Table25[[#This Row],[HDC4]]/Table25[[#This Row],[HCC4]]</f>
        <v>0.93334767732320167</v>
      </c>
      <c r="AB40" s="27">
        <f>Table25[[#This Row],[HDC5]]/Table25[[#This Row],[HCC5]]</f>
        <v>0.93734087044441372</v>
      </c>
      <c r="AC40" s="27"/>
      <c r="AE40" s="27"/>
      <c r="AF40">
        <f>SUM(Table25[[#This Row],[CC1]:[DC1]])</f>
        <v>759</v>
      </c>
      <c r="AG40">
        <f>SUM(Table25[[#This Row],[CC2]:[DC2]])</f>
        <v>760</v>
      </c>
      <c r="AH40">
        <f>SUM(Table25[[#This Row],[CC3]:[DC3]])</f>
        <v>749</v>
      </c>
      <c r="AI40">
        <f>SUM(Table25[[#This Row],[CC4]:[DC4]])</f>
        <v>753</v>
      </c>
      <c r="AJ40">
        <f>SUM(Table25[[#This Row],[CC5]:[DC5]])</f>
        <v>758</v>
      </c>
    </row>
    <row r="41" spans="1:36" ht="15">
      <c r="A41" t="s">
        <v>171</v>
      </c>
      <c r="B41" s="85" t="s">
        <v>458</v>
      </c>
      <c r="C41" s="126">
        <v>101</v>
      </c>
      <c r="D41" s="75">
        <v>653</v>
      </c>
      <c r="E41" s="75">
        <v>101</v>
      </c>
      <c r="F41" s="75">
        <v>654</v>
      </c>
      <c r="G41" s="75">
        <v>100</v>
      </c>
      <c r="H41" s="75">
        <v>653</v>
      </c>
      <c r="I41" s="75">
        <v>100</v>
      </c>
      <c r="J41" s="154">
        <v>653</v>
      </c>
      <c r="K41" s="154">
        <v>101</v>
      </c>
      <c r="L41" s="155">
        <v>653</v>
      </c>
      <c r="M41" s="83">
        <v>24851.8</v>
      </c>
      <c r="N41" s="83">
        <v>23471.3</v>
      </c>
      <c r="O41" s="83">
        <v>27761.4</v>
      </c>
      <c r="P41" s="83">
        <v>26318</v>
      </c>
      <c r="Q41" s="83">
        <v>27368.9</v>
      </c>
      <c r="R41" s="83">
        <v>25860.400000000001</v>
      </c>
      <c r="S41" s="83">
        <v>24791.599999999999</v>
      </c>
      <c r="T41" s="83">
        <v>23419.3</v>
      </c>
      <c r="U41" s="83">
        <v>27390.7</v>
      </c>
      <c r="V41" s="83">
        <v>25820.2</v>
      </c>
      <c r="X41" s="27">
        <f>Table25[[#This Row],[HDC1]]/Table25[[#This Row],[HCC1]]</f>
        <v>0.94445070377196016</v>
      </c>
      <c r="Y41" s="27">
        <f>Table25[[#This Row],[HDC2]]/Table25[[#This Row],[HCC2]]</f>
        <v>0.94800694489470982</v>
      </c>
      <c r="Z41" s="27">
        <f>Table25[[#This Row],[HDC3]]/Table25[[#This Row],[HCC3]]</f>
        <v>0.94488269532206259</v>
      </c>
      <c r="AA41" s="27">
        <f>Table25[[#This Row],[HDC4]]/Table25[[#This Row],[HCC4]]</f>
        <v>0.94464657383952633</v>
      </c>
      <c r="AB41" s="27">
        <f>Table25[[#This Row],[HDC5]]/Table25[[#This Row],[HCC5]]</f>
        <v>0.94266302066029706</v>
      </c>
      <c r="AC41" s="27"/>
      <c r="AE41" s="27"/>
      <c r="AF41">
        <f>SUM(Table25[[#This Row],[CC1]:[DC1]])</f>
        <v>754</v>
      </c>
      <c r="AG41">
        <f>SUM(Table25[[#This Row],[CC2]:[DC2]])</f>
        <v>755</v>
      </c>
      <c r="AH41">
        <f>SUM(Table25[[#This Row],[CC3]:[DC3]])</f>
        <v>753</v>
      </c>
      <c r="AI41">
        <f>SUM(Table25[[#This Row],[CC4]:[DC4]])</f>
        <v>753</v>
      </c>
      <c r="AJ41">
        <f>SUM(Table25[[#This Row],[CC5]:[DC5]])</f>
        <v>754</v>
      </c>
    </row>
    <row r="42" spans="1:36" ht="15">
      <c r="A42" t="s">
        <v>172</v>
      </c>
      <c r="B42" s="85" t="s">
        <v>459</v>
      </c>
      <c r="C42" s="126">
        <v>102</v>
      </c>
      <c r="D42" s="75">
        <v>654</v>
      </c>
      <c r="E42" s="75">
        <v>102</v>
      </c>
      <c r="F42" s="75">
        <v>654</v>
      </c>
      <c r="G42" s="75">
        <v>103</v>
      </c>
      <c r="H42" s="75">
        <v>653</v>
      </c>
      <c r="I42" s="75">
        <v>100</v>
      </c>
      <c r="J42" s="154">
        <v>654</v>
      </c>
      <c r="K42" s="154">
        <v>104</v>
      </c>
      <c r="L42" s="155">
        <v>650</v>
      </c>
      <c r="M42" s="83">
        <v>26600.3</v>
      </c>
      <c r="N42" s="83">
        <v>25410.400000000001</v>
      </c>
      <c r="O42" s="83">
        <v>30503.9</v>
      </c>
      <c r="P42" s="83">
        <v>28813.7</v>
      </c>
      <c r="Q42" s="83">
        <v>30450.799999999999</v>
      </c>
      <c r="R42" s="83">
        <v>28798.5</v>
      </c>
      <c r="S42" s="83">
        <v>30681.1</v>
      </c>
      <c r="T42" s="83">
        <v>28988.2</v>
      </c>
      <c r="U42" s="83">
        <v>30456</v>
      </c>
      <c r="V42" s="83">
        <v>28738.1</v>
      </c>
      <c r="X42" s="27">
        <f>Table25[[#This Row],[HDC1]]/Table25[[#This Row],[HCC1]]</f>
        <v>0.95526742179599489</v>
      </c>
      <c r="Y42" s="27">
        <f>Table25[[#This Row],[HDC2]]/Table25[[#This Row],[HCC2]]</f>
        <v>0.94459069168204723</v>
      </c>
      <c r="Z42" s="27">
        <f>Table25[[#This Row],[HDC3]]/Table25[[#This Row],[HCC3]]</f>
        <v>0.9457386998042745</v>
      </c>
      <c r="AA42" s="27">
        <f>Table25[[#This Row],[HDC4]]/Table25[[#This Row],[HCC4]]</f>
        <v>0.94482270844265692</v>
      </c>
      <c r="AB42" s="27">
        <f>Table25[[#This Row],[HDC5]]/Table25[[#This Row],[HCC5]]</f>
        <v>0.94359403729971103</v>
      </c>
      <c r="AC42" s="27"/>
      <c r="AE42" s="27"/>
      <c r="AF42">
        <f>SUM(Table25[[#This Row],[CC1]:[DC1]])</f>
        <v>756</v>
      </c>
      <c r="AG42">
        <f>SUM(Table25[[#This Row],[CC2]:[DC2]])</f>
        <v>756</v>
      </c>
      <c r="AH42">
        <f>SUM(Table25[[#This Row],[CC3]:[DC3]])</f>
        <v>756</v>
      </c>
      <c r="AI42">
        <f>SUM(Table25[[#This Row],[CC4]:[DC4]])</f>
        <v>754</v>
      </c>
      <c r="AJ42">
        <f>SUM(Table25[[#This Row],[CC5]:[DC5]])</f>
        <v>754</v>
      </c>
    </row>
    <row r="43" spans="1:36" ht="15">
      <c r="A43" t="s">
        <v>173</v>
      </c>
      <c r="B43" s="85" t="s">
        <v>460</v>
      </c>
      <c r="C43" s="126">
        <v>99</v>
      </c>
      <c r="D43" s="75">
        <v>652</v>
      </c>
      <c r="E43" s="75">
        <v>100</v>
      </c>
      <c r="F43" s="75">
        <v>652</v>
      </c>
      <c r="G43" s="75">
        <v>100</v>
      </c>
      <c r="H43" s="75">
        <v>655</v>
      </c>
      <c r="I43" s="75">
        <v>106</v>
      </c>
      <c r="J43" s="154">
        <v>647</v>
      </c>
      <c r="K43" s="154">
        <v>100</v>
      </c>
      <c r="L43" s="155">
        <v>653</v>
      </c>
      <c r="M43" s="83">
        <v>24749.5</v>
      </c>
      <c r="N43" s="83">
        <v>23280.9</v>
      </c>
      <c r="O43" s="83">
        <v>23660.2</v>
      </c>
      <c r="P43" s="83">
        <v>22283.599999999999</v>
      </c>
      <c r="Q43" s="83">
        <v>24671.4</v>
      </c>
      <c r="R43" s="83">
        <v>23258.5</v>
      </c>
      <c r="S43" s="83">
        <v>24172.1</v>
      </c>
      <c r="T43" s="83">
        <v>22727.3</v>
      </c>
      <c r="U43" s="83">
        <v>24466.1</v>
      </c>
      <c r="V43" s="83">
        <v>23057.5</v>
      </c>
      <c r="X43" s="27">
        <f>Table25[[#This Row],[HDC1]]/Table25[[#This Row],[HCC1]]</f>
        <v>0.94066142750358595</v>
      </c>
      <c r="Y43" s="27">
        <f>Table25[[#This Row],[HDC2]]/Table25[[#This Row],[HCC2]]</f>
        <v>0.9418179051740897</v>
      </c>
      <c r="Z43" s="27">
        <f>Table25[[#This Row],[HDC3]]/Table25[[#This Row],[HCC3]]</f>
        <v>0.94273125967719706</v>
      </c>
      <c r="AA43" s="27">
        <f>Table25[[#This Row],[HDC4]]/Table25[[#This Row],[HCC4]]</f>
        <v>0.94022861067098018</v>
      </c>
      <c r="AB43" s="27">
        <f>Table25[[#This Row],[HDC5]]/Table25[[#This Row],[HCC5]]</f>
        <v>0.94242645946840731</v>
      </c>
      <c r="AF43">
        <f>SUM(Table25[[#This Row],[CC1]:[DC1]])</f>
        <v>751</v>
      </c>
      <c r="AG43">
        <f>SUM(Table25[[#This Row],[CC2]:[DC2]])</f>
        <v>752</v>
      </c>
      <c r="AH43">
        <f>SUM(Table25[[#This Row],[CC3]:[DC3]])</f>
        <v>755</v>
      </c>
      <c r="AI43">
        <f>SUM(Table25[[#This Row],[CC4]:[DC4]])</f>
        <v>753</v>
      </c>
      <c r="AJ43">
        <f>SUM(Table25[[#This Row],[CC5]:[DC5]])</f>
        <v>753</v>
      </c>
    </row>
    <row r="44" spans="1:36" ht="15">
      <c r="A44" t="s">
        <v>174</v>
      </c>
      <c r="B44" s="85" t="s">
        <v>461</v>
      </c>
      <c r="C44" s="126">
        <v>101</v>
      </c>
      <c r="D44" s="75">
        <v>653</v>
      </c>
      <c r="E44" s="75">
        <v>100</v>
      </c>
      <c r="F44" s="75">
        <v>654</v>
      </c>
      <c r="G44" s="75">
        <v>100</v>
      </c>
      <c r="H44" s="75">
        <v>653</v>
      </c>
      <c r="I44" s="75">
        <v>103</v>
      </c>
      <c r="J44" s="154">
        <v>650</v>
      </c>
      <c r="K44" s="154">
        <v>103</v>
      </c>
      <c r="L44" s="155">
        <v>647</v>
      </c>
      <c r="M44" s="83">
        <v>25950.799999999999</v>
      </c>
      <c r="N44" s="83">
        <v>24847.3</v>
      </c>
      <c r="O44" s="83">
        <v>28312</v>
      </c>
      <c r="P44" s="83">
        <v>27091</v>
      </c>
      <c r="Q44" s="83">
        <v>29876.6</v>
      </c>
      <c r="R44" s="83">
        <v>28269.9</v>
      </c>
      <c r="S44" s="83">
        <v>29723.200000000001</v>
      </c>
      <c r="T44" s="83">
        <v>28203.1</v>
      </c>
      <c r="U44" s="83">
        <v>25549</v>
      </c>
      <c r="V44" s="83">
        <v>24527.8</v>
      </c>
      <c r="X44" s="27">
        <f>Table25[[#This Row],[HDC1]]/Table25[[#This Row],[HCC1]]</f>
        <v>0.95747722613561048</v>
      </c>
      <c r="Y44" s="27">
        <f>Table25[[#This Row],[HDC2]]/Table25[[#This Row],[HCC2]]</f>
        <v>0.95687341056795705</v>
      </c>
      <c r="Z44" s="27">
        <f>Table25[[#This Row],[HDC3]]/Table25[[#This Row],[HCC3]]</f>
        <v>0.94622212701579167</v>
      </c>
      <c r="AA44" s="27">
        <f>Table25[[#This Row],[HDC4]]/Table25[[#This Row],[HCC4]]</f>
        <v>0.94885813102223171</v>
      </c>
      <c r="AB44" s="27">
        <f>Table25[[#This Row],[HDC5]]/Table25[[#This Row],[HCC5]]</f>
        <v>0.96002974676112562</v>
      </c>
      <c r="AF44">
        <f>SUM(Table25[[#This Row],[CC1]:[DC1]])</f>
        <v>754</v>
      </c>
      <c r="AG44">
        <f>SUM(Table25[[#This Row],[CC2]:[DC2]])</f>
        <v>754</v>
      </c>
      <c r="AH44">
        <f>SUM(Table25[[#This Row],[CC3]:[DC3]])</f>
        <v>753</v>
      </c>
      <c r="AI44">
        <f>SUM(Table25[[#This Row],[CC4]:[DC4]])</f>
        <v>753</v>
      </c>
      <c r="AJ44">
        <f>SUM(Table25[[#This Row],[CC5]:[DC5]])</f>
        <v>750</v>
      </c>
    </row>
    <row r="45" spans="1:36" ht="15">
      <c r="A45" t="s">
        <v>175</v>
      </c>
      <c r="B45" s="85" t="s">
        <v>462</v>
      </c>
      <c r="C45" s="126">
        <v>100</v>
      </c>
      <c r="D45" s="75">
        <v>657</v>
      </c>
      <c r="E45" s="75">
        <v>103</v>
      </c>
      <c r="F45" s="75">
        <v>651</v>
      </c>
      <c r="G45" s="75">
        <v>103</v>
      </c>
      <c r="H45" s="75">
        <v>656</v>
      </c>
      <c r="I45" s="75">
        <v>100</v>
      </c>
      <c r="J45" s="154">
        <v>654</v>
      </c>
      <c r="K45" s="154">
        <v>99</v>
      </c>
      <c r="L45" s="155">
        <v>662</v>
      </c>
      <c r="M45" s="83">
        <v>29328.5</v>
      </c>
      <c r="N45" s="83">
        <v>27742.1</v>
      </c>
      <c r="O45" s="83">
        <v>25651.200000000001</v>
      </c>
      <c r="P45" s="83">
        <v>24592.9</v>
      </c>
      <c r="Q45" s="83">
        <v>28878.6</v>
      </c>
      <c r="R45" s="83">
        <v>27250.400000000001</v>
      </c>
      <c r="S45" s="83">
        <v>26520.6</v>
      </c>
      <c r="T45" s="83">
        <v>25365.7</v>
      </c>
      <c r="U45" s="83">
        <v>29998.1</v>
      </c>
      <c r="V45" s="83">
        <v>28363.200000000001</v>
      </c>
      <c r="X45" s="27">
        <f>Table25[[#This Row],[HDC1]]/Table25[[#This Row],[HCC1]]</f>
        <v>0.94590926914093798</v>
      </c>
      <c r="Y45" s="27">
        <f>Table25[[#This Row],[HDC2]]/Table25[[#This Row],[HCC2]]</f>
        <v>0.95874267090818366</v>
      </c>
      <c r="Z45" s="27">
        <f>Table25[[#This Row],[HDC3]]/Table25[[#This Row],[HCC3]]</f>
        <v>0.94361915051283662</v>
      </c>
      <c r="AA45" s="27">
        <f>Table25[[#This Row],[HDC4]]/Table25[[#This Row],[HCC4]]</f>
        <v>0.95645271977255419</v>
      </c>
      <c r="AB45" s="27">
        <f>Table25[[#This Row],[HDC5]]/Table25[[#This Row],[HCC5]]</f>
        <v>0.94549988165917187</v>
      </c>
      <c r="AF45">
        <f>SUM(Table25[[#This Row],[CC1]:[DC1]])</f>
        <v>757</v>
      </c>
      <c r="AG45">
        <f>SUM(Table25[[#This Row],[CC2]:[DC2]])</f>
        <v>754</v>
      </c>
      <c r="AH45">
        <f>SUM(Table25[[#This Row],[CC3]:[DC3]])</f>
        <v>759</v>
      </c>
      <c r="AI45">
        <f>SUM(Table25[[#This Row],[CC4]:[DC4]])</f>
        <v>754</v>
      </c>
      <c r="AJ45">
        <f>SUM(Table25[[#This Row],[CC5]:[DC5]])</f>
        <v>761</v>
      </c>
    </row>
    <row r="46" spans="1:36" ht="15">
      <c r="A46" t="s">
        <v>176</v>
      </c>
      <c r="B46" s="85" t="s">
        <v>463</v>
      </c>
      <c r="C46" s="126">
        <v>97</v>
      </c>
      <c r="D46" s="75">
        <v>652</v>
      </c>
      <c r="E46" s="75">
        <v>99</v>
      </c>
      <c r="F46" s="75">
        <v>655</v>
      </c>
      <c r="G46" s="75">
        <v>101</v>
      </c>
      <c r="H46" s="75">
        <v>655</v>
      </c>
      <c r="I46" s="75">
        <v>101</v>
      </c>
      <c r="J46" s="154">
        <v>653</v>
      </c>
      <c r="K46" s="154">
        <v>102</v>
      </c>
      <c r="L46" s="155">
        <v>651</v>
      </c>
      <c r="M46" s="83">
        <v>29367.7</v>
      </c>
      <c r="N46" s="83">
        <v>27842.799999999999</v>
      </c>
      <c r="O46" s="83">
        <v>25690.400000000001</v>
      </c>
      <c r="P46" s="83">
        <v>24628.1</v>
      </c>
      <c r="Q46" s="83">
        <v>28648.3</v>
      </c>
      <c r="R46" s="83">
        <v>27152.7</v>
      </c>
      <c r="S46" s="83">
        <v>28919.7</v>
      </c>
      <c r="T46" s="83">
        <v>27429.5</v>
      </c>
      <c r="U46" s="83">
        <v>25494.6</v>
      </c>
      <c r="V46" s="83">
        <v>24440</v>
      </c>
      <c r="X46" s="27">
        <f>Table25[[#This Row],[HDC1]]/Table25[[#This Row],[HCC1]]</f>
        <v>0.94807560687421888</v>
      </c>
      <c r="Y46" s="27">
        <f>Table25[[#This Row],[HDC2]]/Table25[[#This Row],[HCC2]]</f>
        <v>0.95864992370690982</v>
      </c>
      <c r="Z46" s="27">
        <f>Table25[[#This Row],[HDC3]]/Table25[[#This Row],[HCC3]]</f>
        <v>0.94779445900803894</v>
      </c>
      <c r="AA46" s="27">
        <f>Table25[[#This Row],[HDC4]]/Table25[[#This Row],[HCC4]]</f>
        <v>0.9484711113877391</v>
      </c>
      <c r="AB46" s="27">
        <f>Table25[[#This Row],[HDC5]]/Table25[[#This Row],[HCC5]]</f>
        <v>0.95863437747601454</v>
      </c>
      <c r="AF46">
        <f>SUM(Table25[[#This Row],[CC1]:[DC1]])</f>
        <v>749</v>
      </c>
      <c r="AG46">
        <f>SUM(Table25[[#This Row],[CC2]:[DC2]])</f>
        <v>754</v>
      </c>
      <c r="AH46">
        <f>SUM(Table25[[#This Row],[CC3]:[DC3]])</f>
        <v>756</v>
      </c>
      <c r="AI46">
        <f>SUM(Table25[[#This Row],[CC4]:[DC4]])</f>
        <v>754</v>
      </c>
      <c r="AJ46">
        <f>SUM(Table25[[#This Row],[CC5]:[DC5]])</f>
        <v>753</v>
      </c>
    </row>
    <row r="47" spans="1:36" ht="15">
      <c r="A47" t="s">
        <v>177</v>
      </c>
      <c r="B47" s="85" t="s">
        <v>464</v>
      </c>
      <c r="C47" s="126">
        <v>98</v>
      </c>
      <c r="D47" s="75">
        <v>654</v>
      </c>
      <c r="E47" s="75">
        <v>104</v>
      </c>
      <c r="F47" s="75">
        <v>647</v>
      </c>
      <c r="G47" s="75">
        <v>100</v>
      </c>
      <c r="H47" s="75">
        <v>647</v>
      </c>
      <c r="I47" s="75">
        <v>101</v>
      </c>
      <c r="J47" s="154">
        <v>651</v>
      </c>
      <c r="K47" s="154">
        <v>103</v>
      </c>
      <c r="L47" s="155">
        <v>649</v>
      </c>
      <c r="M47" s="83">
        <v>28999.1</v>
      </c>
      <c r="N47" s="83">
        <v>27401.9</v>
      </c>
      <c r="O47" s="83">
        <v>27983.4</v>
      </c>
      <c r="P47" s="83">
        <v>26438.6</v>
      </c>
      <c r="Q47" s="83">
        <v>25349.200000000001</v>
      </c>
      <c r="R47" s="83">
        <v>24249.9</v>
      </c>
      <c r="S47" s="83">
        <v>27944.400000000001</v>
      </c>
      <c r="T47" s="83">
        <v>26530.3</v>
      </c>
      <c r="U47" s="83">
        <v>27890</v>
      </c>
      <c r="V47" s="83">
        <v>26370</v>
      </c>
      <c r="X47" s="27">
        <f>Table25[[#This Row],[HDC1]]/Table25[[#This Row],[HCC1]]</f>
        <v>0.94492242862709541</v>
      </c>
      <c r="Y47" s="27">
        <f>Table25[[#This Row],[HDC2]]/Table25[[#This Row],[HCC2]]</f>
        <v>0.9447958432499266</v>
      </c>
      <c r="Z47" s="27">
        <f>Table25[[#This Row],[HDC3]]/Table25[[#This Row],[HCC3]]</f>
        <v>0.95663373992078649</v>
      </c>
      <c r="AA47" s="27">
        <f>Table25[[#This Row],[HDC4]]/Table25[[#This Row],[HCC4]]</f>
        <v>0.94939594337326971</v>
      </c>
      <c r="AB47" s="27">
        <f>Table25[[#This Row],[HDC5]]/Table25[[#This Row],[HCC5]]</f>
        <v>0.94550017927572605</v>
      </c>
      <c r="AF47">
        <f>SUM(Table25[[#This Row],[CC1]:[DC1]])</f>
        <v>752</v>
      </c>
      <c r="AG47">
        <f>SUM(Table25[[#This Row],[CC2]:[DC2]])</f>
        <v>751</v>
      </c>
      <c r="AH47">
        <f>SUM(Table25[[#This Row],[CC3]:[DC3]])</f>
        <v>747</v>
      </c>
      <c r="AI47">
        <f>SUM(Table25[[#This Row],[CC4]:[DC4]])</f>
        <v>752</v>
      </c>
      <c r="AJ47">
        <f>SUM(Table25[[#This Row],[CC5]:[DC5]])</f>
        <v>752</v>
      </c>
    </row>
    <row r="48" spans="1:36" ht="15">
      <c r="A48" t="s">
        <v>178</v>
      </c>
      <c r="B48" s="85" t="s">
        <v>465</v>
      </c>
      <c r="C48" s="126">
        <v>100</v>
      </c>
      <c r="D48" s="75">
        <v>685</v>
      </c>
      <c r="E48" s="75">
        <v>100</v>
      </c>
      <c r="F48" s="75">
        <v>687</v>
      </c>
      <c r="G48" s="75">
        <v>100</v>
      </c>
      <c r="H48" s="75">
        <v>686</v>
      </c>
      <c r="I48" s="75">
        <v>102</v>
      </c>
      <c r="J48" s="154">
        <v>687</v>
      </c>
      <c r="K48" s="154">
        <v>106</v>
      </c>
      <c r="L48" s="155">
        <v>678</v>
      </c>
      <c r="M48" s="83">
        <v>27547</v>
      </c>
      <c r="N48" s="83">
        <v>26418.2</v>
      </c>
      <c r="O48" s="83">
        <v>32374.6</v>
      </c>
      <c r="P48" s="83">
        <v>30689.200000000001</v>
      </c>
      <c r="Q48" s="83">
        <v>28212.2</v>
      </c>
      <c r="R48" s="83">
        <v>26980.5</v>
      </c>
      <c r="S48" s="83">
        <v>27471.7</v>
      </c>
      <c r="T48" s="83">
        <v>26336</v>
      </c>
      <c r="U48" s="83">
        <v>20359</v>
      </c>
      <c r="V48" s="83">
        <v>19559.5</v>
      </c>
      <c r="X48" s="27">
        <f>Table25[[#This Row],[HDC1]]/Table25[[#This Row],[HCC1]]</f>
        <v>0.95902276109921225</v>
      </c>
      <c r="Y48" s="27">
        <f>Table25[[#This Row],[HDC2]]/Table25[[#This Row],[HCC2]]</f>
        <v>0.94794066953722989</v>
      </c>
      <c r="Z48" s="27">
        <f>Table25[[#This Row],[HDC3]]/Table25[[#This Row],[HCC3]]</f>
        <v>0.95634158271953262</v>
      </c>
      <c r="AA48" s="27">
        <f>Table25[[#This Row],[HDC4]]/Table25[[#This Row],[HCC4]]</f>
        <v>0.95865927481735747</v>
      </c>
      <c r="AB48" s="27">
        <f>Table25[[#This Row],[HDC5]]/Table25[[#This Row],[HCC5]]</f>
        <v>0.96072989832506506</v>
      </c>
      <c r="AF48">
        <f>SUM(Table25[[#This Row],[CC1]:[DC1]])</f>
        <v>785</v>
      </c>
      <c r="AG48">
        <f>SUM(Table25[[#This Row],[CC2]:[DC2]])</f>
        <v>787</v>
      </c>
      <c r="AH48">
        <f>SUM(Table25[[#This Row],[CC3]:[DC3]])</f>
        <v>786</v>
      </c>
      <c r="AI48">
        <f>SUM(Table25[[#This Row],[CC4]:[DC4]])</f>
        <v>789</v>
      </c>
      <c r="AJ48">
        <f>SUM(Table25[[#This Row],[CC5]:[DC5]])</f>
        <v>784</v>
      </c>
    </row>
    <row r="49" spans="1:36" ht="15">
      <c r="A49" t="s">
        <v>179</v>
      </c>
      <c r="B49" s="85" t="s">
        <v>466</v>
      </c>
      <c r="C49" s="126">
        <v>95</v>
      </c>
      <c r="D49" s="75">
        <v>658</v>
      </c>
      <c r="E49" s="75">
        <v>99</v>
      </c>
      <c r="F49" s="75">
        <v>649</v>
      </c>
      <c r="G49" s="75">
        <v>101</v>
      </c>
      <c r="H49" s="75">
        <v>652</v>
      </c>
      <c r="I49" s="75">
        <v>103</v>
      </c>
      <c r="J49" s="154">
        <v>646</v>
      </c>
      <c r="K49" s="154">
        <v>101</v>
      </c>
      <c r="L49" s="155">
        <v>649</v>
      </c>
      <c r="M49" s="83">
        <v>25960.400000000001</v>
      </c>
      <c r="N49" s="83">
        <v>24863.8</v>
      </c>
      <c r="O49" s="83">
        <v>29484</v>
      </c>
      <c r="P49" s="83">
        <v>27909.9</v>
      </c>
      <c r="Q49" s="83">
        <v>26016.6</v>
      </c>
      <c r="R49" s="83">
        <v>24930.9</v>
      </c>
      <c r="S49" s="83">
        <v>28207.5</v>
      </c>
      <c r="T49" s="83">
        <v>27117.5</v>
      </c>
      <c r="U49" s="83">
        <v>29464.7</v>
      </c>
      <c r="V49" s="83">
        <v>27911.7</v>
      </c>
      <c r="X49" s="27">
        <f>Table25[[#This Row],[HDC1]]/Table25[[#This Row],[HCC1]]</f>
        <v>0.9577587402351273</v>
      </c>
      <c r="Y49" s="27">
        <f>Table25[[#This Row],[HDC2]]/Table25[[#This Row],[HCC2]]</f>
        <v>0.94661172161172169</v>
      </c>
      <c r="Z49" s="27">
        <f>Table25[[#This Row],[HDC3]]/Table25[[#This Row],[HCC3]]</f>
        <v>0.958268951361823</v>
      </c>
      <c r="AA49" s="27">
        <f>Table25[[#This Row],[HDC4]]/Table25[[#This Row],[HCC4]]</f>
        <v>0.96135779491270057</v>
      </c>
      <c r="AB49" s="27">
        <f>Table25[[#This Row],[HDC5]]/Table25[[#This Row],[HCC5]]</f>
        <v>0.94729286230642096</v>
      </c>
      <c r="AF49">
        <f>SUM(Table25[[#This Row],[CC1]:[DC1]])</f>
        <v>753</v>
      </c>
      <c r="AG49">
        <f>SUM(Table25[[#This Row],[CC2]:[DC2]])</f>
        <v>748</v>
      </c>
      <c r="AH49">
        <f>SUM(Table25[[#This Row],[CC3]:[DC3]])</f>
        <v>753</v>
      </c>
      <c r="AI49">
        <f>SUM(Table25[[#This Row],[CC4]:[DC4]])</f>
        <v>749</v>
      </c>
      <c r="AJ49">
        <f>SUM(Table25[[#This Row],[CC5]:[DC5]])</f>
        <v>750</v>
      </c>
    </row>
    <row r="50" spans="1:36" ht="15">
      <c r="A50" t="s">
        <v>180</v>
      </c>
      <c r="B50" s="85" t="s">
        <v>467</v>
      </c>
      <c r="C50" s="126">
        <v>99</v>
      </c>
      <c r="D50" s="75">
        <v>685</v>
      </c>
      <c r="E50" s="75">
        <v>101</v>
      </c>
      <c r="F50" s="75">
        <v>680</v>
      </c>
      <c r="G50" s="75">
        <v>100</v>
      </c>
      <c r="H50" s="75">
        <v>663</v>
      </c>
      <c r="I50" s="75">
        <v>101</v>
      </c>
      <c r="J50" s="154">
        <v>679</v>
      </c>
      <c r="K50" s="154">
        <v>101</v>
      </c>
      <c r="L50" s="155">
        <v>678</v>
      </c>
      <c r="M50" s="83">
        <v>28868.9</v>
      </c>
      <c r="N50" s="83">
        <v>27320.3</v>
      </c>
      <c r="O50" s="83">
        <v>24561.7</v>
      </c>
      <c r="P50" s="83">
        <v>23578.2</v>
      </c>
      <c r="Q50" s="83">
        <v>24408.3</v>
      </c>
      <c r="R50" s="83">
        <v>23474.9</v>
      </c>
      <c r="S50" s="83">
        <v>28495.1</v>
      </c>
      <c r="T50" s="83">
        <v>26929.8</v>
      </c>
      <c r="U50" s="83">
        <v>24939</v>
      </c>
      <c r="V50" s="83">
        <v>23951.4</v>
      </c>
      <c r="X50" s="27">
        <f>Table25[[#This Row],[HDC1]]/Table25[[#This Row],[HCC1]]</f>
        <v>0.94635749890020049</v>
      </c>
      <c r="Y50" s="27">
        <f>Table25[[#This Row],[HDC2]]/Table25[[#This Row],[HCC2]]</f>
        <v>0.95995798336434368</v>
      </c>
      <c r="Z50" s="27">
        <f>Table25[[#This Row],[HDC3]]/Table25[[#This Row],[HCC3]]</f>
        <v>0.96175890987901669</v>
      </c>
      <c r="AA50" s="27">
        <f>Table25[[#This Row],[HDC4]]/Table25[[#This Row],[HCC4]]</f>
        <v>0.94506774849009134</v>
      </c>
      <c r="AB50" s="27">
        <f>Table25[[#This Row],[HDC5]]/Table25[[#This Row],[HCC5]]</f>
        <v>0.96039937447371593</v>
      </c>
      <c r="AF50">
        <f>SUM(Table25[[#This Row],[CC1]:[DC1]])</f>
        <v>784</v>
      </c>
      <c r="AG50">
        <f>SUM(Table25[[#This Row],[CC2]:[DC2]])</f>
        <v>781</v>
      </c>
      <c r="AH50">
        <f>SUM(Table25[[#This Row],[CC3]:[DC3]])</f>
        <v>763</v>
      </c>
      <c r="AI50">
        <f>SUM(Table25[[#This Row],[CC4]:[DC4]])</f>
        <v>780</v>
      </c>
      <c r="AJ50">
        <f>SUM(Table25[[#This Row],[CC5]:[DC5]])</f>
        <v>779</v>
      </c>
    </row>
    <row r="51" spans="1:36" ht="15">
      <c r="A51" t="s">
        <v>181</v>
      </c>
      <c r="B51" s="85" t="s">
        <v>468</v>
      </c>
      <c r="C51" s="126">
        <v>100</v>
      </c>
      <c r="D51" s="75">
        <v>688</v>
      </c>
      <c r="E51" s="75">
        <v>98</v>
      </c>
      <c r="F51" s="75">
        <v>685</v>
      </c>
      <c r="G51" s="75">
        <v>99</v>
      </c>
      <c r="H51" s="75">
        <v>686</v>
      </c>
      <c r="I51" s="75">
        <v>100</v>
      </c>
      <c r="J51" s="154">
        <v>661</v>
      </c>
      <c r="K51" s="154">
        <v>101</v>
      </c>
      <c r="L51" s="155">
        <v>686</v>
      </c>
      <c r="M51" s="83">
        <v>20348.2</v>
      </c>
      <c r="N51" s="83">
        <v>19059.3</v>
      </c>
      <c r="O51" s="83">
        <v>20332.400000000001</v>
      </c>
      <c r="P51" s="83">
        <v>19103.7</v>
      </c>
      <c r="Q51" s="83">
        <v>16697.099999999999</v>
      </c>
      <c r="R51" s="83">
        <v>16051.9</v>
      </c>
      <c r="S51" s="83">
        <v>15665</v>
      </c>
      <c r="T51" s="83">
        <v>15042.6</v>
      </c>
      <c r="U51" s="83">
        <v>20323.8</v>
      </c>
      <c r="V51" s="83">
        <v>19056</v>
      </c>
      <c r="X51" s="27">
        <f>Table25[[#This Row],[HDC1]]/Table25[[#This Row],[HCC1]]</f>
        <v>0.93665778791244425</v>
      </c>
      <c r="Y51" s="27">
        <f>Table25[[#This Row],[HDC2]]/Table25[[#This Row],[HCC2]]</f>
        <v>0.93956935728197355</v>
      </c>
      <c r="Z51" s="27">
        <f>Table25[[#This Row],[HDC3]]/Table25[[#This Row],[HCC3]]</f>
        <v>0.96135855927077163</v>
      </c>
      <c r="AA51" s="27">
        <f>Table25[[#This Row],[HDC4]]/Table25[[#This Row],[HCC4]]</f>
        <v>0.96026811362910947</v>
      </c>
      <c r="AB51" s="27">
        <f>Table25[[#This Row],[HDC5]]/Table25[[#This Row],[HCC5]]</f>
        <v>0.93761993328019366</v>
      </c>
      <c r="AF51">
        <f>SUM(Table25[[#This Row],[CC1]:[DC1]])</f>
        <v>788</v>
      </c>
      <c r="AG51">
        <f>SUM(Table25[[#This Row],[CC2]:[DC2]])</f>
        <v>783</v>
      </c>
      <c r="AH51">
        <f>SUM(Table25[[#This Row],[CC3]:[DC3]])</f>
        <v>785</v>
      </c>
      <c r="AI51">
        <f>SUM(Table25[[#This Row],[CC4]:[DC4]])</f>
        <v>761</v>
      </c>
      <c r="AJ51">
        <f>SUM(Table25[[#This Row],[CC5]:[DC5]])</f>
        <v>787</v>
      </c>
    </row>
    <row r="52" spans="1:36" ht="15">
      <c r="A52" t="s">
        <v>182</v>
      </c>
      <c r="B52" s="85" t="s">
        <v>469</v>
      </c>
      <c r="C52" s="126">
        <v>99</v>
      </c>
      <c r="D52" s="75">
        <v>653</v>
      </c>
      <c r="E52" s="75">
        <v>100</v>
      </c>
      <c r="F52" s="75">
        <v>650</v>
      </c>
      <c r="G52" s="75">
        <v>99</v>
      </c>
      <c r="H52" s="75">
        <v>659</v>
      </c>
      <c r="I52" s="75">
        <v>99</v>
      </c>
      <c r="J52" s="154">
        <v>658</v>
      </c>
      <c r="K52" s="154">
        <v>99</v>
      </c>
      <c r="L52" s="155">
        <v>653</v>
      </c>
      <c r="M52" s="83">
        <v>18760.8</v>
      </c>
      <c r="N52" s="83">
        <v>17497.8</v>
      </c>
      <c r="O52" s="83">
        <v>18619.2</v>
      </c>
      <c r="P52" s="83">
        <v>17369.3</v>
      </c>
      <c r="Q52" s="83">
        <v>15492.1</v>
      </c>
      <c r="R52" s="83">
        <v>14342.8</v>
      </c>
      <c r="S52" s="83">
        <v>18572.599999999999</v>
      </c>
      <c r="T52" s="83">
        <v>17264.400000000001</v>
      </c>
      <c r="U52" s="83">
        <v>18647.2</v>
      </c>
      <c r="V52" s="83">
        <v>17402.400000000001</v>
      </c>
      <c r="X52" s="27">
        <f>Table25[[#This Row],[HDC1]]/Table25[[#This Row],[HCC1]]</f>
        <v>0.93267877702443391</v>
      </c>
      <c r="Y52" s="27">
        <f>Table25[[#This Row],[HDC2]]/Table25[[#This Row],[HCC2]]</f>
        <v>0.93287037037037035</v>
      </c>
      <c r="Z52" s="27">
        <f>Table25[[#This Row],[HDC3]]/Table25[[#This Row],[HCC3]]</f>
        <v>0.92581380187321272</v>
      </c>
      <c r="AA52" s="27">
        <f>Table25[[#This Row],[HDC4]]/Table25[[#This Row],[HCC4]]</f>
        <v>0.9295629044937167</v>
      </c>
      <c r="AB52" s="27">
        <f>Table25[[#This Row],[HDC5]]/Table25[[#This Row],[HCC5]]</f>
        <v>0.93324466944098849</v>
      </c>
      <c r="AF52">
        <f>SUM(Table25[[#This Row],[CC1]:[DC1]])</f>
        <v>752</v>
      </c>
      <c r="AG52">
        <f>SUM(Table25[[#This Row],[CC2]:[DC2]])</f>
        <v>750</v>
      </c>
      <c r="AH52">
        <f>SUM(Table25[[#This Row],[CC3]:[DC3]])</f>
        <v>758</v>
      </c>
      <c r="AI52">
        <f>SUM(Table25[[#This Row],[CC4]:[DC4]])</f>
        <v>757</v>
      </c>
      <c r="AJ52">
        <f>SUM(Table25[[#This Row],[CC5]:[DC5]])</f>
        <v>752</v>
      </c>
    </row>
    <row r="53" spans="1:36" ht="15">
      <c r="A53" t="s">
        <v>183</v>
      </c>
      <c r="B53" s="85" t="s">
        <v>470</v>
      </c>
      <c r="C53" s="126">
        <v>97</v>
      </c>
      <c r="D53" s="75">
        <v>656</v>
      </c>
      <c r="E53" s="75">
        <v>98</v>
      </c>
      <c r="F53" s="75">
        <v>650</v>
      </c>
      <c r="G53" s="75">
        <v>99</v>
      </c>
      <c r="H53" s="75">
        <v>648</v>
      </c>
      <c r="I53" s="75">
        <v>100</v>
      </c>
      <c r="J53" s="154">
        <v>650</v>
      </c>
      <c r="K53" s="154">
        <v>102</v>
      </c>
      <c r="L53" s="155">
        <v>645</v>
      </c>
      <c r="M53" s="83">
        <v>28745.7</v>
      </c>
      <c r="N53" s="83">
        <v>27112.1</v>
      </c>
      <c r="O53" s="83">
        <v>24336.799999999999</v>
      </c>
      <c r="P53" s="83">
        <v>23370.1</v>
      </c>
      <c r="Q53" s="83">
        <v>28601.8</v>
      </c>
      <c r="R53" s="83">
        <v>27033</v>
      </c>
      <c r="S53" s="83">
        <v>27972.6</v>
      </c>
      <c r="T53" s="83">
        <v>26457</v>
      </c>
      <c r="U53" s="83">
        <v>27685.5</v>
      </c>
      <c r="V53" s="83">
        <v>26144.3</v>
      </c>
      <c r="X53" s="27">
        <f>Table25[[#This Row],[HDC1]]/Table25[[#This Row],[HCC1]]</f>
        <v>0.9431706307378146</v>
      </c>
      <c r="Y53" s="27">
        <f>Table25[[#This Row],[HDC2]]/Table25[[#This Row],[HCC2]]</f>
        <v>0.9602782617270964</v>
      </c>
      <c r="Z53" s="27">
        <f>Table25[[#This Row],[HDC3]]/Table25[[#This Row],[HCC3]]</f>
        <v>0.94515030522554522</v>
      </c>
      <c r="AA53" s="27">
        <f>Table25[[#This Row],[HDC4]]/Table25[[#This Row],[HCC4]]</f>
        <v>0.94581840801355621</v>
      </c>
      <c r="AB53" s="27">
        <f>Table25[[#This Row],[HDC5]]/Table25[[#This Row],[HCC5]]</f>
        <v>0.9443318704737137</v>
      </c>
      <c r="AF53">
        <f>SUM(Table25[[#This Row],[CC1]:[DC1]])</f>
        <v>753</v>
      </c>
      <c r="AG53">
        <f>SUM(Table25[[#This Row],[CC2]:[DC2]])</f>
        <v>748</v>
      </c>
      <c r="AH53">
        <f>SUM(Table25[[#This Row],[CC3]:[DC3]])</f>
        <v>747</v>
      </c>
      <c r="AI53">
        <f>SUM(Table25[[#This Row],[CC4]:[DC4]])</f>
        <v>750</v>
      </c>
      <c r="AJ53">
        <f>SUM(Table25[[#This Row],[CC5]:[DC5]])</f>
        <v>747</v>
      </c>
    </row>
    <row r="54" spans="1:36" ht="15">
      <c r="A54" t="s">
        <v>184</v>
      </c>
      <c r="B54" s="85" t="s">
        <v>471</v>
      </c>
      <c r="C54" s="126">
        <v>79</v>
      </c>
      <c r="D54" s="75">
        <v>672</v>
      </c>
      <c r="E54" s="75">
        <v>77</v>
      </c>
      <c r="F54" s="75">
        <v>669</v>
      </c>
      <c r="G54" s="75">
        <v>76</v>
      </c>
      <c r="H54" s="75">
        <v>670</v>
      </c>
      <c r="I54" s="75">
        <v>68</v>
      </c>
      <c r="J54" s="154">
        <v>680</v>
      </c>
      <c r="K54" s="154">
        <v>81</v>
      </c>
      <c r="L54" s="155">
        <v>666</v>
      </c>
      <c r="M54" s="83">
        <v>21804.7</v>
      </c>
      <c r="N54" s="83">
        <v>20927</v>
      </c>
      <c r="O54" s="83">
        <v>24783.7</v>
      </c>
      <c r="P54" s="83">
        <v>23366.3</v>
      </c>
      <c r="Q54" s="83">
        <v>24567.1</v>
      </c>
      <c r="R54" s="83">
        <v>23182.400000000001</v>
      </c>
      <c r="S54" s="83">
        <v>21817.5</v>
      </c>
      <c r="T54" s="83">
        <v>20849.599999999999</v>
      </c>
      <c r="U54" s="83">
        <v>24922.400000000001</v>
      </c>
      <c r="V54" s="83">
        <v>23534.7</v>
      </c>
      <c r="X54" s="27">
        <f>Table25[[#This Row],[HDC1]]/Table25[[#This Row],[HCC1]]</f>
        <v>0.95974721046379907</v>
      </c>
      <c r="Y54" s="27">
        <f>Table25[[#This Row],[HDC2]]/Table25[[#This Row],[HCC2]]</f>
        <v>0.94280918506921885</v>
      </c>
      <c r="Z54" s="27">
        <f>Table25[[#This Row],[HDC3]]/Table25[[#This Row],[HCC3]]</f>
        <v>0.94363600099319833</v>
      </c>
      <c r="AA54" s="27">
        <f>Table25[[#This Row],[HDC4]]/Table25[[#This Row],[HCC4]]</f>
        <v>0.9556365303082387</v>
      </c>
      <c r="AB54" s="27">
        <f>Table25[[#This Row],[HDC5]]/Table25[[#This Row],[HCC5]]</f>
        <v>0.94431916669341631</v>
      </c>
      <c r="AF54">
        <f>SUM(Table25[[#This Row],[CC1]:[DC1]])</f>
        <v>751</v>
      </c>
      <c r="AG54">
        <f>SUM(Table25[[#This Row],[CC2]:[DC2]])</f>
        <v>746</v>
      </c>
      <c r="AH54">
        <f>SUM(Table25[[#This Row],[CC3]:[DC3]])</f>
        <v>746</v>
      </c>
      <c r="AI54">
        <f>SUM(Table25[[#This Row],[CC4]:[DC4]])</f>
        <v>748</v>
      </c>
      <c r="AJ54">
        <f>SUM(Table25[[#This Row],[CC5]:[DC5]])</f>
        <v>747</v>
      </c>
    </row>
    <row r="55" spans="1:36" ht="15">
      <c r="A55" t="s">
        <v>185</v>
      </c>
      <c r="B55" s="85" t="s">
        <v>472</v>
      </c>
      <c r="C55" s="126">
        <v>81</v>
      </c>
      <c r="D55" s="75">
        <v>671</v>
      </c>
      <c r="E55" s="75">
        <v>85</v>
      </c>
      <c r="F55" s="75">
        <v>667</v>
      </c>
      <c r="G55" s="75">
        <v>81</v>
      </c>
      <c r="H55" s="75">
        <v>671</v>
      </c>
      <c r="I55" s="75">
        <v>71</v>
      </c>
      <c r="J55" s="154">
        <v>681</v>
      </c>
      <c r="K55" s="154">
        <v>84</v>
      </c>
      <c r="L55" s="155">
        <v>665</v>
      </c>
      <c r="M55" s="83">
        <v>21979.9</v>
      </c>
      <c r="N55" s="83">
        <v>20997</v>
      </c>
      <c r="O55" s="83">
        <v>25129.7</v>
      </c>
      <c r="P55" s="83">
        <v>23688</v>
      </c>
      <c r="Q55" s="83">
        <v>25472.1</v>
      </c>
      <c r="R55" s="83">
        <v>23995.7</v>
      </c>
      <c r="S55" s="83">
        <v>25136.3</v>
      </c>
      <c r="T55" s="83">
        <v>23765.9</v>
      </c>
      <c r="U55" s="83">
        <v>25363.9</v>
      </c>
      <c r="V55" s="83">
        <v>23932</v>
      </c>
      <c r="X55" s="27">
        <f>Table25[[#This Row],[HDC1]]/Table25[[#This Row],[HCC1]]</f>
        <v>0.95528187116410901</v>
      </c>
      <c r="Y55" s="27">
        <f>Table25[[#This Row],[HDC2]]/Table25[[#This Row],[HCC2]]</f>
        <v>0.94262963744095629</v>
      </c>
      <c r="Z55" s="27">
        <f>Table25[[#This Row],[HDC3]]/Table25[[#This Row],[HCC3]]</f>
        <v>0.94203854413260002</v>
      </c>
      <c r="AA55" s="27">
        <f>Table25[[#This Row],[HDC4]]/Table25[[#This Row],[HCC4]]</f>
        <v>0.94548123629969416</v>
      </c>
      <c r="AB55" s="27">
        <f>Table25[[#This Row],[HDC5]]/Table25[[#This Row],[HCC5]]</f>
        <v>0.94354574809079039</v>
      </c>
      <c r="AF55">
        <f>SUM(Table25[[#This Row],[CC1]:[DC1]])</f>
        <v>752</v>
      </c>
      <c r="AG55">
        <f>SUM(Table25[[#This Row],[CC2]:[DC2]])</f>
        <v>752</v>
      </c>
      <c r="AH55">
        <f>SUM(Table25[[#This Row],[CC3]:[DC3]])</f>
        <v>752</v>
      </c>
      <c r="AI55">
        <f>SUM(Table25[[#This Row],[CC4]:[DC4]])</f>
        <v>752</v>
      </c>
      <c r="AJ55">
        <f>SUM(Table25[[#This Row],[CC5]:[DC5]])</f>
        <v>749</v>
      </c>
    </row>
    <row r="56" spans="1:36" ht="15">
      <c r="A56" t="s">
        <v>186</v>
      </c>
      <c r="B56" s="85" t="s">
        <v>473</v>
      </c>
      <c r="C56" s="126">
        <v>81</v>
      </c>
      <c r="D56" s="75">
        <v>669</v>
      </c>
      <c r="E56" s="75">
        <v>82</v>
      </c>
      <c r="F56" s="75">
        <v>665</v>
      </c>
      <c r="G56" s="75">
        <v>68</v>
      </c>
      <c r="H56" s="75">
        <v>674</v>
      </c>
      <c r="I56" s="75">
        <v>85</v>
      </c>
      <c r="J56" s="154">
        <v>664</v>
      </c>
      <c r="K56" s="154">
        <v>83</v>
      </c>
      <c r="L56" s="155">
        <v>666</v>
      </c>
      <c r="M56" s="83">
        <v>22475.7</v>
      </c>
      <c r="N56" s="83">
        <v>21565.8</v>
      </c>
      <c r="O56" s="83">
        <v>25228.2</v>
      </c>
      <c r="P56" s="83">
        <v>23790.9</v>
      </c>
      <c r="Q56" s="83">
        <v>22051.1</v>
      </c>
      <c r="R56" s="83">
        <v>21137.4</v>
      </c>
      <c r="S56" s="83">
        <v>25192.7</v>
      </c>
      <c r="T56" s="83">
        <v>23801.200000000001</v>
      </c>
      <c r="U56" s="83">
        <v>25358.9</v>
      </c>
      <c r="V56" s="83">
        <v>23974.7</v>
      </c>
      <c r="X56" s="27">
        <f>Table25[[#This Row],[HDC1]]/Table25[[#This Row],[HCC1]]</f>
        <v>0.95951627757978608</v>
      </c>
      <c r="Y56" s="27">
        <f>Table25[[#This Row],[HDC2]]/Table25[[#This Row],[HCC2]]</f>
        <v>0.94302804005041985</v>
      </c>
      <c r="Z56" s="27">
        <f>Table25[[#This Row],[HDC3]]/Table25[[#This Row],[HCC3]]</f>
        <v>0.95856442535746533</v>
      </c>
      <c r="AA56" s="27">
        <f>Table25[[#This Row],[HDC4]]/Table25[[#This Row],[HCC4]]</f>
        <v>0.94476574563266347</v>
      </c>
      <c r="AB56" s="27">
        <f>Table25[[#This Row],[HDC5]]/Table25[[#This Row],[HCC5]]</f>
        <v>0.94541561345326486</v>
      </c>
      <c r="AF56">
        <f>SUM(Table25[[#This Row],[CC1]:[DC1]])</f>
        <v>750</v>
      </c>
      <c r="AG56">
        <f>SUM(Table25[[#This Row],[CC2]:[DC2]])</f>
        <v>747</v>
      </c>
      <c r="AH56">
        <f>SUM(Table25[[#This Row],[CC3]:[DC3]])</f>
        <v>742</v>
      </c>
      <c r="AI56">
        <f>SUM(Table25[[#This Row],[CC4]:[DC4]])</f>
        <v>749</v>
      </c>
      <c r="AJ56">
        <f>SUM(Table25[[#This Row],[CC5]:[DC5]])</f>
        <v>749</v>
      </c>
    </row>
    <row r="57" spans="1:36" ht="15">
      <c r="A57" t="s">
        <v>187</v>
      </c>
      <c r="B57" s="85" t="s">
        <v>474</v>
      </c>
      <c r="C57" s="126">
        <v>75</v>
      </c>
      <c r="D57" s="75">
        <v>691</v>
      </c>
      <c r="E57" s="75">
        <v>85</v>
      </c>
      <c r="F57" s="75">
        <v>676</v>
      </c>
      <c r="G57" s="75">
        <v>86</v>
      </c>
      <c r="H57" s="75">
        <v>672</v>
      </c>
      <c r="I57" s="75">
        <v>87</v>
      </c>
      <c r="J57" s="154">
        <v>672</v>
      </c>
      <c r="K57" s="154">
        <v>74</v>
      </c>
      <c r="L57" s="155">
        <v>679</v>
      </c>
      <c r="M57" s="83">
        <v>22576.9</v>
      </c>
      <c r="N57" s="83">
        <v>21691.4</v>
      </c>
      <c r="O57" s="83">
        <v>22325.9</v>
      </c>
      <c r="P57" s="83">
        <v>21384.7</v>
      </c>
      <c r="Q57" s="83">
        <v>21867.9</v>
      </c>
      <c r="R57" s="83">
        <v>20905.3</v>
      </c>
      <c r="S57" s="83">
        <v>22370.6</v>
      </c>
      <c r="T57" s="83">
        <v>21423.5</v>
      </c>
      <c r="U57" s="83">
        <v>25227.7</v>
      </c>
      <c r="V57" s="83">
        <v>23837.1</v>
      </c>
      <c r="X57" s="27">
        <f>Table25[[#This Row],[HDC1]]/Table25[[#This Row],[HCC1]]</f>
        <v>0.96077849483321454</v>
      </c>
      <c r="Y57" s="27">
        <f>Table25[[#This Row],[HDC2]]/Table25[[#This Row],[HCC2]]</f>
        <v>0.95784268495335012</v>
      </c>
      <c r="Z57" s="27">
        <f>Table25[[#This Row],[HDC3]]/Table25[[#This Row],[HCC3]]</f>
        <v>0.95598114130757861</v>
      </c>
      <c r="AA57" s="27">
        <f>Table25[[#This Row],[HDC4]]/Table25[[#This Row],[HCC4]]</f>
        <v>0.95766318292759256</v>
      </c>
      <c r="AB57" s="27">
        <f>Table25[[#This Row],[HDC5]]/Table25[[#This Row],[HCC5]]</f>
        <v>0.94487805071409592</v>
      </c>
      <c r="AF57">
        <f>SUM(Table25[[#This Row],[CC1]:[DC1]])</f>
        <v>766</v>
      </c>
      <c r="AG57">
        <f>SUM(Table25[[#This Row],[CC2]:[DC2]])</f>
        <v>761</v>
      </c>
      <c r="AH57">
        <f>SUM(Table25[[#This Row],[CC3]:[DC3]])</f>
        <v>758</v>
      </c>
      <c r="AI57">
        <f>SUM(Table25[[#This Row],[CC4]:[DC4]])</f>
        <v>759</v>
      </c>
      <c r="AJ57">
        <f>SUM(Table25[[#This Row],[CC5]:[DC5]])</f>
        <v>753</v>
      </c>
    </row>
    <row r="58" spans="1:36" ht="15">
      <c r="A58" t="s">
        <v>188</v>
      </c>
      <c r="B58" s="85" t="s">
        <v>475</v>
      </c>
      <c r="C58" s="126">
        <v>100</v>
      </c>
      <c r="D58" s="75">
        <v>656</v>
      </c>
      <c r="E58" s="75">
        <v>101</v>
      </c>
      <c r="F58" s="75">
        <v>648</v>
      </c>
      <c r="G58" s="75">
        <v>100</v>
      </c>
      <c r="H58" s="75">
        <v>655</v>
      </c>
      <c r="I58" s="75">
        <v>99</v>
      </c>
      <c r="J58" s="154">
        <v>653</v>
      </c>
      <c r="K58" s="154">
        <v>101</v>
      </c>
      <c r="L58" s="155">
        <v>653</v>
      </c>
      <c r="M58" s="83">
        <v>21064.9</v>
      </c>
      <c r="N58" s="83">
        <v>19835.3</v>
      </c>
      <c r="O58" s="83">
        <v>15728.4</v>
      </c>
      <c r="P58" s="83">
        <v>14858.1</v>
      </c>
      <c r="Q58" s="83">
        <v>20968.3</v>
      </c>
      <c r="R58" s="83">
        <v>19710.8</v>
      </c>
      <c r="S58" s="83">
        <v>15893.5</v>
      </c>
      <c r="T58" s="83">
        <v>14964.6</v>
      </c>
      <c r="U58" s="83">
        <v>20985.1</v>
      </c>
      <c r="V58" s="83">
        <v>19777.3</v>
      </c>
      <c r="X58" s="27">
        <f>Table25[[#This Row],[HDC1]]/Table25[[#This Row],[HCC1]]</f>
        <v>0.94162801627351655</v>
      </c>
      <c r="Y58" s="27">
        <f>Table25[[#This Row],[HDC2]]/Table25[[#This Row],[HCC2]]</f>
        <v>0.94466697184710469</v>
      </c>
      <c r="Z58" s="27">
        <f>Table25[[#This Row],[HDC3]]/Table25[[#This Row],[HCC3]]</f>
        <v>0.94002851924094943</v>
      </c>
      <c r="AA58" s="27">
        <f>Table25[[#This Row],[HDC4]]/Table25[[#This Row],[HCC4]]</f>
        <v>0.9415547236291566</v>
      </c>
      <c r="AB58" s="27">
        <f>Table25[[#This Row],[HDC5]]/Table25[[#This Row],[HCC5]]</f>
        <v>0.94244487755598028</v>
      </c>
      <c r="AF58">
        <f>SUM(Table25[[#This Row],[CC1]:[DC1]])</f>
        <v>756</v>
      </c>
      <c r="AG58">
        <f>SUM(Table25[[#This Row],[CC2]:[DC2]])</f>
        <v>749</v>
      </c>
      <c r="AH58">
        <f>SUM(Table25[[#This Row],[CC3]:[DC3]])</f>
        <v>755</v>
      </c>
      <c r="AI58">
        <f>SUM(Table25[[#This Row],[CC4]:[DC4]])</f>
        <v>752</v>
      </c>
      <c r="AJ58">
        <f>SUM(Table25[[#This Row],[CC5]:[DC5]])</f>
        <v>754</v>
      </c>
    </row>
    <row r="59" spans="1:36" ht="15">
      <c r="A59" t="s">
        <v>189</v>
      </c>
      <c r="B59" s="85" t="s">
        <v>476</v>
      </c>
      <c r="C59" s="126">
        <v>100</v>
      </c>
      <c r="D59" s="75">
        <v>659</v>
      </c>
      <c r="E59" s="75">
        <v>99</v>
      </c>
      <c r="F59" s="75">
        <v>651</v>
      </c>
      <c r="G59" s="75">
        <v>100</v>
      </c>
      <c r="H59" s="75">
        <v>655</v>
      </c>
      <c r="I59" s="75">
        <v>101</v>
      </c>
      <c r="J59" s="154">
        <v>652</v>
      </c>
      <c r="K59" s="154">
        <v>102</v>
      </c>
      <c r="L59" s="155">
        <v>651</v>
      </c>
      <c r="M59" s="83">
        <v>21020.3</v>
      </c>
      <c r="N59" s="83">
        <v>19710.5</v>
      </c>
      <c r="O59" s="83">
        <v>16534.8</v>
      </c>
      <c r="P59" s="83">
        <v>15515.4</v>
      </c>
      <c r="Q59" s="83">
        <v>20938</v>
      </c>
      <c r="R59" s="83">
        <v>19671</v>
      </c>
      <c r="S59" s="83">
        <v>21921.200000000001</v>
      </c>
      <c r="T59" s="83">
        <v>20528.599999999999</v>
      </c>
      <c r="U59" s="83">
        <v>16823.7</v>
      </c>
      <c r="V59" s="83">
        <v>15796.5</v>
      </c>
      <c r="X59" s="27">
        <f>Table25[[#This Row],[HDC1]]/Table25[[#This Row],[HCC1]]</f>
        <v>0.93768880558317436</v>
      </c>
      <c r="Y59" s="27">
        <f>Table25[[#This Row],[HDC2]]/Table25[[#This Row],[HCC2]]</f>
        <v>0.93834821104579436</v>
      </c>
      <c r="Z59" s="27">
        <f>Table25[[#This Row],[HDC3]]/Table25[[#This Row],[HCC3]]</f>
        <v>0.93948801222657374</v>
      </c>
      <c r="AA59" s="27">
        <f>Table25[[#This Row],[HDC4]]/Table25[[#This Row],[HCC4]]</f>
        <v>0.93647245588745132</v>
      </c>
      <c r="AB59" s="27">
        <f>Table25[[#This Row],[HDC5]]/Table25[[#This Row],[HCC5]]</f>
        <v>0.93894327644929465</v>
      </c>
      <c r="AF59">
        <f>SUM(Table25[[#This Row],[CC1]:[DC1]])</f>
        <v>759</v>
      </c>
      <c r="AG59">
        <f>SUM(Table25[[#This Row],[CC2]:[DC2]])</f>
        <v>750</v>
      </c>
      <c r="AH59">
        <f>SUM(Table25[[#This Row],[CC3]:[DC3]])</f>
        <v>755</v>
      </c>
      <c r="AI59">
        <f>SUM(Table25[[#This Row],[CC4]:[DC4]])</f>
        <v>753</v>
      </c>
      <c r="AJ59">
        <f>SUM(Table25[[#This Row],[CC5]:[DC5]])</f>
        <v>753</v>
      </c>
    </row>
    <row r="60" spans="1:36" ht="15">
      <c r="A60" t="s">
        <v>190</v>
      </c>
      <c r="B60" s="85" t="s">
        <v>477</v>
      </c>
      <c r="C60" s="126">
        <v>99</v>
      </c>
      <c r="D60" s="75">
        <v>656</v>
      </c>
      <c r="E60" s="75">
        <v>101</v>
      </c>
      <c r="F60" s="75">
        <v>653</v>
      </c>
      <c r="G60" s="75">
        <v>103</v>
      </c>
      <c r="H60" s="75">
        <v>651</v>
      </c>
      <c r="I60" s="75">
        <v>100</v>
      </c>
      <c r="J60" s="154">
        <v>652</v>
      </c>
      <c r="K60" s="154">
        <v>101</v>
      </c>
      <c r="L60" s="155">
        <v>653</v>
      </c>
      <c r="M60" s="83">
        <v>16014.7</v>
      </c>
      <c r="N60" s="83">
        <v>15040.4</v>
      </c>
      <c r="O60" s="83">
        <v>15434.7</v>
      </c>
      <c r="P60" s="83">
        <v>14476.5</v>
      </c>
      <c r="Q60" s="83">
        <v>20979</v>
      </c>
      <c r="R60" s="83">
        <v>19645.599999999999</v>
      </c>
      <c r="S60" s="83">
        <v>15869.3</v>
      </c>
      <c r="T60" s="83">
        <v>14888.6</v>
      </c>
      <c r="U60" s="83">
        <v>15856</v>
      </c>
      <c r="V60" s="83">
        <v>14878</v>
      </c>
      <c r="X60" s="27">
        <f>Table25[[#This Row],[HDC1]]/Table25[[#This Row],[HCC1]]</f>
        <v>0.93916214477948379</v>
      </c>
      <c r="Y60" s="27">
        <f>Table25[[#This Row],[HDC2]]/Table25[[#This Row],[HCC2]]</f>
        <v>0.93791910435576975</v>
      </c>
      <c r="Z60" s="27">
        <f>Table25[[#This Row],[HDC3]]/Table25[[#This Row],[HCC3]]</f>
        <v>0.93644120310786971</v>
      </c>
      <c r="AA60" s="27">
        <f>Table25[[#This Row],[HDC4]]/Table25[[#This Row],[HCC4]]</f>
        <v>0.93820143295545488</v>
      </c>
      <c r="AB60" s="27">
        <f>Table25[[#This Row],[HDC5]]/Table25[[#This Row],[HCC5]]</f>
        <v>0.93831987891019175</v>
      </c>
      <c r="AF60">
        <f>SUM(Table25[[#This Row],[CC1]:[DC1]])</f>
        <v>755</v>
      </c>
      <c r="AG60">
        <f>SUM(Table25[[#This Row],[CC2]:[DC2]])</f>
        <v>754</v>
      </c>
      <c r="AH60">
        <f>SUM(Table25[[#This Row],[CC3]:[DC3]])</f>
        <v>754</v>
      </c>
      <c r="AI60">
        <f>SUM(Table25[[#This Row],[CC4]:[DC4]])</f>
        <v>752</v>
      </c>
      <c r="AJ60">
        <f>SUM(Table25[[#This Row],[CC5]:[DC5]])</f>
        <v>754</v>
      </c>
    </row>
    <row r="61" spans="1:36" ht="15">
      <c r="A61" t="s">
        <v>191</v>
      </c>
      <c r="B61" s="85" t="s">
        <v>478</v>
      </c>
      <c r="C61" s="126">
        <v>98</v>
      </c>
      <c r="D61" s="75">
        <v>658</v>
      </c>
      <c r="E61" s="75">
        <v>111</v>
      </c>
      <c r="F61" s="75">
        <v>646</v>
      </c>
      <c r="G61" s="75">
        <v>96</v>
      </c>
      <c r="H61" s="75">
        <v>659</v>
      </c>
      <c r="I61" s="75">
        <v>101</v>
      </c>
      <c r="J61" s="154">
        <v>655</v>
      </c>
      <c r="K61" s="154">
        <v>100</v>
      </c>
      <c r="L61" s="155">
        <v>656</v>
      </c>
      <c r="M61" s="83">
        <v>16127.9</v>
      </c>
      <c r="N61" s="83">
        <v>15197.6</v>
      </c>
      <c r="O61" s="83">
        <v>20291.5</v>
      </c>
      <c r="P61" s="83">
        <v>19021.5</v>
      </c>
      <c r="Q61" s="83">
        <v>20917.099999999999</v>
      </c>
      <c r="R61" s="83">
        <v>19607.400000000001</v>
      </c>
      <c r="S61" s="83">
        <v>21171.599999999999</v>
      </c>
      <c r="T61" s="83">
        <v>19878.400000000001</v>
      </c>
      <c r="U61" s="83">
        <v>16021.3</v>
      </c>
      <c r="V61" s="83">
        <v>15088.5</v>
      </c>
      <c r="X61" s="27">
        <f>Table25[[#This Row],[HDC1]]/Table25[[#This Row],[HCC1]]</f>
        <v>0.9423173506780177</v>
      </c>
      <c r="Y61" s="27">
        <f>Table25[[#This Row],[HDC2]]/Table25[[#This Row],[HCC2]]</f>
        <v>0.93741221693812682</v>
      </c>
      <c r="Z61" s="27">
        <f>Table25[[#This Row],[HDC3]]/Table25[[#This Row],[HCC3]]</f>
        <v>0.93738615773697131</v>
      </c>
      <c r="AA61" s="27">
        <f>Table25[[#This Row],[HDC4]]/Table25[[#This Row],[HCC4]]</f>
        <v>0.93891817340210482</v>
      </c>
      <c r="AB61" s="27">
        <f>Table25[[#This Row],[HDC5]]/Table25[[#This Row],[HCC5]]</f>
        <v>0.94177750869155441</v>
      </c>
      <c r="AF61">
        <f>SUM(Table25[[#This Row],[CC1]:[DC1]])</f>
        <v>756</v>
      </c>
      <c r="AG61">
        <f>SUM(Table25[[#This Row],[CC2]:[DC2]])</f>
        <v>757</v>
      </c>
      <c r="AH61">
        <f>SUM(Table25[[#This Row],[CC3]:[DC3]])</f>
        <v>755</v>
      </c>
      <c r="AI61">
        <f>SUM(Table25[[#This Row],[CC4]:[DC4]])</f>
        <v>756</v>
      </c>
      <c r="AJ61">
        <f>SUM(Table25[[#This Row],[CC5]:[DC5]])</f>
        <v>756</v>
      </c>
    </row>
    <row r="62" spans="1:36" ht="15">
      <c r="A62" t="s">
        <v>192</v>
      </c>
      <c r="B62" s="85" t="s">
        <v>479</v>
      </c>
      <c r="C62" s="126">
        <v>102</v>
      </c>
      <c r="D62" s="75">
        <v>655</v>
      </c>
      <c r="E62" s="75">
        <v>102</v>
      </c>
      <c r="F62" s="75">
        <v>655</v>
      </c>
      <c r="G62" s="75">
        <v>103</v>
      </c>
      <c r="H62" s="75">
        <v>651</v>
      </c>
      <c r="I62" s="75">
        <v>103</v>
      </c>
      <c r="J62" s="154">
        <v>654</v>
      </c>
      <c r="K62" s="154">
        <v>102</v>
      </c>
      <c r="L62" s="155">
        <v>655</v>
      </c>
      <c r="M62" s="83">
        <v>27394.799999999999</v>
      </c>
      <c r="N62" s="83">
        <v>25798.1</v>
      </c>
      <c r="O62" s="83">
        <v>27326</v>
      </c>
      <c r="P62" s="83">
        <v>25773.3</v>
      </c>
      <c r="Q62" s="83">
        <v>27190.400000000001</v>
      </c>
      <c r="R62" s="83">
        <v>25643.200000000001</v>
      </c>
      <c r="S62" s="83">
        <v>23705.1</v>
      </c>
      <c r="T62" s="83">
        <v>22636.6</v>
      </c>
      <c r="U62" s="83">
        <v>23785.7</v>
      </c>
      <c r="V62" s="83">
        <v>22688.9</v>
      </c>
      <c r="X62" s="27">
        <f>Table25[[#This Row],[HDC1]]/Table25[[#This Row],[HCC1]]</f>
        <v>0.94171521602639918</v>
      </c>
      <c r="Y62" s="27">
        <f>Table25[[#This Row],[HDC2]]/Table25[[#This Row],[HCC2]]</f>
        <v>0.94317865768864817</v>
      </c>
      <c r="Z62" s="27">
        <f>Table25[[#This Row],[HDC3]]/Table25[[#This Row],[HCC3]]</f>
        <v>0.94309756384606325</v>
      </c>
      <c r="AA62" s="27">
        <f>Table25[[#This Row],[HDC4]]/Table25[[#This Row],[HCC4]]</f>
        <v>0.95492531143087356</v>
      </c>
      <c r="AB62" s="27">
        <f>Table25[[#This Row],[HDC5]]/Table25[[#This Row],[HCC5]]</f>
        <v>0.95388826059354992</v>
      </c>
      <c r="AF62">
        <f>SUM(Table25[[#This Row],[CC1]:[DC1]])</f>
        <v>757</v>
      </c>
      <c r="AG62">
        <f>SUM(Table25[[#This Row],[CC2]:[DC2]])</f>
        <v>757</v>
      </c>
      <c r="AH62">
        <f>SUM(Table25[[#This Row],[CC3]:[DC3]])</f>
        <v>754</v>
      </c>
      <c r="AI62">
        <f>SUM(Table25[[#This Row],[CC4]:[DC4]])</f>
        <v>757</v>
      </c>
      <c r="AJ62">
        <f>SUM(Table25[[#This Row],[CC5]:[DC5]])</f>
        <v>757</v>
      </c>
    </row>
    <row r="63" spans="1:36" ht="15">
      <c r="A63" t="s">
        <v>193</v>
      </c>
      <c r="B63" s="85" t="s">
        <v>480</v>
      </c>
      <c r="C63" s="126">
        <v>101</v>
      </c>
      <c r="D63" s="75">
        <v>647</v>
      </c>
      <c r="E63" s="75">
        <v>101</v>
      </c>
      <c r="F63" s="75">
        <v>643</v>
      </c>
      <c r="G63" s="75">
        <v>102</v>
      </c>
      <c r="H63" s="75">
        <v>650</v>
      </c>
      <c r="I63" s="75">
        <v>101</v>
      </c>
      <c r="J63" s="154">
        <v>649</v>
      </c>
      <c r="K63" s="154">
        <v>99</v>
      </c>
      <c r="L63" s="155">
        <v>653</v>
      </c>
      <c r="M63" s="83">
        <v>22931.599999999999</v>
      </c>
      <c r="N63" s="83">
        <v>21918.3</v>
      </c>
      <c r="O63" s="83">
        <v>26406.5</v>
      </c>
      <c r="P63" s="83">
        <v>24960.400000000001</v>
      </c>
      <c r="Q63" s="83">
        <v>26233</v>
      </c>
      <c r="R63" s="83">
        <v>24824.400000000001</v>
      </c>
      <c r="S63" s="83">
        <v>22887.1</v>
      </c>
      <c r="T63" s="83">
        <v>21805.200000000001</v>
      </c>
      <c r="U63" s="83">
        <v>26460.799999999999</v>
      </c>
      <c r="V63" s="83">
        <v>24924.2</v>
      </c>
      <c r="X63" s="27">
        <f>Table25[[#This Row],[HDC1]]/Table25[[#This Row],[HCC1]]</f>
        <v>0.95581206719112499</v>
      </c>
      <c r="Y63" s="27">
        <f>Table25[[#This Row],[HDC2]]/Table25[[#This Row],[HCC2]]</f>
        <v>0.94523696817071556</v>
      </c>
      <c r="Z63" s="27">
        <f>Table25[[#This Row],[HDC3]]/Table25[[#This Row],[HCC3]]</f>
        <v>0.94630427324362454</v>
      </c>
      <c r="AA63" s="27">
        <f>Table25[[#This Row],[HDC4]]/Table25[[#This Row],[HCC4]]</f>
        <v>0.95272882977747297</v>
      </c>
      <c r="AB63" s="27">
        <f>Table25[[#This Row],[HDC5]]/Table25[[#This Row],[HCC5]]</f>
        <v>0.94192919337283831</v>
      </c>
      <c r="AF63">
        <f>SUM(Table25[[#This Row],[CC1]:[DC1]])</f>
        <v>748</v>
      </c>
      <c r="AG63">
        <f>SUM(Table25[[#This Row],[CC2]:[DC2]])</f>
        <v>744</v>
      </c>
      <c r="AH63">
        <f>SUM(Table25[[#This Row],[CC3]:[DC3]])</f>
        <v>752</v>
      </c>
      <c r="AI63">
        <f>SUM(Table25[[#This Row],[CC4]:[DC4]])</f>
        <v>750</v>
      </c>
      <c r="AJ63">
        <f>SUM(Table25[[#This Row],[CC5]:[DC5]])</f>
        <v>752</v>
      </c>
    </row>
    <row r="64" spans="1:36" ht="15">
      <c r="A64" t="s">
        <v>194</v>
      </c>
      <c r="B64" s="85" t="s">
        <v>481</v>
      </c>
      <c r="C64" s="126">
        <v>102</v>
      </c>
      <c r="D64" s="75">
        <v>653</v>
      </c>
      <c r="E64" s="75">
        <v>101</v>
      </c>
      <c r="F64" s="75">
        <v>655</v>
      </c>
      <c r="G64" s="75">
        <v>103</v>
      </c>
      <c r="H64" s="75">
        <v>653</v>
      </c>
      <c r="I64" s="75">
        <v>101</v>
      </c>
      <c r="J64" s="154">
        <v>655</v>
      </c>
      <c r="K64" s="154">
        <v>103</v>
      </c>
      <c r="L64" s="155">
        <v>656</v>
      </c>
      <c r="M64" s="83">
        <v>26411.3</v>
      </c>
      <c r="N64" s="83">
        <v>24944.400000000001</v>
      </c>
      <c r="O64" s="83">
        <v>22919</v>
      </c>
      <c r="P64" s="83">
        <v>21897.7</v>
      </c>
      <c r="Q64" s="83">
        <v>22762.9</v>
      </c>
      <c r="R64" s="83">
        <v>21755.9</v>
      </c>
      <c r="S64" s="83">
        <v>26163.599999999999</v>
      </c>
      <c r="T64" s="83">
        <v>24691.599999999999</v>
      </c>
      <c r="U64" s="83">
        <v>19143</v>
      </c>
      <c r="V64" s="83">
        <v>18086.3</v>
      </c>
      <c r="X64" s="27">
        <f>Table25[[#This Row],[HDC1]]/Table25[[#This Row],[HCC1]]</f>
        <v>0.94445937912938793</v>
      </c>
      <c r="Y64" s="27">
        <f>Table25[[#This Row],[HDC2]]/Table25[[#This Row],[HCC2]]</f>
        <v>0.95543871896679611</v>
      </c>
      <c r="Z64" s="27">
        <f>Table25[[#This Row],[HDC3]]/Table25[[#This Row],[HCC3]]</f>
        <v>0.95576134851007566</v>
      </c>
      <c r="AA64" s="27">
        <f>Table25[[#This Row],[HDC4]]/Table25[[#This Row],[HCC4]]</f>
        <v>0.94373862924062435</v>
      </c>
      <c r="AB64" s="27">
        <f>Table25[[#This Row],[HDC5]]/Table25[[#This Row],[HCC5]]</f>
        <v>0.94479966567413676</v>
      </c>
      <c r="AF64">
        <f>SUM(Table25[[#This Row],[CC1]:[DC1]])</f>
        <v>755</v>
      </c>
      <c r="AG64">
        <f>SUM(Table25[[#This Row],[CC2]:[DC2]])</f>
        <v>756</v>
      </c>
      <c r="AH64">
        <f>SUM(Table25[[#This Row],[CC3]:[DC3]])</f>
        <v>756</v>
      </c>
      <c r="AI64">
        <f>SUM(Table25[[#This Row],[CC4]:[DC4]])</f>
        <v>756</v>
      </c>
      <c r="AJ64">
        <f>SUM(Table25[[#This Row],[CC5]:[DC5]])</f>
        <v>759</v>
      </c>
    </row>
    <row r="65" spans="1:36" ht="15">
      <c r="A65" t="s">
        <v>195</v>
      </c>
      <c r="B65" s="85" t="s">
        <v>482</v>
      </c>
      <c r="C65" s="126">
        <v>101</v>
      </c>
      <c r="D65" s="75">
        <v>651</v>
      </c>
      <c r="E65" s="75">
        <v>104</v>
      </c>
      <c r="F65" s="75">
        <v>654</v>
      </c>
      <c r="G65" s="75">
        <v>100</v>
      </c>
      <c r="H65" s="75">
        <v>658</v>
      </c>
      <c r="I65" s="75">
        <v>101</v>
      </c>
      <c r="J65" s="154">
        <v>653</v>
      </c>
      <c r="K65" s="154">
        <v>103</v>
      </c>
      <c r="L65" s="155">
        <v>655</v>
      </c>
      <c r="M65" s="83">
        <v>26484.799999999999</v>
      </c>
      <c r="N65" s="83">
        <v>25038.3</v>
      </c>
      <c r="O65" s="83">
        <v>26229.1</v>
      </c>
      <c r="P65" s="83">
        <v>24700.2</v>
      </c>
      <c r="Q65" s="83">
        <v>26434.7</v>
      </c>
      <c r="R65" s="83">
        <v>24938.2</v>
      </c>
      <c r="S65" s="83">
        <v>19226.5</v>
      </c>
      <c r="T65" s="83">
        <v>18161.3</v>
      </c>
      <c r="U65" s="83">
        <v>22845.599999999999</v>
      </c>
      <c r="V65" s="83">
        <v>21850.6</v>
      </c>
      <c r="X65" s="27">
        <f>Table25[[#This Row],[HDC1]]/Table25[[#This Row],[HCC1]]</f>
        <v>0.94538376729293783</v>
      </c>
      <c r="Y65" s="27">
        <f>Table25[[#This Row],[HDC2]]/Table25[[#This Row],[HCC2]]</f>
        <v>0.94170978035845687</v>
      </c>
      <c r="Z65" s="27">
        <f>Table25[[#This Row],[HDC3]]/Table25[[#This Row],[HCC3]]</f>
        <v>0.94338880335316833</v>
      </c>
      <c r="AA65" s="27">
        <f>Table25[[#This Row],[HDC4]]/Table25[[#This Row],[HCC4]]</f>
        <v>0.94459730060073333</v>
      </c>
      <c r="AB65" s="27">
        <f>Table25[[#This Row],[HDC5]]/Table25[[#This Row],[HCC5]]</f>
        <v>0.95644675561158388</v>
      </c>
      <c r="AF65">
        <f>SUM(Table25[[#This Row],[CC1]:[DC1]])</f>
        <v>752</v>
      </c>
      <c r="AG65">
        <f>SUM(Table25[[#This Row],[CC2]:[DC2]])</f>
        <v>758</v>
      </c>
      <c r="AH65">
        <f>SUM(Table25[[#This Row],[CC3]:[DC3]])</f>
        <v>758</v>
      </c>
      <c r="AI65">
        <f>SUM(Table25[[#This Row],[CC4]:[DC4]])</f>
        <v>754</v>
      </c>
      <c r="AJ65">
        <f>SUM(Table25[[#This Row],[CC5]:[DC5]])</f>
        <v>758</v>
      </c>
    </row>
    <row r="66" spans="1:36" ht="15">
      <c r="A66" t="s">
        <v>196</v>
      </c>
      <c r="B66" s="85" t="s">
        <v>483</v>
      </c>
      <c r="C66" s="126">
        <v>103</v>
      </c>
      <c r="D66" s="75">
        <v>653</v>
      </c>
      <c r="E66" s="75">
        <v>101</v>
      </c>
      <c r="F66" s="75">
        <v>658</v>
      </c>
      <c r="G66" s="75">
        <v>99</v>
      </c>
      <c r="H66" s="75">
        <v>656</v>
      </c>
      <c r="I66" s="75">
        <v>100</v>
      </c>
      <c r="J66" s="154">
        <v>655</v>
      </c>
      <c r="K66" s="154">
        <v>105</v>
      </c>
      <c r="L66" s="155">
        <v>652</v>
      </c>
      <c r="M66" s="83">
        <v>18692</v>
      </c>
      <c r="N66" s="83">
        <v>18152.2</v>
      </c>
      <c r="O66" s="83">
        <v>17811.400000000001</v>
      </c>
      <c r="P66" s="83">
        <v>17258.5</v>
      </c>
      <c r="Q66" s="83">
        <v>18108.599999999999</v>
      </c>
      <c r="R66" s="83">
        <v>17585.400000000001</v>
      </c>
      <c r="S66" s="83">
        <v>21783.8</v>
      </c>
      <c r="T66" s="83">
        <v>20439.5</v>
      </c>
      <c r="U66" s="83">
        <v>21527.200000000001</v>
      </c>
      <c r="V66" s="83">
        <v>20190.2</v>
      </c>
      <c r="X66" s="27">
        <f>Table25[[#This Row],[HDC1]]/Table25[[#This Row],[HCC1]]</f>
        <v>0.97112133533062273</v>
      </c>
      <c r="Y66" s="27">
        <f>Table25[[#This Row],[HDC2]]/Table25[[#This Row],[HCC2]]</f>
        <v>0.96895808302547803</v>
      </c>
      <c r="Z66" s="27">
        <f>Table25[[#This Row],[HDC3]]/Table25[[#This Row],[HCC3]]</f>
        <v>0.97110765050859826</v>
      </c>
      <c r="AA66" s="27">
        <f>Table25[[#This Row],[HDC4]]/Table25[[#This Row],[HCC4]]</f>
        <v>0.93828900375508406</v>
      </c>
      <c r="AB66" s="27">
        <f>Table25[[#This Row],[HDC5]]/Table25[[#This Row],[HCC5]]</f>
        <v>0.93789252666394141</v>
      </c>
      <c r="AF66">
        <f>SUM(Table25[[#This Row],[CC1]:[DC1]])</f>
        <v>756</v>
      </c>
      <c r="AG66">
        <f>SUM(Table25[[#This Row],[CC2]:[DC2]])</f>
        <v>759</v>
      </c>
      <c r="AH66">
        <f>SUM(Table25[[#This Row],[CC3]:[DC3]])</f>
        <v>755</v>
      </c>
      <c r="AI66">
        <f>SUM(Table25[[#This Row],[CC4]:[DC4]])</f>
        <v>755</v>
      </c>
      <c r="AJ66">
        <f>SUM(Table25[[#This Row],[CC5]:[DC5]])</f>
        <v>757</v>
      </c>
    </row>
    <row r="67" spans="1:36" ht="15">
      <c r="A67" t="s">
        <v>197</v>
      </c>
      <c r="B67" s="85" t="s">
        <v>484</v>
      </c>
      <c r="C67" s="126">
        <v>102</v>
      </c>
      <c r="D67" s="75">
        <v>657</v>
      </c>
      <c r="E67" s="75">
        <v>103</v>
      </c>
      <c r="F67" s="75">
        <v>653</v>
      </c>
      <c r="G67" s="75">
        <v>101</v>
      </c>
      <c r="H67" s="75">
        <v>662</v>
      </c>
      <c r="I67" s="75">
        <v>105</v>
      </c>
      <c r="J67" s="154">
        <v>651</v>
      </c>
      <c r="K67" s="154">
        <v>104</v>
      </c>
      <c r="L67" s="155">
        <v>649</v>
      </c>
      <c r="M67" s="83">
        <v>21475.200000000001</v>
      </c>
      <c r="N67" s="83">
        <v>20154.400000000001</v>
      </c>
      <c r="O67" s="83">
        <v>22027.7</v>
      </c>
      <c r="P67" s="83">
        <v>20679.8</v>
      </c>
      <c r="Q67" s="83">
        <v>19145.3</v>
      </c>
      <c r="R67" s="83">
        <v>18563</v>
      </c>
      <c r="S67" s="83">
        <v>21067.4</v>
      </c>
      <c r="T67" s="83">
        <v>19820.099999999999</v>
      </c>
      <c r="U67" s="83">
        <v>21880.3</v>
      </c>
      <c r="V67" s="83">
        <v>20514.2</v>
      </c>
      <c r="X67" s="27">
        <f>Table25[[#This Row],[HDC1]]/Table25[[#This Row],[HCC1]]</f>
        <v>0.93849649828639548</v>
      </c>
      <c r="Y67" s="27">
        <f>Table25[[#This Row],[HDC2]]/Table25[[#This Row],[HCC2]]</f>
        <v>0.93880886338564618</v>
      </c>
      <c r="Z67" s="27">
        <f>Table25[[#This Row],[HDC3]]/Table25[[#This Row],[HCC3]]</f>
        <v>0.96958522457208818</v>
      </c>
      <c r="AA67" s="27">
        <f>Table25[[#This Row],[HDC4]]/Table25[[#This Row],[HCC4]]</f>
        <v>0.94079478246010406</v>
      </c>
      <c r="AB67" s="27">
        <f>Table25[[#This Row],[HDC5]]/Table25[[#This Row],[HCC5]]</f>
        <v>0.93756484143270435</v>
      </c>
      <c r="AF67">
        <f>SUM(Table25[[#This Row],[CC1]:[DC1]])</f>
        <v>759</v>
      </c>
      <c r="AG67">
        <f>SUM(Table25[[#This Row],[CC2]:[DC2]])</f>
        <v>756</v>
      </c>
      <c r="AH67">
        <f>SUM(Table25[[#This Row],[CC3]:[DC3]])</f>
        <v>763</v>
      </c>
      <c r="AI67">
        <f>SUM(Table25[[#This Row],[CC4]:[DC4]])</f>
        <v>756</v>
      </c>
      <c r="AJ67">
        <f>SUM(Table25[[#This Row],[CC5]:[DC5]])</f>
        <v>753</v>
      </c>
    </row>
    <row r="68" spans="1:36" ht="15">
      <c r="A68" t="s">
        <v>198</v>
      </c>
      <c r="B68" s="85" t="s">
        <v>485</v>
      </c>
      <c r="C68" s="126">
        <v>101</v>
      </c>
      <c r="D68" s="75">
        <v>675</v>
      </c>
      <c r="E68" s="75">
        <v>101</v>
      </c>
      <c r="F68" s="75">
        <v>677</v>
      </c>
      <c r="G68" s="75">
        <v>100</v>
      </c>
      <c r="H68" s="75">
        <v>676</v>
      </c>
      <c r="I68" s="75">
        <v>101</v>
      </c>
      <c r="J68" s="154">
        <v>677</v>
      </c>
      <c r="K68" s="154">
        <v>101</v>
      </c>
      <c r="L68" s="155">
        <v>671</v>
      </c>
      <c r="M68" s="83">
        <v>18546.599999999999</v>
      </c>
      <c r="N68" s="83">
        <v>17977.599999999999</v>
      </c>
      <c r="O68" s="83">
        <v>18978.3</v>
      </c>
      <c r="P68" s="83">
        <v>18393.5</v>
      </c>
      <c r="Q68" s="83">
        <v>21384.2</v>
      </c>
      <c r="R68" s="83">
        <v>20005.3</v>
      </c>
      <c r="S68" s="83">
        <v>22109.3</v>
      </c>
      <c r="T68" s="83">
        <v>20749.2</v>
      </c>
      <c r="U68" s="83">
        <v>19109.900000000001</v>
      </c>
      <c r="V68" s="83">
        <v>18492</v>
      </c>
      <c r="X68" s="27">
        <f>Table25[[#This Row],[HDC1]]/Table25[[#This Row],[HCC1]]</f>
        <v>0.96932052235989341</v>
      </c>
      <c r="Y68" s="27">
        <f>Table25[[#This Row],[HDC2]]/Table25[[#This Row],[HCC2]]</f>
        <v>0.96918585963969384</v>
      </c>
      <c r="Z68" s="27">
        <f>Table25[[#This Row],[HDC3]]/Table25[[#This Row],[HCC3]]</f>
        <v>0.93551781221649621</v>
      </c>
      <c r="AA68" s="27">
        <f>Table25[[#This Row],[HDC4]]/Table25[[#This Row],[HCC4]]</f>
        <v>0.93848290086072383</v>
      </c>
      <c r="AB68" s="27">
        <f>Table25[[#This Row],[HDC5]]/Table25[[#This Row],[HCC5]]</f>
        <v>0.96766597418092182</v>
      </c>
      <c r="AF68">
        <f>SUM(Table25[[#This Row],[CC1]:[DC1]])</f>
        <v>776</v>
      </c>
      <c r="AG68">
        <f>SUM(Table25[[#This Row],[CC2]:[DC2]])</f>
        <v>778</v>
      </c>
      <c r="AH68">
        <f>SUM(Table25[[#This Row],[CC3]:[DC3]])</f>
        <v>776</v>
      </c>
      <c r="AI68">
        <f>SUM(Table25[[#This Row],[CC4]:[DC4]])</f>
        <v>778</v>
      </c>
      <c r="AJ68">
        <f>SUM(Table25[[#This Row],[CC5]:[DC5]])</f>
        <v>772</v>
      </c>
    </row>
    <row r="69" spans="1:36" ht="15">
      <c r="A69" t="s">
        <v>199</v>
      </c>
      <c r="B69" s="85" t="s">
        <v>486</v>
      </c>
      <c r="C69" s="126">
        <v>104</v>
      </c>
      <c r="D69" s="75">
        <v>643</v>
      </c>
      <c r="E69" s="75">
        <v>97</v>
      </c>
      <c r="F69" s="75">
        <v>654</v>
      </c>
      <c r="G69" s="75">
        <v>104</v>
      </c>
      <c r="H69" s="75">
        <v>647</v>
      </c>
      <c r="I69" s="75">
        <v>104</v>
      </c>
      <c r="J69" s="154">
        <v>651</v>
      </c>
      <c r="K69" s="154">
        <v>110</v>
      </c>
      <c r="L69" s="155">
        <v>641</v>
      </c>
      <c r="M69" s="83">
        <v>21660.5</v>
      </c>
      <c r="N69" s="83">
        <v>20273.599999999999</v>
      </c>
      <c r="O69" s="83">
        <v>20876.2</v>
      </c>
      <c r="P69" s="83">
        <v>19561.7</v>
      </c>
      <c r="Q69" s="83">
        <v>18614.7</v>
      </c>
      <c r="R69" s="83">
        <v>18005.599999999999</v>
      </c>
      <c r="S69" s="83">
        <v>21631</v>
      </c>
      <c r="T69" s="83">
        <v>20273</v>
      </c>
      <c r="U69" s="83">
        <v>17820.8</v>
      </c>
      <c r="V69" s="83">
        <v>17307</v>
      </c>
      <c r="X69" s="27">
        <f>Table25[[#This Row],[HDC1]]/Table25[[#This Row],[HCC1]]</f>
        <v>0.93597100713279924</v>
      </c>
      <c r="Y69" s="27">
        <f>Table25[[#This Row],[HDC2]]/Table25[[#This Row],[HCC2]]</f>
        <v>0.93703355974746361</v>
      </c>
      <c r="Z69" s="27">
        <f>Table25[[#This Row],[HDC3]]/Table25[[#This Row],[HCC3]]</f>
        <v>0.9672785486738974</v>
      </c>
      <c r="AA69" s="27">
        <f>Table25[[#This Row],[HDC4]]/Table25[[#This Row],[HCC4]]</f>
        <v>0.93721973094170408</v>
      </c>
      <c r="AB69" s="27">
        <f>Table25[[#This Row],[HDC5]]/Table25[[#This Row],[HCC5]]</f>
        <v>0.97116852217633332</v>
      </c>
      <c r="AF69">
        <f>SUM(Table25[[#This Row],[CC1]:[DC1]])</f>
        <v>747</v>
      </c>
      <c r="AG69">
        <f>SUM(Table25[[#This Row],[CC2]:[DC2]])</f>
        <v>751</v>
      </c>
      <c r="AH69">
        <f>SUM(Table25[[#This Row],[CC3]:[DC3]])</f>
        <v>751</v>
      </c>
      <c r="AI69">
        <f>SUM(Table25[[#This Row],[CC4]:[DC4]])</f>
        <v>755</v>
      </c>
      <c r="AJ69">
        <f>SUM(Table25[[#This Row],[CC5]:[DC5]])</f>
        <v>751</v>
      </c>
    </row>
    <row r="70" spans="1:36" ht="15">
      <c r="A70" t="s">
        <v>200</v>
      </c>
      <c r="B70" s="85" t="s">
        <v>487</v>
      </c>
      <c r="C70" s="126">
        <v>105</v>
      </c>
      <c r="D70" s="75">
        <v>675</v>
      </c>
      <c r="E70" s="75">
        <v>109</v>
      </c>
      <c r="F70" s="75">
        <v>673</v>
      </c>
      <c r="G70" s="75">
        <v>102</v>
      </c>
      <c r="H70" s="75">
        <v>682</v>
      </c>
      <c r="I70" s="75">
        <v>101</v>
      </c>
      <c r="J70" s="154">
        <v>682</v>
      </c>
      <c r="K70" s="154">
        <v>104</v>
      </c>
      <c r="L70" s="155">
        <v>674</v>
      </c>
      <c r="M70" s="83">
        <v>22564.3</v>
      </c>
      <c r="N70" s="83">
        <v>21179.9</v>
      </c>
      <c r="O70" s="83">
        <v>16426.3</v>
      </c>
      <c r="P70" s="83">
        <v>15369.1</v>
      </c>
      <c r="Q70" s="83">
        <v>23481.5</v>
      </c>
      <c r="R70" s="83">
        <v>22061.5</v>
      </c>
      <c r="S70" s="83">
        <v>18564.3</v>
      </c>
      <c r="T70" s="83">
        <v>18083.099999999999</v>
      </c>
      <c r="U70" s="83">
        <v>17577.7</v>
      </c>
      <c r="V70" s="83">
        <v>17225.7</v>
      </c>
      <c r="X70" s="27">
        <f>Table25[[#This Row],[HDC1]]/Table25[[#This Row],[HCC1]]</f>
        <v>0.9386464459345073</v>
      </c>
      <c r="Y70" s="27">
        <f>Table25[[#This Row],[HDC2]]/Table25[[#This Row],[HCC2]]</f>
        <v>0.93563979715456314</v>
      </c>
      <c r="Z70" s="27">
        <f>Table25[[#This Row],[HDC3]]/Table25[[#This Row],[HCC3]]</f>
        <v>0.9395268615718757</v>
      </c>
      <c r="AA70" s="27">
        <f>Table25[[#This Row],[HDC4]]/Table25[[#This Row],[HCC4]]</f>
        <v>0.97407928120101483</v>
      </c>
      <c r="AB70" s="27">
        <f>Table25[[#This Row],[HDC5]]/Table25[[#This Row],[HCC5]]</f>
        <v>0.97997462694209136</v>
      </c>
      <c r="AF70">
        <f>SUM(Table25[[#This Row],[CC1]:[DC1]])</f>
        <v>780</v>
      </c>
      <c r="AG70">
        <f>SUM(Table25[[#This Row],[CC2]:[DC2]])</f>
        <v>782</v>
      </c>
      <c r="AH70">
        <f>SUM(Table25[[#This Row],[CC3]:[DC3]])</f>
        <v>784</v>
      </c>
      <c r="AI70">
        <f>SUM(Table25[[#This Row],[CC4]:[DC4]])</f>
        <v>783</v>
      </c>
      <c r="AJ70">
        <f>SUM(Table25[[#This Row],[CC5]:[DC5]])</f>
        <v>778</v>
      </c>
    </row>
    <row r="71" spans="1:36" ht="15">
      <c r="A71" t="s">
        <v>201</v>
      </c>
      <c r="B71" s="85" t="s">
        <v>488</v>
      </c>
      <c r="C71" s="126">
        <v>101</v>
      </c>
      <c r="D71" s="75">
        <v>656</v>
      </c>
      <c r="E71" s="75">
        <v>101</v>
      </c>
      <c r="F71" s="75">
        <v>656</v>
      </c>
      <c r="G71" s="75">
        <v>99</v>
      </c>
      <c r="H71" s="75">
        <v>654</v>
      </c>
      <c r="I71" s="75">
        <v>101</v>
      </c>
      <c r="J71" s="154">
        <v>657</v>
      </c>
      <c r="K71" s="154">
        <v>106</v>
      </c>
      <c r="L71" s="155">
        <v>652</v>
      </c>
      <c r="M71" s="83">
        <v>20612.5</v>
      </c>
      <c r="N71" s="83">
        <v>19318.5</v>
      </c>
      <c r="O71" s="83">
        <v>19887.2</v>
      </c>
      <c r="P71" s="83">
        <v>18596.400000000001</v>
      </c>
      <c r="Q71" s="83">
        <v>20635.900000000001</v>
      </c>
      <c r="R71" s="83">
        <v>19354</v>
      </c>
      <c r="S71" s="83">
        <v>20163.099999999999</v>
      </c>
      <c r="T71" s="83">
        <v>19197.3</v>
      </c>
      <c r="U71" s="83">
        <v>20123.7</v>
      </c>
      <c r="V71" s="83">
        <v>19182.5</v>
      </c>
      <c r="X71" s="27">
        <f>Table25[[#This Row],[HDC1]]/Table25[[#This Row],[HCC1]]</f>
        <v>0.93722255912674346</v>
      </c>
      <c r="Y71" s="27">
        <f>Table25[[#This Row],[HDC2]]/Table25[[#This Row],[HCC2]]</f>
        <v>0.93509392976386829</v>
      </c>
      <c r="Z71" s="27">
        <f>Table25[[#This Row],[HDC3]]/Table25[[#This Row],[HCC3]]</f>
        <v>0.93788010215207473</v>
      </c>
      <c r="AA71" s="27">
        <f>Table25[[#This Row],[HDC4]]/Table25[[#This Row],[HCC4]]</f>
        <v>0.9521006194483983</v>
      </c>
      <c r="AB71" s="27">
        <f>Table25[[#This Row],[HDC5]]/Table25[[#This Row],[HCC5]]</f>
        <v>0.95322927692223591</v>
      </c>
      <c r="AF71">
        <f>SUM(Table25[[#This Row],[CC1]:[DC1]])</f>
        <v>757</v>
      </c>
      <c r="AG71">
        <f>SUM(Table25[[#This Row],[CC2]:[DC2]])</f>
        <v>757</v>
      </c>
      <c r="AH71">
        <f>SUM(Table25[[#This Row],[CC3]:[DC3]])</f>
        <v>753</v>
      </c>
      <c r="AI71">
        <f>SUM(Table25[[#This Row],[CC4]:[DC4]])</f>
        <v>758</v>
      </c>
      <c r="AJ71">
        <f>SUM(Table25[[#This Row],[CC5]:[DC5]])</f>
        <v>758</v>
      </c>
    </row>
    <row r="72" spans="1:36" ht="15">
      <c r="A72" t="s">
        <v>202</v>
      </c>
      <c r="B72" s="85" t="s">
        <v>489</v>
      </c>
      <c r="C72" s="126">
        <v>100</v>
      </c>
      <c r="D72" s="75">
        <v>655</v>
      </c>
      <c r="E72" s="75">
        <v>101</v>
      </c>
      <c r="F72" s="75">
        <v>654</v>
      </c>
      <c r="G72" s="75">
        <v>100</v>
      </c>
      <c r="H72" s="75">
        <v>651</v>
      </c>
      <c r="I72" s="75">
        <v>102</v>
      </c>
      <c r="J72" s="154">
        <v>651</v>
      </c>
      <c r="K72" s="154">
        <v>102</v>
      </c>
      <c r="L72" s="155">
        <v>648</v>
      </c>
      <c r="M72" s="83">
        <v>16626.2</v>
      </c>
      <c r="N72" s="83">
        <v>16197.9</v>
      </c>
      <c r="O72" s="83">
        <v>17330.8</v>
      </c>
      <c r="P72" s="83">
        <v>16107.8</v>
      </c>
      <c r="Q72" s="83">
        <v>17353.5</v>
      </c>
      <c r="R72" s="83">
        <v>16147</v>
      </c>
      <c r="S72" s="83">
        <v>16907.3</v>
      </c>
      <c r="T72" s="83">
        <v>16016.1</v>
      </c>
      <c r="U72" s="83">
        <v>17283.7</v>
      </c>
      <c r="V72" s="83">
        <v>16072.5</v>
      </c>
      <c r="X72" s="27">
        <f>Table25[[#This Row],[HDC1]]/Table25[[#This Row],[HCC1]]</f>
        <v>0.9742394533928378</v>
      </c>
      <c r="Y72" s="27">
        <f>Table25[[#This Row],[HDC2]]/Table25[[#This Row],[HCC2]]</f>
        <v>0.92943199390680176</v>
      </c>
      <c r="Z72" s="27">
        <f>Table25[[#This Row],[HDC3]]/Table25[[#This Row],[HCC3]]</f>
        <v>0.93047512029273638</v>
      </c>
      <c r="AA72" s="27">
        <f>Table25[[#This Row],[HDC4]]/Table25[[#This Row],[HCC4]]</f>
        <v>0.94728904082851795</v>
      </c>
      <c r="AB72" s="27">
        <f>Table25[[#This Row],[HDC5]]/Table25[[#This Row],[HCC5]]</f>
        <v>0.92992241244640905</v>
      </c>
      <c r="AF72">
        <f>SUM(Table25[[#This Row],[CC1]:[DC1]])</f>
        <v>755</v>
      </c>
      <c r="AG72">
        <f>SUM(Table25[[#This Row],[CC2]:[DC2]])</f>
        <v>755</v>
      </c>
      <c r="AH72">
        <f>SUM(Table25[[#This Row],[CC3]:[DC3]])</f>
        <v>751</v>
      </c>
      <c r="AI72">
        <f>SUM(Table25[[#This Row],[CC4]:[DC4]])</f>
        <v>753</v>
      </c>
      <c r="AJ72">
        <f>SUM(Table25[[#This Row],[CC5]:[DC5]])</f>
        <v>750</v>
      </c>
    </row>
    <row r="73" spans="1:36" ht="15">
      <c r="A73" t="s">
        <v>203</v>
      </c>
      <c r="B73" s="85" t="s">
        <v>490</v>
      </c>
      <c r="C73" s="126">
        <v>80</v>
      </c>
      <c r="D73" s="75">
        <v>677</v>
      </c>
      <c r="E73" s="75">
        <v>90</v>
      </c>
      <c r="F73" s="75">
        <v>668</v>
      </c>
      <c r="G73" s="75">
        <v>107</v>
      </c>
      <c r="H73" s="75">
        <v>643</v>
      </c>
      <c r="I73" s="75">
        <v>85</v>
      </c>
      <c r="J73" s="154">
        <v>673</v>
      </c>
      <c r="K73" s="154">
        <v>93</v>
      </c>
      <c r="L73" s="155">
        <v>648</v>
      </c>
      <c r="M73" s="83">
        <v>20516.2</v>
      </c>
      <c r="N73" s="83">
        <v>19618.8</v>
      </c>
      <c r="O73" s="83">
        <v>20096.099999999999</v>
      </c>
      <c r="P73" s="83">
        <v>18790.400000000001</v>
      </c>
      <c r="Q73" s="83">
        <v>20225.400000000001</v>
      </c>
      <c r="R73" s="83">
        <v>19397.900000000001</v>
      </c>
      <c r="S73" s="83">
        <v>20770.599999999999</v>
      </c>
      <c r="T73" s="83">
        <v>19477.099999999999</v>
      </c>
      <c r="U73" s="83">
        <v>20571.8</v>
      </c>
      <c r="V73" s="83">
        <v>19245.8</v>
      </c>
      <c r="X73" s="27">
        <f>Table25[[#This Row],[HDC1]]/Table25[[#This Row],[HCC1]]</f>
        <v>0.95625895633694347</v>
      </c>
      <c r="Y73" s="27">
        <f>Table25[[#This Row],[HDC2]]/Table25[[#This Row],[HCC2]]</f>
        <v>0.93502719433123849</v>
      </c>
      <c r="Z73" s="27">
        <f>Table25[[#This Row],[HDC3]]/Table25[[#This Row],[HCC3]]</f>
        <v>0.95908609965686709</v>
      </c>
      <c r="AA73" s="27">
        <f>Table25[[#This Row],[HDC4]]/Table25[[#This Row],[HCC4]]</f>
        <v>0.9377244759419564</v>
      </c>
      <c r="AB73" s="27">
        <f>Table25[[#This Row],[HDC5]]/Table25[[#This Row],[HCC5]]</f>
        <v>0.93554283047667197</v>
      </c>
      <c r="AF73">
        <f>SUM(Table25[[#This Row],[CC1]:[DC1]])</f>
        <v>757</v>
      </c>
      <c r="AG73">
        <f>SUM(Table25[[#This Row],[CC2]:[DC2]])</f>
        <v>758</v>
      </c>
      <c r="AH73">
        <f>SUM(Table25[[#This Row],[CC3]:[DC3]])</f>
        <v>750</v>
      </c>
      <c r="AI73">
        <f>SUM(Table25[[#This Row],[CC4]:[DC4]])</f>
        <v>758</v>
      </c>
      <c r="AJ73">
        <f>SUM(Table25[[#This Row],[CC5]:[DC5]])</f>
        <v>741</v>
      </c>
    </row>
    <row r="74" spans="1:36" ht="15">
      <c r="A74" t="s">
        <v>204</v>
      </c>
      <c r="B74" s="85" t="s">
        <v>415</v>
      </c>
      <c r="C74" s="126">
        <v>101</v>
      </c>
      <c r="D74" s="75">
        <v>648</v>
      </c>
      <c r="E74" s="75">
        <v>102</v>
      </c>
      <c r="F74" s="75">
        <v>649</v>
      </c>
      <c r="G74" s="75">
        <v>102</v>
      </c>
      <c r="H74" s="75">
        <v>649</v>
      </c>
      <c r="I74" s="75">
        <v>102</v>
      </c>
      <c r="J74" s="154">
        <v>650</v>
      </c>
      <c r="K74" s="154">
        <v>101</v>
      </c>
      <c r="L74" s="155">
        <v>645</v>
      </c>
      <c r="M74" s="83">
        <v>20882</v>
      </c>
      <c r="N74" s="83">
        <v>20300</v>
      </c>
      <c r="O74" s="83">
        <v>24624</v>
      </c>
      <c r="P74" s="83">
        <v>23245.4</v>
      </c>
      <c r="Q74" s="83">
        <v>24429.7</v>
      </c>
      <c r="R74" s="83">
        <v>22987.5</v>
      </c>
      <c r="S74" s="83">
        <v>20711</v>
      </c>
      <c r="T74" s="83">
        <v>20135.5</v>
      </c>
      <c r="U74" s="83">
        <v>24541.8</v>
      </c>
      <c r="V74" s="83">
        <v>23116.799999999999</v>
      </c>
      <c r="W74" s="58"/>
      <c r="X74" s="27">
        <f>Table25[[#This Row],[HDC1]]/Table25[[#This Row],[HCC1]]</f>
        <v>0.97212910640743222</v>
      </c>
      <c r="Y74" s="27">
        <f>Table25[[#This Row],[HDC2]]/Table25[[#This Row],[HCC2]]</f>
        <v>0.9440139701104614</v>
      </c>
      <c r="Z74" s="27">
        <f>Table25[[#This Row],[HDC3]]/Table25[[#This Row],[HCC3]]</f>
        <v>0.94096530043348869</v>
      </c>
      <c r="AA74" s="27">
        <f>Table25[[#This Row],[HDC4]]/Table25[[#This Row],[HCC4]]</f>
        <v>0.9722128337598378</v>
      </c>
      <c r="AB74" s="27">
        <f>Table25[[#This Row],[HDC5]]/Table25[[#This Row],[HCC5]]</f>
        <v>0.9419357993301225</v>
      </c>
      <c r="AF74">
        <f>SUM(Table25[[#This Row],[CC1]:[DC1]])</f>
        <v>749</v>
      </c>
      <c r="AG74">
        <f>SUM(Table25[[#This Row],[CC2]:[DC2]])</f>
        <v>751</v>
      </c>
      <c r="AH74">
        <f>SUM(Table25[[#This Row],[CC3]:[DC3]])</f>
        <v>751</v>
      </c>
      <c r="AI74">
        <f>SUM(Table25[[#This Row],[CC4]:[DC4]])</f>
        <v>752</v>
      </c>
      <c r="AJ74">
        <f>SUM(Table25[[#This Row],[CC5]:[DC5]])</f>
        <v>746</v>
      </c>
    </row>
    <row r="75" spans="1:36" ht="15">
      <c r="A75" t="s">
        <v>205</v>
      </c>
      <c r="B75" s="85" t="s">
        <v>414</v>
      </c>
      <c r="C75" s="126">
        <v>100</v>
      </c>
      <c r="D75" s="75">
        <v>654</v>
      </c>
      <c r="E75" s="75">
        <v>102</v>
      </c>
      <c r="F75" s="75">
        <v>649</v>
      </c>
      <c r="G75" s="75">
        <v>105</v>
      </c>
      <c r="H75" s="75">
        <v>642</v>
      </c>
      <c r="I75" s="75">
        <v>103</v>
      </c>
      <c r="J75" s="154">
        <v>648</v>
      </c>
      <c r="K75" s="154">
        <v>101</v>
      </c>
      <c r="L75" s="155">
        <v>647</v>
      </c>
      <c r="M75" s="83">
        <v>20044.3</v>
      </c>
      <c r="N75" s="83">
        <v>19444.400000000001</v>
      </c>
      <c r="O75" s="83">
        <v>23703.599999999999</v>
      </c>
      <c r="P75" s="83">
        <v>22305.1</v>
      </c>
      <c r="Q75" s="83">
        <v>23532.6</v>
      </c>
      <c r="R75" s="83">
        <v>22214.7</v>
      </c>
      <c r="S75" s="83">
        <v>23620.3</v>
      </c>
      <c r="T75" s="83">
        <v>22245.8</v>
      </c>
      <c r="U75" s="83">
        <v>23804.400000000001</v>
      </c>
      <c r="V75" s="83">
        <v>22444.9</v>
      </c>
      <c r="W75" s="58"/>
      <c r="X75" s="27">
        <f>Table25[[#This Row],[HDC1]]/Table25[[#This Row],[HCC1]]</f>
        <v>0.97007129208802512</v>
      </c>
      <c r="Y75" s="27">
        <f>Table25[[#This Row],[HDC2]]/Table25[[#This Row],[HCC2]]</f>
        <v>0.94100052312728866</v>
      </c>
      <c r="Z75" s="27">
        <f>Table25[[#This Row],[HDC3]]/Table25[[#This Row],[HCC3]]</f>
        <v>0.94399683842839299</v>
      </c>
      <c r="AA75" s="27">
        <f>Table25[[#This Row],[HDC4]]/Table25[[#This Row],[HCC4]]</f>
        <v>0.94180852910420276</v>
      </c>
      <c r="AB75" s="27">
        <f>Table25[[#This Row],[HDC5]]/Table25[[#This Row],[HCC5]]</f>
        <v>0.94288870965031679</v>
      </c>
      <c r="AF75">
        <f>SUM(Table25[[#This Row],[CC1]:[DC1]])</f>
        <v>754</v>
      </c>
      <c r="AG75">
        <f>SUM(Table25[[#This Row],[CC2]:[DC2]])</f>
        <v>751</v>
      </c>
      <c r="AH75">
        <f>SUM(Table25[[#This Row],[CC3]:[DC3]])</f>
        <v>747</v>
      </c>
      <c r="AI75">
        <f>SUM(Table25[[#This Row],[CC4]:[DC4]])</f>
        <v>751</v>
      </c>
      <c r="AJ75">
        <f>SUM(Table25[[#This Row],[CC5]:[DC5]])</f>
        <v>748</v>
      </c>
    </row>
    <row r="76" spans="1:36" ht="15">
      <c r="A76" t="s">
        <v>206</v>
      </c>
      <c r="B76" s="85" t="s">
        <v>413</v>
      </c>
      <c r="C76" s="126">
        <v>103</v>
      </c>
      <c r="D76" s="75">
        <v>656</v>
      </c>
      <c r="E76" s="75">
        <v>103</v>
      </c>
      <c r="F76" s="75">
        <v>657</v>
      </c>
      <c r="G76" s="75">
        <v>102</v>
      </c>
      <c r="H76" s="75">
        <v>654</v>
      </c>
      <c r="I76" s="75">
        <v>104</v>
      </c>
      <c r="J76" s="154">
        <v>649</v>
      </c>
      <c r="K76" s="154">
        <v>107</v>
      </c>
      <c r="L76" s="155">
        <v>649</v>
      </c>
      <c r="M76" s="83">
        <v>21262.3</v>
      </c>
      <c r="N76" s="83">
        <v>20265.7</v>
      </c>
      <c r="O76" s="83">
        <v>26049.4</v>
      </c>
      <c r="P76" s="83">
        <v>24497.9</v>
      </c>
      <c r="Q76" s="83">
        <v>22107</v>
      </c>
      <c r="R76" s="83">
        <v>21361.200000000001</v>
      </c>
      <c r="S76" s="83">
        <v>25832.5</v>
      </c>
      <c r="T76" s="83">
        <v>24306.400000000001</v>
      </c>
      <c r="U76" s="83">
        <v>25980</v>
      </c>
      <c r="V76" s="83">
        <v>24425.1</v>
      </c>
      <c r="W76" s="58"/>
      <c r="X76" s="27">
        <f>Table25[[#This Row],[HDC1]]/Table25[[#This Row],[HCC1]]</f>
        <v>0.95312830690941253</v>
      </c>
      <c r="Y76" s="27">
        <f>Table25[[#This Row],[HDC2]]/Table25[[#This Row],[HCC2]]</f>
        <v>0.94044008691179071</v>
      </c>
      <c r="Z76" s="27">
        <f>Table25[[#This Row],[HDC3]]/Table25[[#This Row],[HCC3]]</f>
        <v>0.96626407925091606</v>
      </c>
      <c r="AA76" s="27">
        <f>Table25[[#This Row],[HDC4]]/Table25[[#This Row],[HCC4]]</f>
        <v>0.94092325558889001</v>
      </c>
      <c r="AB76" s="27">
        <f>Table25[[#This Row],[HDC5]]/Table25[[#This Row],[HCC5]]</f>
        <v>0.94015011547344107</v>
      </c>
      <c r="AF76">
        <f>SUM(Table25[[#This Row],[CC1]:[DC1]])</f>
        <v>759</v>
      </c>
      <c r="AG76">
        <f>SUM(Table25[[#This Row],[CC2]:[DC2]])</f>
        <v>760</v>
      </c>
      <c r="AH76">
        <f>SUM(Table25[[#This Row],[CC3]:[DC3]])</f>
        <v>756</v>
      </c>
      <c r="AI76">
        <f>SUM(Table25[[#This Row],[CC4]:[DC4]])</f>
        <v>753</v>
      </c>
      <c r="AJ76">
        <f>SUM(Table25[[#This Row],[CC5]:[DC5]])</f>
        <v>756</v>
      </c>
    </row>
    <row r="77" spans="1:36" ht="15">
      <c r="A77" t="s">
        <v>207</v>
      </c>
      <c r="B77" s="85" t="s">
        <v>412</v>
      </c>
      <c r="C77" s="126">
        <v>88</v>
      </c>
      <c r="D77" s="75">
        <v>660</v>
      </c>
      <c r="E77" s="75">
        <v>110</v>
      </c>
      <c r="F77" s="75">
        <v>643</v>
      </c>
      <c r="G77" s="75">
        <v>83</v>
      </c>
      <c r="H77" s="75">
        <v>670</v>
      </c>
      <c r="I77" s="75">
        <v>111</v>
      </c>
      <c r="J77" s="154">
        <v>644</v>
      </c>
      <c r="K77" s="154">
        <v>93</v>
      </c>
      <c r="L77" s="155">
        <v>654</v>
      </c>
      <c r="M77" s="83">
        <v>26736.2</v>
      </c>
      <c r="N77" s="83">
        <v>25221.8</v>
      </c>
      <c r="O77" s="83">
        <v>26692.1</v>
      </c>
      <c r="P77" s="83">
        <v>25177.200000000001</v>
      </c>
      <c r="Q77" s="83">
        <v>26724.5</v>
      </c>
      <c r="R77" s="83">
        <v>25257</v>
      </c>
      <c r="S77" s="83">
        <v>26396.799999999999</v>
      </c>
      <c r="T77" s="83">
        <v>24959.3</v>
      </c>
      <c r="U77" s="83">
        <v>26555.599999999999</v>
      </c>
      <c r="V77" s="83">
        <v>25085.7</v>
      </c>
      <c r="W77" s="58"/>
      <c r="X77" s="27">
        <f>Table25[[#This Row],[HDC1]]/Table25[[#This Row],[HCC1]]</f>
        <v>0.9433576948107808</v>
      </c>
      <c r="Y77" s="27">
        <f>Table25[[#This Row],[HDC2]]/Table25[[#This Row],[HCC2]]</f>
        <v>0.94324537971909295</v>
      </c>
      <c r="Z77" s="27">
        <f>Table25[[#This Row],[HDC3]]/Table25[[#This Row],[HCC3]]</f>
        <v>0.94508784074538343</v>
      </c>
      <c r="AA77" s="27">
        <f>Table25[[#This Row],[HDC4]]/Table25[[#This Row],[HCC4]]</f>
        <v>0.94554264153230694</v>
      </c>
      <c r="AB77" s="27">
        <f>Table25[[#This Row],[HDC5]]/Table25[[#This Row],[HCC5]]</f>
        <v>0.94464820979379127</v>
      </c>
      <c r="AF77">
        <f>SUM(Table25[[#This Row],[CC1]:[DC1]])</f>
        <v>748</v>
      </c>
      <c r="AG77">
        <f>SUM(Table25[[#This Row],[CC2]:[DC2]])</f>
        <v>753</v>
      </c>
      <c r="AH77">
        <f>SUM(Table25[[#This Row],[CC3]:[DC3]])</f>
        <v>753</v>
      </c>
      <c r="AI77">
        <f>SUM(Table25[[#This Row],[CC4]:[DC4]])</f>
        <v>755</v>
      </c>
      <c r="AJ77">
        <f>SUM(Table25[[#This Row],[CC5]:[DC5]])</f>
        <v>747</v>
      </c>
    </row>
    <row r="78" spans="1:36" ht="15">
      <c r="A78" t="s">
        <v>208</v>
      </c>
      <c r="B78" s="85" t="s">
        <v>491</v>
      </c>
      <c r="C78" s="126">
        <v>101</v>
      </c>
      <c r="D78" s="75">
        <v>655</v>
      </c>
      <c r="E78" s="75">
        <v>104</v>
      </c>
      <c r="F78" s="75">
        <v>653</v>
      </c>
      <c r="G78" s="75">
        <v>103</v>
      </c>
      <c r="H78" s="75">
        <v>653</v>
      </c>
      <c r="I78" s="75">
        <v>105</v>
      </c>
      <c r="J78" s="154">
        <v>652</v>
      </c>
      <c r="K78" s="154">
        <v>104</v>
      </c>
      <c r="L78" s="155">
        <v>651</v>
      </c>
      <c r="M78" s="83">
        <v>28559.9</v>
      </c>
      <c r="N78" s="83">
        <v>26970.9</v>
      </c>
      <c r="O78" s="83">
        <v>15093.8</v>
      </c>
      <c r="P78" s="83">
        <v>13948.2</v>
      </c>
      <c r="Q78" s="83">
        <v>15124.4</v>
      </c>
      <c r="R78" s="83">
        <v>13947.4</v>
      </c>
      <c r="S78" s="83">
        <v>15087.5</v>
      </c>
      <c r="T78" s="83">
        <v>13895.1</v>
      </c>
      <c r="U78" s="83">
        <v>14408.6</v>
      </c>
      <c r="V78" s="83">
        <v>13256.9</v>
      </c>
      <c r="W78" s="58"/>
      <c r="X78" s="27">
        <f>Table25[[#This Row],[HDC1]]/Table25[[#This Row],[HCC1]]</f>
        <v>0.94436255028904159</v>
      </c>
      <c r="Y78" s="27">
        <f>Table25[[#This Row],[HDC2]]/Table25[[#This Row],[HCC2]]</f>
        <v>0.92410128662099678</v>
      </c>
      <c r="Z78" s="27">
        <f>Table25[[#This Row],[HDC3]]/Table25[[#This Row],[HCC3]]</f>
        <v>0.9221787310570998</v>
      </c>
      <c r="AA78" s="27">
        <f>Table25[[#This Row],[HDC4]]/Table25[[#This Row],[HCC4]]</f>
        <v>0.92096768848384425</v>
      </c>
      <c r="AB78" s="27">
        <f>Table25[[#This Row],[HDC5]]/Table25[[#This Row],[HCC5]]</f>
        <v>0.92006857015948806</v>
      </c>
      <c r="AF78">
        <f>SUM(Table25[[#This Row],[CC1]:[DC1]])</f>
        <v>756</v>
      </c>
      <c r="AG78">
        <f>SUM(Table25[[#This Row],[CC2]:[DC2]])</f>
        <v>757</v>
      </c>
      <c r="AH78">
        <f>SUM(Table25[[#This Row],[CC3]:[DC3]])</f>
        <v>756</v>
      </c>
      <c r="AI78">
        <f>SUM(Table25[[#This Row],[CC4]:[DC4]])</f>
        <v>757</v>
      </c>
      <c r="AJ78">
        <f>SUM(Table25[[#This Row],[CC5]:[DC5]])</f>
        <v>755</v>
      </c>
    </row>
    <row r="79" spans="1:36" ht="15">
      <c r="A79" t="s">
        <v>209</v>
      </c>
      <c r="B79" s="85" t="s">
        <v>492</v>
      </c>
      <c r="C79" s="126">
        <v>102</v>
      </c>
      <c r="D79" s="75">
        <v>652</v>
      </c>
      <c r="E79" s="75">
        <v>102</v>
      </c>
      <c r="F79" s="75">
        <v>655</v>
      </c>
      <c r="G79" s="75">
        <v>101</v>
      </c>
      <c r="H79" s="75">
        <v>654</v>
      </c>
      <c r="I79" s="75">
        <v>101</v>
      </c>
      <c r="J79" s="154">
        <v>653</v>
      </c>
      <c r="K79" s="154">
        <v>101</v>
      </c>
      <c r="L79" s="155">
        <v>655</v>
      </c>
      <c r="M79" s="83">
        <v>29610.5</v>
      </c>
      <c r="N79" s="83">
        <v>27995.4</v>
      </c>
      <c r="O79" s="83">
        <v>29571.3</v>
      </c>
      <c r="P79" s="83">
        <v>27941.599999999999</v>
      </c>
      <c r="Q79" s="83">
        <v>29523.200000000001</v>
      </c>
      <c r="R79" s="83">
        <v>27886.9</v>
      </c>
      <c r="S79" s="83">
        <v>30331.8</v>
      </c>
      <c r="T79" s="83">
        <v>28710.9</v>
      </c>
      <c r="U79" s="83">
        <v>30363.200000000001</v>
      </c>
      <c r="V79" s="83">
        <v>28759.3</v>
      </c>
      <c r="W79" s="58"/>
      <c r="X79" s="27">
        <f>Table25[[#This Row],[HDC1]]/Table25[[#This Row],[HCC1]]</f>
        <v>0.94545515948734404</v>
      </c>
      <c r="Y79" s="27">
        <f>Table25[[#This Row],[HDC2]]/Table25[[#This Row],[HCC2]]</f>
        <v>0.94488913236820837</v>
      </c>
      <c r="Z79" s="27">
        <f>Table25[[#This Row],[HDC3]]/Table25[[#This Row],[HCC3]]</f>
        <v>0.94457579124214175</v>
      </c>
      <c r="AA79" s="27">
        <f>Table25[[#This Row],[HDC4]]/Table25[[#This Row],[HCC4]]</f>
        <v>0.94656103495341526</v>
      </c>
      <c r="AB79" s="27">
        <f>Table25[[#This Row],[HDC5]]/Table25[[#This Row],[HCC5]]</f>
        <v>0.94717618696316586</v>
      </c>
      <c r="AF79">
        <f>SUM(Table25[[#This Row],[CC1]:[DC1]])</f>
        <v>754</v>
      </c>
      <c r="AG79">
        <f>SUM(Table25[[#This Row],[CC2]:[DC2]])</f>
        <v>757</v>
      </c>
      <c r="AH79">
        <f>SUM(Table25[[#This Row],[CC3]:[DC3]])</f>
        <v>755</v>
      </c>
      <c r="AI79">
        <f>SUM(Table25[[#This Row],[CC4]:[DC4]])</f>
        <v>754</v>
      </c>
      <c r="AJ79">
        <f>SUM(Table25[[#This Row],[CC5]:[DC5]])</f>
        <v>756</v>
      </c>
    </row>
    <row r="80" spans="1:36" ht="15">
      <c r="A80" t="s">
        <v>210</v>
      </c>
      <c r="B80" s="85" t="s">
        <v>493</v>
      </c>
      <c r="C80" s="126">
        <v>100</v>
      </c>
      <c r="D80" s="75">
        <v>656</v>
      </c>
      <c r="E80" s="75">
        <v>101</v>
      </c>
      <c r="F80" s="75">
        <v>652</v>
      </c>
      <c r="G80" s="75">
        <v>102</v>
      </c>
      <c r="H80" s="75">
        <v>652</v>
      </c>
      <c r="I80" s="75">
        <v>101</v>
      </c>
      <c r="J80" s="154">
        <v>650</v>
      </c>
      <c r="K80" s="154">
        <v>101</v>
      </c>
      <c r="L80" s="155">
        <v>656</v>
      </c>
      <c r="M80" s="83">
        <v>29908.5</v>
      </c>
      <c r="N80" s="83">
        <v>28252</v>
      </c>
      <c r="O80" s="83">
        <v>30162.3</v>
      </c>
      <c r="P80" s="83">
        <v>28526</v>
      </c>
      <c r="Q80" s="83">
        <v>30093.599999999999</v>
      </c>
      <c r="R80" s="83">
        <v>28453.4</v>
      </c>
      <c r="S80" s="83">
        <v>30231.5</v>
      </c>
      <c r="T80" s="83">
        <v>28616.3</v>
      </c>
      <c r="U80" s="83">
        <v>27656.9</v>
      </c>
      <c r="V80" s="83">
        <v>26814.1</v>
      </c>
      <c r="W80" s="58"/>
      <c r="X80" s="27">
        <f>Table25[[#This Row],[HDC1]]/Table25[[#This Row],[HCC1]]</f>
        <v>0.9446144072755237</v>
      </c>
      <c r="Y80" s="27">
        <f>Table25[[#This Row],[HDC2]]/Table25[[#This Row],[HCC2]]</f>
        <v>0.94575015831020848</v>
      </c>
      <c r="Z80" s="27">
        <f>Table25[[#This Row],[HDC3]]/Table25[[#This Row],[HCC3]]</f>
        <v>0.94549671690990789</v>
      </c>
      <c r="AA80" s="27">
        <f>Table25[[#This Row],[HDC4]]/Table25[[#This Row],[HCC4]]</f>
        <v>0.94657228387608949</v>
      </c>
      <c r="AB80" s="27">
        <f>Table25[[#This Row],[HDC5]]/Table25[[#This Row],[HCC5]]</f>
        <v>0.96952659191738755</v>
      </c>
      <c r="AF80">
        <f>SUM(Table25[[#This Row],[CC1]:[DC1]])</f>
        <v>756</v>
      </c>
      <c r="AG80">
        <f>SUM(Table25[[#This Row],[CC2]:[DC2]])</f>
        <v>753</v>
      </c>
      <c r="AH80">
        <f>SUM(Table25[[#This Row],[CC3]:[DC3]])</f>
        <v>754</v>
      </c>
      <c r="AI80">
        <f>SUM(Table25[[#This Row],[CC4]:[DC4]])</f>
        <v>751</v>
      </c>
      <c r="AJ80">
        <f>SUM(Table25[[#This Row],[CC5]:[DC5]])</f>
        <v>757</v>
      </c>
    </row>
    <row r="81" spans="1:36" ht="15">
      <c r="A81" t="s">
        <v>211</v>
      </c>
      <c r="B81" s="85" t="s">
        <v>494</v>
      </c>
      <c r="C81" s="126">
        <v>100</v>
      </c>
      <c r="D81" s="75">
        <v>655</v>
      </c>
      <c r="E81" s="75">
        <v>105</v>
      </c>
      <c r="F81" s="75">
        <v>646</v>
      </c>
      <c r="G81" s="75">
        <v>106</v>
      </c>
      <c r="H81" s="75">
        <v>646</v>
      </c>
      <c r="I81" s="75">
        <v>104</v>
      </c>
      <c r="J81" s="154">
        <v>649</v>
      </c>
      <c r="K81" s="154">
        <v>105</v>
      </c>
      <c r="L81" s="155">
        <v>650</v>
      </c>
      <c r="M81" s="83">
        <v>24963.9</v>
      </c>
      <c r="N81" s="83">
        <v>23534.1</v>
      </c>
      <c r="O81" s="83">
        <v>24421.9</v>
      </c>
      <c r="P81" s="83">
        <v>23003.599999999999</v>
      </c>
      <c r="Q81" s="83">
        <v>24532.7</v>
      </c>
      <c r="R81" s="83">
        <v>23087.200000000001</v>
      </c>
      <c r="S81" s="83">
        <v>24552.7</v>
      </c>
      <c r="T81" s="83">
        <v>23131.599999999999</v>
      </c>
      <c r="U81" s="83">
        <v>24533.5</v>
      </c>
      <c r="V81" s="83">
        <v>23044.400000000001</v>
      </c>
      <c r="W81" s="58"/>
      <c r="X81" s="27">
        <f>Table25[[#This Row],[HDC1]]/Table25[[#This Row],[HCC1]]</f>
        <v>0.94272529532645133</v>
      </c>
      <c r="Y81" s="27">
        <f>Table25[[#This Row],[HDC2]]/Table25[[#This Row],[HCC2]]</f>
        <v>0.94192507544458037</v>
      </c>
      <c r="Z81" s="27">
        <f>Table25[[#This Row],[HDC3]]/Table25[[#This Row],[HCC3]]</f>
        <v>0.94107864197581192</v>
      </c>
      <c r="AA81" s="27">
        <f>Table25[[#This Row],[HDC4]]/Table25[[#This Row],[HCC4]]</f>
        <v>0.94212041852830841</v>
      </c>
      <c r="AB81" s="27">
        <f>Table25[[#This Row],[HDC5]]/Table25[[#This Row],[HCC5]]</f>
        <v>0.93930340147145741</v>
      </c>
      <c r="AF81">
        <f>SUM(Table25[[#This Row],[CC1]:[DC1]])</f>
        <v>755</v>
      </c>
      <c r="AG81">
        <f>SUM(Table25[[#This Row],[CC2]:[DC2]])</f>
        <v>751</v>
      </c>
      <c r="AH81">
        <f>SUM(Table25[[#This Row],[CC3]:[DC3]])</f>
        <v>752</v>
      </c>
      <c r="AI81">
        <f>SUM(Table25[[#This Row],[CC4]:[DC4]])</f>
        <v>753</v>
      </c>
      <c r="AJ81">
        <f>SUM(Table25[[#This Row],[CC5]:[DC5]])</f>
        <v>755</v>
      </c>
    </row>
    <row r="82" spans="1:36" ht="15">
      <c r="A82" t="s">
        <v>212</v>
      </c>
      <c r="B82" s="85" t="s">
        <v>495</v>
      </c>
      <c r="C82" s="126">
        <v>99</v>
      </c>
      <c r="D82" s="75">
        <v>653</v>
      </c>
      <c r="E82" s="75">
        <v>99</v>
      </c>
      <c r="F82" s="75">
        <v>654</v>
      </c>
      <c r="G82" s="75">
        <v>99</v>
      </c>
      <c r="H82" s="75">
        <v>650</v>
      </c>
      <c r="I82" s="75">
        <v>102</v>
      </c>
      <c r="J82" s="154">
        <v>651</v>
      </c>
      <c r="K82" s="154">
        <v>99</v>
      </c>
      <c r="L82" s="155">
        <v>654</v>
      </c>
      <c r="M82" s="83">
        <v>13160.8</v>
      </c>
      <c r="N82" s="83">
        <v>12802.6</v>
      </c>
      <c r="O82" s="83">
        <v>17021.5</v>
      </c>
      <c r="P82" s="83">
        <v>15794.8</v>
      </c>
      <c r="Q82" s="83">
        <v>17024.2</v>
      </c>
      <c r="R82" s="83">
        <v>15812.2</v>
      </c>
      <c r="S82" s="83">
        <v>13060.7</v>
      </c>
      <c r="T82" s="83">
        <v>12690.8</v>
      </c>
      <c r="U82" s="83">
        <v>16535</v>
      </c>
      <c r="V82" s="83">
        <v>15326.9</v>
      </c>
      <c r="W82" s="58"/>
      <c r="X82" s="27">
        <f>Table25[[#This Row],[HDC1]]/Table25[[#This Row],[HCC1]]</f>
        <v>0.97278280955565022</v>
      </c>
      <c r="Y82" s="27">
        <f>Table25[[#This Row],[HDC2]]/Table25[[#This Row],[HCC2]]</f>
        <v>0.92793232088828825</v>
      </c>
      <c r="Z82" s="27">
        <f>Table25[[#This Row],[HDC3]]/Table25[[#This Row],[HCC3]]</f>
        <v>0.92880722735870114</v>
      </c>
      <c r="AA82" s="27">
        <f>Table25[[#This Row],[HDC4]]/Table25[[#This Row],[HCC4]]</f>
        <v>0.97167839396050737</v>
      </c>
      <c r="AB82" s="27">
        <f>Table25[[#This Row],[HDC5]]/Table25[[#This Row],[HCC5]]</f>
        <v>0.92693680072573326</v>
      </c>
      <c r="AF82">
        <f>SUM(Table25[[#This Row],[CC1]:[DC1]])</f>
        <v>752</v>
      </c>
      <c r="AG82">
        <f>SUM(Table25[[#This Row],[CC2]:[DC2]])</f>
        <v>753</v>
      </c>
      <c r="AH82">
        <f>SUM(Table25[[#This Row],[CC3]:[DC3]])</f>
        <v>749</v>
      </c>
      <c r="AI82">
        <f>SUM(Table25[[#This Row],[CC4]:[DC4]])</f>
        <v>753</v>
      </c>
      <c r="AJ82">
        <f>SUM(Table25[[#This Row],[CC5]:[DC5]])</f>
        <v>753</v>
      </c>
    </row>
    <row r="83" spans="1:36" ht="15">
      <c r="A83" t="s">
        <v>213</v>
      </c>
      <c r="B83" s="85" t="s">
        <v>496</v>
      </c>
      <c r="C83" s="126">
        <v>100</v>
      </c>
      <c r="D83" s="75">
        <v>654</v>
      </c>
      <c r="E83" s="75">
        <v>100</v>
      </c>
      <c r="F83" s="75">
        <v>657</v>
      </c>
      <c r="G83" s="75">
        <v>103</v>
      </c>
      <c r="H83" s="75">
        <v>652</v>
      </c>
      <c r="I83" s="75">
        <v>106</v>
      </c>
      <c r="J83" s="154">
        <v>646</v>
      </c>
      <c r="K83" s="154">
        <v>102</v>
      </c>
      <c r="L83" s="155">
        <v>651</v>
      </c>
      <c r="M83" s="83">
        <v>19529.8</v>
      </c>
      <c r="N83" s="83">
        <v>18217.5</v>
      </c>
      <c r="O83" s="83">
        <v>15423.1</v>
      </c>
      <c r="P83" s="83">
        <v>14947.1</v>
      </c>
      <c r="Q83" s="83">
        <v>15271.4</v>
      </c>
      <c r="R83" s="83">
        <v>14797</v>
      </c>
      <c r="S83" s="83">
        <v>19063.5</v>
      </c>
      <c r="T83" s="83">
        <v>17777.099999999999</v>
      </c>
      <c r="U83" s="83">
        <v>19416.900000000001</v>
      </c>
      <c r="V83" s="83">
        <v>18152.2</v>
      </c>
      <c r="W83" s="58"/>
      <c r="X83" s="27">
        <f>Table25[[#This Row],[HDC1]]/Table25[[#This Row],[HCC1]]</f>
        <v>0.93280525146186855</v>
      </c>
      <c r="Y83" s="27">
        <f>Table25[[#This Row],[HDC2]]/Table25[[#This Row],[HCC2]]</f>
        <v>0.96913720328598008</v>
      </c>
      <c r="Z83" s="27">
        <f>Table25[[#This Row],[HDC3]]/Table25[[#This Row],[HCC3]]</f>
        <v>0.96893539557604413</v>
      </c>
      <c r="AA83" s="27">
        <f>Table25[[#This Row],[HDC4]]/Table25[[#This Row],[HCC4]]</f>
        <v>0.93252026123219756</v>
      </c>
      <c r="AB83" s="27">
        <f>Table25[[#This Row],[HDC5]]/Table25[[#This Row],[HCC5]]</f>
        <v>0.93486601877745668</v>
      </c>
      <c r="AF83">
        <f>SUM(Table25[[#This Row],[CC1]:[DC1]])</f>
        <v>754</v>
      </c>
      <c r="AG83">
        <f>SUM(Table25[[#This Row],[CC2]:[DC2]])</f>
        <v>757</v>
      </c>
      <c r="AH83">
        <f>SUM(Table25[[#This Row],[CC3]:[DC3]])</f>
        <v>755</v>
      </c>
      <c r="AI83">
        <f>SUM(Table25[[#This Row],[CC4]:[DC4]])</f>
        <v>752</v>
      </c>
      <c r="AJ83">
        <f>SUM(Table25[[#This Row],[CC5]:[DC5]])</f>
        <v>753</v>
      </c>
    </row>
    <row r="84" spans="1:36" ht="15">
      <c r="A84" t="s">
        <v>214</v>
      </c>
      <c r="B84" s="85" t="s">
        <v>497</v>
      </c>
      <c r="C84" s="126">
        <v>101</v>
      </c>
      <c r="D84" s="75">
        <v>657</v>
      </c>
      <c r="E84" s="75">
        <v>100</v>
      </c>
      <c r="F84" s="75">
        <v>656</v>
      </c>
      <c r="G84" s="75">
        <v>101</v>
      </c>
      <c r="H84" s="75">
        <v>651</v>
      </c>
      <c r="I84" s="75">
        <v>101</v>
      </c>
      <c r="J84" s="154">
        <v>652</v>
      </c>
      <c r="K84" s="154">
        <v>99</v>
      </c>
      <c r="L84" s="155">
        <v>654</v>
      </c>
      <c r="M84" s="83">
        <v>18613.599999999999</v>
      </c>
      <c r="N84" s="83">
        <v>17414.8</v>
      </c>
      <c r="O84" s="83">
        <v>18710.7</v>
      </c>
      <c r="P84" s="83">
        <v>17463.099999999999</v>
      </c>
      <c r="Q84" s="83">
        <v>18637.7</v>
      </c>
      <c r="R84" s="83">
        <v>17274.900000000001</v>
      </c>
      <c r="S84" s="83">
        <v>23656.7</v>
      </c>
      <c r="T84" s="83">
        <v>22121</v>
      </c>
      <c r="U84" s="83">
        <v>14851.1</v>
      </c>
      <c r="V84" s="83">
        <v>14407.4</v>
      </c>
      <c r="W84" s="58"/>
      <c r="X84" s="27">
        <f>Table25[[#This Row],[HDC1]]/Table25[[#This Row],[HCC1]]</f>
        <v>0.93559547857480552</v>
      </c>
      <c r="Y84" s="27">
        <f>Table25[[#This Row],[HDC2]]/Table25[[#This Row],[HCC2]]</f>
        <v>0.93332157535527793</v>
      </c>
      <c r="Z84" s="27">
        <f>Table25[[#This Row],[HDC3]]/Table25[[#This Row],[HCC3]]</f>
        <v>0.9268793896242562</v>
      </c>
      <c r="AA84" s="27">
        <f>Table25[[#This Row],[HDC4]]/Table25[[#This Row],[HCC4]]</f>
        <v>0.93508392971124454</v>
      </c>
      <c r="AB84" s="27">
        <f>Table25[[#This Row],[HDC5]]/Table25[[#This Row],[HCC5]]</f>
        <v>0.97012342520082684</v>
      </c>
      <c r="AF84">
        <f>SUM(Table25[[#This Row],[CC1]:[DC1]])</f>
        <v>758</v>
      </c>
      <c r="AG84">
        <f>SUM(Table25[[#This Row],[CC2]:[DC2]])</f>
        <v>756</v>
      </c>
      <c r="AH84">
        <f>SUM(Table25[[#This Row],[CC3]:[DC3]])</f>
        <v>752</v>
      </c>
      <c r="AI84">
        <f>SUM(Table25[[#This Row],[CC4]:[DC4]])</f>
        <v>753</v>
      </c>
      <c r="AJ84">
        <f>SUM(Table25[[#This Row],[CC5]:[DC5]])</f>
        <v>753</v>
      </c>
    </row>
    <row r="85" spans="1:36" ht="15">
      <c r="A85" t="s">
        <v>215</v>
      </c>
      <c r="B85" s="85" t="s">
        <v>498</v>
      </c>
      <c r="C85" s="126">
        <v>102</v>
      </c>
      <c r="D85" s="75">
        <v>654</v>
      </c>
      <c r="E85" s="75">
        <v>99</v>
      </c>
      <c r="F85" s="75">
        <v>656</v>
      </c>
      <c r="G85" s="75">
        <v>99</v>
      </c>
      <c r="H85" s="75">
        <v>656</v>
      </c>
      <c r="I85" s="75">
        <v>103</v>
      </c>
      <c r="J85" s="154">
        <v>652</v>
      </c>
      <c r="K85" s="154">
        <v>101</v>
      </c>
      <c r="L85" s="155">
        <v>652</v>
      </c>
      <c r="M85" s="83">
        <v>23401.3</v>
      </c>
      <c r="N85" s="83">
        <v>21963.3</v>
      </c>
      <c r="O85" s="83">
        <v>20375.7</v>
      </c>
      <c r="P85" s="83">
        <v>19044.599999999999</v>
      </c>
      <c r="Q85" s="83">
        <v>22856.3</v>
      </c>
      <c r="R85" s="83">
        <v>21439.4</v>
      </c>
      <c r="S85" s="83">
        <v>19424.900000000001</v>
      </c>
      <c r="T85" s="83">
        <v>18101.3</v>
      </c>
      <c r="U85" s="83">
        <v>23342</v>
      </c>
      <c r="V85" s="83">
        <v>21943</v>
      </c>
      <c r="W85" s="58"/>
      <c r="X85" s="27">
        <f>Table25[[#This Row],[HDC1]]/Table25[[#This Row],[HCC1]]</f>
        <v>0.93855042241243003</v>
      </c>
      <c r="Y85" s="27">
        <f>Table25[[#This Row],[HDC2]]/Table25[[#This Row],[HCC2]]</f>
        <v>0.93467218304156408</v>
      </c>
      <c r="Z85" s="27">
        <f>Table25[[#This Row],[HDC3]]/Table25[[#This Row],[HCC3]]</f>
        <v>0.9380083390575028</v>
      </c>
      <c r="AA85" s="27">
        <f>Table25[[#This Row],[HDC4]]/Table25[[#This Row],[HCC4]]</f>
        <v>0.931860653079295</v>
      </c>
      <c r="AB85" s="27">
        <f>Table25[[#This Row],[HDC5]]/Table25[[#This Row],[HCC5]]</f>
        <v>0.94006511867020826</v>
      </c>
      <c r="AF85">
        <f>SUM(Table25[[#This Row],[CC1]:[DC1]])</f>
        <v>756</v>
      </c>
      <c r="AG85">
        <f>SUM(Table25[[#This Row],[CC2]:[DC2]])</f>
        <v>755</v>
      </c>
      <c r="AH85">
        <f>SUM(Table25[[#This Row],[CC3]:[DC3]])</f>
        <v>755</v>
      </c>
      <c r="AI85">
        <f>SUM(Table25[[#This Row],[CC4]:[DC4]])</f>
        <v>755</v>
      </c>
      <c r="AJ85">
        <f>SUM(Table25[[#This Row],[CC5]:[DC5]])</f>
        <v>753</v>
      </c>
    </row>
    <row r="86" spans="1:36" ht="15">
      <c r="A86" t="s">
        <v>216</v>
      </c>
      <c r="B86" s="85" t="s">
        <v>499</v>
      </c>
      <c r="C86" s="126">
        <v>103</v>
      </c>
      <c r="D86" s="75">
        <v>652</v>
      </c>
      <c r="E86" s="75">
        <v>101</v>
      </c>
      <c r="F86" s="75">
        <v>649</v>
      </c>
      <c r="G86" s="75">
        <v>100</v>
      </c>
      <c r="H86" s="75">
        <v>655</v>
      </c>
      <c r="I86" s="75">
        <v>102</v>
      </c>
      <c r="J86" s="154">
        <v>656</v>
      </c>
      <c r="K86" s="154">
        <v>101</v>
      </c>
      <c r="L86" s="155">
        <v>655</v>
      </c>
      <c r="M86" s="83">
        <v>27421.9</v>
      </c>
      <c r="N86" s="83">
        <v>25913.200000000001</v>
      </c>
      <c r="O86" s="83">
        <v>26412.799999999999</v>
      </c>
      <c r="P86" s="83">
        <v>25219.599999999999</v>
      </c>
      <c r="Q86" s="83">
        <v>27563</v>
      </c>
      <c r="R86" s="83">
        <v>25933.9</v>
      </c>
      <c r="S86" s="83">
        <v>27353.5</v>
      </c>
      <c r="T86" s="83">
        <v>25803.599999999999</v>
      </c>
      <c r="U86" s="83">
        <v>27951.8</v>
      </c>
      <c r="V86" s="83">
        <v>26374.400000000001</v>
      </c>
      <c r="W86" s="58"/>
      <c r="X86" s="27">
        <f>Table25[[#This Row],[HDC1]]/Table25[[#This Row],[HCC1]]</f>
        <v>0.94498193050080403</v>
      </c>
      <c r="Y86" s="27">
        <f>Table25[[#This Row],[HDC2]]/Table25[[#This Row],[HCC2]]</f>
        <v>0.95482493336564089</v>
      </c>
      <c r="Z86" s="27">
        <f>Table25[[#This Row],[HDC3]]/Table25[[#This Row],[HCC3]]</f>
        <v>0.94089540325799081</v>
      </c>
      <c r="AA86" s="27">
        <f>Table25[[#This Row],[HDC4]]/Table25[[#This Row],[HCC4]]</f>
        <v>0.94333814685506423</v>
      </c>
      <c r="AB86" s="27">
        <f>Table25[[#This Row],[HDC5]]/Table25[[#This Row],[HCC5]]</f>
        <v>0.94356714057770885</v>
      </c>
      <c r="AF86">
        <f>SUM(Table25[[#This Row],[CC1]:[DC1]])</f>
        <v>755</v>
      </c>
      <c r="AG86">
        <f>SUM(Table25[[#This Row],[CC2]:[DC2]])</f>
        <v>750</v>
      </c>
      <c r="AH86">
        <f>SUM(Table25[[#This Row],[CC3]:[DC3]])</f>
        <v>755</v>
      </c>
      <c r="AI86">
        <f>SUM(Table25[[#This Row],[CC4]:[DC4]])</f>
        <v>758</v>
      </c>
      <c r="AJ86">
        <f>SUM(Table25[[#This Row],[CC5]:[DC5]])</f>
        <v>756</v>
      </c>
    </row>
    <row r="87" spans="1:36" ht="15">
      <c r="A87" t="s">
        <v>217</v>
      </c>
      <c r="B87" s="85" t="s">
        <v>500</v>
      </c>
      <c r="C87" s="126">
        <v>103</v>
      </c>
      <c r="D87" s="75">
        <v>650</v>
      </c>
      <c r="E87" s="75">
        <v>106</v>
      </c>
      <c r="F87" s="75">
        <v>644</v>
      </c>
      <c r="G87" s="75">
        <v>102</v>
      </c>
      <c r="H87" s="75">
        <v>649</v>
      </c>
      <c r="I87" s="75">
        <v>100</v>
      </c>
      <c r="J87" s="154">
        <v>652</v>
      </c>
      <c r="K87" s="154">
        <v>101</v>
      </c>
      <c r="L87" s="155">
        <v>654</v>
      </c>
      <c r="M87" s="83">
        <v>27641.599999999999</v>
      </c>
      <c r="N87" s="83">
        <v>26089.3</v>
      </c>
      <c r="O87" s="83">
        <v>27480.400000000001</v>
      </c>
      <c r="P87" s="83">
        <v>26001.8</v>
      </c>
      <c r="Q87" s="83">
        <v>26494.6</v>
      </c>
      <c r="R87" s="83">
        <v>25901.4</v>
      </c>
      <c r="S87" s="83">
        <v>27559</v>
      </c>
      <c r="T87" s="83">
        <v>26050</v>
      </c>
      <c r="U87" s="83">
        <v>27661.8</v>
      </c>
      <c r="V87" s="83">
        <v>26216.1</v>
      </c>
      <c r="W87" s="58"/>
      <c r="X87" s="27">
        <f>Table25[[#This Row],[HDC1]]/Table25[[#This Row],[HCC1]]</f>
        <v>0.94384189048390832</v>
      </c>
      <c r="Y87" s="27">
        <f>Table25[[#This Row],[HDC2]]/Table25[[#This Row],[HCC2]]</f>
        <v>0.94619437853888577</v>
      </c>
      <c r="Z87" s="27">
        <f>Table25[[#This Row],[HDC3]]/Table25[[#This Row],[HCC3]]</f>
        <v>0.97761053195745562</v>
      </c>
      <c r="AA87" s="27">
        <f>Table25[[#This Row],[HDC4]]/Table25[[#This Row],[HCC4]]</f>
        <v>0.94524474763235244</v>
      </c>
      <c r="AB87" s="27">
        <f>Table25[[#This Row],[HDC5]]/Table25[[#This Row],[HCC5]]</f>
        <v>0.94773658980977371</v>
      </c>
      <c r="AF87">
        <f>SUM(Table25[[#This Row],[CC1]:[DC1]])</f>
        <v>753</v>
      </c>
      <c r="AG87">
        <f>SUM(Table25[[#This Row],[CC2]:[DC2]])</f>
        <v>750</v>
      </c>
      <c r="AH87">
        <f>SUM(Table25[[#This Row],[CC3]:[DC3]])</f>
        <v>751</v>
      </c>
      <c r="AI87">
        <f>SUM(Table25[[#This Row],[CC4]:[DC4]])</f>
        <v>752</v>
      </c>
      <c r="AJ87">
        <f>SUM(Table25[[#This Row],[CC5]:[DC5]])</f>
        <v>755</v>
      </c>
    </row>
    <row r="88" spans="1:36" ht="15">
      <c r="A88" t="s">
        <v>218</v>
      </c>
      <c r="B88" s="85" t="s">
        <v>501</v>
      </c>
      <c r="C88" s="126">
        <v>101</v>
      </c>
      <c r="D88" s="75">
        <v>659</v>
      </c>
      <c r="E88" s="75">
        <v>102</v>
      </c>
      <c r="F88" s="75">
        <v>653</v>
      </c>
      <c r="G88" s="75">
        <v>102</v>
      </c>
      <c r="H88" s="75">
        <v>651</v>
      </c>
      <c r="I88" s="75">
        <v>102</v>
      </c>
      <c r="J88" s="154">
        <v>654</v>
      </c>
      <c r="K88" s="154">
        <v>102</v>
      </c>
      <c r="L88" s="155">
        <v>657</v>
      </c>
      <c r="M88" s="83">
        <v>27888.2</v>
      </c>
      <c r="N88" s="83">
        <v>26329.7</v>
      </c>
      <c r="O88" s="83">
        <v>27443.4</v>
      </c>
      <c r="P88" s="83">
        <v>25906.7</v>
      </c>
      <c r="Q88" s="83">
        <v>27585.200000000001</v>
      </c>
      <c r="R88" s="83">
        <v>26049.7</v>
      </c>
      <c r="S88" s="83">
        <v>27758.6</v>
      </c>
      <c r="T88" s="83">
        <v>26209.1</v>
      </c>
      <c r="U88" s="83">
        <v>27994.7</v>
      </c>
      <c r="V88" s="83">
        <v>26445</v>
      </c>
      <c r="W88" s="58"/>
      <c r="X88" s="27">
        <f>Table25[[#This Row],[HDC1]]/Table25[[#This Row],[HCC1]]</f>
        <v>0.94411614948257683</v>
      </c>
      <c r="Y88" s="27">
        <f>Table25[[#This Row],[HDC2]]/Table25[[#This Row],[HCC2]]</f>
        <v>0.94400475159783404</v>
      </c>
      <c r="Z88" s="27">
        <f>Table25[[#This Row],[HDC3]]/Table25[[#This Row],[HCC3]]</f>
        <v>0.94433609326740431</v>
      </c>
      <c r="AA88" s="27">
        <f>Table25[[#This Row],[HDC4]]/Table25[[#This Row],[HCC4]]</f>
        <v>0.9441794615002197</v>
      </c>
      <c r="AB88" s="27">
        <f>Table25[[#This Row],[HDC5]]/Table25[[#This Row],[HCC5]]</f>
        <v>0.94464309315691897</v>
      </c>
      <c r="AF88">
        <f>SUM(Table25[[#This Row],[CC1]:[DC1]])</f>
        <v>760</v>
      </c>
      <c r="AG88">
        <f>SUM(Table25[[#This Row],[CC2]:[DC2]])</f>
        <v>755</v>
      </c>
      <c r="AH88">
        <f>SUM(Table25[[#This Row],[CC3]:[DC3]])</f>
        <v>753</v>
      </c>
      <c r="AI88">
        <f>SUM(Table25[[#This Row],[CC4]:[DC4]])</f>
        <v>756</v>
      </c>
      <c r="AJ88">
        <f>SUM(Table25[[#This Row],[CC5]:[DC5]])</f>
        <v>759</v>
      </c>
    </row>
    <row r="89" spans="1:36" ht="15">
      <c r="A89" t="s">
        <v>219</v>
      </c>
      <c r="B89" s="85" t="s">
        <v>502</v>
      </c>
      <c r="C89" s="126">
        <v>98</v>
      </c>
      <c r="D89" s="75">
        <v>655</v>
      </c>
      <c r="E89" s="75">
        <v>103</v>
      </c>
      <c r="F89" s="75">
        <v>650</v>
      </c>
      <c r="G89" s="75">
        <v>102</v>
      </c>
      <c r="H89" s="75">
        <v>649</v>
      </c>
      <c r="I89" s="75">
        <v>105</v>
      </c>
      <c r="J89" s="154">
        <v>650</v>
      </c>
      <c r="K89" s="154">
        <v>106</v>
      </c>
      <c r="L89" s="155">
        <v>643</v>
      </c>
      <c r="M89" s="83">
        <v>28124.5</v>
      </c>
      <c r="N89" s="83">
        <v>26557.9</v>
      </c>
      <c r="O89" s="83">
        <v>27468.3</v>
      </c>
      <c r="P89" s="83">
        <v>25909.1</v>
      </c>
      <c r="Q89" s="83">
        <v>27465</v>
      </c>
      <c r="R89" s="83">
        <v>26009.9</v>
      </c>
      <c r="S89" s="83">
        <v>27509.4</v>
      </c>
      <c r="T89" s="83">
        <v>26038.3</v>
      </c>
      <c r="U89" s="83">
        <v>27247</v>
      </c>
      <c r="V89" s="83">
        <v>25800.6</v>
      </c>
      <c r="W89" s="58"/>
      <c r="X89" s="27">
        <f>Table25[[#This Row],[HDC1]]/Table25[[#This Row],[HCC1]]</f>
        <v>0.94429767640313611</v>
      </c>
      <c r="Y89" s="27">
        <f>Table25[[#This Row],[HDC2]]/Table25[[#This Row],[HCC2]]</f>
        <v>0.9432363852149569</v>
      </c>
      <c r="Z89" s="27">
        <f>Table25[[#This Row],[HDC3]]/Table25[[#This Row],[HCC3]]</f>
        <v>0.94701984343710177</v>
      </c>
      <c r="AA89" s="27">
        <f>Table25[[#This Row],[HDC4]]/Table25[[#This Row],[HCC4]]</f>
        <v>0.94652373370556964</v>
      </c>
      <c r="AB89" s="27">
        <f>Table25[[#This Row],[HDC5]]/Table25[[#This Row],[HCC5]]</f>
        <v>0.94691525672551102</v>
      </c>
      <c r="AF89">
        <f>SUM(Table25[[#This Row],[CC1]:[DC1]])</f>
        <v>753</v>
      </c>
      <c r="AG89">
        <f>SUM(Table25[[#This Row],[CC2]:[DC2]])</f>
        <v>753</v>
      </c>
      <c r="AH89">
        <f>SUM(Table25[[#This Row],[CC3]:[DC3]])</f>
        <v>751</v>
      </c>
      <c r="AI89">
        <f>SUM(Table25[[#This Row],[CC4]:[DC4]])</f>
        <v>755</v>
      </c>
      <c r="AJ89">
        <f>SUM(Table25[[#This Row],[CC5]:[DC5]])</f>
        <v>749</v>
      </c>
    </row>
    <row r="90" spans="1:36" ht="15">
      <c r="A90" t="s">
        <v>220</v>
      </c>
      <c r="B90" s="85" t="s">
        <v>503</v>
      </c>
      <c r="C90" s="126">
        <v>100</v>
      </c>
      <c r="D90" s="75">
        <v>656</v>
      </c>
      <c r="E90" s="75">
        <v>100</v>
      </c>
      <c r="F90" s="75">
        <v>655</v>
      </c>
      <c r="G90" s="75">
        <v>101</v>
      </c>
      <c r="H90" s="75">
        <v>653</v>
      </c>
      <c r="I90" s="75">
        <v>103</v>
      </c>
      <c r="J90" s="154">
        <v>649</v>
      </c>
      <c r="K90" s="154">
        <v>106</v>
      </c>
      <c r="L90" s="155">
        <v>646</v>
      </c>
      <c r="M90" s="83">
        <v>27351.4</v>
      </c>
      <c r="N90" s="83">
        <v>26483.7</v>
      </c>
      <c r="O90" s="83">
        <v>29973.3</v>
      </c>
      <c r="P90" s="83">
        <v>29116.6</v>
      </c>
      <c r="Q90" s="83">
        <v>30812.6</v>
      </c>
      <c r="R90" s="83">
        <v>29162</v>
      </c>
      <c r="S90" s="83">
        <v>30679</v>
      </c>
      <c r="T90" s="83">
        <v>28999.4</v>
      </c>
      <c r="U90" s="83">
        <v>29494</v>
      </c>
      <c r="V90" s="83">
        <v>28689.3</v>
      </c>
      <c r="W90" s="58"/>
      <c r="X90" s="27">
        <f>Table25[[#This Row],[HDC1]]/Table25[[#This Row],[HCC1]]</f>
        <v>0.9682758469401932</v>
      </c>
      <c r="Y90" s="27">
        <f>Table25[[#This Row],[HDC2]]/Table25[[#This Row],[HCC2]]</f>
        <v>0.97141789526011479</v>
      </c>
      <c r="Z90" s="27">
        <f>Table25[[#This Row],[HDC3]]/Table25[[#This Row],[HCC3]]</f>
        <v>0.94643100549775094</v>
      </c>
      <c r="AA90" s="27">
        <f>Table25[[#This Row],[HDC4]]/Table25[[#This Row],[HCC4]]</f>
        <v>0.9452524528178885</v>
      </c>
      <c r="AB90" s="27">
        <f>Table25[[#This Row],[HDC5]]/Table25[[#This Row],[HCC5]]</f>
        <v>0.97271648470875427</v>
      </c>
      <c r="AF90">
        <f>SUM(Table25[[#This Row],[CC1]:[DC1]])</f>
        <v>756</v>
      </c>
      <c r="AG90">
        <f>SUM(Table25[[#This Row],[CC2]:[DC2]])</f>
        <v>755</v>
      </c>
      <c r="AH90">
        <f>SUM(Table25[[#This Row],[CC3]:[DC3]])</f>
        <v>754</v>
      </c>
      <c r="AI90">
        <f>SUM(Table25[[#This Row],[CC4]:[DC4]])</f>
        <v>752</v>
      </c>
      <c r="AJ90">
        <f>SUM(Table25[[#This Row],[CC5]:[DC5]])</f>
        <v>752</v>
      </c>
    </row>
    <row r="91" spans="1:36" ht="15">
      <c r="A91" t="s">
        <v>221</v>
      </c>
      <c r="B91" s="85" t="s">
        <v>504</v>
      </c>
      <c r="C91" s="126">
        <v>85</v>
      </c>
      <c r="D91" s="75">
        <v>669</v>
      </c>
      <c r="E91" s="75">
        <v>83</v>
      </c>
      <c r="F91" s="75">
        <v>677</v>
      </c>
      <c r="G91" s="75">
        <v>87</v>
      </c>
      <c r="H91" s="75">
        <v>675</v>
      </c>
      <c r="I91" s="75">
        <v>83</v>
      </c>
      <c r="J91" s="154">
        <v>672</v>
      </c>
      <c r="K91" s="154">
        <v>90</v>
      </c>
      <c r="L91" s="155">
        <v>669</v>
      </c>
      <c r="M91" s="83">
        <v>19291</v>
      </c>
      <c r="N91" s="83">
        <v>18730.400000000001</v>
      </c>
      <c r="O91" s="83">
        <v>19339.599999999999</v>
      </c>
      <c r="P91" s="83">
        <v>18726.900000000001</v>
      </c>
      <c r="Q91" s="83">
        <v>19250</v>
      </c>
      <c r="R91" s="83">
        <v>18676.2</v>
      </c>
      <c r="S91" s="83">
        <v>23034.2</v>
      </c>
      <c r="T91" s="83">
        <v>21651.5</v>
      </c>
      <c r="U91" s="83">
        <v>22901</v>
      </c>
      <c r="V91" s="83">
        <v>21567.599999999999</v>
      </c>
      <c r="W91" s="58"/>
      <c r="X91" s="27">
        <f>Table25[[#This Row],[HDC1]]/Table25[[#This Row],[HCC1]]</f>
        <v>0.97093981649473859</v>
      </c>
      <c r="Y91" s="27">
        <f>Table25[[#This Row],[HDC2]]/Table25[[#This Row],[HCC2]]</f>
        <v>0.96831888973918812</v>
      </c>
      <c r="Z91" s="27">
        <f>Table25[[#This Row],[HDC3]]/Table25[[#This Row],[HCC3]]</f>
        <v>0.97019220779220783</v>
      </c>
      <c r="AA91" s="27">
        <f>Table25[[#This Row],[HDC4]]/Table25[[#This Row],[HCC4]]</f>
        <v>0.93997186791813914</v>
      </c>
      <c r="AB91" s="27">
        <f>Table25[[#This Row],[HDC5]]/Table25[[#This Row],[HCC5]]</f>
        <v>0.94177546832016068</v>
      </c>
      <c r="AF91">
        <f>SUM(Table25[[#This Row],[CC1]:[DC1]])</f>
        <v>754</v>
      </c>
      <c r="AG91">
        <f>SUM(Table25[[#This Row],[CC2]:[DC2]])</f>
        <v>760</v>
      </c>
      <c r="AH91">
        <f>SUM(Table25[[#This Row],[CC3]:[DC3]])</f>
        <v>762</v>
      </c>
      <c r="AI91">
        <f>SUM(Table25[[#This Row],[CC4]:[DC4]])</f>
        <v>755</v>
      </c>
      <c r="AJ91">
        <f>SUM(Table25[[#This Row],[CC5]:[DC5]])</f>
        <v>759</v>
      </c>
    </row>
    <row r="92" spans="1:36" ht="15">
      <c r="A92" t="s">
        <v>222</v>
      </c>
      <c r="B92" s="85" t="s">
        <v>505</v>
      </c>
      <c r="C92" s="126">
        <v>100</v>
      </c>
      <c r="D92" s="75">
        <v>653</v>
      </c>
      <c r="E92" s="75">
        <v>100</v>
      </c>
      <c r="F92" s="75">
        <v>643</v>
      </c>
      <c r="G92" s="75">
        <v>99</v>
      </c>
      <c r="H92" s="75">
        <v>650</v>
      </c>
      <c r="I92" s="75">
        <v>101</v>
      </c>
      <c r="J92" s="154">
        <v>653</v>
      </c>
      <c r="K92" s="154">
        <v>103</v>
      </c>
      <c r="L92" s="155">
        <v>655</v>
      </c>
      <c r="M92" s="83">
        <v>23580.9</v>
      </c>
      <c r="N92" s="83">
        <v>22146.9</v>
      </c>
      <c r="O92" s="83">
        <v>24072.799999999999</v>
      </c>
      <c r="P92" s="83">
        <v>22622.799999999999</v>
      </c>
      <c r="Q92" s="83">
        <v>19946.400000000001</v>
      </c>
      <c r="R92" s="83">
        <v>19336.099999999999</v>
      </c>
      <c r="S92" s="83">
        <v>24080.6</v>
      </c>
      <c r="T92" s="83">
        <v>22630.5</v>
      </c>
      <c r="U92" s="83">
        <v>20003.900000000001</v>
      </c>
      <c r="V92" s="83">
        <v>19420.900000000001</v>
      </c>
      <c r="W92" s="58"/>
      <c r="X92" s="27">
        <f>Table25[[#This Row],[HDC1]]/Table25[[#This Row],[HCC1]]</f>
        <v>0.93918807170209784</v>
      </c>
      <c r="Y92" s="27">
        <f>Table25[[#This Row],[HDC2]]/Table25[[#This Row],[HCC2]]</f>
        <v>0.93976604300289124</v>
      </c>
      <c r="Z92" s="27">
        <f>Table25[[#This Row],[HDC3]]/Table25[[#This Row],[HCC3]]</f>
        <v>0.96940300004010738</v>
      </c>
      <c r="AA92" s="27">
        <f>Table25[[#This Row],[HDC4]]/Table25[[#This Row],[HCC4]]</f>
        <v>0.9397814007956613</v>
      </c>
      <c r="AB92" s="27">
        <f>Table25[[#This Row],[HDC5]]/Table25[[#This Row],[HCC5]]</f>
        <v>0.97085568314178738</v>
      </c>
      <c r="AF92">
        <f>SUM(Table25[[#This Row],[CC1]:[DC1]])</f>
        <v>753</v>
      </c>
      <c r="AG92">
        <f>SUM(Table25[[#This Row],[CC2]:[DC2]])</f>
        <v>743</v>
      </c>
      <c r="AH92">
        <f>SUM(Table25[[#This Row],[CC3]:[DC3]])</f>
        <v>749</v>
      </c>
      <c r="AI92">
        <f>SUM(Table25[[#This Row],[CC4]:[DC4]])</f>
        <v>754</v>
      </c>
      <c r="AJ92">
        <f>SUM(Table25[[#This Row],[CC5]:[DC5]])</f>
        <v>758</v>
      </c>
    </row>
    <row r="93" spans="1:36" ht="15">
      <c r="A93" t="s">
        <v>223</v>
      </c>
      <c r="B93" s="85" t="s">
        <v>506</v>
      </c>
      <c r="C93" s="126">
        <v>102</v>
      </c>
      <c r="D93" s="75">
        <v>653</v>
      </c>
      <c r="E93" s="75">
        <v>101</v>
      </c>
      <c r="F93" s="75">
        <v>658</v>
      </c>
      <c r="G93" s="75">
        <v>102</v>
      </c>
      <c r="H93" s="75">
        <v>651</v>
      </c>
      <c r="I93" s="75">
        <v>101</v>
      </c>
      <c r="J93" s="154">
        <v>653</v>
      </c>
      <c r="K93" s="154">
        <v>101</v>
      </c>
      <c r="L93" s="155">
        <v>653</v>
      </c>
      <c r="M93" s="83">
        <v>30814.5</v>
      </c>
      <c r="N93" s="83">
        <v>29169.3</v>
      </c>
      <c r="O93" s="83">
        <v>29853.4</v>
      </c>
      <c r="P93" s="83">
        <v>28314.7</v>
      </c>
      <c r="Q93" s="83">
        <v>29921.4</v>
      </c>
      <c r="R93" s="83">
        <v>28328</v>
      </c>
      <c r="S93" s="83">
        <v>26865.4</v>
      </c>
      <c r="T93" s="83">
        <v>26066.799999999999</v>
      </c>
      <c r="U93" s="83">
        <v>17429.099999999999</v>
      </c>
      <c r="V93" s="83">
        <v>16546.5</v>
      </c>
      <c r="W93" s="58"/>
      <c r="X93" s="27">
        <f>Table25[[#This Row],[HDC1]]/Table25[[#This Row],[HCC1]]</f>
        <v>0.94660955069853481</v>
      </c>
      <c r="Y93" s="27">
        <f>Table25[[#This Row],[HDC2]]/Table25[[#This Row],[HCC2]]</f>
        <v>0.94845813207205876</v>
      </c>
      <c r="Z93" s="27">
        <f>Table25[[#This Row],[HDC3]]/Table25[[#This Row],[HCC3]]</f>
        <v>0.94674714418442985</v>
      </c>
      <c r="AA93" s="27">
        <f>Table25[[#This Row],[HDC4]]/Table25[[#This Row],[HCC4]]</f>
        <v>0.97027403277077573</v>
      </c>
      <c r="AB93" s="27">
        <f>Table25[[#This Row],[HDC5]]/Table25[[#This Row],[HCC5]]</f>
        <v>0.94936055217997495</v>
      </c>
      <c r="AF93">
        <f>SUM(Table25[[#This Row],[CC1]:[DC1]])</f>
        <v>755</v>
      </c>
      <c r="AG93">
        <f>SUM(Table25[[#This Row],[CC2]:[DC2]])</f>
        <v>759</v>
      </c>
      <c r="AH93">
        <f>SUM(Table25[[#This Row],[CC3]:[DC3]])</f>
        <v>753</v>
      </c>
      <c r="AI93">
        <f>SUM(Table25[[#This Row],[CC4]:[DC4]])</f>
        <v>754</v>
      </c>
      <c r="AJ93">
        <f>SUM(Table25[[#This Row],[CC5]:[DC5]])</f>
        <v>754</v>
      </c>
    </row>
    <row r="94" spans="1:36" ht="15">
      <c r="A94" t="s">
        <v>224</v>
      </c>
      <c r="B94" s="85" t="s">
        <v>507</v>
      </c>
      <c r="C94" s="126">
        <v>100</v>
      </c>
      <c r="D94" s="75">
        <v>658</v>
      </c>
      <c r="E94" s="75">
        <v>102</v>
      </c>
      <c r="F94" s="75">
        <v>657</v>
      </c>
      <c r="G94" s="75">
        <v>110</v>
      </c>
      <c r="H94" s="75">
        <v>650</v>
      </c>
      <c r="I94" s="75">
        <v>101</v>
      </c>
      <c r="J94" s="154">
        <v>655</v>
      </c>
      <c r="K94" s="154">
        <v>100</v>
      </c>
      <c r="L94" s="155">
        <v>656</v>
      </c>
      <c r="M94" s="83">
        <v>29296.400000000001</v>
      </c>
      <c r="N94" s="83">
        <v>28301.200000000001</v>
      </c>
      <c r="O94" s="83">
        <v>30646</v>
      </c>
      <c r="P94" s="83">
        <v>29002.1</v>
      </c>
      <c r="Q94" s="83">
        <v>14030.4</v>
      </c>
      <c r="R94" s="83">
        <v>12909.6</v>
      </c>
      <c r="S94" s="83">
        <v>29732.400000000001</v>
      </c>
      <c r="T94" s="83">
        <v>28119.7</v>
      </c>
      <c r="U94" s="83">
        <v>29972.6</v>
      </c>
      <c r="V94" s="83">
        <v>28314.799999999999</v>
      </c>
      <c r="W94" s="58"/>
      <c r="X94" s="27">
        <f>Table25[[#This Row],[HDC1]]/Table25[[#This Row],[HCC1]]</f>
        <v>0.9660299558990183</v>
      </c>
      <c r="Y94" s="27">
        <f>Table25[[#This Row],[HDC2]]/Table25[[#This Row],[HCC2]]</f>
        <v>0.94635841545389277</v>
      </c>
      <c r="Z94" s="27">
        <f>Table25[[#This Row],[HDC3]]/Table25[[#This Row],[HCC3]]</f>
        <v>0.92011631885049616</v>
      </c>
      <c r="AA94" s="27">
        <f>Table25[[#This Row],[HDC4]]/Table25[[#This Row],[HCC4]]</f>
        <v>0.94575950814599563</v>
      </c>
      <c r="AB94" s="27">
        <f>Table25[[#This Row],[HDC5]]/Table25[[#This Row],[HCC5]]</f>
        <v>0.94468948306119593</v>
      </c>
      <c r="AF94">
        <f>SUM(Table25[[#This Row],[CC1]:[DC1]])</f>
        <v>758</v>
      </c>
      <c r="AG94">
        <f>SUM(Table25[[#This Row],[CC2]:[DC2]])</f>
        <v>759</v>
      </c>
      <c r="AH94">
        <f>SUM(Table25[[#This Row],[CC3]:[DC3]])</f>
        <v>760</v>
      </c>
      <c r="AI94">
        <f>SUM(Table25[[#This Row],[CC4]:[DC4]])</f>
        <v>756</v>
      </c>
      <c r="AJ94">
        <f>SUM(Table25[[#This Row],[CC5]:[DC5]])</f>
        <v>756</v>
      </c>
    </row>
    <row r="95" spans="1:36" ht="15">
      <c r="A95" t="s">
        <v>225</v>
      </c>
      <c r="B95" s="85" t="s">
        <v>508</v>
      </c>
      <c r="C95" s="126">
        <v>103</v>
      </c>
      <c r="D95" s="75">
        <v>654</v>
      </c>
      <c r="E95" s="75">
        <v>104</v>
      </c>
      <c r="F95" s="75">
        <v>651</v>
      </c>
      <c r="G95" s="75">
        <v>105</v>
      </c>
      <c r="H95" s="75">
        <v>651</v>
      </c>
      <c r="I95" s="75">
        <v>105</v>
      </c>
      <c r="J95" s="154">
        <v>652</v>
      </c>
      <c r="K95" s="154">
        <v>106</v>
      </c>
      <c r="L95" s="155">
        <v>648</v>
      </c>
      <c r="M95" s="83">
        <v>27760.1</v>
      </c>
      <c r="N95" s="83">
        <v>26235.5</v>
      </c>
      <c r="O95" s="83">
        <v>27564.7</v>
      </c>
      <c r="P95" s="83">
        <v>26092.2</v>
      </c>
      <c r="Q95" s="83">
        <v>28378</v>
      </c>
      <c r="R95" s="83">
        <v>26810.7</v>
      </c>
      <c r="S95" s="83">
        <v>27568.5</v>
      </c>
      <c r="T95" s="83">
        <v>26066.6</v>
      </c>
      <c r="U95" s="83">
        <v>23690.2</v>
      </c>
      <c r="V95" s="83">
        <v>22990.5</v>
      </c>
      <c r="W95" s="58"/>
      <c r="X95" s="27">
        <f>Table25[[#This Row],[HDC1]]/Table25[[#This Row],[HCC1]]</f>
        <v>0.94507944856106429</v>
      </c>
      <c r="Y95" s="27">
        <f>Table25[[#This Row],[HDC2]]/Table25[[#This Row],[HCC2]]</f>
        <v>0.94658022760995042</v>
      </c>
      <c r="Z95" s="27">
        <f>Table25[[#This Row],[HDC3]]/Table25[[#This Row],[HCC3]]</f>
        <v>0.94477059694129262</v>
      </c>
      <c r="AA95" s="27">
        <f>Table25[[#This Row],[HDC4]]/Table25[[#This Row],[HCC4]]</f>
        <v>0.9455211563922592</v>
      </c>
      <c r="AB95" s="27">
        <f>Table25[[#This Row],[HDC5]]/Table25[[#This Row],[HCC5]]</f>
        <v>0.97046458029058424</v>
      </c>
      <c r="AF95">
        <f>SUM(Table25[[#This Row],[CC1]:[DC1]])</f>
        <v>757</v>
      </c>
      <c r="AG95">
        <f>SUM(Table25[[#This Row],[CC2]:[DC2]])</f>
        <v>755</v>
      </c>
      <c r="AH95">
        <f>SUM(Table25[[#This Row],[CC3]:[DC3]])</f>
        <v>756</v>
      </c>
      <c r="AI95">
        <f>SUM(Table25[[#This Row],[CC4]:[DC4]])</f>
        <v>757</v>
      </c>
      <c r="AJ95">
        <f>SUM(Table25[[#This Row],[CC5]:[DC5]])</f>
        <v>754</v>
      </c>
    </row>
    <row r="96" spans="1:36" ht="15">
      <c r="A96" t="s">
        <v>226</v>
      </c>
      <c r="B96" s="85" t="s">
        <v>509</v>
      </c>
      <c r="C96" s="126">
        <v>102</v>
      </c>
      <c r="D96" s="75">
        <v>653</v>
      </c>
      <c r="E96" s="75">
        <v>100</v>
      </c>
      <c r="F96" s="75">
        <v>655</v>
      </c>
      <c r="G96" s="75">
        <v>104</v>
      </c>
      <c r="H96" s="75">
        <v>651</v>
      </c>
      <c r="I96" s="75">
        <v>102</v>
      </c>
      <c r="J96" s="154">
        <v>651</v>
      </c>
      <c r="K96" s="154">
        <v>103</v>
      </c>
      <c r="L96" s="155">
        <v>652</v>
      </c>
      <c r="M96" s="83">
        <v>28438.6</v>
      </c>
      <c r="N96" s="83">
        <v>26893.4</v>
      </c>
      <c r="O96" s="83">
        <v>27297.8</v>
      </c>
      <c r="P96" s="83">
        <v>25781.5</v>
      </c>
      <c r="Q96" s="83">
        <v>23592.7</v>
      </c>
      <c r="R96" s="83">
        <v>22902</v>
      </c>
      <c r="S96" s="83">
        <v>14154.2</v>
      </c>
      <c r="T96" s="83">
        <v>13395.7</v>
      </c>
      <c r="U96" s="83">
        <v>27653.1</v>
      </c>
      <c r="V96" s="83">
        <v>26082.5</v>
      </c>
      <c r="W96" s="58"/>
      <c r="X96" s="27">
        <f>Table25[[#This Row],[HDC1]]/Table25[[#This Row],[HCC1]]</f>
        <v>0.94566539843733532</v>
      </c>
      <c r="Y96" s="27">
        <f>Table25[[#This Row],[HDC2]]/Table25[[#This Row],[HCC2]]</f>
        <v>0.94445339917502513</v>
      </c>
      <c r="Z96" s="27">
        <f>Table25[[#This Row],[HDC3]]/Table25[[#This Row],[HCC3]]</f>
        <v>0.97072399513408802</v>
      </c>
      <c r="AA96" s="27">
        <f>Table25[[#This Row],[HDC4]]/Table25[[#This Row],[HCC4]]</f>
        <v>0.94641166579531166</v>
      </c>
      <c r="AB96" s="27">
        <f>Table25[[#This Row],[HDC5]]/Table25[[#This Row],[HCC5]]</f>
        <v>0.94320347447483288</v>
      </c>
      <c r="AF96">
        <f>SUM(Table25[[#This Row],[CC1]:[DC1]])</f>
        <v>755</v>
      </c>
      <c r="AG96">
        <f>SUM(Table25[[#This Row],[CC2]:[DC2]])</f>
        <v>755</v>
      </c>
      <c r="AH96">
        <f>SUM(Table25[[#This Row],[CC3]:[DC3]])</f>
        <v>755</v>
      </c>
      <c r="AI96">
        <f>SUM(Table25[[#This Row],[CC4]:[DC4]])</f>
        <v>753</v>
      </c>
      <c r="AJ96">
        <f>SUM(Table25[[#This Row],[CC5]:[DC5]])</f>
        <v>755</v>
      </c>
    </row>
    <row r="97" spans="1:36" ht="15">
      <c r="A97" t="s">
        <v>227</v>
      </c>
      <c r="B97" s="85" t="s">
        <v>510</v>
      </c>
      <c r="C97" s="126">
        <v>101</v>
      </c>
      <c r="D97" s="75">
        <v>653</v>
      </c>
      <c r="E97" s="75">
        <v>106</v>
      </c>
      <c r="F97" s="75">
        <v>648</v>
      </c>
      <c r="G97" s="75">
        <v>99</v>
      </c>
      <c r="H97" s="75">
        <v>657</v>
      </c>
      <c r="I97" s="75">
        <v>104</v>
      </c>
      <c r="J97" s="154">
        <v>648</v>
      </c>
      <c r="K97" s="154">
        <v>108</v>
      </c>
      <c r="L97" s="155">
        <v>639</v>
      </c>
      <c r="M97" s="83">
        <v>24858.3</v>
      </c>
      <c r="N97" s="83">
        <v>24141</v>
      </c>
      <c r="O97" s="83">
        <v>23600.6</v>
      </c>
      <c r="P97" s="83">
        <v>22895.200000000001</v>
      </c>
      <c r="Q97" s="83">
        <v>27845.200000000001</v>
      </c>
      <c r="R97" s="83">
        <v>25928.5</v>
      </c>
      <c r="S97" s="83">
        <v>27531.599999999999</v>
      </c>
      <c r="T97" s="83">
        <v>25978.6</v>
      </c>
      <c r="U97" s="83">
        <v>26399.7</v>
      </c>
      <c r="V97" s="83">
        <v>25722.6</v>
      </c>
      <c r="W97" s="58"/>
      <c r="X97" s="27">
        <f>Table25[[#This Row],[HDC1]]/Table25[[#This Row],[HCC1]]</f>
        <v>0.97114444672403188</v>
      </c>
      <c r="Y97" s="27">
        <f>Table25[[#This Row],[HDC2]]/Table25[[#This Row],[HCC2]]</f>
        <v>0.97011092938315135</v>
      </c>
      <c r="Z97" s="27">
        <f>Table25[[#This Row],[HDC3]]/Table25[[#This Row],[HCC3]]</f>
        <v>0.93116587419016561</v>
      </c>
      <c r="AA97" s="27">
        <f>Table25[[#This Row],[HDC4]]/Table25[[#This Row],[HCC4]]</f>
        <v>0.94359209054323034</v>
      </c>
      <c r="AB97" s="27">
        <f>Table25[[#This Row],[HDC5]]/Table25[[#This Row],[HCC5]]</f>
        <v>0.97435198127251443</v>
      </c>
      <c r="AF97">
        <f>SUM(Table25[[#This Row],[CC1]:[DC1]])</f>
        <v>754</v>
      </c>
      <c r="AG97">
        <f>SUM(Table25[[#This Row],[CC2]:[DC2]])</f>
        <v>754</v>
      </c>
      <c r="AH97">
        <f>SUM(Table25[[#This Row],[CC3]:[DC3]])</f>
        <v>756</v>
      </c>
      <c r="AI97">
        <f>SUM(Table25[[#This Row],[CC4]:[DC4]])</f>
        <v>752</v>
      </c>
      <c r="AJ97">
        <f>SUM(Table25[[#This Row],[CC5]:[DC5]])</f>
        <v>747</v>
      </c>
    </row>
    <row r="98" spans="1:36" ht="15">
      <c r="A98" t="s">
        <v>228</v>
      </c>
      <c r="B98" s="85" t="s">
        <v>511</v>
      </c>
      <c r="C98" s="126">
        <v>102</v>
      </c>
      <c r="D98" s="75">
        <v>651</v>
      </c>
      <c r="E98" s="75">
        <v>100</v>
      </c>
      <c r="F98" s="75">
        <v>655</v>
      </c>
      <c r="G98" s="75">
        <v>101</v>
      </c>
      <c r="H98" s="75">
        <v>652</v>
      </c>
      <c r="I98" s="75">
        <v>99</v>
      </c>
      <c r="J98" s="154">
        <v>654</v>
      </c>
      <c r="K98" s="154">
        <v>99</v>
      </c>
      <c r="L98" s="155">
        <v>651</v>
      </c>
      <c r="M98" s="83">
        <v>20595.099999999999</v>
      </c>
      <c r="N98" s="83">
        <v>19282.8</v>
      </c>
      <c r="O98" s="83">
        <v>18024</v>
      </c>
      <c r="P98" s="83">
        <v>17532.099999999999</v>
      </c>
      <c r="Q98" s="83">
        <v>19599.5</v>
      </c>
      <c r="R98" s="83">
        <v>19067.7</v>
      </c>
      <c r="S98" s="83">
        <v>17171.7</v>
      </c>
      <c r="T98" s="83">
        <v>16660.099999999999</v>
      </c>
      <c r="U98" s="83">
        <v>20632.400000000001</v>
      </c>
      <c r="V98" s="83">
        <v>19246.099999999999</v>
      </c>
      <c r="W98" s="58"/>
      <c r="X98" s="27">
        <f>Table25[[#This Row],[HDC1]]/Table25[[#This Row],[HCC1]]</f>
        <v>0.93628096003418293</v>
      </c>
      <c r="Y98" s="27">
        <f>Table25[[#This Row],[HDC2]]/Table25[[#This Row],[HCC2]]</f>
        <v>0.97270861074123383</v>
      </c>
      <c r="Z98" s="27">
        <f>Table25[[#This Row],[HDC3]]/Table25[[#This Row],[HCC3]]</f>
        <v>0.97286665476160106</v>
      </c>
      <c r="AA98" s="27">
        <f>Table25[[#This Row],[HDC4]]/Table25[[#This Row],[HCC4]]</f>
        <v>0.97020679373620533</v>
      </c>
      <c r="AB98" s="27">
        <f>Table25[[#This Row],[HDC5]]/Table25[[#This Row],[HCC5]]</f>
        <v>0.93280956166030116</v>
      </c>
      <c r="AF98">
        <f>SUM(Table25[[#This Row],[CC1]:[DC1]])</f>
        <v>753</v>
      </c>
      <c r="AG98">
        <f>SUM(Table25[[#This Row],[CC2]:[DC2]])</f>
        <v>755</v>
      </c>
      <c r="AH98">
        <f>SUM(Table25[[#This Row],[CC3]:[DC3]])</f>
        <v>753</v>
      </c>
      <c r="AI98">
        <f>SUM(Table25[[#This Row],[CC4]:[DC4]])</f>
        <v>753</v>
      </c>
      <c r="AJ98">
        <f>SUM(Table25[[#This Row],[CC5]:[DC5]])</f>
        <v>750</v>
      </c>
    </row>
    <row r="99" spans="1:36" ht="15">
      <c r="A99" t="s">
        <v>229</v>
      </c>
      <c r="B99" s="85" t="s">
        <v>512</v>
      </c>
      <c r="C99" s="126">
        <v>102</v>
      </c>
      <c r="D99" s="75">
        <v>649</v>
      </c>
      <c r="E99" s="75">
        <v>100</v>
      </c>
      <c r="F99" s="75">
        <v>656</v>
      </c>
      <c r="G99" s="75">
        <v>103</v>
      </c>
      <c r="H99" s="75">
        <v>653</v>
      </c>
      <c r="I99" s="75">
        <v>103</v>
      </c>
      <c r="J99" s="154">
        <v>648</v>
      </c>
      <c r="K99" s="154">
        <v>103</v>
      </c>
      <c r="L99" s="155">
        <v>651</v>
      </c>
      <c r="M99" s="83">
        <v>20419.099999999999</v>
      </c>
      <c r="N99" s="83">
        <v>19059.099999999999</v>
      </c>
      <c r="O99" s="83">
        <v>17947.2</v>
      </c>
      <c r="P99" s="83">
        <v>17462.400000000001</v>
      </c>
      <c r="Q99" s="83">
        <v>20342.099999999999</v>
      </c>
      <c r="R99" s="83">
        <v>19016.8</v>
      </c>
      <c r="S99" s="83">
        <v>16937.5</v>
      </c>
      <c r="T99" s="83">
        <v>16476.900000000001</v>
      </c>
      <c r="U99" s="83">
        <v>20412.599999999999</v>
      </c>
      <c r="V99" s="83">
        <v>19129.2</v>
      </c>
      <c r="W99" s="58"/>
      <c r="X99" s="27">
        <f>Table25[[#This Row],[HDC1]]/Table25[[#This Row],[HCC1]]</f>
        <v>0.93339569324798843</v>
      </c>
      <c r="Y99" s="27">
        <f>Table25[[#This Row],[HDC2]]/Table25[[#This Row],[HCC2]]</f>
        <v>0.97298742979406261</v>
      </c>
      <c r="Z99" s="27">
        <f>Table25[[#This Row],[HDC3]]/Table25[[#This Row],[HCC3]]</f>
        <v>0.93484940099596403</v>
      </c>
      <c r="AA99" s="27">
        <f>Table25[[#This Row],[HDC4]]/Table25[[#This Row],[HCC4]]</f>
        <v>0.97280590405904066</v>
      </c>
      <c r="AB99" s="27">
        <f>Table25[[#This Row],[HDC5]]/Table25[[#This Row],[HCC5]]</f>
        <v>0.93712706857529182</v>
      </c>
      <c r="AF99">
        <f>SUM(Table25[[#This Row],[CC1]:[DC1]])</f>
        <v>751</v>
      </c>
      <c r="AG99">
        <f>SUM(Table25[[#This Row],[CC2]:[DC2]])</f>
        <v>756</v>
      </c>
      <c r="AH99">
        <f>SUM(Table25[[#This Row],[CC3]:[DC3]])</f>
        <v>756</v>
      </c>
      <c r="AI99">
        <f>SUM(Table25[[#This Row],[CC4]:[DC4]])</f>
        <v>751</v>
      </c>
      <c r="AJ99">
        <f>SUM(Table25[[#This Row],[CC5]:[DC5]])</f>
        <v>754</v>
      </c>
    </row>
    <row r="100" spans="1:36" ht="15">
      <c r="A100" t="s">
        <v>230</v>
      </c>
      <c r="B100" s="85" t="s">
        <v>513</v>
      </c>
      <c r="C100" s="126">
        <v>100</v>
      </c>
      <c r="D100" s="75">
        <v>652</v>
      </c>
      <c r="E100" s="75">
        <v>99</v>
      </c>
      <c r="F100" s="75">
        <v>651</v>
      </c>
      <c r="G100" s="75">
        <v>98</v>
      </c>
      <c r="H100" s="75">
        <v>654</v>
      </c>
      <c r="I100" s="75">
        <v>98</v>
      </c>
      <c r="J100" s="154">
        <v>652</v>
      </c>
      <c r="K100" s="154">
        <v>100</v>
      </c>
      <c r="L100" s="155">
        <v>650</v>
      </c>
      <c r="M100" s="83">
        <v>17116.7</v>
      </c>
      <c r="N100" s="83">
        <v>16590.7</v>
      </c>
      <c r="O100" s="83">
        <v>17040</v>
      </c>
      <c r="P100" s="83">
        <v>16538.8</v>
      </c>
      <c r="Q100" s="83">
        <v>21408.5</v>
      </c>
      <c r="R100" s="83">
        <v>20078.7</v>
      </c>
      <c r="S100" s="83">
        <v>20521.2</v>
      </c>
      <c r="T100" s="83">
        <v>19178.099999999999</v>
      </c>
      <c r="U100" s="83">
        <v>17155</v>
      </c>
      <c r="V100" s="83">
        <v>16635.099999999999</v>
      </c>
      <c r="W100" s="58"/>
      <c r="X100" s="27">
        <f>Table25[[#This Row],[HDC1]]/Table25[[#This Row],[HCC1]]</f>
        <v>0.96926977746878784</v>
      </c>
      <c r="Y100" s="27">
        <f>Table25[[#This Row],[HDC2]]/Table25[[#This Row],[HCC2]]</f>
        <v>0.97058685446009385</v>
      </c>
      <c r="Z100" s="27">
        <f>Table25[[#This Row],[HDC3]]/Table25[[#This Row],[HCC3]]</f>
        <v>0.93788448513440925</v>
      </c>
      <c r="AA100" s="27">
        <f>Table25[[#This Row],[HDC4]]/Table25[[#This Row],[HCC4]]</f>
        <v>0.93455061107537563</v>
      </c>
      <c r="AB100" s="27">
        <f>Table25[[#This Row],[HDC5]]/Table25[[#This Row],[HCC5]]</f>
        <v>0.96969396677353537</v>
      </c>
      <c r="AF100">
        <f>SUM(Table25[[#This Row],[CC1]:[DC1]])</f>
        <v>752</v>
      </c>
      <c r="AG100">
        <f>SUM(Table25[[#This Row],[CC2]:[DC2]])</f>
        <v>750</v>
      </c>
      <c r="AH100">
        <f>SUM(Table25[[#This Row],[CC3]:[DC3]])</f>
        <v>752</v>
      </c>
      <c r="AI100">
        <f>SUM(Table25[[#This Row],[CC4]:[DC4]])</f>
        <v>750</v>
      </c>
      <c r="AJ100">
        <f>SUM(Table25[[#This Row],[CC5]:[DC5]])</f>
        <v>750</v>
      </c>
    </row>
    <row r="101" spans="1:36" ht="15">
      <c r="A101" t="s">
        <v>231</v>
      </c>
      <c r="B101" s="85" t="s">
        <v>514</v>
      </c>
      <c r="C101" s="126">
        <v>96</v>
      </c>
      <c r="D101" s="75">
        <v>654</v>
      </c>
      <c r="E101" s="75">
        <v>98</v>
      </c>
      <c r="F101" s="75">
        <v>643</v>
      </c>
      <c r="G101" s="75">
        <v>96</v>
      </c>
      <c r="H101" s="75">
        <v>647</v>
      </c>
      <c r="I101" s="75">
        <v>99</v>
      </c>
      <c r="J101" s="154">
        <v>649</v>
      </c>
      <c r="K101" s="154">
        <v>97</v>
      </c>
      <c r="L101" s="155">
        <v>650</v>
      </c>
      <c r="M101" s="83">
        <v>14993.2</v>
      </c>
      <c r="N101" s="83">
        <v>14560.4</v>
      </c>
      <c r="O101" s="83">
        <v>17430.099999999999</v>
      </c>
      <c r="P101" s="83">
        <v>16989.599999999999</v>
      </c>
      <c r="Q101" s="83">
        <v>18193.8</v>
      </c>
      <c r="R101" s="83">
        <v>16952.8</v>
      </c>
      <c r="S101" s="83">
        <v>18171.900000000001</v>
      </c>
      <c r="T101" s="83">
        <v>16957.2</v>
      </c>
      <c r="U101" s="83">
        <v>18420</v>
      </c>
      <c r="V101" s="83">
        <v>17179.3</v>
      </c>
      <c r="W101" s="58"/>
      <c r="X101" s="27">
        <f>Table25[[#This Row],[HDC1]]/Table25[[#This Row],[HCC1]]</f>
        <v>0.97113358055651888</v>
      </c>
      <c r="Y101" s="27">
        <f>Table25[[#This Row],[HDC2]]/Table25[[#This Row],[HCC2]]</f>
        <v>0.9747276263475253</v>
      </c>
      <c r="Z101" s="27">
        <f>Table25[[#This Row],[HDC3]]/Table25[[#This Row],[HCC3]]</f>
        <v>0.93178995042267143</v>
      </c>
      <c r="AA101" s="27">
        <f>Table25[[#This Row],[HDC4]]/Table25[[#This Row],[HCC4]]</f>
        <v>0.93315503607217731</v>
      </c>
      <c r="AB101" s="27">
        <f>Table25[[#This Row],[HDC5]]/Table25[[#This Row],[HCC5]]</f>
        <v>0.932643865363735</v>
      </c>
      <c r="AF101">
        <f>SUM(Table25[[#This Row],[CC1]:[DC1]])</f>
        <v>750</v>
      </c>
      <c r="AG101">
        <f>SUM(Table25[[#This Row],[CC2]:[DC2]])</f>
        <v>741</v>
      </c>
      <c r="AH101">
        <f>SUM(Table25[[#This Row],[CC3]:[DC3]])</f>
        <v>743</v>
      </c>
      <c r="AI101">
        <f>SUM(Table25[[#This Row],[CC4]:[DC4]])</f>
        <v>748</v>
      </c>
      <c r="AJ101">
        <f>SUM(Table25[[#This Row],[CC5]:[DC5]])</f>
        <v>747</v>
      </c>
    </row>
    <row r="102" spans="1:36" ht="15">
      <c r="A102" t="s">
        <v>232</v>
      </c>
      <c r="B102" s="85" t="s">
        <v>515</v>
      </c>
      <c r="C102" s="126">
        <v>111</v>
      </c>
      <c r="D102" s="75">
        <v>646</v>
      </c>
      <c r="E102" s="75">
        <v>109</v>
      </c>
      <c r="F102" s="75">
        <v>645</v>
      </c>
      <c r="G102" s="75">
        <v>110</v>
      </c>
      <c r="H102" s="75">
        <v>646</v>
      </c>
      <c r="I102" s="75">
        <v>114</v>
      </c>
      <c r="J102" s="154">
        <v>643</v>
      </c>
      <c r="K102" s="154">
        <v>108</v>
      </c>
      <c r="L102" s="155">
        <v>648</v>
      </c>
      <c r="M102" s="83">
        <v>26665.5</v>
      </c>
      <c r="N102" s="83">
        <v>25121.3</v>
      </c>
      <c r="O102" s="83">
        <v>26603.3</v>
      </c>
      <c r="P102" s="83">
        <v>25027.7</v>
      </c>
      <c r="Q102" s="83">
        <v>17354.3</v>
      </c>
      <c r="R102" s="83">
        <v>16812.2</v>
      </c>
      <c r="S102" s="83">
        <v>26570.5</v>
      </c>
      <c r="T102" s="83">
        <v>25034.2</v>
      </c>
      <c r="U102" s="83">
        <v>27522.9</v>
      </c>
      <c r="V102" s="83">
        <v>25983.599999999999</v>
      </c>
      <c r="W102" s="58"/>
      <c r="X102" s="27">
        <f>Table25[[#This Row],[HDC1]]/Table25[[#This Row],[HCC1]]</f>
        <v>0.9420899664360316</v>
      </c>
      <c r="Y102" s="27">
        <f>Table25[[#This Row],[HDC2]]/Table25[[#This Row],[HCC2]]</f>
        <v>0.94077426484684235</v>
      </c>
      <c r="Z102" s="27">
        <f>Table25[[#This Row],[HDC3]]/Table25[[#This Row],[HCC3]]</f>
        <v>0.96876278501581747</v>
      </c>
      <c r="AA102" s="27">
        <f>Table25[[#This Row],[HDC4]]/Table25[[#This Row],[HCC4]]</f>
        <v>0.94218023748141744</v>
      </c>
      <c r="AB102" s="27">
        <f>Table25[[#This Row],[HDC5]]/Table25[[#This Row],[HCC5]]</f>
        <v>0.94407202729363537</v>
      </c>
      <c r="AF102">
        <f>SUM(Table25[[#This Row],[CC1]:[DC1]])</f>
        <v>757</v>
      </c>
      <c r="AG102">
        <f>SUM(Table25[[#This Row],[CC2]:[DC2]])</f>
        <v>754</v>
      </c>
      <c r="AH102">
        <f>SUM(Table25[[#This Row],[CC3]:[DC3]])</f>
        <v>756</v>
      </c>
      <c r="AI102">
        <f>SUM(Table25[[#This Row],[CC4]:[DC4]])</f>
        <v>757</v>
      </c>
      <c r="AJ102">
        <f>SUM(Table25[[#This Row],[CC5]:[DC5]])</f>
        <v>756</v>
      </c>
    </row>
    <row r="103" spans="1:36" ht="15">
      <c r="A103" t="s">
        <v>233</v>
      </c>
      <c r="B103" s="85" t="s">
        <v>516</v>
      </c>
      <c r="C103" s="126">
        <v>99</v>
      </c>
      <c r="D103" s="75">
        <v>656</v>
      </c>
      <c r="E103" s="75">
        <v>102</v>
      </c>
      <c r="F103" s="75">
        <v>657</v>
      </c>
      <c r="G103" s="75">
        <v>98</v>
      </c>
      <c r="H103" s="75">
        <v>657</v>
      </c>
      <c r="I103" s="75">
        <v>119</v>
      </c>
      <c r="J103" s="154">
        <v>635</v>
      </c>
      <c r="K103" s="154">
        <v>102</v>
      </c>
      <c r="L103" s="155">
        <v>654</v>
      </c>
      <c r="M103" s="83">
        <v>22232.6</v>
      </c>
      <c r="N103" s="83">
        <v>22309.3</v>
      </c>
      <c r="O103" s="83">
        <v>24389.7</v>
      </c>
      <c r="P103" s="83">
        <v>22922.799999999999</v>
      </c>
      <c r="Q103" s="83">
        <v>24593.5</v>
      </c>
      <c r="R103" s="83">
        <v>23105.599999999999</v>
      </c>
      <c r="S103" s="83">
        <v>11119.1</v>
      </c>
      <c r="T103" s="83">
        <v>10146.1</v>
      </c>
      <c r="U103" s="83">
        <v>23036.5</v>
      </c>
      <c r="V103" s="83">
        <v>21604.400000000001</v>
      </c>
      <c r="W103" s="58"/>
      <c r="X103" s="27">
        <f>Table25[[#This Row],[HDC1]]/Table25[[#This Row],[HCC1]]</f>
        <v>1.0034498889018828</v>
      </c>
      <c r="Y103" s="27">
        <f>Table25[[#This Row],[HDC2]]/Table25[[#This Row],[HCC2]]</f>
        <v>0.93985575878342076</v>
      </c>
      <c r="Z103" s="27">
        <f>Table25[[#This Row],[HDC3]]/Table25[[#This Row],[HCC3]]</f>
        <v>0.93950027446276452</v>
      </c>
      <c r="AA103" s="27">
        <f>Table25[[#This Row],[HDC4]]/Table25[[#This Row],[HCC4]]</f>
        <v>0.91249291759225115</v>
      </c>
      <c r="AB103" s="27">
        <f>Table25[[#This Row],[HDC5]]/Table25[[#This Row],[HCC5]]</f>
        <v>0.93783343823931598</v>
      </c>
      <c r="AF103">
        <f>SUM(Table25[[#This Row],[CC1]:[DC1]])</f>
        <v>755</v>
      </c>
      <c r="AG103">
        <f>SUM(Table25[[#This Row],[CC2]:[DC2]])</f>
        <v>759</v>
      </c>
      <c r="AH103">
        <f>SUM(Table25[[#This Row],[CC3]:[DC3]])</f>
        <v>755</v>
      </c>
      <c r="AI103">
        <f>SUM(Table25[[#This Row],[CC4]:[DC4]])</f>
        <v>754</v>
      </c>
      <c r="AJ103">
        <f>SUM(Table25[[#This Row],[CC5]:[DC5]])</f>
        <v>756</v>
      </c>
    </row>
    <row r="104" spans="1:36" ht="15">
      <c r="A104" t="s">
        <v>234</v>
      </c>
      <c r="B104" s="85" t="s">
        <v>517</v>
      </c>
      <c r="C104" s="126">
        <v>102</v>
      </c>
      <c r="D104" s="75">
        <v>652</v>
      </c>
      <c r="E104" s="75">
        <v>102</v>
      </c>
      <c r="F104" s="75">
        <v>635</v>
      </c>
      <c r="G104" s="75">
        <v>105</v>
      </c>
      <c r="H104" s="75">
        <v>651</v>
      </c>
      <c r="I104" s="75">
        <v>103</v>
      </c>
      <c r="J104" s="154">
        <v>646</v>
      </c>
      <c r="K104" s="154">
        <v>104</v>
      </c>
      <c r="L104" s="155">
        <v>648</v>
      </c>
      <c r="M104" s="83">
        <v>22774.2</v>
      </c>
      <c r="N104" s="83">
        <v>21425.3</v>
      </c>
      <c r="O104" s="83">
        <v>21697.5</v>
      </c>
      <c r="P104" s="83">
        <v>20361</v>
      </c>
      <c r="Q104" s="83">
        <v>21706.6</v>
      </c>
      <c r="R104" s="83">
        <v>20394</v>
      </c>
      <c r="S104" s="83">
        <v>21770.799999999999</v>
      </c>
      <c r="T104" s="83">
        <v>20451.400000000001</v>
      </c>
      <c r="U104" s="83">
        <v>21782</v>
      </c>
      <c r="V104" s="83">
        <v>20495.099999999999</v>
      </c>
      <c r="W104" s="58"/>
      <c r="X104" s="27">
        <f>Table25[[#This Row],[HDC1]]/Table25[[#This Row],[HCC1]]</f>
        <v>0.94077069666552493</v>
      </c>
      <c r="Y104" s="27">
        <f>Table25[[#This Row],[HDC2]]/Table25[[#This Row],[HCC2]]</f>
        <v>0.93840304182509504</v>
      </c>
      <c r="Z104" s="27">
        <f>Table25[[#This Row],[HDC3]]/Table25[[#This Row],[HCC3]]</f>
        <v>0.93952991256115659</v>
      </c>
      <c r="AA104" s="27">
        <f>Table25[[#This Row],[HDC4]]/Table25[[#This Row],[HCC4]]</f>
        <v>0.93939588807025931</v>
      </c>
      <c r="AB104" s="27">
        <f>Table25[[#This Row],[HDC5]]/Table25[[#This Row],[HCC5]]</f>
        <v>0.94091910751997054</v>
      </c>
      <c r="AF104">
        <f>SUM(Table25[[#This Row],[CC1]:[DC1]])</f>
        <v>754</v>
      </c>
      <c r="AG104">
        <f>SUM(Table25[[#This Row],[CC2]:[DC2]])</f>
        <v>737</v>
      </c>
      <c r="AH104">
        <f>SUM(Table25[[#This Row],[CC3]:[DC3]])</f>
        <v>756</v>
      </c>
      <c r="AI104">
        <f>SUM(Table25[[#This Row],[CC4]:[DC4]])</f>
        <v>749</v>
      </c>
      <c r="AJ104">
        <f>SUM(Table25[[#This Row],[CC5]:[DC5]])</f>
        <v>752</v>
      </c>
    </row>
    <row r="105" spans="1:36" ht="15">
      <c r="A105" t="s">
        <v>235</v>
      </c>
      <c r="B105" s="85" t="s">
        <v>518</v>
      </c>
      <c r="C105" s="126">
        <v>101</v>
      </c>
      <c r="D105" s="75">
        <v>651</v>
      </c>
      <c r="E105" s="75">
        <v>103</v>
      </c>
      <c r="F105" s="75">
        <v>647</v>
      </c>
      <c r="G105" s="75">
        <v>102</v>
      </c>
      <c r="H105" s="75">
        <v>651</v>
      </c>
      <c r="I105" s="75">
        <v>103</v>
      </c>
      <c r="J105" s="154">
        <v>632</v>
      </c>
      <c r="K105" s="154">
        <v>108</v>
      </c>
      <c r="L105" s="155">
        <v>645</v>
      </c>
      <c r="M105" s="83">
        <v>22819</v>
      </c>
      <c r="N105" s="83">
        <v>21467.5</v>
      </c>
      <c r="O105" s="83">
        <v>20657.099999999999</v>
      </c>
      <c r="P105" s="83">
        <v>19903.2</v>
      </c>
      <c r="Q105" s="83">
        <v>21867.8</v>
      </c>
      <c r="R105" s="83">
        <v>20576.3</v>
      </c>
      <c r="S105" s="83">
        <v>21809.4</v>
      </c>
      <c r="T105" s="83">
        <v>20449.099999999999</v>
      </c>
      <c r="U105" s="83">
        <v>18437.8</v>
      </c>
      <c r="V105" s="83">
        <v>18500.400000000001</v>
      </c>
      <c r="W105" s="58"/>
      <c r="X105" s="27">
        <f>Table25[[#This Row],[HDC1]]/Table25[[#This Row],[HCC1]]</f>
        <v>0.94077304001051754</v>
      </c>
      <c r="Y105" s="27">
        <f>Table25[[#This Row],[HDC2]]/Table25[[#This Row],[HCC2]]</f>
        <v>0.96350407365990398</v>
      </c>
      <c r="Z105" s="27">
        <f>Table25[[#This Row],[HDC3]]/Table25[[#This Row],[HCC3]]</f>
        <v>0.94094056100750878</v>
      </c>
      <c r="AA105" s="27">
        <f>Table25[[#This Row],[HDC4]]/Table25[[#This Row],[HCC4]]</f>
        <v>0.93762781186094057</v>
      </c>
      <c r="AB105" s="27">
        <f>Table25[[#This Row],[HDC5]]/Table25[[#This Row],[HCC5]]</f>
        <v>1.0033951989933725</v>
      </c>
      <c r="AF105">
        <f>SUM(Table25[[#This Row],[CC1]:[DC1]])</f>
        <v>752</v>
      </c>
      <c r="AG105">
        <f>SUM(Table25[[#This Row],[CC2]:[DC2]])</f>
        <v>750</v>
      </c>
      <c r="AH105">
        <f>SUM(Table25[[#This Row],[CC3]:[DC3]])</f>
        <v>753</v>
      </c>
      <c r="AI105">
        <f>SUM(Table25[[#This Row],[CC4]:[DC4]])</f>
        <v>735</v>
      </c>
      <c r="AJ105">
        <f>SUM(Table25[[#This Row],[CC5]:[DC5]])</f>
        <v>753</v>
      </c>
    </row>
    <row r="106" spans="1:36" ht="15">
      <c r="A106" t="s">
        <v>236</v>
      </c>
      <c r="B106" s="85" t="s">
        <v>519</v>
      </c>
      <c r="C106" s="126">
        <v>101</v>
      </c>
      <c r="D106" s="75">
        <v>656</v>
      </c>
      <c r="E106" s="75">
        <v>102</v>
      </c>
      <c r="F106" s="75">
        <v>655</v>
      </c>
      <c r="G106" s="75">
        <v>103</v>
      </c>
      <c r="H106" s="75">
        <v>652</v>
      </c>
      <c r="I106" s="75">
        <v>103</v>
      </c>
      <c r="J106" s="154">
        <v>652</v>
      </c>
      <c r="K106" s="154">
        <v>103</v>
      </c>
      <c r="L106" s="155">
        <v>655</v>
      </c>
      <c r="M106" s="83">
        <v>15043.8</v>
      </c>
      <c r="N106" s="83">
        <v>14543.5</v>
      </c>
      <c r="O106" s="83">
        <v>17156.2</v>
      </c>
      <c r="P106" s="83">
        <v>15963.3</v>
      </c>
      <c r="Q106" s="83">
        <v>14906.9</v>
      </c>
      <c r="R106" s="83">
        <v>14410.9</v>
      </c>
      <c r="S106" s="83">
        <v>17123.2</v>
      </c>
      <c r="T106" s="83">
        <v>15923.7</v>
      </c>
      <c r="U106" s="83">
        <v>17163.3</v>
      </c>
      <c r="V106" s="83">
        <v>15971.5</v>
      </c>
      <c r="W106" s="58"/>
      <c r="X106" s="27">
        <f>Table25[[#This Row],[HDC1]]/Table25[[#This Row],[HCC1]]</f>
        <v>0.96674377484412188</v>
      </c>
      <c r="Y106" s="27">
        <f>Table25[[#This Row],[HDC2]]/Table25[[#This Row],[HCC2]]</f>
        <v>0.93046828551777194</v>
      </c>
      <c r="Z106" s="27">
        <f>Table25[[#This Row],[HDC3]]/Table25[[#This Row],[HCC3]]</f>
        <v>0.96672681778236924</v>
      </c>
      <c r="AA106" s="27">
        <f>Table25[[#This Row],[HDC4]]/Table25[[#This Row],[HCC4]]</f>
        <v>0.92994884133806766</v>
      </c>
      <c r="AB106" s="27">
        <f>Table25[[#This Row],[HDC5]]/Table25[[#This Row],[HCC5]]</f>
        <v>0.93056113917486738</v>
      </c>
      <c r="AF106">
        <f>SUM(Table25[[#This Row],[CC1]:[DC1]])</f>
        <v>757</v>
      </c>
      <c r="AG106">
        <f>SUM(Table25[[#This Row],[CC2]:[DC2]])</f>
        <v>757</v>
      </c>
      <c r="AH106">
        <f>SUM(Table25[[#This Row],[CC3]:[DC3]])</f>
        <v>755</v>
      </c>
      <c r="AI106">
        <f>SUM(Table25[[#This Row],[CC4]:[DC4]])</f>
        <v>755</v>
      </c>
      <c r="AJ106">
        <f>SUM(Table25[[#This Row],[CC5]:[DC5]])</f>
        <v>758</v>
      </c>
    </row>
    <row r="107" spans="1:36" ht="15">
      <c r="A107" t="s">
        <v>237</v>
      </c>
      <c r="B107" s="85" t="s">
        <v>520</v>
      </c>
      <c r="C107" s="126">
        <v>101</v>
      </c>
      <c r="D107" s="75">
        <v>657</v>
      </c>
      <c r="E107" s="75">
        <v>100</v>
      </c>
      <c r="F107" s="75">
        <v>657</v>
      </c>
      <c r="G107" s="75">
        <v>100</v>
      </c>
      <c r="H107" s="75">
        <v>655</v>
      </c>
      <c r="I107" s="75">
        <v>102</v>
      </c>
      <c r="J107" s="154">
        <v>655</v>
      </c>
      <c r="K107" s="154">
        <v>101</v>
      </c>
      <c r="L107" s="155">
        <v>654</v>
      </c>
      <c r="M107" s="83">
        <v>17484.3</v>
      </c>
      <c r="N107" s="83">
        <v>16274.4</v>
      </c>
      <c r="O107" s="83">
        <v>14943.1</v>
      </c>
      <c r="P107" s="83">
        <v>14496.9</v>
      </c>
      <c r="Q107" s="83">
        <v>17459</v>
      </c>
      <c r="R107" s="83">
        <v>16257.1</v>
      </c>
      <c r="S107" s="83">
        <v>14871</v>
      </c>
      <c r="T107" s="83">
        <v>14442.7</v>
      </c>
      <c r="U107" s="83">
        <v>17488.099999999999</v>
      </c>
      <c r="V107" s="83">
        <v>16284.9</v>
      </c>
      <c r="W107" s="58"/>
      <c r="X107" s="27">
        <f>Table25[[#This Row],[HDC1]]/Table25[[#This Row],[HCC1]]</f>
        <v>0.93080077555292462</v>
      </c>
      <c r="Y107" s="27">
        <f>Table25[[#This Row],[HDC2]]/Table25[[#This Row],[HCC2]]</f>
        <v>0.97014006464522085</v>
      </c>
      <c r="Z107" s="27">
        <f>Table25[[#This Row],[HDC3]]/Table25[[#This Row],[HCC3]]</f>
        <v>0.93115871470301848</v>
      </c>
      <c r="AA107" s="27">
        <f>Table25[[#This Row],[HDC4]]/Table25[[#This Row],[HCC4]]</f>
        <v>0.97119897787640375</v>
      </c>
      <c r="AB107" s="27">
        <f>Table25[[#This Row],[HDC5]]/Table25[[#This Row],[HCC5]]</f>
        <v>0.93119892955781369</v>
      </c>
      <c r="AF107">
        <f>SUM(Table25[[#This Row],[CC1]:[DC1]])</f>
        <v>758</v>
      </c>
      <c r="AG107">
        <f>SUM(Table25[[#This Row],[CC2]:[DC2]])</f>
        <v>757</v>
      </c>
      <c r="AH107">
        <f>SUM(Table25[[#This Row],[CC3]:[DC3]])</f>
        <v>755</v>
      </c>
      <c r="AI107">
        <f>SUM(Table25[[#This Row],[CC4]:[DC4]])</f>
        <v>757</v>
      </c>
      <c r="AJ107">
        <f>SUM(Table25[[#This Row],[CC5]:[DC5]])</f>
        <v>755</v>
      </c>
    </row>
    <row r="108" spans="1:36" ht="15">
      <c r="A108" t="s">
        <v>238</v>
      </c>
      <c r="B108" s="85" t="s">
        <v>521</v>
      </c>
      <c r="C108" s="126">
        <v>99</v>
      </c>
      <c r="D108" s="75">
        <v>653</v>
      </c>
      <c r="E108" s="75">
        <v>101</v>
      </c>
      <c r="F108" s="75">
        <v>647</v>
      </c>
      <c r="G108" s="75">
        <v>102</v>
      </c>
      <c r="H108" s="75">
        <v>651</v>
      </c>
      <c r="I108" s="75">
        <v>100</v>
      </c>
      <c r="J108" s="154">
        <v>650</v>
      </c>
      <c r="K108" s="154">
        <v>103</v>
      </c>
      <c r="L108" s="155">
        <v>648</v>
      </c>
      <c r="M108" s="83">
        <v>17607.8</v>
      </c>
      <c r="N108" s="83">
        <v>16579.400000000001</v>
      </c>
      <c r="O108" s="83">
        <v>18575.3</v>
      </c>
      <c r="P108" s="83">
        <v>17245</v>
      </c>
      <c r="Q108" s="83">
        <v>15035.4</v>
      </c>
      <c r="R108" s="83">
        <v>14790.6</v>
      </c>
      <c r="S108" s="83">
        <v>18527.2</v>
      </c>
      <c r="T108" s="83">
        <v>17194.7</v>
      </c>
      <c r="U108" s="83">
        <v>17503</v>
      </c>
      <c r="V108" s="83">
        <v>16497</v>
      </c>
      <c r="W108" s="58"/>
      <c r="X108" s="27">
        <f>Table25[[#This Row],[HDC1]]/Table25[[#This Row],[HCC1]]</f>
        <v>0.94159406626608677</v>
      </c>
      <c r="Y108" s="27">
        <f>Table25[[#This Row],[HDC2]]/Table25[[#This Row],[HCC2]]</f>
        <v>0.92838339084698496</v>
      </c>
      <c r="Z108" s="27">
        <f>Table25[[#This Row],[HDC3]]/Table25[[#This Row],[HCC3]]</f>
        <v>0.98371842451813729</v>
      </c>
      <c r="AA108" s="27">
        <f>Table25[[#This Row],[HDC4]]/Table25[[#This Row],[HCC4]]</f>
        <v>0.92807871669761222</v>
      </c>
      <c r="AB108" s="27">
        <f>Table25[[#This Row],[HDC5]]/Table25[[#This Row],[HCC5]]</f>
        <v>0.9425241387190767</v>
      </c>
      <c r="AF108">
        <f>SUM(Table25[[#This Row],[CC1]:[DC1]])</f>
        <v>752</v>
      </c>
      <c r="AG108">
        <f>SUM(Table25[[#This Row],[CC2]:[DC2]])</f>
        <v>748</v>
      </c>
      <c r="AH108">
        <f>SUM(Table25[[#This Row],[CC3]:[DC3]])</f>
        <v>753</v>
      </c>
      <c r="AI108">
        <f>SUM(Table25[[#This Row],[CC4]:[DC4]])</f>
        <v>750</v>
      </c>
      <c r="AJ108">
        <f>SUM(Table25[[#This Row],[CC5]:[DC5]])</f>
        <v>751</v>
      </c>
    </row>
    <row r="109" spans="1:36" ht="15">
      <c r="A109" t="s">
        <v>239</v>
      </c>
      <c r="B109" s="85" t="s">
        <v>522</v>
      </c>
      <c r="C109" s="126">
        <v>101</v>
      </c>
      <c r="D109" s="75">
        <v>657</v>
      </c>
      <c r="E109" s="75">
        <v>97</v>
      </c>
      <c r="F109" s="75">
        <v>659</v>
      </c>
      <c r="G109" s="75">
        <v>103</v>
      </c>
      <c r="H109" s="75">
        <v>654</v>
      </c>
      <c r="I109" s="75">
        <v>100</v>
      </c>
      <c r="J109" s="154">
        <v>654</v>
      </c>
      <c r="K109" s="154">
        <v>109</v>
      </c>
      <c r="L109" s="155">
        <v>647</v>
      </c>
      <c r="M109" s="83">
        <v>17493.2</v>
      </c>
      <c r="N109" s="83">
        <v>16289.9</v>
      </c>
      <c r="O109" s="83">
        <v>17531.400000000001</v>
      </c>
      <c r="P109" s="83">
        <v>16329.5</v>
      </c>
      <c r="Q109" s="83">
        <v>14884.9</v>
      </c>
      <c r="R109" s="83">
        <v>14457.2</v>
      </c>
      <c r="S109" s="83">
        <v>17442.099999999999</v>
      </c>
      <c r="T109" s="83">
        <v>16228.1</v>
      </c>
      <c r="U109" s="83">
        <v>17268.2</v>
      </c>
      <c r="V109" s="83">
        <v>16121.5</v>
      </c>
      <c r="W109" s="58"/>
      <c r="X109" s="27">
        <f>Table25[[#This Row],[HDC1]]/Table25[[#This Row],[HCC1]]</f>
        <v>0.93121327144261767</v>
      </c>
      <c r="Y109" s="27">
        <f>Table25[[#This Row],[HDC2]]/Table25[[#This Row],[HCC2]]</f>
        <v>0.93144301082628878</v>
      </c>
      <c r="Z109" s="27">
        <f>Table25[[#This Row],[HDC3]]/Table25[[#This Row],[HCC3]]</f>
        <v>0.97126618250710461</v>
      </c>
      <c r="AA109" s="27">
        <f>Table25[[#This Row],[HDC4]]/Table25[[#This Row],[HCC4]]</f>
        <v>0.93039828919682843</v>
      </c>
      <c r="AB109" s="27">
        <f>Table25[[#This Row],[HDC5]]/Table25[[#This Row],[HCC5]]</f>
        <v>0.93359470008454848</v>
      </c>
      <c r="AF109">
        <f>SUM(Table25[[#This Row],[CC1]:[DC1]])</f>
        <v>758</v>
      </c>
      <c r="AG109">
        <f>SUM(Table25[[#This Row],[CC2]:[DC2]])</f>
        <v>756</v>
      </c>
      <c r="AH109">
        <f>SUM(Table25[[#This Row],[CC3]:[DC3]])</f>
        <v>757</v>
      </c>
      <c r="AI109">
        <f>SUM(Table25[[#This Row],[CC4]:[DC4]])</f>
        <v>754</v>
      </c>
      <c r="AJ109">
        <f>SUM(Table25[[#This Row],[CC5]:[DC5]])</f>
        <v>756</v>
      </c>
    </row>
    <row r="110" spans="1:36" ht="15">
      <c r="A110" t="s">
        <v>240</v>
      </c>
      <c r="B110" s="85" t="s">
        <v>523</v>
      </c>
      <c r="C110" s="126">
        <v>99</v>
      </c>
      <c r="D110" s="75">
        <v>656</v>
      </c>
      <c r="E110" s="75">
        <v>100</v>
      </c>
      <c r="F110" s="75">
        <v>658</v>
      </c>
      <c r="G110" s="75">
        <v>99</v>
      </c>
      <c r="H110" s="75">
        <v>660</v>
      </c>
      <c r="I110" s="75">
        <v>99</v>
      </c>
      <c r="J110" s="154">
        <v>656</v>
      </c>
      <c r="K110" s="154">
        <v>101</v>
      </c>
      <c r="L110" s="155">
        <v>653</v>
      </c>
      <c r="M110" s="83">
        <v>27936.9</v>
      </c>
      <c r="N110" s="83">
        <v>26435.9</v>
      </c>
      <c r="O110" s="83">
        <v>28511.1</v>
      </c>
      <c r="P110" s="83">
        <v>26887.7</v>
      </c>
      <c r="Q110" s="83">
        <v>28399.200000000001</v>
      </c>
      <c r="R110" s="83">
        <v>26726.3</v>
      </c>
      <c r="S110" s="83">
        <v>28592.400000000001</v>
      </c>
      <c r="T110" s="83">
        <v>26945.5</v>
      </c>
      <c r="U110" s="83">
        <v>28596.6</v>
      </c>
      <c r="V110" s="83">
        <v>26989.599999999999</v>
      </c>
      <c r="X110" s="27">
        <f>Table25[[#This Row],[HDC1]]/Table25[[#This Row],[HCC1]]</f>
        <v>0.94627177675404217</v>
      </c>
      <c r="Y110" s="27">
        <f>Table25[[#This Row],[HDC2]]/Table25[[#This Row],[HCC2]]</f>
        <v>0.94306077282181333</v>
      </c>
      <c r="Z110" s="27">
        <f>Table25[[#This Row],[HDC3]]/Table25[[#This Row],[HCC3]]</f>
        <v>0.94109341108200228</v>
      </c>
      <c r="AA110" s="27">
        <f>Table25[[#This Row],[HDC4]]/Table25[[#This Row],[HCC4]]</f>
        <v>0.94240077782907339</v>
      </c>
      <c r="AB110" s="27">
        <f>Table25[[#This Row],[HDC5]]/Table25[[#This Row],[HCC5]]</f>
        <v>0.9438045082282509</v>
      </c>
      <c r="AF110">
        <f>SUM(Table25[[#This Row],[CC1]:[DC1]])</f>
        <v>755</v>
      </c>
      <c r="AG110">
        <f>SUM(Table25[[#This Row],[CC2]:[DC2]])</f>
        <v>758</v>
      </c>
      <c r="AH110">
        <f>SUM(Table25[[#This Row],[CC3]:[DC3]])</f>
        <v>759</v>
      </c>
      <c r="AI110">
        <f>SUM(Table25[[#This Row],[CC4]:[DC4]])</f>
        <v>755</v>
      </c>
      <c r="AJ110">
        <f>SUM(Table25[[#This Row],[CC5]:[DC5]])</f>
        <v>754</v>
      </c>
    </row>
    <row r="111" spans="1:36" ht="15">
      <c r="A111" t="s">
        <v>241</v>
      </c>
      <c r="B111" s="85" t="s">
        <v>524</v>
      </c>
      <c r="C111" s="126">
        <v>79</v>
      </c>
      <c r="D111" s="75">
        <v>670</v>
      </c>
      <c r="E111" s="75">
        <v>85</v>
      </c>
      <c r="F111" s="75">
        <v>670</v>
      </c>
      <c r="G111" s="75">
        <v>84</v>
      </c>
      <c r="H111" s="75">
        <v>665</v>
      </c>
      <c r="I111" s="75">
        <v>81</v>
      </c>
      <c r="J111" s="154">
        <v>676</v>
      </c>
      <c r="K111" s="154">
        <v>89</v>
      </c>
      <c r="L111" s="155">
        <v>666</v>
      </c>
      <c r="M111" s="83">
        <v>26321.8</v>
      </c>
      <c r="N111" s="83">
        <v>24805.3</v>
      </c>
      <c r="O111" s="83">
        <v>26213.599999999999</v>
      </c>
      <c r="P111" s="83">
        <v>24687.1</v>
      </c>
      <c r="Q111" s="83">
        <v>25060</v>
      </c>
      <c r="R111" s="83">
        <v>23885</v>
      </c>
      <c r="S111" s="83">
        <v>25592.6</v>
      </c>
      <c r="T111" s="83">
        <v>24520.400000000001</v>
      </c>
      <c r="U111" s="83">
        <v>25710.799999999999</v>
      </c>
      <c r="V111" s="83">
        <v>24573.9</v>
      </c>
      <c r="X111" s="27">
        <f>Table25[[#This Row],[HDC1]]/Table25[[#This Row],[HCC1]]</f>
        <v>0.94238615900128408</v>
      </c>
      <c r="Y111" s="27">
        <f>Table25[[#This Row],[HDC2]]/Table25[[#This Row],[HCC2]]</f>
        <v>0.94176686910611285</v>
      </c>
      <c r="Z111" s="27">
        <f>Table25[[#This Row],[HDC3]]/Table25[[#This Row],[HCC3]]</f>
        <v>0.95311252992817241</v>
      </c>
      <c r="AA111" s="27">
        <f>Table25[[#This Row],[HDC4]]/Table25[[#This Row],[HCC4]]</f>
        <v>0.95810507724889238</v>
      </c>
      <c r="AB111" s="27">
        <f>Table25[[#This Row],[HDC5]]/Table25[[#This Row],[HCC5]]</f>
        <v>0.95578122812203437</v>
      </c>
      <c r="AF111">
        <f>SUM(Table25[[#This Row],[CC1]:[DC1]])</f>
        <v>749</v>
      </c>
      <c r="AG111">
        <f>SUM(Table25[[#This Row],[CC2]:[DC2]])</f>
        <v>755</v>
      </c>
      <c r="AH111">
        <f>SUM(Table25[[#This Row],[CC3]:[DC3]])</f>
        <v>749</v>
      </c>
      <c r="AI111">
        <f>SUM(Table25[[#This Row],[CC4]:[DC4]])</f>
        <v>757</v>
      </c>
      <c r="AJ111">
        <f>SUM(Table25[[#This Row],[CC5]:[DC5]])</f>
        <v>755</v>
      </c>
    </row>
    <row r="112" spans="1:36" ht="15">
      <c r="A112" t="s">
        <v>242</v>
      </c>
      <c r="B112" s="85" t="s">
        <v>525</v>
      </c>
      <c r="C112" s="126">
        <v>96</v>
      </c>
      <c r="D112" s="75">
        <v>652</v>
      </c>
      <c r="E112" s="75">
        <v>95</v>
      </c>
      <c r="F112" s="75">
        <v>655</v>
      </c>
      <c r="G112" s="75">
        <v>97</v>
      </c>
      <c r="H112" s="75">
        <v>645</v>
      </c>
      <c r="I112" s="75">
        <v>97</v>
      </c>
      <c r="J112" s="154">
        <v>650</v>
      </c>
      <c r="K112" s="154">
        <v>99</v>
      </c>
      <c r="L112" s="155">
        <v>652</v>
      </c>
      <c r="M112" s="83">
        <v>25674.5</v>
      </c>
      <c r="N112" s="83">
        <v>24149.4</v>
      </c>
      <c r="O112" s="83">
        <v>25087</v>
      </c>
      <c r="P112" s="83">
        <v>23664.7</v>
      </c>
      <c r="Q112" s="83">
        <v>24930.7</v>
      </c>
      <c r="R112" s="83">
        <v>23475</v>
      </c>
      <c r="S112" s="83">
        <v>24891.4</v>
      </c>
      <c r="T112" s="83">
        <v>23452.9</v>
      </c>
      <c r="U112" s="83">
        <v>25248.799999999999</v>
      </c>
      <c r="V112" s="83">
        <v>23776.5</v>
      </c>
      <c r="X112" s="27">
        <f>Table25[[#This Row],[HDC1]]/Table25[[#This Row],[HCC1]]</f>
        <v>0.94059864846442975</v>
      </c>
      <c r="Y112" s="27">
        <f>Table25[[#This Row],[HDC2]]/Table25[[#This Row],[HCC2]]</f>
        <v>0.94330529756447568</v>
      </c>
      <c r="Z112" s="27">
        <f>Table25[[#This Row],[HDC3]]/Table25[[#This Row],[HCC3]]</f>
        <v>0.94161014331727544</v>
      </c>
      <c r="AA112" s="27">
        <f>Table25[[#This Row],[HDC4]]/Table25[[#This Row],[HCC4]]</f>
        <v>0.94220895570357632</v>
      </c>
      <c r="AB112" s="27">
        <f>Table25[[#This Row],[HDC5]]/Table25[[#This Row],[HCC5]]</f>
        <v>0.94168831786065088</v>
      </c>
      <c r="AF112">
        <f>SUM(Table25[[#This Row],[CC1]:[DC1]])</f>
        <v>748</v>
      </c>
      <c r="AG112">
        <f>SUM(Table25[[#This Row],[CC2]:[DC2]])</f>
        <v>750</v>
      </c>
      <c r="AH112">
        <f>SUM(Table25[[#This Row],[CC3]:[DC3]])</f>
        <v>742</v>
      </c>
      <c r="AI112">
        <f>SUM(Table25[[#This Row],[CC4]:[DC4]])</f>
        <v>747</v>
      </c>
      <c r="AJ112">
        <f>SUM(Table25[[#This Row],[CC5]:[DC5]])</f>
        <v>751</v>
      </c>
    </row>
    <row r="113" spans="1:36" ht="15">
      <c r="A113" t="s">
        <v>243</v>
      </c>
      <c r="B113" s="85" t="s">
        <v>526</v>
      </c>
      <c r="C113" s="126">
        <v>77</v>
      </c>
      <c r="D113" s="75">
        <v>679</v>
      </c>
      <c r="E113" s="75">
        <v>90</v>
      </c>
      <c r="F113" s="75">
        <v>665</v>
      </c>
      <c r="G113" s="75">
        <v>84</v>
      </c>
      <c r="H113" s="75">
        <v>670</v>
      </c>
      <c r="I113" s="75">
        <v>82</v>
      </c>
      <c r="J113" s="154">
        <v>673</v>
      </c>
      <c r="K113" s="154">
        <v>92</v>
      </c>
      <c r="L113" s="155">
        <v>664</v>
      </c>
      <c r="M113" s="83">
        <v>23216</v>
      </c>
      <c r="N113" s="83">
        <v>21820.400000000001</v>
      </c>
      <c r="O113" s="83">
        <v>22916.6</v>
      </c>
      <c r="P113" s="83">
        <v>21598.6</v>
      </c>
      <c r="Q113" s="83">
        <v>22993</v>
      </c>
      <c r="R113" s="83">
        <v>21658.400000000001</v>
      </c>
      <c r="S113" s="83">
        <v>22754.5</v>
      </c>
      <c r="T113" s="83">
        <v>21375.1</v>
      </c>
      <c r="U113" s="83">
        <v>22679</v>
      </c>
      <c r="V113" s="83">
        <v>21331</v>
      </c>
      <c r="X113" s="27">
        <f>Table25[[#This Row],[HDC1]]/Table25[[#This Row],[HCC1]]</f>
        <v>0.9398862853204687</v>
      </c>
      <c r="Y113" s="27">
        <f>Table25[[#This Row],[HDC2]]/Table25[[#This Row],[HCC2]]</f>
        <v>0.94248710541703395</v>
      </c>
      <c r="Z113" s="27">
        <f>Table25[[#This Row],[HDC3]]/Table25[[#This Row],[HCC3]]</f>
        <v>0.9419562475536033</v>
      </c>
      <c r="AA113" s="27">
        <f>Table25[[#This Row],[HDC4]]/Table25[[#This Row],[HCC4]]</f>
        <v>0.93937902392933259</v>
      </c>
      <c r="AB113" s="27">
        <f>Table25[[#This Row],[HDC5]]/Table25[[#This Row],[HCC5]]</f>
        <v>0.9405617531637197</v>
      </c>
      <c r="AF113">
        <f>SUM(Table25[[#This Row],[CC1]:[DC1]])</f>
        <v>756</v>
      </c>
      <c r="AG113">
        <f>SUM(Table25[[#This Row],[CC2]:[DC2]])</f>
        <v>755</v>
      </c>
      <c r="AH113">
        <f>SUM(Table25[[#This Row],[CC3]:[DC3]])</f>
        <v>754</v>
      </c>
      <c r="AI113">
        <f>SUM(Table25[[#This Row],[CC4]:[DC4]])</f>
        <v>755</v>
      </c>
      <c r="AJ113">
        <f>SUM(Table25[[#This Row],[CC5]:[DC5]])</f>
        <v>756</v>
      </c>
    </row>
    <row r="114" spans="1:36" ht="15">
      <c r="A114" t="s">
        <v>244</v>
      </c>
      <c r="B114" s="85" t="s">
        <v>527</v>
      </c>
      <c r="C114" s="126">
        <v>100</v>
      </c>
      <c r="D114" s="75">
        <v>656</v>
      </c>
      <c r="E114" s="75">
        <v>102</v>
      </c>
      <c r="F114" s="75">
        <v>656</v>
      </c>
      <c r="G114" s="75">
        <v>101</v>
      </c>
      <c r="H114" s="75">
        <v>659</v>
      </c>
      <c r="I114" s="75">
        <v>102</v>
      </c>
      <c r="J114" s="154">
        <v>653</v>
      </c>
      <c r="K114" s="154">
        <v>101</v>
      </c>
      <c r="L114" s="155">
        <v>657</v>
      </c>
      <c r="M114" s="83">
        <v>29566.1</v>
      </c>
      <c r="N114" s="83">
        <v>27897</v>
      </c>
      <c r="O114" s="83">
        <v>28108.3</v>
      </c>
      <c r="P114" s="83">
        <v>27349.7</v>
      </c>
      <c r="Q114" s="83">
        <v>29947.7</v>
      </c>
      <c r="R114" s="83">
        <v>28217.9</v>
      </c>
      <c r="S114" s="83">
        <v>29901.3</v>
      </c>
      <c r="T114" s="83">
        <v>28225.200000000001</v>
      </c>
      <c r="U114" s="83">
        <v>29495.8</v>
      </c>
      <c r="V114" s="83">
        <v>27885.5</v>
      </c>
      <c r="X114" s="27">
        <f>Table25[[#This Row],[HDC1]]/Table25[[#This Row],[HCC1]]</f>
        <v>0.94354683235191661</v>
      </c>
      <c r="Y114" s="27">
        <f>Table25[[#This Row],[HDC2]]/Table25[[#This Row],[HCC2]]</f>
        <v>0.97301153040205213</v>
      </c>
      <c r="Z114" s="27">
        <f>Table25[[#This Row],[HDC3]]/Table25[[#This Row],[HCC3]]</f>
        <v>0.94223930385305055</v>
      </c>
      <c r="AA114" s="27">
        <f>Table25[[#This Row],[HDC4]]/Table25[[#This Row],[HCC4]]</f>
        <v>0.94394558096136294</v>
      </c>
      <c r="AB114" s="27">
        <f>Table25[[#This Row],[HDC5]]/Table25[[#This Row],[HCC5]]</f>
        <v>0.94540578658656493</v>
      </c>
      <c r="AF114">
        <f>SUM(Table25[[#This Row],[CC1]:[DC1]])</f>
        <v>756</v>
      </c>
      <c r="AG114">
        <f>SUM(Table25[[#This Row],[CC2]:[DC2]])</f>
        <v>758</v>
      </c>
      <c r="AH114">
        <f>SUM(Table25[[#This Row],[CC3]:[DC3]])</f>
        <v>760</v>
      </c>
      <c r="AI114">
        <f>SUM(Table25[[#This Row],[CC4]:[DC4]])</f>
        <v>755</v>
      </c>
      <c r="AJ114">
        <f>SUM(Table25[[#This Row],[CC5]:[DC5]])</f>
        <v>758</v>
      </c>
    </row>
    <row r="115" spans="1:36" ht="15">
      <c r="A115" t="s">
        <v>245</v>
      </c>
      <c r="B115" s="85" t="s">
        <v>528</v>
      </c>
      <c r="C115" s="126">
        <v>100</v>
      </c>
      <c r="D115" s="75">
        <v>652</v>
      </c>
      <c r="E115" s="75">
        <v>102</v>
      </c>
      <c r="F115" s="75">
        <v>652</v>
      </c>
      <c r="G115" s="75">
        <v>102</v>
      </c>
      <c r="H115" s="75">
        <v>652</v>
      </c>
      <c r="I115" s="75">
        <v>104</v>
      </c>
      <c r="J115" s="154">
        <v>644</v>
      </c>
      <c r="K115" s="154">
        <v>103</v>
      </c>
      <c r="L115" s="155">
        <v>648</v>
      </c>
      <c r="M115" s="83">
        <v>24268.5</v>
      </c>
      <c r="N115" s="83">
        <v>22808.400000000001</v>
      </c>
      <c r="O115" s="83">
        <v>24679.4</v>
      </c>
      <c r="P115" s="83">
        <v>23304.5</v>
      </c>
      <c r="Q115" s="83">
        <v>24713.3</v>
      </c>
      <c r="R115" s="83">
        <v>23322.1</v>
      </c>
      <c r="S115" s="83">
        <v>24640.1</v>
      </c>
      <c r="T115" s="83">
        <v>23203.8</v>
      </c>
      <c r="U115" s="83">
        <v>24725.599999999999</v>
      </c>
      <c r="V115" s="83">
        <v>23271.200000000001</v>
      </c>
      <c r="X115" s="27">
        <f>Table25[[#This Row],[HDC1]]/Table25[[#This Row],[HCC1]]</f>
        <v>0.93983558934421174</v>
      </c>
      <c r="Y115" s="27">
        <f>Table25[[#This Row],[HDC2]]/Table25[[#This Row],[HCC2]]</f>
        <v>0.94428956943847897</v>
      </c>
      <c r="Z115" s="27">
        <f>Table25[[#This Row],[HDC3]]/Table25[[#This Row],[HCC3]]</f>
        <v>0.94370642528517035</v>
      </c>
      <c r="AA115" s="27">
        <f>Table25[[#This Row],[HDC4]]/Table25[[#This Row],[HCC4]]</f>
        <v>0.94170884046736825</v>
      </c>
      <c r="AB115" s="27">
        <f>Table25[[#This Row],[HDC5]]/Table25[[#This Row],[HCC5]]</f>
        <v>0.94117837383117098</v>
      </c>
      <c r="AF115">
        <f>SUM(Table25[[#This Row],[CC1]:[DC1]])</f>
        <v>752</v>
      </c>
      <c r="AG115">
        <f>SUM(Table25[[#This Row],[CC2]:[DC2]])</f>
        <v>754</v>
      </c>
      <c r="AH115">
        <f>SUM(Table25[[#This Row],[CC3]:[DC3]])</f>
        <v>754</v>
      </c>
      <c r="AI115">
        <f>SUM(Table25[[#This Row],[CC4]:[DC4]])</f>
        <v>748</v>
      </c>
      <c r="AJ115">
        <f>SUM(Table25[[#This Row],[CC5]:[DC5]])</f>
        <v>751</v>
      </c>
    </row>
    <row r="116" spans="1:36" ht="15">
      <c r="A116" t="s">
        <v>246</v>
      </c>
      <c r="B116" s="85" t="s">
        <v>529</v>
      </c>
      <c r="C116" s="126">
        <v>100</v>
      </c>
      <c r="D116" s="75">
        <v>652</v>
      </c>
      <c r="E116" s="75">
        <v>100</v>
      </c>
      <c r="F116" s="75">
        <v>654</v>
      </c>
      <c r="G116" s="75">
        <v>100</v>
      </c>
      <c r="H116" s="75">
        <v>652</v>
      </c>
      <c r="I116" s="75">
        <v>101</v>
      </c>
      <c r="J116" s="154">
        <v>653</v>
      </c>
      <c r="K116" s="154">
        <v>101</v>
      </c>
      <c r="L116" s="155">
        <v>653</v>
      </c>
      <c r="M116" s="83">
        <v>29361.599999999999</v>
      </c>
      <c r="N116" s="83">
        <v>28107.4</v>
      </c>
      <c r="O116" s="83">
        <v>26928.799999999999</v>
      </c>
      <c r="P116" s="83">
        <v>26003.4</v>
      </c>
      <c r="Q116" s="83">
        <v>29878</v>
      </c>
      <c r="R116" s="83">
        <v>28209.5</v>
      </c>
      <c r="S116" s="83">
        <v>26837.5</v>
      </c>
      <c r="T116" s="83">
        <v>25880.400000000001</v>
      </c>
      <c r="U116" s="83">
        <v>30696.1</v>
      </c>
      <c r="V116" s="83">
        <v>28923.3</v>
      </c>
      <c r="X116" s="27">
        <f>Table25[[#This Row],[HDC1]]/Table25[[#This Row],[HCC1]]</f>
        <v>0.95728434417742914</v>
      </c>
      <c r="Y116" s="27">
        <f>Table25[[#This Row],[HDC2]]/Table25[[#This Row],[HCC2]]</f>
        <v>0.96563530495231875</v>
      </c>
      <c r="Z116" s="27">
        <f>Table25[[#This Row],[HDC3]]/Table25[[#This Row],[HCC3]]</f>
        <v>0.9441562353571189</v>
      </c>
      <c r="AA116" s="27">
        <f>Table25[[#This Row],[HDC4]]/Table25[[#This Row],[HCC4]]</f>
        <v>0.96433721471821154</v>
      </c>
      <c r="AB116" s="27">
        <f>Table25[[#This Row],[HDC5]]/Table25[[#This Row],[HCC5]]</f>
        <v>0.94224673492723832</v>
      </c>
      <c r="AF116">
        <f>SUM(Table25[[#This Row],[CC1]:[DC1]])</f>
        <v>752</v>
      </c>
      <c r="AG116">
        <f>SUM(Table25[[#This Row],[CC2]:[DC2]])</f>
        <v>754</v>
      </c>
      <c r="AH116">
        <f>SUM(Table25[[#This Row],[CC3]:[DC3]])</f>
        <v>752</v>
      </c>
      <c r="AI116">
        <f>SUM(Table25[[#This Row],[CC4]:[DC4]])</f>
        <v>754</v>
      </c>
      <c r="AJ116">
        <f>SUM(Table25[[#This Row],[CC5]:[DC5]])</f>
        <v>754</v>
      </c>
    </row>
    <row r="117" spans="1:36" ht="15">
      <c r="A117" t="s">
        <v>247</v>
      </c>
      <c r="B117" s="85" t="s">
        <v>530</v>
      </c>
      <c r="C117" s="126">
        <v>96</v>
      </c>
      <c r="D117" s="75">
        <v>653</v>
      </c>
      <c r="E117" s="75">
        <v>99</v>
      </c>
      <c r="F117" s="75">
        <v>650</v>
      </c>
      <c r="G117" s="75">
        <v>99</v>
      </c>
      <c r="H117" s="75">
        <v>653</v>
      </c>
      <c r="I117" s="75">
        <v>99</v>
      </c>
      <c r="J117" s="154">
        <v>650</v>
      </c>
      <c r="K117" s="154">
        <v>99</v>
      </c>
      <c r="L117" s="155">
        <v>653</v>
      </c>
      <c r="M117" s="83">
        <v>28138.5</v>
      </c>
      <c r="N117" s="83">
        <v>27366.2</v>
      </c>
      <c r="O117" s="83">
        <v>26306.3</v>
      </c>
      <c r="P117" s="83">
        <v>25615</v>
      </c>
      <c r="Q117" s="83">
        <v>28723.3</v>
      </c>
      <c r="R117" s="83">
        <v>27204.400000000001</v>
      </c>
      <c r="S117" s="83">
        <v>26075.200000000001</v>
      </c>
      <c r="T117" s="83">
        <v>25345.200000000001</v>
      </c>
      <c r="U117" s="83">
        <v>28785.599999999999</v>
      </c>
      <c r="V117" s="83">
        <v>27693.5</v>
      </c>
      <c r="X117" s="27">
        <f>Table25[[#This Row],[HDC1]]/Table25[[#This Row],[HCC1]]</f>
        <v>0.97255361870746493</v>
      </c>
      <c r="Y117" s="27">
        <f>Table25[[#This Row],[HDC2]]/Table25[[#This Row],[HCC2]]</f>
        <v>0.97372112383725573</v>
      </c>
      <c r="Z117" s="27">
        <f>Table25[[#This Row],[HDC3]]/Table25[[#This Row],[HCC3]]</f>
        <v>0.94711958584145983</v>
      </c>
      <c r="AA117" s="27">
        <f>Table25[[#This Row],[HDC4]]/Table25[[#This Row],[HCC4]]</f>
        <v>0.97200404982512123</v>
      </c>
      <c r="AB117" s="27">
        <f>Table25[[#This Row],[HDC5]]/Table25[[#This Row],[HCC5]]</f>
        <v>0.96206089155688956</v>
      </c>
      <c r="AF117">
        <f>SUM(Table25[[#This Row],[CC1]:[DC1]])</f>
        <v>749</v>
      </c>
      <c r="AG117">
        <f>SUM(Table25[[#This Row],[CC2]:[DC2]])</f>
        <v>749</v>
      </c>
      <c r="AH117">
        <f>SUM(Table25[[#This Row],[CC3]:[DC3]])</f>
        <v>752</v>
      </c>
      <c r="AI117">
        <f>SUM(Table25[[#This Row],[CC4]:[DC4]])</f>
        <v>749</v>
      </c>
      <c r="AJ117">
        <f>SUM(Table25[[#This Row],[CC5]:[DC5]])</f>
        <v>752</v>
      </c>
    </row>
    <row r="118" spans="1:36" ht="15">
      <c r="A118" t="s">
        <v>248</v>
      </c>
      <c r="B118" s="85" t="s">
        <v>531</v>
      </c>
      <c r="C118" s="126">
        <v>100</v>
      </c>
      <c r="D118" s="75">
        <v>658</v>
      </c>
      <c r="E118" s="75">
        <v>103</v>
      </c>
      <c r="F118" s="75">
        <v>651</v>
      </c>
      <c r="G118" s="75">
        <v>101</v>
      </c>
      <c r="H118" s="75">
        <v>653</v>
      </c>
      <c r="I118" s="75">
        <v>106</v>
      </c>
      <c r="J118" s="154">
        <v>650</v>
      </c>
      <c r="K118" s="154">
        <v>106</v>
      </c>
      <c r="L118" s="155">
        <v>648</v>
      </c>
      <c r="M118" s="83">
        <v>24938.1</v>
      </c>
      <c r="N118" s="83">
        <v>23551.8</v>
      </c>
      <c r="O118" s="83">
        <v>24778.400000000001</v>
      </c>
      <c r="P118" s="83">
        <v>23430.799999999999</v>
      </c>
      <c r="Q118" s="83">
        <v>25538.5</v>
      </c>
      <c r="R118" s="83">
        <v>24194.799999999999</v>
      </c>
      <c r="S118" s="83">
        <v>24730.3</v>
      </c>
      <c r="T118" s="83">
        <v>23293</v>
      </c>
      <c r="U118" s="83">
        <v>25464</v>
      </c>
      <c r="V118" s="83">
        <v>24181.9</v>
      </c>
      <c r="X118" s="27">
        <f>Table25[[#This Row],[HDC1]]/Table25[[#This Row],[HCC1]]</f>
        <v>0.94441036005148749</v>
      </c>
      <c r="Y118" s="27">
        <f>Table25[[#This Row],[HDC2]]/Table25[[#This Row],[HCC2]]</f>
        <v>0.94561392180286052</v>
      </c>
      <c r="Z118" s="27">
        <f>Table25[[#This Row],[HDC3]]/Table25[[#This Row],[HCC3]]</f>
        <v>0.94738532020283095</v>
      </c>
      <c r="AA118" s="27">
        <f>Table25[[#This Row],[HDC4]]/Table25[[#This Row],[HCC4]]</f>
        <v>0.94188101236135435</v>
      </c>
      <c r="AB118" s="27">
        <f>Table25[[#This Row],[HDC5]]/Table25[[#This Row],[HCC5]]</f>
        <v>0.94965048696198562</v>
      </c>
      <c r="AF118">
        <f>SUM(Table25[[#This Row],[CC1]:[DC1]])</f>
        <v>758</v>
      </c>
      <c r="AG118">
        <f>SUM(Table25[[#This Row],[CC2]:[DC2]])</f>
        <v>754</v>
      </c>
      <c r="AH118">
        <f>SUM(Table25[[#This Row],[CC3]:[DC3]])</f>
        <v>754</v>
      </c>
      <c r="AI118">
        <f>SUM(Table25[[#This Row],[CC4]:[DC4]])</f>
        <v>756</v>
      </c>
      <c r="AJ118">
        <f>SUM(Table25[[#This Row],[CC5]:[DC5]])</f>
        <v>754</v>
      </c>
    </row>
    <row r="119" spans="1:36" ht="15">
      <c r="A119" t="s">
        <v>249</v>
      </c>
      <c r="B119" s="85" t="s">
        <v>532</v>
      </c>
      <c r="C119" s="126">
        <v>100</v>
      </c>
      <c r="D119" s="75">
        <v>655</v>
      </c>
      <c r="E119" s="75">
        <v>100</v>
      </c>
      <c r="F119" s="75">
        <v>649</v>
      </c>
      <c r="G119" s="75">
        <v>102</v>
      </c>
      <c r="H119" s="75">
        <v>645</v>
      </c>
      <c r="I119" s="75">
        <v>104</v>
      </c>
      <c r="J119" s="154">
        <v>651</v>
      </c>
      <c r="K119" s="154">
        <v>102</v>
      </c>
      <c r="L119" s="155">
        <v>638</v>
      </c>
      <c r="M119" s="83">
        <v>27533</v>
      </c>
      <c r="N119" s="83">
        <v>26027.3</v>
      </c>
      <c r="O119" s="83">
        <v>27056.6</v>
      </c>
      <c r="P119" s="83">
        <v>25622</v>
      </c>
      <c r="Q119" s="83">
        <v>26777.1</v>
      </c>
      <c r="R119" s="83">
        <v>25669.7</v>
      </c>
      <c r="S119" s="83">
        <v>25959</v>
      </c>
      <c r="T119" s="83">
        <v>25246.7</v>
      </c>
      <c r="U119" s="83">
        <v>27272.799999999999</v>
      </c>
      <c r="V119" s="83">
        <v>25745.9</v>
      </c>
      <c r="X119" s="27">
        <f>Table25[[#This Row],[HDC1]]/Table25[[#This Row],[HCC1]]</f>
        <v>0.94531289725057199</v>
      </c>
      <c r="Y119" s="27">
        <f>Table25[[#This Row],[HDC2]]/Table25[[#This Row],[HCC2]]</f>
        <v>0.94697781687277782</v>
      </c>
      <c r="Z119" s="27">
        <f>Table25[[#This Row],[HDC3]]/Table25[[#This Row],[HCC3]]</f>
        <v>0.9586437665019738</v>
      </c>
      <c r="AA119" s="27">
        <f>Table25[[#This Row],[HDC4]]/Table25[[#This Row],[HCC4]]</f>
        <v>0.97256057629338577</v>
      </c>
      <c r="AB119" s="27">
        <f>Table25[[#This Row],[HDC5]]/Table25[[#This Row],[HCC5]]</f>
        <v>0.94401381596315748</v>
      </c>
      <c r="AF119">
        <f>SUM(Table25[[#This Row],[CC1]:[DC1]])</f>
        <v>755</v>
      </c>
      <c r="AG119">
        <f>SUM(Table25[[#This Row],[CC2]:[DC2]])</f>
        <v>749</v>
      </c>
      <c r="AH119">
        <f>SUM(Table25[[#This Row],[CC3]:[DC3]])</f>
        <v>747</v>
      </c>
      <c r="AI119">
        <f>SUM(Table25[[#This Row],[CC4]:[DC4]])</f>
        <v>755</v>
      </c>
      <c r="AJ119">
        <f>SUM(Table25[[#This Row],[CC5]:[DC5]])</f>
        <v>740</v>
      </c>
    </row>
    <row r="120" spans="1:36" ht="15">
      <c r="A120" t="s">
        <v>250</v>
      </c>
      <c r="B120" s="85" t="s">
        <v>533</v>
      </c>
      <c r="C120" s="126">
        <v>100</v>
      </c>
      <c r="D120" s="75">
        <v>659</v>
      </c>
      <c r="E120" s="75">
        <v>106</v>
      </c>
      <c r="F120" s="75">
        <v>648</v>
      </c>
      <c r="G120" s="75">
        <v>99</v>
      </c>
      <c r="H120" s="75">
        <v>654</v>
      </c>
      <c r="I120" s="75">
        <v>110</v>
      </c>
      <c r="J120" s="154">
        <v>648</v>
      </c>
      <c r="K120" s="154">
        <v>105</v>
      </c>
      <c r="L120" s="155">
        <v>646</v>
      </c>
      <c r="M120" s="83">
        <v>29838.5</v>
      </c>
      <c r="N120" s="83">
        <v>28263.1</v>
      </c>
      <c r="O120" s="83">
        <v>29638.1</v>
      </c>
      <c r="P120" s="83">
        <v>28014.6</v>
      </c>
      <c r="Q120" s="83">
        <v>29238.9</v>
      </c>
      <c r="R120" s="83">
        <v>28012.799999999999</v>
      </c>
      <c r="S120" s="83">
        <v>29155.8</v>
      </c>
      <c r="T120" s="83">
        <v>27627.3</v>
      </c>
      <c r="U120" s="83">
        <v>29396.9</v>
      </c>
      <c r="V120" s="83">
        <v>27749.7</v>
      </c>
      <c r="X120" s="27">
        <f>Table25[[#This Row],[HDC1]]/Table25[[#This Row],[HCC1]]</f>
        <v>0.94720243980092833</v>
      </c>
      <c r="Y120" s="27">
        <f>Table25[[#This Row],[HDC2]]/Table25[[#This Row],[HCC2]]</f>
        <v>0.94522253450794758</v>
      </c>
      <c r="Z120" s="27">
        <f>Table25[[#This Row],[HDC3]]/Table25[[#This Row],[HCC3]]</f>
        <v>0.95806613791900508</v>
      </c>
      <c r="AA120" s="27">
        <f>Table25[[#This Row],[HDC4]]/Table25[[#This Row],[HCC4]]</f>
        <v>0.94757475356532839</v>
      </c>
      <c r="AB120" s="27">
        <f>Table25[[#This Row],[HDC5]]/Table25[[#This Row],[HCC5]]</f>
        <v>0.94396688086158742</v>
      </c>
      <c r="AF120">
        <f>SUM(Table25[[#This Row],[CC1]:[DC1]])</f>
        <v>759</v>
      </c>
      <c r="AG120">
        <f>SUM(Table25[[#This Row],[CC2]:[DC2]])</f>
        <v>754</v>
      </c>
      <c r="AH120">
        <f>SUM(Table25[[#This Row],[CC3]:[DC3]])</f>
        <v>753</v>
      </c>
      <c r="AI120">
        <f>SUM(Table25[[#This Row],[CC4]:[DC4]])</f>
        <v>758</v>
      </c>
      <c r="AJ120">
        <f>SUM(Table25[[#This Row],[CC5]:[DC5]])</f>
        <v>751</v>
      </c>
    </row>
    <row r="121" spans="1:36" ht="15">
      <c r="A121" t="s">
        <v>251</v>
      </c>
      <c r="B121" s="85" t="s">
        <v>534</v>
      </c>
      <c r="C121" s="126">
        <v>105</v>
      </c>
      <c r="D121" s="75">
        <v>651</v>
      </c>
      <c r="E121" s="75">
        <v>102</v>
      </c>
      <c r="F121" s="75">
        <v>656</v>
      </c>
      <c r="G121" s="75">
        <v>102</v>
      </c>
      <c r="H121" s="75">
        <v>656</v>
      </c>
      <c r="I121" s="75">
        <v>102</v>
      </c>
      <c r="J121" s="154">
        <v>654</v>
      </c>
      <c r="K121" s="154">
        <v>108</v>
      </c>
      <c r="L121" s="155">
        <v>651</v>
      </c>
      <c r="M121" s="83">
        <v>29022.5</v>
      </c>
      <c r="N121" s="83">
        <v>27404.7</v>
      </c>
      <c r="O121" s="83">
        <v>29683</v>
      </c>
      <c r="P121" s="83">
        <v>28178.5</v>
      </c>
      <c r="Q121" s="83">
        <v>29623.200000000001</v>
      </c>
      <c r="R121" s="83">
        <v>28113</v>
      </c>
      <c r="S121" s="83">
        <v>29757.599999999999</v>
      </c>
      <c r="T121" s="83">
        <v>28120.400000000001</v>
      </c>
      <c r="U121" s="83">
        <v>28915</v>
      </c>
      <c r="V121" s="83">
        <v>27356.2</v>
      </c>
      <c r="X121" s="27">
        <f>Table25[[#This Row],[HDC1]]/Table25[[#This Row],[HCC1]]</f>
        <v>0.9442570419502111</v>
      </c>
      <c r="Y121" s="27">
        <f>Table25[[#This Row],[HDC2]]/Table25[[#This Row],[HCC2]]</f>
        <v>0.94931442239665798</v>
      </c>
      <c r="Z121" s="27">
        <f>Table25[[#This Row],[HDC3]]/Table25[[#This Row],[HCC3]]</f>
        <v>0.94901968727213804</v>
      </c>
      <c r="AA121" s="27">
        <f>Table25[[#This Row],[HDC4]]/Table25[[#This Row],[HCC4]]</f>
        <v>0.94498212221415712</v>
      </c>
      <c r="AB121" s="27">
        <f>Table25[[#This Row],[HDC5]]/Table25[[#This Row],[HCC5]]</f>
        <v>0.94609026456856304</v>
      </c>
      <c r="AF121">
        <f>SUM(Table25[[#This Row],[CC1]:[DC1]])</f>
        <v>756</v>
      </c>
      <c r="AG121">
        <f>SUM(Table25[[#This Row],[CC2]:[DC2]])</f>
        <v>758</v>
      </c>
      <c r="AH121">
        <f>SUM(Table25[[#This Row],[CC3]:[DC3]])</f>
        <v>758</v>
      </c>
      <c r="AI121">
        <f>SUM(Table25[[#This Row],[CC4]:[DC4]])</f>
        <v>756</v>
      </c>
      <c r="AJ121">
        <f>SUM(Table25[[#This Row],[CC5]:[DC5]])</f>
        <v>759</v>
      </c>
    </row>
    <row r="122" spans="1:36" ht="15">
      <c r="A122" t="s">
        <v>252</v>
      </c>
      <c r="B122" s="85" t="s">
        <v>535</v>
      </c>
      <c r="C122" s="126">
        <v>100</v>
      </c>
      <c r="D122" s="75">
        <v>650</v>
      </c>
      <c r="E122" s="75">
        <v>99</v>
      </c>
      <c r="F122" s="75">
        <v>652</v>
      </c>
      <c r="G122" s="75">
        <v>100</v>
      </c>
      <c r="H122" s="75">
        <v>655</v>
      </c>
      <c r="I122" s="75">
        <v>100</v>
      </c>
      <c r="J122" s="154">
        <v>655</v>
      </c>
      <c r="K122" s="154">
        <v>105</v>
      </c>
      <c r="L122" s="155">
        <v>647</v>
      </c>
      <c r="M122" s="83">
        <v>29789.200000000001</v>
      </c>
      <c r="N122" s="83">
        <v>28303.8</v>
      </c>
      <c r="O122" s="83">
        <v>30582.3</v>
      </c>
      <c r="P122" s="83">
        <v>29010.1</v>
      </c>
      <c r="Q122" s="83">
        <v>29587.9</v>
      </c>
      <c r="R122" s="83">
        <v>28081.9</v>
      </c>
      <c r="S122" s="83">
        <v>30248.400000000001</v>
      </c>
      <c r="T122" s="83">
        <v>29002.7</v>
      </c>
      <c r="U122" s="83">
        <v>30453.599999999999</v>
      </c>
      <c r="V122" s="83">
        <v>28886.400000000001</v>
      </c>
      <c r="X122" s="27">
        <f>Table25[[#This Row],[HDC1]]/Table25[[#This Row],[HCC1]]</f>
        <v>0.95013629100479369</v>
      </c>
      <c r="Y122" s="27">
        <f>Table25[[#This Row],[HDC2]]/Table25[[#This Row],[HCC2]]</f>
        <v>0.94859117855753161</v>
      </c>
      <c r="Z122" s="27">
        <f>Table25[[#This Row],[HDC3]]/Table25[[#This Row],[HCC3]]</f>
        <v>0.94910081486012865</v>
      </c>
      <c r="AA122" s="27">
        <f>Table25[[#This Row],[HDC4]]/Table25[[#This Row],[HCC4]]</f>
        <v>0.95881765647108608</v>
      </c>
      <c r="AB122" s="27">
        <f>Table25[[#This Row],[HDC5]]/Table25[[#This Row],[HCC5]]</f>
        <v>0.94853810386949333</v>
      </c>
      <c r="AF122">
        <f>SUM(Table25[[#This Row],[CC1]:[DC1]])</f>
        <v>750</v>
      </c>
      <c r="AG122">
        <f>SUM(Table25[[#This Row],[CC2]:[DC2]])</f>
        <v>751</v>
      </c>
      <c r="AH122">
        <f>SUM(Table25[[#This Row],[CC3]:[DC3]])</f>
        <v>755</v>
      </c>
      <c r="AI122">
        <f>SUM(Table25[[#This Row],[CC4]:[DC4]])</f>
        <v>755</v>
      </c>
      <c r="AJ122">
        <f>SUM(Table25[[#This Row],[CC5]:[DC5]])</f>
        <v>752</v>
      </c>
    </row>
    <row r="123" spans="1:36" ht="15">
      <c r="A123" t="s">
        <v>253</v>
      </c>
      <c r="B123" s="85" t="s">
        <v>536</v>
      </c>
      <c r="C123" s="126">
        <v>101</v>
      </c>
      <c r="D123" s="75">
        <v>650</v>
      </c>
      <c r="E123" s="75">
        <v>101</v>
      </c>
      <c r="F123" s="75">
        <v>649</v>
      </c>
      <c r="G123" s="75">
        <v>100</v>
      </c>
      <c r="H123" s="75">
        <v>653</v>
      </c>
      <c r="I123" s="75">
        <v>102</v>
      </c>
      <c r="J123" s="154">
        <v>649</v>
      </c>
      <c r="K123" s="154">
        <v>104</v>
      </c>
      <c r="L123" s="155">
        <v>650</v>
      </c>
      <c r="M123" s="83">
        <v>29765</v>
      </c>
      <c r="N123" s="83">
        <v>28185</v>
      </c>
      <c r="O123" s="83">
        <v>28507.1</v>
      </c>
      <c r="P123" s="83">
        <v>27336.400000000001</v>
      </c>
      <c r="Q123" s="83">
        <v>29791.200000000001</v>
      </c>
      <c r="R123" s="83">
        <v>28162.9</v>
      </c>
      <c r="S123" s="83">
        <v>29130.799999999999</v>
      </c>
      <c r="T123" s="83">
        <v>27580.7</v>
      </c>
      <c r="U123" s="83">
        <v>29616.2</v>
      </c>
      <c r="V123" s="83">
        <v>28057.9</v>
      </c>
      <c r="X123" s="27">
        <f>Table25[[#This Row],[HDC1]]/Table25[[#This Row],[HCC1]]</f>
        <v>0.94691752057785994</v>
      </c>
      <c r="Y123" s="27">
        <f>Table25[[#This Row],[HDC2]]/Table25[[#This Row],[HCC2]]</f>
        <v>0.95893303773445926</v>
      </c>
      <c r="Z123" s="27">
        <f>Table25[[#This Row],[HDC3]]/Table25[[#This Row],[HCC3]]</f>
        <v>0.94534292005692955</v>
      </c>
      <c r="AA123" s="27">
        <f>Table25[[#This Row],[HDC4]]/Table25[[#This Row],[HCC4]]</f>
        <v>0.9467882790723221</v>
      </c>
      <c r="AB123" s="27">
        <f>Table25[[#This Row],[HDC5]]/Table25[[#This Row],[HCC5]]</f>
        <v>0.94738352658342395</v>
      </c>
      <c r="AF123">
        <f>SUM(Table25[[#This Row],[CC1]:[DC1]])</f>
        <v>751</v>
      </c>
      <c r="AG123">
        <f>SUM(Table25[[#This Row],[CC2]:[DC2]])</f>
        <v>750</v>
      </c>
      <c r="AH123">
        <f>SUM(Table25[[#This Row],[CC3]:[DC3]])</f>
        <v>753</v>
      </c>
      <c r="AI123">
        <f>SUM(Table25[[#This Row],[CC4]:[DC4]])</f>
        <v>751</v>
      </c>
      <c r="AJ123">
        <f>SUM(Table25[[#This Row],[CC5]:[DC5]])</f>
        <v>754</v>
      </c>
    </row>
    <row r="124" spans="1:36" ht="15">
      <c r="A124" t="s">
        <v>254</v>
      </c>
      <c r="B124" s="85" t="s">
        <v>537</v>
      </c>
      <c r="C124" s="126">
        <v>99</v>
      </c>
      <c r="D124" s="75">
        <v>653</v>
      </c>
      <c r="E124" s="75">
        <v>99</v>
      </c>
      <c r="F124" s="75">
        <v>655</v>
      </c>
      <c r="G124" s="75">
        <v>102</v>
      </c>
      <c r="H124" s="75">
        <v>653</v>
      </c>
      <c r="I124" s="75">
        <v>101</v>
      </c>
      <c r="J124" s="154">
        <v>654</v>
      </c>
      <c r="K124" s="154">
        <v>102</v>
      </c>
      <c r="L124" s="155">
        <v>650</v>
      </c>
      <c r="M124" s="83">
        <v>29819.599999999999</v>
      </c>
      <c r="N124" s="83">
        <v>28807.8</v>
      </c>
      <c r="O124" s="83">
        <v>30920.400000000001</v>
      </c>
      <c r="P124" s="83">
        <v>29201.3</v>
      </c>
      <c r="Q124" s="83">
        <v>30035.1</v>
      </c>
      <c r="R124" s="83">
        <v>28403.599999999999</v>
      </c>
      <c r="S124" s="83">
        <v>30110.9</v>
      </c>
      <c r="T124" s="83">
        <v>28452.5</v>
      </c>
      <c r="U124" s="83">
        <v>30860</v>
      </c>
      <c r="V124" s="83">
        <v>29153</v>
      </c>
      <c r="X124" s="27">
        <f>Table25[[#This Row],[HDC1]]/Table25[[#This Row],[HCC1]]</f>
        <v>0.96606929670418118</v>
      </c>
      <c r="Y124" s="27">
        <f>Table25[[#This Row],[HDC2]]/Table25[[#This Row],[HCC2]]</f>
        <v>0.94440240100386796</v>
      </c>
      <c r="Z124" s="27">
        <f>Table25[[#This Row],[HDC3]]/Table25[[#This Row],[HCC3]]</f>
        <v>0.94568022080832093</v>
      </c>
      <c r="AA124" s="27">
        <f>Table25[[#This Row],[HDC4]]/Table25[[#This Row],[HCC4]]</f>
        <v>0.94492359909534418</v>
      </c>
      <c r="AB124" s="27">
        <f>Table25[[#This Row],[HDC5]]/Table25[[#This Row],[HCC5]]</f>
        <v>0.94468567725210628</v>
      </c>
      <c r="AF124">
        <f>SUM(Table25[[#This Row],[CC1]:[DC1]])</f>
        <v>752</v>
      </c>
      <c r="AG124">
        <f>SUM(Table25[[#This Row],[CC2]:[DC2]])</f>
        <v>754</v>
      </c>
      <c r="AH124">
        <f>SUM(Table25[[#This Row],[CC3]:[DC3]])</f>
        <v>755</v>
      </c>
      <c r="AI124">
        <f>SUM(Table25[[#This Row],[CC4]:[DC4]])</f>
        <v>755</v>
      </c>
      <c r="AJ124">
        <f>SUM(Table25[[#This Row],[CC5]:[DC5]])</f>
        <v>752</v>
      </c>
    </row>
    <row r="125" spans="1:36" ht="15">
      <c r="A125" t="s">
        <v>255</v>
      </c>
      <c r="B125" s="85" t="s">
        <v>538</v>
      </c>
      <c r="C125" s="126">
        <v>102</v>
      </c>
      <c r="D125" s="75">
        <v>651</v>
      </c>
      <c r="E125" s="75">
        <v>99</v>
      </c>
      <c r="F125" s="75">
        <v>657</v>
      </c>
      <c r="G125" s="75">
        <v>103</v>
      </c>
      <c r="H125" s="75">
        <v>648</v>
      </c>
      <c r="I125" s="75">
        <v>102</v>
      </c>
      <c r="J125" s="154">
        <v>645</v>
      </c>
      <c r="K125" s="154">
        <v>104</v>
      </c>
      <c r="L125" s="155">
        <v>645</v>
      </c>
      <c r="M125" s="83">
        <v>29065.599999999999</v>
      </c>
      <c r="N125" s="83">
        <v>27545.8</v>
      </c>
      <c r="O125" s="83">
        <v>21605.200000000001</v>
      </c>
      <c r="P125" s="83">
        <v>20754.8</v>
      </c>
      <c r="Q125" s="83">
        <v>28928.3</v>
      </c>
      <c r="R125" s="83">
        <v>27705.3</v>
      </c>
      <c r="S125" s="83">
        <v>29423</v>
      </c>
      <c r="T125" s="83">
        <v>27873.3</v>
      </c>
      <c r="U125" s="83">
        <v>28516.6</v>
      </c>
      <c r="V125" s="83">
        <v>27291.8</v>
      </c>
      <c r="X125" s="27">
        <f>Table25[[#This Row],[HDC1]]/Table25[[#This Row],[HCC1]]</f>
        <v>0.94771138390399645</v>
      </c>
      <c r="Y125" s="27">
        <f>Table25[[#This Row],[HDC2]]/Table25[[#This Row],[HCC2]]</f>
        <v>0.96063910540055164</v>
      </c>
      <c r="Z125" s="27">
        <f>Table25[[#This Row],[HDC3]]/Table25[[#This Row],[HCC3]]</f>
        <v>0.95772306011760111</v>
      </c>
      <c r="AA125" s="27">
        <f>Table25[[#This Row],[HDC4]]/Table25[[#This Row],[HCC4]]</f>
        <v>0.94733031981782956</v>
      </c>
      <c r="AB125" s="27">
        <f>Table25[[#This Row],[HDC5]]/Table25[[#This Row],[HCC5]]</f>
        <v>0.95704957814045155</v>
      </c>
      <c r="AF125">
        <f>SUM(Table25[[#This Row],[CC1]:[DC1]])</f>
        <v>753</v>
      </c>
      <c r="AG125">
        <f>SUM(Table25[[#This Row],[CC2]:[DC2]])</f>
        <v>756</v>
      </c>
      <c r="AH125">
        <f>SUM(Table25[[#This Row],[CC3]:[DC3]])</f>
        <v>751</v>
      </c>
      <c r="AI125">
        <f>SUM(Table25[[#This Row],[CC4]:[DC4]])</f>
        <v>747</v>
      </c>
      <c r="AJ125">
        <f>SUM(Table25[[#This Row],[CC5]:[DC5]])</f>
        <v>749</v>
      </c>
    </row>
    <row r="126" spans="1:36" ht="15">
      <c r="A126" t="s">
        <v>256</v>
      </c>
      <c r="B126" s="85" t="s">
        <v>539</v>
      </c>
      <c r="C126" s="126">
        <v>98</v>
      </c>
      <c r="D126" s="75">
        <v>654</v>
      </c>
      <c r="E126" s="75">
        <v>98</v>
      </c>
      <c r="F126" s="75">
        <v>658</v>
      </c>
      <c r="G126" s="75">
        <v>99</v>
      </c>
      <c r="H126" s="75">
        <v>656</v>
      </c>
      <c r="I126" s="75">
        <v>99</v>
      </c>
      <c r="J126" s="154">
        <v>654</v>
      </c>
      <c r="K126" s="154">
        <v>103</v>
      </c>
      <c r="L126" s="155">
        <v>645</v>
      </c>
      <c r="M126" s="83">
        <v>20649.8</v>
      </c>
      <c r="N126" s="83">
        <v>19314.599999999999</v>
      </c>
      <c r="O126" s="83">
        <v>16785.900000000001</v>
      </c>
      <c r="P126" s="83">
        <v>16094.4</v>
      </c>
      <c r="Q126" s="83">
        <v>20722.5</v>
      </c>
      <c r="R126" s="83">
        <v>19401.599999999999</v>
      </c>
      <c r="S126" s="83">
        <v>20526.900000000001</v>
      </c>
      <c r="T126" s="83">
        <v>19235.7</v>
      </c>
      <c r="U126" s="83">
        <v>20355.5</v>
      </c>
      <c r="V126" s="83">
        <v>19029.2</v>
      </c>
      <c r="X126" s="27">
        <f>Table25[[#This Row],[HDC1]]/Table25[[#This Row],[HCC1]]</f>
        <v>0.93534077811891636</v>
      </c>
      <c r="Y126" s="27">
        <f>Table25[[#This Row],[HDC2]]/Table25[[#This Row],[HCC2]]</f>
        <v>0.95880471109681331</v>
      </c>
      <c r="Z126" s="27">
        <f>Table25[[#This Row],[HDC3]]/Table25[[#This Row],[HCC3]]</f>
        <v>0.93625769091567135</v>
      </c>
      <c r="AA126" s="27">
        <f>Table25[[#This Row],[HDC4]]/Table25[[#This Row],[HCC4]]</f>
        <v>0.93709717492655975</v>
      </c>
      <c r="AB126" s="27">
        <f>Table25[[#This Row],[HDC5]]/Table25[[#This Row],[HCC5]]</f>
        <v>0.93484316278155788</v>
      </c>
      <c r="AF126">
        <f>SUM(Table25[[#This Row],[CC1]:[DC1]])</f>
        <v>752</v>
      </c>
      <c r="AG126">
        <f>SUM(Table25[[#This Row],[CC2]:[DC2]])</f>
        <v>756</v>
      </c>
      <c r="AH126">
        <f>SUM(Table25[[#This Row],[CC3]:[DC3]])</f>
        <v>755</v>
      </c>
      <c r="AI126">
        <f>SUM(Table25[[#This Row],[CC4]:[DC4]])</f>
        <v>753</v>
      </c>
      <c r="AJ126">
        <f>SUM(Table25[[#This Row],[CC5]:[DC5]])</f>
        <v>748</v>
      </c>
    </row>
    <row r="127" spans="1:36" ht="15">
      <c r="A127" t="s">
        <v>257</v>
      </c>
      <c r="B127" s="85" t="s">
        <v>540</v>
      </c>
      <c r="C127" s="126">
        <v>72</v>
      </c>
      <c r="D127" s="75">
        <v>685</v>
      </c>
      <c r="E127" s="75">
        <v>82</v>
      </c>
      <c r="F127" s="75">
        <v>679</v>
      </c>
      <c r="G127" s="75">
        <v>85</v>
      </c>
      <c r="H127" s="75">
        <v>672</v>
      </c>
      <c r="I127" s="75">
        <v>80</v>
      </c>
      <c r="J127" s="154">
        <v>678</v>
      </c>
      <c r="K127" s="154">
        <v>83</v>
      </c>
      <c r="L127" s="155">
        <v>674</v>
      </c>
      <c r="M127" s="83">
        <v>29843.9</v>
      </c>
      <c r="N127" s="83">
        <v>28305.7</v>
      </c>
      <c r="O127" s="83">
        <v>26159</v>
      </c>
      <c r="P127" s="83">
        <v>24997.9</v>
      </c>
      <c r="Q127" s="83">
        <v>29401.1</v>
      </c>
      <c r="R127" s="83">
        <v>27853.4</v>
      </c>
      <c r="S127" s="83">
        <v>16247.4</v>
      </c>
      <c r="T127" s="83">
        <v>15321.1</v>
      </c>
      <c r="U127" s="83">
        <v>29437.599999999999</v>
      </c>
      <c r="V127" s="83">
        <v>27872.2</v>
      </c>
      <c r="X127" s="27">
        <f>Table25[[#This Row],[HDC1]]/Table25[[#This Row],[HCC1]]</f>
        <v>0.94845847895214763</v>
      </c>
      <c r="Y127" s="27">
        <f>Table25[[#This Row],[HDC2]]/Table25[[#This Row],[HCC2]]</f>
        <v>0.9556137467028557</v>
      </c>
      <c r="Z127" s="27">
        <f>Table25[[#This Row],[HDC3]]/Table25[[#This Row],[HCC3]]</f>
        <v>0.94735911241416149</v>
      </c>
      <c r="AA127" s="27">
        <f>Table25[[#This Row],[HDC4]]/Table25[[#This Row],[HCC4]]</f>
        <v>0.94298780112510316</v>
      </c>
      <c r="AB127" s="27">
        <f>Table25[[#This Row],[HDC5]]/Table25[[#This Row],[HCC5]]</f>
        <v>0.94682311057966684</v>
      </c>
      <c r="AF127">
        <f>SUM(Table25[[#This Row],[CC1]:[DC1]])</f>
        <v>757</v>
      </c>
      <c r="AG127">
        <f>SUM(Table25[[#This Row],[CC2]:[DC2]])</f>
        <v>761</v>
      </c>
      <c r="AH127">
        <f>SUM(Table25[[#This Row],[CC3]:[DC3]])</f>
        <v>757</v>
      </c>
      <c r="AI127">
        <f>SUM(Table25[[#This Row],[CC4]:[DC4]])</f>
        <v>758</v>
      </c>
      <c r="AJ127">
        <f>SUM(Table25[[#This Row],[CC5]:[DC5]])</f>
        <v>757</v>
      </c>
    </row>
    <row r="128" spans="1:36" ht="15">
      <c r="A128" t="s">
        <v>258</v>
      </c>
      <c r="B128" s="85" t="s">
        <v>541</v>
      </c>
      <c r="C128" s="126">
        <v>101</v>
      </c>
      <c r="D128" s="75">
        <v>690</v>
      </c>
      <c r="E128" s="75">
        <v>105</v>
      </c>
      <c r="F128" s="75">
        <v>685</v>
      </c>
      <c r="G128" s="75">
        <v>107</v>
      </c>
      <c r="H128" s="75">
        <v>680</v>
      </c>
      <c r="I128" s="75">
        <v>104</v>
      </c>
      <c r="J128" s="154">
        <v>687</v>
      </c>
      <c r="K128" s="154">
        <v>104</v>
      </c>
      <c r="L128" s="155">
        <v>687</v>
      </c>
      <c r="M128" s="83">
        <v>32731.8</v>
      </c>
      <c r="N128" s="83">
        <v>31017</v>
      </c>
      <c r="O128" s="83">
        <v>32261.9</v>
      </c>
      <c r="P128" s="83">
        <v>30593.8</v>
      </c>
      <c r="Q128" s="83">
        <v>21063.4</v>
      </c>
      <c r="R128" s="83">
        <v>20096.3</v>
      </c>
      <c r="S128" s="83">
        <v>32426.799999999999</v>
      </c>
      <c r="T128" s="83">
        <v>30672.5</v>
      </c>
      <c r="U128" s="83">
        <v>32006.9</v>
      </c>
      <c r="V128" s="83">
        <v>30680.2</v>
      </c>
      <c r="X128" s="27">
        <f>Table25[[#This Row],[HDC1]]/Table25[[#This Row],[HCC1]]</f>
        <v>0.94761058053635916</v>
      </c>
      <c r="Y128" s="27">
        <f>Table25[[#This Row],[HDC2]]/Table25[[#This Row],[HCC2]]</f>
        <v>0.94829504771882611</v>
      </c>
      <c r="Z128" s="27">
        <f>Table25[[#This Row],[HDC3]]/Table25[[#This Row],[HCC3]]</f>
        <v>0.9540862348908532</v>
      </c>
      <c r="AA128" s="27">
        <f>Table25[[#This Row],[HDC4]]/Table25[[#This Row],[HCC4]]</f>
        <v>0.94589968791246748</v>
      </c>
      <c r="AB128" s="27">
        <f>Table25[[#This Row],[HDC5]]/Table25[[#This Row],[HCC5]]</f>
        <v>0.95854956275053194</v>
      </c>
      <c r="AF128">
        <f>SUM(Table25[[#This Row],[CC1]:[DC1]])</f>
        <v>791</v>
      </c>
      <c r="AG128">
        <f>SUM(Table25[[#This Row],[CC2]:[DC2]])</f>
        <v>790</v>
      </c>
      <c r="AH128">
        <f>SUM(Table25[[#This Row],[CC3]:[DC3]])</f>
        <v>787</v>
      </c>
      <c r="AI128">
        <f>SUM(Table25[[#This Row],[CC4]:[DC4]])</f>
        <v>791</v>
      </c>
      <c r="AJ128">
        <f>SUM(Table25[[#This Row],[CC5]:[DC5]])</f>
        <v>791</v>
      </c>
    </row>
    <row r="129" spans="1:36" ht="15">
      <c r="A129" t="s">
        <v>259</v>
      </c>
      <c r="B129" s="85" t="s">
        <v>542</v>
      </c>
      <c r="C129" s="126">
        <v>99</v>
      </c>
      <c r="D129" s="75">
        <v>684</v>
      </c>
      <c r="E129" s="75">
        <v>99</v>
      </c>
      <c r="F129" s="75">
        <v>682</v>
      </c>
      <c r="G129" s="75">
        <v>101</v>
      </c>
      <c r="H129" s="75">
        <v>654</v>
      </c>
      <c r="I129" s="75">
        <v>102</v>
      </c>
      <c r="J129" s="154">
        <v>680</v>
      </c>
      <c r="K129" s="154">
        <v>104</v>
      </c>
      <c r="L129" s="155">
        <v>678</v>
      </c>
      <c r="M129" s="83">
        <v>26782.7</v>
      </c>
      <c r="N129" s="83">
        <v>25646.9</v>
      </c>
      <c r="O129" s="83">
        <v>26554.5</v>
      </c>
      <c r="P129" s="83">
        <v>25439.8</v>
      </c>
      <c r="Q129" s="83">
        <v>29866.3</v>
      </c>
      <c r="R129" s="83">
        <v>28303.599999999999</v>
      </c>
      <c r="S129" s="83">
        <v>29784.2</v>
      </c>
      <c r="T129" s="83">
        <v>28140.7</v>
      </c>
      <c r="U129" s="83">
        <v>29084.9</v>
      </c>
      <c r="V129" s="83">
        <v>27523.5</v>
      </c>
      <c r="X129" s="27">
        <f>Table25[[#This Row],[HDC1]]/Table25[[#This Row],[HCC1]]</f>
        <v>0.95759202768951601</v>
      </c>
      <c r="Y129" s="27">
        <f>Table25[[#This Row],[HDC2]]/Table25[[#This Row],[HCC2]]</f>
        <v>0.95802218079798152</v>
      </c>
      <c r="Z129" s="27">
        <f>Table25[[#This Row],[HDC3]]/Table25[[#This Row],[HCC3]]</f>
        <v>0.94767681299658812</v>
      </c>
      <c r="AA129" s="27">
        <f>Table25[[#This Row],[HDC4]]/Table25[[#This Row],[HCC4]]</f>
        <v>0.94481973663888907</v>
      </c>
      <c r="AB129" s="27">
        <f>Table25[[#This Row],[HDC5]]/Table25[[#This Row],[HCC5]]</f>
        <v>0.94631578585451548</v>
      </c>
      <c r="AF129">
        <f>SUM(Table25[[#This Row],[CC1]:[DC1]])</f>
        <v>783</v>
      </c>
      <c r="AG129">
        <f>SUM(Table25[[#This Row],[CC2]:[DC2]])</f>
        <v>781</v>
      </c>
      <c r="AH129">
        <f>SUM(Table25[[#This Row],[CC3]:[DC3]])</f>
        <v>755</v>
      </c>
      <c r="AI129">
        <f>SUM(Table25[[#This Row],[CC4]:[DC4]])</f>
        <v>782</v>
      </c>
      <c r="AJ129">
        <f>SUM(Table25[[#This Row],[CC5]:[DC5]])</f>
        <v>782</v>
      </c>
    </row>
    <row r="130" spans="1:36" ht="15">
      <c r="A130" t="s">
        <v>260</v>
      </c>
      <c r="B130" s="85" t="s">
        <v>543</v>
      </c>
      <c r="C130" s="126">
        <v>99</v>
      </c>
      <c r="D130" s="75">
        <v>660</v>
      </c>
      <c r="E130" s="75">
        <v>100</v>
      </c>
      <c r="F130" s="75">
        <v>658</v>
      </c>
      <c r="G130" s="75">
        <v>101</v>
      </c>
      <c r="H130" s="75">
        <v>657</v>
      </c>
      <c r="I130" s="75">
        <v>100</v>
      </c>
      <c r="J130" s="154">
        <v>658</v>
      </c>
      <c r="K130" s="154">
        <v>100</v>
      </c>
      <c r="L130" s="155">
        <v>658</v>
      </c>
      <c r="M130" s="83">
        <v>26663.200000000001</v>
      </c>
      <c r="N130" s="83">
        <v>25582.3</v>
      </c>
      <c r="O130" s="83">
        <v>26254.9</v>
      </c>
      <c r="P130" s="83">
        <v>25199.200000000001</v>
      </c>
      <c r="Q130" s="83">
        <v>26127.3</v>
      </c>
      <c r="R130" s="83">
        <v>25045.599999999999</v>
      </c>
      <c r="S130" s="83">
        <v>30030.2</v>
      </c>
      <c r="T130" s="83">
        <v>28510.799999999999</v>
      </c>
      <c r="U130" s="83">
        <v>25730.3</v>
      </c>
      <c r="V130" s="83">
        <v>24698.7</v>
      </c>
      <c r="X130" s="27">
        <f>Table25[[#This Row],[HDC1]]/Table25[[#This Row],[HCC1]]</f>
        <v>0.95946097992739054</v>
      </c>
      <c r="Y130" s="27">
        <f>Table25[[#This Row],[HDC2]]/Table25[[#This Row],[HCC2]]</f>
        <v>0.95979036294177467</v>
      </c>
      <c r="Z130" s="27">
        <f>Table25[[#This Row],[HDC3]]/Table25[[#This Row],[HCC3]]</f>
        <v>0.95859886019604013</v>
      </c>
      <c r="AA130" s="27">
        <f>Table25[[#This Row],[HDC4]]/Table25[[#This Row],[HCC4]]</f>
        <v>0.94940426637185227</v>
      </c>
      <c r="AB130" s="27">
        <f>Table25[[#This Row],[HDC5]]/Table25[[#This Row],[HCC5]]</f>
        <v>0.95990719113263356</v>
      </c>
      <c r="AF130">
        <f>SUM(Table25[[#This Row],[CC1]:[DC1]])</f>
        <v>759</v>
      </c>
      <c r="AG130">
        <f>SUM(Table25[[#This Row],[CC2]:[DC2]])</f>
        <v>758</v>
      </c>
      <c r="AH130">
        <f>SUM(Table25[[#This Row],[CC3]:[DC3]])</f>
        <v>758</v>
      </c>
      <c r="AI130">
        <f>SUM(Table25[[#This Row],[CC4]:[DC4]])</f>
        <v>758</v>
      </c>
      <c r="AJ130">
        <f>SUM(Table25[[#This Row],[CC5]:[DC5]])</f>
        <v>758</v>
      </c>
    </row>
    <row r="131" spans="1:36" ht="15">
      <c r="A131" t="s">
        <v>261</v>
      </c>
      <c r="B131" s="85" t="s">
        <v>544</v>
      </c>
      <c r="C131" s="126">
        <v>100</v>
      </c>
      <c r="D131" s="75">
        <v>657</v>
      </c>
      <c r="E131" s="75">
        <v>99</v>
      </c>
      <c r="F131" s="75">
        <v>657</v>
      </c>
      <c r="G131" s="75">
        <v>100</v>
      </c>
      <c r="H131" s="75">
        <v>655</v>
      </c>
      <c r="I131" s="75">
        <v>101</v>
      </c>
      <c r="J131" s="154">
        <v>655</v>
      </c>
      <c r="K131" s="154">
        <v>101</v>
      </c>
      <c r="L131" s="155">
        <v>654</v>
      </c>
      <c r="M131" s="83">
        <v>25970.6</v>
      </c>
      <c r="N131" s="83">
        <v>24923.599999999999</v>
      </c>
      <c r="O131" s="83">
        <v>28958.5</v>
      </c>
      <c r="P131" s="83">
        <v>27370.9</v>
      </c>
      <c r="Q131" s="83">
        <v>29392.2</v>
      </c>
      <c r="R131" s="83">
        <v>27778.6</v>
      </c>
      <c r="S131" s="83">
        <v>29381.9</v>
      </c>
      <c r="T131" s="83">
        <v>27814.2</v>
      </c>
      <c r="U131" s="83">
        <v>29446.400000000001</v>
      </c>
      <c r="V131" s="83">
        <v>27799.5</v>
      </c>
      <c r="X131" s="27">
        <f>Table25[[#This Row],[HDC1]]/Table25[[#This Row],[HCC1]]</f>
        <v>0.95968518247556855</v>
      </c>
      <c r="Y131" s="27">
        <f>Table25[[#This Row],[HDC2]]/Table25[[#This Row],[HCC2]]</f>
        <v>0.94517671840737616</v>
      </c>
      <c r="Z131" s="27">
        <f>Table25[[#This Row],[HDC3]]/Table25[[#This Row],[HCC3]]</f>
        <v>0.9451010812392403</v>
      </c>
      <c r="AA131" s="27">
        <f>Table25[[#This Row],[HDC4]]/Table25[[#This Row],[HCC4]]</f>
        <v>0.94664402234028433</v>
      </c>
      <c r="AB131" s="27">
        <f>Table25[[#This Row],[HDC5]]/Table25[[#This Row],[HCC5]]</f>
        <v>0.94407126168224298</v>
      </c>
      <c r="AF131">
        <f>SUM(Table25[[#This Row],[CC1]:[DC1]])</f>
        <v>757</v>
      </c>
      <c r="AG131">
        <f>SUM(Table25[[#This Row],[CC2]:[DC2]])</f>
        <v>756</v>
      </c>
      <c r="AH131">
        <f>SUM(Table25[[#This Row],[CC3]:[DC3]])</f>
        <v>755</v>
      </c>
      <c r="AI131">
        <f>SUM(Table25[[#This Row],[CC4]:[DC4]])</f>
        <v>756</v>
      </c>
      <c r="AJ131">
        <f>SUM(Table25[[#This Row],[CC5]:[DC5]])</f>
        <v>755</v>
      </c>
    </row>
    <row r="132" spans="1:36" ht="15">
      <c r="A132" t="s">
        <v>262</v>
      </c>
      <c r="B132" s="85" t="s">
        <v>545</v>
      </c>
      <c r="C132" s="126">
        <v>100</v>
      </c>
      <c r="D132" s="75">
        <v>657</v>
      </c>
      <c r="E132" s="75">
        <v>101</v>
      </c>
      <c r="F132" s="75">
        <v>657</v>
      </c>
      <c r="G132" s="75">
        <v>99</v>
      </c>
      <c r="H132" s="75">
        <v>659</v>
      </c>
      <c r="I132" s="75">
        <v>101</v>
      </c>
      <c r="J132" s="154">
        <v>656</v>
      </c>
      <c r="K132" s="154">
        <v>101</v>
      </c>
      <c r="L132" s="155">
        <v>656</v>
      </c>
      <c r="M132" s="83">
        <v>26467.1</v>
      </c>
      <c r="N132" s="83">
        <v>24973.8</v>
      </c>
      <c r="O132" s="83">
        <v>26332.7</v>
      </c>
      <c r="P132" s="83">
        <v>24810.7</v>
      </c>
      <c r="Q132" s="83">
        <v>20964.599999999999</v>
      </c>
      <c r="R132" s="83">
        <v>20182</v>
      </c>
      <c r="S132" s="83">
        <v>20423</v>
      </c>
      <c r="T132" s="83">
        <v>19745.8</v>
      </c>
      <c r="U132" s="83">
        <v>26254.9</v>
      </c>
      <c r="V132" s="83">
        <v>24712.799999999999</v>
      </c>
      <c r="X132" s="27">
        <f>Table25[[#This Row],[HDC1]]/Table25[[#This Row],[HCC1]]</f>
        <v>0.94357900941168471</v>
      </c>
      <c r="Y132" s="27">
        <f>Table25[[#This Row],[HDC2]]/Table25[[#This Row],[HCC2]]</f>
        <v>0.9422011415464423</v>
      </c>
      <c r="Z132" s="27">
        <f>Table25[[#This Row],[HDC3]]/Table25[[#This Row],[HCC3]]</f>
        <v>0.96267040630396006</v>
      </c>
      <c r="AA132" s="27">
        <f>Table25[[#This Row],[HDC4]]/Table25[[#This Row],[HCC4]]</f>
        <v>0.96684130637026877</v>
      </c>
      <c r="AB132" s="27">
        <f>Table25[[#This Row],[HDC5]]/Table25[[#This Row],[HCC5]]</f>
        <v>0.94126429733116479</v>
      </c>
      <c r="AF132">
        <f>SUM(Table25[[#This Row],[CC1]:[DC1]])</f>
        <v>757</v>
      </c>
      <c r="AG132">
        <f>SUM(Table25[[#This Row],[CC2]:[DC2]])</f>
        <v>758</v>
      </c>
      <c r="AH132">
        <f>SUM(Table25[[#This Row],[CC3]:[DC3]])</f>
        <v>758</v>
      </c>
      <c r="AI132">
        <f>SUM(Table25[[#This Row],[CC4]:[DC4]])</f>
        <v>757</v>
      </c>
      <c r="AJ132">
        <f>SUM(Table25[[#This Row],[CC5]:[DC5]])</f>
        <v>757</v>
      </c>
    </row>
    <row r="133" spans="1:36" ht="15">
      <c r="A133" t="s">
        <v>263</v>
      </c>
      <c r="B133" s="85" t="s">
        <v>546</v>
      </c>
      <c r="C133" s="126">
        <v>98</v>
      </c>
      <c r="D133" s="75">
        <v>655</v>
      </c>
      <c r="E133" s="75">
        <v>105</v>
      </c>
      <c r="F133" s="75">
        <v>646</v>
      </c>
      <c r="G133" s="75">
        <v>101</v>
      </c>
      <c r="H133" s="75">
        <v>651</v>
      </c>
      <c r="I133" s="75">
        <v>102</v>
      </c>
      <c r="J133" s="154">
        <v>655</v>
      </c>
      <c r="K133" s="154">
        <v>98</v>
      </c>
      <c r="L133" s="155">
        <v>656</v>
      </c>
      <c r="M133" s="83">
        <v>29279</v>
      </c>
      <c r="N133" s="83">
        <v>27670.5</v>
      </c>
      <c r="O133" s="83">
        <v>29310.5</v>
      </c>
      <c r="P133" s="83">
        <v>27801.8</v>
      </c>
      <c r="Q133" s="83">
        <v>25916.400000000001</v>
      </c>
      <c r="R133" s="83">
        <v>24856.2</v>
      </c>
      <c r="S133" s="83">
        <v>25907.8</v>
      </c>
      <c r="T133" s="83">
        <v>24798.6</v>
      </c>
      <c r="U133" s="83">
        <v>26315.200000000001</v>
      </c>
      <c r="V133" s="83">
        <v>25226.9</v>
      </c>
      <c r="X133" s="27">
        <f>Table25[[#This Row],[HDC1]]/Table25[[#This Row],[HCC1]]</f>
        <v>0.94506301444721474</v>
      </c>
      <c r="Y133" s="27">
        <f>Table25[[#This Row],[HDC2]]/Table25[[#This Row],[HCC2]]</f>
        <v>0.94852697838658495</v>
      </c>
      <c r="Z133" s="27">
        <f>Table25[[#This Row],[HDC3]]/Table25[[#This Row],[HCC3]]</f>
        <v>0.95909154049173495</v>
      </c>
      <c r="AA133" s="27">
        <f>Table25[[#This Row],[HDC4]]/Table25[[#This Row],[HCC4]]</f>
        <v>0.95718663877287913</v>
      </c>
      <c r="AB133" s="27">
        <f>Table25[[#This Row],[HDC5]]/Table25[[#This Row],[HCC5]]</f>
        <v>0.95864367361828906</v>
      </c>
      <c r="AF133">
        <f>SUM(Table25[[#This Row],[CC1]:[DC1]])</f>
        <v>753</v>
      </c>
      <c r="AG133">
        <f>SUM(Table25[[#This Row],[CC2]:[DC2]])</f>
        <v>751</v>
      </c>
      <c r="AH133">
        <f>SUM(Table25[[#This Row],[CC3]:[DC3]])</f>
        <v>752</v>
      </c>
      <c r="AI133">
        <f>SUM(Table25[[#This Row],[CC4]:[DC4]])</f>
        <v>757</v>
      </c>
      <c r="AJ133">
        <f>SUM(Table25[[#This Row],[CC5]:[DC5]])</f>
        <v>754</v>
      </c>
    </row>
    <row r="134" spans="1:36" ht="15">
      <c r="A134" t="s">
        <v>264</v>
      </c>
      <c r="B134" s="85" t="s">
        <v>547</v>
      </c>
      <c r="C134" s="126">
        <v>102</v>
      </c>
      <c r="D134" s="75">
        <v>650</v>
      </c>
      <c r="E134" s="75">
        <v>102</v>
      </c>
      <c r="F134" s="75">
        <v>652</v>
      </c>
      <c r="G134" s="75">
        <v>100</v>
      </c>
      <c r="H134" s="75">
        <v>654</v>
      </c>
      <c r="I134" s="75">
        <v>102</v>
      </c>
      <c r="J134" s="154">
        <v>658</v>
      </c>
      <c r="K134" s="154">
        <v>101</v>
      </c>
      <c r="L134" s="155">
        <v>656</v>
      </c>
      <c r="M134" s="83">
        <v>26915.3</v>
      </c>
      <c r="N134" s="83">
        <v>25431.200000000001</v>
      </c>
      <c r="O134" s="83">
        <v>26950.799999999999</v>
      </c>
      <c r="P134" s="83">
        <v>25513.1</v>
      </c>
      <c r="Q134" s="83">
        <v>26954.2</v>
      </c>
      <c r="R134" s="83">
        <v>25469.4</v>
      </c>
      <c r="S134" s="83">
        <v>26631.599999999999</v>
      </c>
      <c r="T134" s="83">
        <v>25172.2</v>
      </c>
      <c r="U134" s="83">
        <v>26911.4</v>
      </c>
      <c r="V134" s="83">
        <v>25531.200000000001</v>
      </c>
      <c r="X134" s="27">
        <f>Table25[[#This Row],[HDC1]]/Table25[[#This Row],[HCC1]]</f>
        <v>0.94486035823490733</v>
      </c>
      <c r="Y134" s="27">
        <f>Table25[[#This Row],[HDC2]]/Table25[[#This Row],[HCC2]]</f>
        <v>0.94665464476008132</v>
      </c>
      <c r="Z134" s="27">
        <f>Table25[[#This Row],[HDC3]]/Table25[[#This Row],[HCC3]]</f>
        <v>0.9449139651705486</v>
      </c>
      <c r="AA134" s="27">
        <f>Table25[[#This Row],[HDC4]]/Table25[[#This Row],[HCC4]]</f>
        <v>0.94520043857672853</v>
      </c>
      <c r="AB134" s="27">
        <f>Table25[[#This Row],[HDC5]]/Table25[[#This Row],[HCC5]]</f>
        <v>0.94871318474698452</v>
      </c>
      <c r="AF134">
        <f>SUM(Table25[[#This Row],[CC1]:[DC1]])</f>
        <v>752</v>
      </c>
      <c r="AG134">
        <f>SUM(Table25[[#This Row],[CC2]:[DC2]])</f>
        <v>754</v>
      </c>
      <c r="AH134">
        <f>SUM(Table25[[#This Row],[CC3]:[DC3]])</f>
        <v>754</v>
      </c>
      <c r="AI134">
        <f>SUM(Table25[[#This Row],[CC4]:[DC4]])</f>
        <v>760</v>
      </c>
      <c r="AJ134">
        <f>SUM(Table25[[#This Row],[CC5]:[DC5]])</f>
        <v>757</v>
      </c>
    </row>
    <row r="135" spans="1:36" ht="15">
      <c r="A135" t="s">
        <v>265</v>
      </c>
      <c r="B135" s="85" t="s">
        <v>548</v>
      </c>
      <c r="C135" s="126">
        <v>100</v>
      </c>
      <c r="D135" s="75">
        <v>653</v>
      </c>
      <c r="E135" s="75">
        <v>103</v>
      </c>
      <c r="F135" s="75">
        <v>649</v>
      </c>
      <c r="G135" s="75">
        <v>98</v>
      </c>
      <c r="H135" s="75">
        <v>653</v>
      </c>
      <c r="I135" s="75">
        <v>98</v>
      </c>
      <c r="J135" s="154">
        <v>655</v>
      </c>
      <c r="K135" s="154">
        <v>103</v>
      </c>
      <c r="L135" s="155">
        <v>649</v>
      </c>
      <c r="M135" s="83">
        <v>26394.5</v>
      </c>
      <c r="N135" s="83">
        <v>24927.7</v>
      </c>
      <c r="O135" s="83">
        <v>26118</v>
      </c>
      <c r="P135" s="83">
        <v>24619.9</v>
      </c>
      <c r="Q135" s="83">
        <v>26571.1</v>
      </c>
      <c r="R135" s="83">
        <v>25055.4</v>
      </c>
      <c r="S135" s="83">
        <v>26103.8</v>
      </c>
      <c r="T135" s="83">
        <v>25006.400000000001</v>
      </c>
      <c r="U135" s="83">
        <v>26222.9</v>
      </c>
      <c r="V135" s="83">
        <v>24648.2</v>
      </c>
      <c r="X135" s="27">
        <f>Table25[[#This Row],[HDC1]]/Table25[[#This Row],[HCC1]]</f>
        <v>0.94442781640114426</v>
      </c>
      <c r="Y135" s="27">
        <f>Table25[[#This Row],[HDC2]]/Table25[[#This Row],[HCC2]]</f>
        <v>0.94264109043571487</v>
      </c>
      <c r="Z135" s="27">
        <f>Table25[[#This Row],[HDC3]]/Table25[[#This Row],[HCC3]]</f>
        <v>0.94295682150908333</v>
      </c>
      <c r="AA135" s="27">
        <f>Table25[[#This Row],[HDC4]]/Table25[[#This Row],[HCC4]]</f>
        <v>0.95796014373386262</v>
      </c>
      <c r="AB135" s="27">
        <f>Table25[[#This Row],[HDC5]]/Table25[[#This Row],[HCC5]]</f>
        <v>0.93994943351040505</v>
      </c>
      <c r="AF135">
        <f>SUM(Table25[[#This Row],[CC1]:[DC1]])</f>
        <v>753</v>
      </c>
      <c r="AG135">
        <f>SUM(Table25[[#This Row],[CC2]:[DC2]])</f>
        <v>752</v>
      </c>
      <c r="AH135">
        <f>SUM(Table25[[#This Row],[CC3]:[DC3]])</f>
        <v>751</v>
      </c>
      <c r="AI135">
        <f>SUM(Table25[[#This Row],[CC4]:[DC4]])</f>
        <v>753</v>
      </c>
      <c r="AJ135">
        <f>SUM(Table25[[#This Row],[CC5]:[DC5]])</f>
        <v>752</v>
      </c>
    </row>
    <row r="136" spans="1:36" ht="15">
      <c r="A136" t="s">
        <v>266</v>
      </c>
      <c r="B136" s="85" t="s">
        <v>549</v>
      </c>
      <c r="C136" s="126">
        <v>100</v>
      </c>
      <c r="D136" s="75">
        <v>673</v>
      </c>
      <c r="E136" s="75">
        <v>100</v>
      </c>
      <c r="F136" s="75">
        <v>664</v>
      </c>
      <c r="G136" s="75">
        <v>103</v>
      </c>
      <c r="H136" s="75">
        <v>657</v>
      </c>
      <c r="I136" s="75">
        <v>103</v>
      </c>
      <c r="J136" s="154">
        <v>665</v>
      </c>
      <c r="K136" s="154">
        <v>103</v>
      </c>
      <c r="L136" s="155">
        <v>660</v>
      </c>
      <c r="M136" s="83">
        <v>26684.6</v>
      </c>
      <c r="N136" s="83">
        <v>25069.8</v>
      </c>
      <c r="O136" s="83">
        <v>26514.400000000001</v>
      </c>
      <c r="P136" s="83">
        <v>24907</v>
      </c>
      <c r="Q136" s="83">
        <v>26112.6</v>
      </c>
      <c r="R136" s="83">
        <v>24573.4</v>
      </c>
      <c r="S136" s="83">
        <v>26435.7</v>
      </c>
      <c r="T136" s="83">
        <v>24911.3</v>
      </c>
      <c r="U136" s="83">
        <v>26421.200000000001</v>
      </c>
      <c r="V136" s="83">
        <v>24833.9</v>
      </c>
      <c r="X136" s="27">
        <f>Table25[[#This Row],[HDC1]]/Table25[[#This Row],[HCC1]]</f>
        <v>0.93948569586952779</v>
      </c>
      <c r="Y136" s="27">
        <f>Table25[[#This Row],[HDC2]]/Table25[[#This Row],[HCC2]]</f>
        <v>0.93937633889509087</v>
      </c>
      <c r="Z136" s="27">
        <f>Table25[[#This Row],[HDC3]]/Table25[[#This Row],[HCC3]]</f>
        <v>0.94105527599702832</v>
      </c>
      <c r="AA136" s="27">
        <f>Table25[[#This Row],[HDC4]]/Table25[[#This Row],[HCC4]]</f>
        <v>0.94233555381548428</v>
      </c>
      <c r="AB136" s="27">
        <f>Table25[[#This Row],[HDC5]]/Table25[[#This Row],[HCC5]]</f>
        <v>0.93992324345601264</v>
      </c>
      <c r="AF136">
        <f>SUM(Table25[[#This Row],[CC1]:[DC1]])</f>
        <v>773</v>
      </c>
      <c r="AG136">
        <f>SUM(Table25[[#This Row],[CC2]:[DC2]])</f>
        <v>764</v>
      </c>
      <c r="AH136">
        <f>SUM(Table25[[#This Row],[CC3]:[DC3]])</f>
        <v>760</v>
      </c>
      <c r="AI136">
        <f>SUM(Table25[[#This Row],[CC4]:[DC4]])</f>
        <v>768</v>
      </c>
      <c r="AJ136">
        <f>SUM(Table25[[#This Row],[CC5]:[DC5]])</f>
        <v>763</v>
      </c>
    </row>
    <row r="137" spans="1:36" ht="15">
      <c r="A137" t="s">
        <v>267</v>
      </c>
      <c r="B137" s="85" t="s">
        <v>550</v>
      </c>
      <c r="C137" s="126">
        <v>102</v>
      </c>
      <c r="D137" s="75">
        <v>653</v>
      </c>
      <c r="E137" s="75">
        <v>100</v>
      </c>
      <c r="F137" s="75">
        <v>656</v>
      </c>
      <c r="G137" s="75">
        <v>104</v>
      </c>
      <c r="H137" s="75">
        <v>652</v>
      </c>
      <c r="I137" s="75">
        <v>100</v>
      </c>
      <c r="J137" s="154">
        <v>658</v>
      </c>
      <c r="K137" s="154">
        <v>99</v>
      </c>
      <c r="L137" s="155">
        <v>655</v>
      </c>
      <c r="M137" s="83">
        <v>26514.3</v>
      </c>
      <c r="N137" s="83">
        <v>25033.200000000001</v>
      </c>
      <c r="O137" s="83">
        <v>26485.200000000001</v>
      </c>
      <c r="P137" s="83">
        <v>25029.5</v>
      </c>
      <c r="Q137" s="83">
        <v>26241.1</v>
      </c>
      <c r="R137" s="83">
        <v>24773.1</v>
      </c>
      <c r="S137" s="83">
        <v>26481.3</v>
      </c>
      <c r="T137" s="83">
        <v>25065.1</v>
      </c>
      <c r="U137" s="83">
        <v>26555.200000000001</v>
      </c>
      <c r="V137" s="83">
        <v>25031.3</v>
      </c>
      <c r="X137" s="27">
        <f>Table25[[#This Row],[HDC1]]/Table25[[#This Row],[HCC1]]</f>
        <v>0.94413957751100352</v>
      </c>
      <c r="Y137" s="27">
        <f>Table25[[#This Row],[HDC2]]/Table25[[#This Row],[HCC2]]</f>
        <v>0.94503722833884585</v>
      </c>
      <c r="Z137" s="27">
        <f>Table25[[#This Row],[HDC3]]/Table25[[#This Row],[HCC3]]</f>
        <v>0.94405722321091723</v>
      </c>
      <c r="AA137" s="27">
        <f>Table25[[#This Row],[HDC4]]/Table25[[#This Row],[HCC4]]</f>
        <v>0.94652075237998134</v>
      </c>
      <c r="AB137" s="27">
        <f>Table25[[#This Row],[HDC5]]/Table25[[#This Row],[HCC5]]</f>
        <v>0.942613876001687</v>
      </c>
      <c r="AF137">
        <f>SUM(Table25[[#This Row],[CC1]:[DC1]])</f>
        <v>755</v>
      </c>
      <c r="AG137">
        <f>SUM(Table25[[#This Row],[CC2]:[DC2]])</f>
        <v>756</v>
      </c>
      <c r="AH137">
        <f>SUM(Table25[[#This Row],[CC3]:[DC3]])</f>
        <v>756</v>
      </c>
      <c r="AI137">
        <f>SUM(Table25[[#This Row],[CC4]:[DC4]])</f>
        <v>758</v>
      </c>
      <c r="AJ137">
        <f>SUM(Table25[[#This Row],[CC5]:[DC5]])</f>
        <v>754</v>
      </c>
    </row>
    <row r="138" spans="1:36" ht="15">
      <c r="A138" t="s">
        <v>268</v>
      </c>
      <c r="B138" s="85" t="s">
        <v>551</v>
      </c>
      <c r="C138" s="126">
        <v>100</v>
      </c>
      <c r="D138" s="75">
        <v>648</v>
      </c>
      <c r="E138" s="75">
        <v>105</v>
      </c>
      <c r="F138" s="75">
        <v>646</v>
      </c>
      <c r="G138" s="75">
        <v>100</v>
      </c>
      <c r="H138" s="75">
        <v>653</v>
      </c>
      <c r="I138" s="75">
        <v>101</v>
      </c>
      <c r="J138" s="154">
        <v>653</v>
      </c>
      <c r="K138" s="154">
        <v>99</v>
      </c>
      <c r="L138" s="155">
        <v>651</v>
      </c>
      <c r="M138" s="83">
        <v>25831.1</v>
      </c>
      <c r="N138" s="83">
        <v>24757.8</v>
      </c>
      <c r="O138" s="83">
        <v>29020.400000000001</v>
      </c>
      <c r="P138" s="83">
        <v>27426.5</v>
      </c>
      <c r="Q138" s="83">
        <v>29324.799999999999</v>
      </c>
      <c r="R138" s="83">
        <v>27708.799999999999</v>
      </c>
      <c r="S138" s="83">
        <v>29226.2</v>
      </c>
      <c r="T138" s="83">
        <v>27674.3</v>
      </c>
      <c r="U138" s="83">
        <v>29568.5</v>
      </c>
      <c r="V138" s="83">
        <v>27982.9</v>
      </c>
      <c r="X138" s="27">
        <f>Table25[[#This Row],[HDC1]]/Table25[[#This Row],[HCC1]]</f>
        <v>0.95844931110173404</v>
      </c>
      <c r="Y138" s="27">
        <f>Table25[[#This Row],[HDC2]]/Table25[[#This Row],[HCC2]]</f>
        <v>0.94507656682885133</v>
      </c>
      <c r="Z138" s="27">
        <f>Table25[[#This Row],[HDC3]]/Table25[[#This Row],[HCC3]]</f>
        <v>0.94489305979921434</v>
      </c>
      <c r="AA138" s="27">
        <f>Table25[[#This Row],[HDC4]]/Table25[[#This Row],[HCC4]]</f>
        <v>0.94690038390211517</v>
      </c>
      <c r="AB138" s="27">
        <f>Table25[[#This Row],[HDC5]]/Table25[[#This Row],[HCC5]]</f>
        <v>0.94637536567631098</v>
      </c>
      <c r="AF138">
        <f>SUM(Table25[[#This Row],[CC1]:[DC1]])</f>
        <v>748</v>
      </c>
      <c r="AG138">
        <f>SUM(Table25[[#This Row],[CC2]:[DC2]])</f>
        <v>751</v>
      </c>
      <c r="AH138">
        <f>SUM(Table25[[#This Row],[CC3]:[DC3]])</f>
        <v>753</v>
      </c>
      <c r="AI138">
        <f>SUM(Table25[[#This Row],[CC4]:[DC4]])</f>
        <v>754</v>
      </c>
      <c r="AJ138">
        <f>SUM(Table25[[#This Row],[CC5]:[DC5]])</f>
        <v>750</v>
      </c>
    </row>
    <row r="139" spans="1:36" ht="15">
      <c r="A139" t="s">
        <v>269</v>
      </c>
      <c r="B139" s="85" t="s">
        <v>552</v>
      </c>
      <c r="C139" s="126">
        <v>104</v>
      </c>
      <c r="D139" s="75">
        <v>653</v>
      </c>
      <c r="E139" s="75">
        <v>100</v>
      </c>
      <c r="F139" s="75">
        <v>655</v>
      </c>
      <c r="G139" s="75">
        <v>104</v>
      </c>
      <c r="H139" s="75">
        <v>652</v>
      </c>
      <c r="I139" s="75">
        <v>105</v>
      </c>
      <c r="J139" s="154">
        <v>653</v>
      </c>
      <c r="K139" s="154">
        <v>106</v>
      </c>
      <c r="L139" s="155">
        <v>653</v>
      </c>
      <c r="M139" s="83">
        <v>29398.400000000001</v>
      </c>
      <c r="N139" s="83">
        <v>27787.8</v>
      </c>
      <c r="O139" s="83">
        <v>29302.3</v>
      </c>
      <c r="P139" s="83">
        <v>27691.599999999999</v>
      </c>
      <c r="Q139" s="83">
        <v>29315.200000000001</v>
      </c>
      <c r="R139" s="83">
        <v>27746.3</v>
      </c>
      <c r="S139" s="83">
        <v>28709.1</v>
      </c>
      <c r="T139" s="83">
        <v>27592.400000000001</v>
      </c>
      <c r="U139" s="83">
        <v>29169</v>
      </c>
      <c r="V139" s="83">
        <v>27675.4</v>
      </c>
      <c r="X139" s="27">
        <f>Table25[[#This Row],[HDC1]]/Table25[[#This Row],[HCC1]]</f>
        <v>0.94521470556220744</v>
      </c>
      <c r="Y139" s="27">
        <f>Table25[[#This Row],[HDC2]]/Table25[[#This Row],[HCC2]]</f>
        <v>0.94503161867839724</v>
      </c>
      <c r="Z139" s="27">
        <f>Table25[[#This Row],[HDC3]]/Table25[[#This Row],[HCC3]]</f>
        <v>0.94648168868027505</v>
      </c>
      <c r="AA139" s="27">
        <f>Table25[[#This Row],[HDC4]]/Table25[[#This Row],[HCC4]]</f>
        <v>0.96110292555322185</v>
      </c>
      <c r="AB139" s="27">
        <f>Table25[[#This Row],[HDC5]]/Table25[[#This Row],[HCC5]]</f>
        <v>0.94879495354657351</v>
      </c>
      <c r="AF139">
        <f>SUM(Table25[[#This Row],[CC1]:[DC1]])</f>
        <v>757</v>
      </c>
      <c r="AG139">
        <f>SUM(Table25[[#This Row],[CC2]:[DC2]])</f>
        <v>755</v>
      </c>
      <c r="AH139">
        <f>SUM(Table25[[#This Row],[CC3]:[DC3]])</f>
        <v>756</v>
      </c>
      <c r="AI139">
        <f>SUM(Table25[[#This Row],[CC4]:[DC4]])</f>
        <v>758</v>
      </c>
      <c r="AJ139">
        <f>SUM(Table25[[#This Row],[CC5]:[DC5]])</f>
        <v>759</v>
      </c>
    </row>
    <row r="140" spans="1:36" ht="15">
      <c r="A140" t="s">
        <v>270</v>
      </c>
      <c r="B140" s="85" t="s">
        <v>553</v>
      </c>
      <c r="C140" s="126">
        <v>101</v>
      </c>
      <c r="D140" s="75">
        <v>653</v>
      </c>
      <c r="E140" s="75">
        <v>102</v>
      </c>
      <c r="F140" s="75">
        <v>653</v>
      </c>
      <c r="G140" s="75">
        <v>104</v>
      </c>
      <c r="H140" s="75">
        <v>653</v>
      </c>
      <c r="I140" s="75">
        <v>104</v>
      </c>
      <c r="J140" s="154">
        <v>654</v>
      </c>
      <c r="K140" s="154">
        <v>104</v>
      </c>
      <c r="L140" s="155">
        <v>648</v>
      </c>
      <c r="M140" s="83">
        <v>25982.3</v>
      </c>
      <c r="N140" s="83">
        <v>24858.2</v>
      </c>
      <c r="O140" s="83">
        <v>25763</v>
      </c>
      <c r="P140" s="83">
        <v>24668.7</v>
      </c>
      <c r="Q140" s="83">
        <v>29143.9</v>
      </c>
      <c r="R140" s="83">
        <v>27612.2</v>
      </c>
      <c r="S140" s="83">
        <v>28125.3</v>
      </c>
      <c r="T140" s="83">
        <v>27198.2</v>
      </c>
      <c r="U140" s="83">
        <v>29171.1</v>
      </c>
      <c r="V140" s="83">
        <v>27622.400000000001</v>
      </c>
      <c r="X140" s="27">
        <f>Table25[[#This Row],[HDC1]]/Table25[[#This Row],[HCC1]]</f>
        <v>0.95673593176893501</v>
      </c>
      <c r="Y140" s="27">
        <f>Table25[[#This Row],[HDC2]]/Table25[[#This Row],[HCC2]]</f>
        <v>0.95752435663548507</v>
      </c>
      <c r="Z140" s="27">
        <f>Table25[[#This Row],[HDC3]]/Table25[[#This Row],[HCC3]]</f>
        <v>0.94744354736325609</v>
      </c>
      <c r="AA140" s="27">
        <f>Table25[[#This Row],[HDC4]]/Table25[[#This Row],[HCC4]]</f>
        <v>0.96703679605195325</v>
      </c>
      <c r="AB140" s="27">
        <f>Table25[[#This Row],[HDC5]]/Table25[[#This Row],[HCC5]]</f>
        <v>0.94690978399854664</v>
      </c>
      <c r="AF140">
        <f>SUM(Table25[[#This Row],[CC1]:[DC1]])</f>
        <v>754</v>
      </c>
      <c r="AG140">
        <f>SUM(Table25[[#This Row],[CC2]:[DC2]])</f>
        <v>755</v>
      </c>
      <c r="AH140">
        <f>SUM(Table25[[#This Row],[CC3]:[DC3]])</f>
        <v>757</v>
      </c>
      <c r="AI140">
        <f>SUM(Table25[[#This Row],[CC4]:[DC4]])</f>
        <v>758</v>
      </c>
      <c r="AJ140">
        <f>SUM(Table25[[#This Row],[CC5]:[DC5]])</f>
        <v>752</v>
      </c>
    </row>
    <row r="141" spans="1:36" ht="15">
      <c r="A141" t="s">
        <v>271</v>
      </c>
      <c r="B141" s="85" t="s">
        <v>554</v>
      </c>
      <c r="C141" s="126">
        <v>101</v>
      </c>
      <c r="D141" s="75">
        <v>653</v>
      </c>
      <c r="E141" s="75">
        <v>103</v>
      </c>
      <c r="F141" s="75">
        <v>651</v>
      </c>
      <c r="G141" s="75">
        <v>104</v>
      </c>
      <c r="H141" s="75">
        <v>649</v>
      </c>
      <c r="I141" s="75">
        <v>105</v>
      </c>
      <c r="J141" s="154">
        <v>643</v>
      </c>
      <c r="K141" s="154">
        <v>105</v>
      </c>
      <c r="L141" s="155">
        <v>647</v>
      </c>
      <c r="M141" s="83">
        <v>29402.1</v>
      </c>
      <c r="N141" s="83">
        <v>27975.599999999999</v>
      </c>
      <c r="O141" s="83">
        <v>29116.5</v>
      </c>
      <c r="P141" s="83">
        <v>27526.2</v>
      </c>
      <c r="Q141" s="83">
        <v>29137</v>
      </c>
      <c r="R141" s="83">
        <v>27650.7</v>
      </c>
      <c r="S141" s="83">
        <v>28745.5</v>
      </c>
      <c r="T141" s="83">
        <v>27607.4</v>
      </c>
      <c r="U141" s="83">
        <v>29137.4</v>
      </c>
      <c r="V141" s="83">
        <v>27656.3</v>
      </c>
      <c r="X141" s="27">
        <f>Table25[[#This Row],[HDC1]]/Table25[[#This Row],[HCC1]]</f>
        <v>0.95148305733263949</v>
      </c>
      <c r="Y141" s="27">
        <f>Table25[[#This Row],[HDC2]]/Table25[[#This Row],[HCC2]]</f>
        <v>0.94538148472515582</v>
      </c>
      <c r="Z141" s="27">
        <f>Table25[[#This Row],[HDC3]]/Table25[[#This Row],[HCC3]]</f>
        <v>0.94898925764491882</v>
      </c>
      <c r="AA141" s="27">
        <f>Table25[[#This Row],[HDC4]]/Table25[[#This Row],[HCC4]]</f>
        <v>0.96040771599032893</v>
      </c>
      <c r="AB141" s="27">
        <f>Table25[[#This Row],[HDC5]]/Table25[[#This Row],[HCC5]]</f>
        <v>0.94916842271444934</v>
      </c>
      <c r="AF141">
        <f>SUM(Table25[[#This Row],[CC1]:[DC1]])</f>
        <v>754</v>
      </c>
      <c r="AG141">
        <f>SUM(Table25[[#This Row],[CC2]:[DC2]])</f>
        <v>754</v>
      </c>
      <c r="AH141">
        <f>SUM(Table25[[#This Row],[CC3]:[DC3]])</f>
        <v>753</v>
      </c>
      <c r="AI141">
        <f>SUM(Table25[[#This Row],[CC4]:[DC4]])</f>
        <v>748</v>
      </c>
      <c r="AJ141">
        <f>SUM(Table25[[#This Row],[CC5]:[DC5]])</f>
        <v>752</v>
      </c>
    </row>
    <row r="142" spans="1:36" ht="15">
      <c r="A142" t="s">
        <v>272</v>
      </c>
      <c r="B142" s="85" t="s">
        <v>555</v>
      </c>
      <c r="C142" s="126">
        <v>103</v>
      </c>
      <c r="D142" s="75">
        <v>649</v>
      </c>
      <c r="E142" s="75">
        <v>99</v>
      </c>
      <c r="F142" s="75">
        <v>656</v>
      </c>
      <c r="G142" s="75">
        <v>103</v>
      </c>
      <c r="H142" s="75">
        <v>650</v>
      </c>
      <c r="I142" s="75">
        <v>102</v>
      </c>
      <c r="J142" s="154">
        <v>648</v>
      </c>
      <c r="K142" s="154">
        <v>102</v>
      </c>
      <c r="L142" s="155">
        <v>647</v>
      </c>
      <c r="M142" s="83">
        <v>27051.7</v>
      </c>
      <c r="N142" s="83">
        <v>25548.3</v>
      </c>
      <c r="O142" s="83">
        <v>27440.6</v>
      </c>
      <c r="P142" s="83">
        <v>25900.5</v>
      </c>
      <c r="Q142" s="83">
        <v>27282.799999999999</v>
      </c>
      <c r="R142" s="83">
        <v>25594.799999999999</v>
      </c>
      <c r="S142" s="83">
        <v>27260.1</v>
      </c>
      <c r="T142" s="83">
        <v>25609.7</v>
      </c>
      <c r="U142" s="83">
        <v>24289</v>
      </c>
      <c r="V142" s="83">
        <v>23237.7</v>
      </c>
      <c r="X142" s="27">
        <f>Table25[[#This Row],[HDC1]]/Table25[[#This Row],[HCC1]]</f>
        <v>0.94442493447731557</v>
      </c>
      <c r="Y142" s="27">
        <f>Table25[[#This Row],[HDC2]]/Table25[[#This Row],[HCC2]]</f>
        <v>0.94387513392564304</v>
      </c>
      <c r="Z142" s="27">
        <f>Table25[[#This Row],[HDC3]]/Table25[[#This Row],[HCC3]]</f>
        <v>0.93812951749820395</v>
      </c>
      <c r="AA142" s="27">
        <f>Table25[[#This Row],[HDC4]]/Table25[[#This Row],[HCC4]]</f>
        <v>0.93945730206418909</v>
      </c>
      <c r="AB142" s="27">
        <f>Table25[[#This Row],[HDC5]]/Table25[[#This Row],[HCC5]]</f>
        <v>0.95671703240149863</v>
      </c>
      <c r="AF142">
        <f>SUM(Table25[[#This Row],[CC1]:[DC1]])</f>
        <v>752</v>
      </c>
      <c r="AG142">
        <f>SUM(Table25[[#This Row],[CC2]:[DC2]])</f>
        <v>755</v>
      </c>
      <c r="AH142">
        <f>SUM(Table25[[#This Row],[CC3]:[DC3]])</f>
        <v>753</v>
      </c>
      <c r="AI142">
        <f>SUM(Table25[[#This Row],[CC4]:[DC4]])</f>
        <v>750</v>
      </c>
      <c r="AJ142">
        <f>SUM(Table25[[#This Row],[CC5]:[DC5]])</f>
        <v>749</v>
      </c>
    </row>
    <row r="143" spans="1:36" ht="15">
      <c r="A143" t="s">
        <v>273</v>
      </c>
      <c r="B143" s="85" t="s">
        <v>556</v>
      </c>
      <c r="C143" s="126">
        <v>101</v>
      </c>
      <c r="D143" s="75">
        <v>650</v>
      </c>
      <c r="E143" s="75">
        <v>106</v>
      </c>
      <c r="F143" s="75">
        <v>648</v>
      </c>
      <c r="G143" s="75">
        <v>102</v>
      </c>
      <c r="H143" s="75">
        <v>648</v>
      </c>
      <c r="I143" s="75">
        <v>100</v>
      </c>
      <c r="J143" s="154">
        <v>658</v>
      </c>
      <c r="K143" s="154">
        <v>102</v>
      </c>
      <c r="L143" s="155">
        <v>648</v>
      </c>
      <c r="M143" s="83">
        <v>27833.3</v>
      </c>
      <c r="N143" s="83">
        <v>26383.5</v>
      </c>
      <c r="O143" s="83">
        <v>27348.7</v>
      </c>
      <c r="P143" s="83">
        <v>25852.3</v>
      </c>
      <c r="Q143" s="83">
        <v>27670.1</v>
      </c>
      <c r="R143" s="83">
        <v>26207.9</v>
      </c>
      <c r="S143" s="83">
        <v>24036.799999999999</v>
      </c>
      <c r="T143" s="83">
        <v>22923.4</v>
      </c>
      <c r="U143" s="83">
        <v>26938.1</v>
      </c>
      <c r="V143" s="83">
        <v>25409.200000000001</v>
      </c>
      <c r="X143" s="27">
        <f>Table25[[#This Row],[HDC1]]/Table25[[#This Row],[HCC1]]</f>
        <v>0.94791131486385016</v>
      </c>
      <c r="Y143" s="27">
        <f>Table25[[#This Row],[HDC2]]/Table25[[#This Row],[HCC2]]</f>
        <v>0.94528441936911067</v>
      </c>
      <c r="Z143" s="27">
        <f>Table25[[#This Row],[HDC3]]/Table25[[#This Row],[HCC3]]</f>
        <v>0.94715595534530062</v>
      </c>
      <c r="AA143" s="27">
        <f>Table25[[#This Row],[HDC4]]/Table25[[#This Row],[HCC4]]</f>
        <v>0.95367935831724693</v>
      </c>
      <c r="AB143" s="27">
        <f>Table25[[#This Row],[HDC5]]/Table25[[#This Row],[HCC5]]</f>
        <v>0.94324395558706819</v>
      </c>
      <c r="AF143">
        <f>SUM(Table25[[#This Row],[CC1]:[DC1]])</f>
        <v>751</v>
      </c>
      <c r="AG143">
        <f>SUM(Table25[[#This Row],[CC2]:[DC2]])</f>
        <v>754</v>
      </c>
      <c r="AH143">
        <f>SUM(Table25[[#This Row],[CC3]:[DC3]])</f>
        <v>750</v>
      </c>
      <c r="AI143">
        <f>SUM(Table25[[#This Row],[CC4]:[DC4]])</f>
        <v>758</v>
      </c>
      <c r="AJ143">
        <f>SUM(Table25[[#This Row],[CC5]:[DC5]])</f>
        <v>750</v>
      </c>
    </row>
    <row r="144" spans="1:36" ht="15">
      <c r="A144" t="s">
        <v>274</v>
      </c>
      <c r="B144" s="85" t="s">
        <v>557</v>
      </c>
      <c r="C144" s="126">
        <v>100</v>
      </c>
      <c r="D144" s="75">
        <v>655</v>
      </c>
      <c r="E144" s="75">
        <v>101</v>
      </c>
      <c r="F144" s="75">
        <v>655</v>
      </c>
      <c r="G144" s="75">
        <v>100</v>
      </c>
      <c r="H144" s="75">
        <v>656</v>
      </c>
      <c r="I144" s="75">
        <v>101</v>
      </c>
      <c r="J144" s="154">
        <v>656</v>
      </c>
      <c r="K144" s="154">
        <v>102</v>
      </c>
      <c r="L144" s="155">
        <v>657</v>
      </c>
      <c r="M144" s="83">
        <v>27781.1</v>
      </c>
      <c r="N144" s="83">
        <v>26072.6</v>
      </c>
      <c r="O144" s="83">
        <v>27596</v>
      </c>
      <c r="P144" s="83">
        <v>26061.599999999999</v>
      </c>
      <c r="Q144" s="83">
        <v>27622.6</v>
      </c>
      <c r="R144" s="83">
        <v>25934.2</v>
      </c>
      <c r="S144" s="83">
        <v>24054.400000000001</v>
      </c>
      <c r="T144" s="83">
        <v>22872</v>
      </c>
      <c r="U144" s="83">
        <v>26831.3</v>
      </c>
      <c r="V144" s="83">
        <v>25530.5</v>
      </c>
      <c r="X144" s="27">
        <f>Table25[[#This Row],[HDC1]]/Table25[[#This Row],[HCC1]]</f>
        <v>0.93850135523791356</v>
      </c>
      <c r="Y144" s="27">
        <f>Table25[[#This Row],[HDC2]]/Table25[[#This Row],[HCC2]]</f>
        <v>0.94439773880272493</v>
      </c>
      <c r="Z144" s="27">
        <f>Table25[[#This Row],[HDC3]]/Table25[[#This Row],[HCC3]]</f>
        <v>0.93887613765539824</v>
      </c>
      <c r="AA144" s="27">
        <f>Table25[[#This Row],[HDC4]]/Table25[[#This Row],[HCC4]]</f>
        <v>0.95084475189570306</v>
      </c>
      <c r="AB144" s="27">
        <f>Table25[[#This Row],[HDC5]]/Table25[[#This Row],[HCC5]]</f>
        <v>0.9515193076742462</v>
      </c>
      <c r="AF144">
        <f>SUM(Table25[[#This Row],[CC1]:[DC1]])</f>
        <v>755</v>
      </c>
      <c r="AG144">
        <f>SUM(Table25[[#This Row],[CC2]:[DC2]])</f>
        <v>756</v>
      </c>
      <c r="AH144">
        <f>SUM(Table25[[#This Row],[CC3]:[DC3]])</f>
        <v>756</v>
      </c>
      <c r="AI144">
        <f>SUM(Table25[[#This Row],[CC4]:[DC4]])</f>
        <v>757</v>
      </c>
      <c r="AJ144">
        <f>SUM(Table25[[#This Row],[CC5]:[DC5]])</f>
        <v>759</v>
      </c>
    </row>
    <row r="145" spans="1:36" ht="15">
      <c r="A145" t="s">
        <v>275</v>
      </c>
      <c r="B145" s="85" t="s">
        <v>558</v>
      </c>
      <c r="C145" s="126">
        <v>101</v>
      </c>
      <c r="D145" s="75">
        <v>648</v>
      </c>
      <c r="E145" s="75">
        <v>97</v>
      </c>
      <c r="F145" s="75">
        <v>655</v>
      </c>
      <c r="G145" s="75">
        <v>100</v>
      </c>
      <c r="H145" s="75">
        <v>646</v>
      </c>
      <c r="I145" s="75">
        <v>103</v>
      </c>
      <c r="J145" s="154">
        <v>647</v>
      </c>
      <c r="K145" s="154">
        <v>104</v>
      </c>
      <c r="L145" s="155">
        <v>651</v>
      </c>
      <c r="M145" s="83">
        <v>26721.200000000001</v>
      </c>
      <c r="N145" s="83">
        <v>25243.3</v>
      </c>
      <c r="O145" s="83">
        <v>23549.9</v>
      </c>
      <c r="P145" s="83">
        <v>22409</v>
      </c>
      <c r="Q145" s="83">
        <v>27288.7</v>
      </c>
      <c r="R145" s="83">
        <v>25815.7</v>
      </c>
      <c r="S145" s="83">
        <v>27136.3</v>
      </c>
      <c r="T145" s="83">
        <v>25633.8</v>
      </c>
      <c r="U145" s="83">
        <v>26751.1</v>
      </c>
      <c r="V145" s="83">
        <v>25299.200000000001</v>
      </c>
      <c r="X145" s="27">
        <f>Table25[[#This Row],[HDC1]]/Table25[[#This Row],[HCC1]]</f>
        <v>0.94469185515620546</v>
      </c>
      <c r="Y145" s="27">
        <f>Table25[[#This Row],[HDC2]]/Table25[[#This Row],[HCC2]]</f>
        <v>0.95155393441161107</v>
      </c>
      <c r="Z145" s="27">
        <f>Table25[[#This Row],[HDC3]]/Table25[[#This Row],[HCC3]]</f>
        <v>0.94602161334178614</v>
      </c>
      <c r="AA145" s="27">
        <f>Table25[[#This Row],[HDC4]]/Table25[[#This Row],[HCC4]]</f>
        <v>0.94463136094456501</v>
      </c>
      <c r="AB145" s="27">
        <f>Table25[[#This Row],[HDC5]]/Table25[[#This Row],[HCC5]]</f>
        <v>0.94572559633061826</v>
      </c>
      <c r="AF145">
        <f>SUM(Table25[[#This Row],[CC1]:[DC1]])</f>
        <v>749</v>
      </c>
      <c r="AG145">
        <f>SUM(Table25[[#This Row],[CC2]:[DC2]])</f>
        <v>752</v>
      </c>
      <c r="AH145">
        <f>SUM(Table25[[#This Row],[CC3]:[DC3]])</f>
        <v>746</v>
      </c>
      <c r="AI145">
        <f>SUM(Table25[[#This Row],[CC4]:[DC4]])</f>
        <v>750</v>
      </c>
      <c r="AJ145">
        <f>SUM(Table25[[#This Row],[CC5]:[DC5]])</f>
        <v>755</v>
      </c>
    </row>
    <row r="146" spans="1:36" ht="15">
      <c r="A146" t="s">
        <v>276</v>
      </c>
      <c r="B146" s="85" t="s">
        <v>400</v>
      </c>
      <c r="C146" s="126">
        <v>100</v>
      </c>
      <c r="D146" s="75">
        <v>655</v>
      </c>
      <c r="E146" s="75">
        <v>100</v>
      </c>
      <c r="F146" s="75">
        <v>655</v>
      </c>
      <c r="G146" s="75">
        <v>101</v>
      </c>
      <c r="H146" s="75">
        <v>657</v>
      </c>
      <c r="I146" s="75">
        <v>102</v>
      </c>
      <c r="J146" s="154">
        <v>653</v>
      </c>
      <c r="K146" s="154">
        <v>101</v>
      </c>
      <c r="L146" s="155">
        <v>657</v>
      </c>
      <c r="M146" s="83">
        <v>30724.3</v>
      </c>
      <c r="N146" s="83">
        <v>29068.400000000001</v>
      </c>
      <c r="O146" s="83">
        <v>30589.3</v>
      </c>
      <c r="P146" s="83">
        <v>28910.3</v>
      </c>
      <c r="Q146" s="83">
        <v>29609.4</v>
      </c>
      <c r="R146" s="83">
        <v>28025.9</v>
      </c>
      <c r="S146" s="83">
        <v>29729.4</v>
      </c>
      <c r="T146" s="83">
        <v>28130.3</v>
      </c>
      <c r="U146" s="83">
        <v>30515</v>
      </c>
      <c r="V146" s="83">
        <v>28864.1</v>
      </c>
      <c r="X146" s="27">
        <f>Table25[[#This Row],[HDC1]]/Table25[[#This Row],[HCC1]]</f>
        <v>0.94610454916792253</v>
      </c>
      <c r="Y146" s="27">
        <f>Table25[[#This Row],[HDC2]]/Table25[[#This Row],[HCC2]]</f>
        <v>0.94511152592573222</v>
      </c>
      <c r="Z146" s="27">
        <f>Table25[[#This Row],[HDC3]]/Table25[[#This Row],[HCC3]]</f>
        <v>0.94652036177700327</v>
      </c>
      <c r="AA146" s="27">
        <f>Table25[[#This Row],[HDC4]]/Table25[[#This Row],[HCC4]]</f>
        <v>0.94621149434566454</v>
      </c>
      <c r="AB146" s="27">
        <f>Table25[[#This Row],[HDC5]]/Table25[[#This Row],[HCC5]]</f>
        <v>0.94589873832541371</v>
      </c>
      <c r="AF146">
        <f>SUM(Table25[[#This Row],[CC1]:[DC1]])</f>
        <v>755</v>
      </c>
      <c r="AG146">
        <f>SUM(Table25[[#This Row],[CC2]:[DC2]])</f>
        <v>755</v>
      </c>
      <c r="AH146">
        <f>SUM(Table25[[#This Row],[CC3]:[DC3]])</f>
        <v>758</v>
      </c>
      <c r="AI146">
        <f>SUM(Table25[[#This Row],[CC4]:[DC4]])</f>
        <v>755</v>
      </c>
      <c r="AJ146">
        <f>SUM(Table25[[#This Row],[CC5]:[DC5]])</f>
        <v>758</v>
      </c>
    </row>
    <row r="147" spans="1:36" ht="15">
      <c r="A147" t="s">
        <v>277</v>
      </c>
      <c r="B147" s="85" t="s">
        <v>401</v>
      </c>
      <c r="C147" s="126">
        <v>99</v>
      </c>
      <c r="D147" s="75">
        <v>652</v>
      </c>
      <c r="E147" s="75">
        <v>99</v>
      </c>
      <c r="F147" s="75">
        <v>656</v>
      </c>
      <c r="G147" s="75">
        <v>103</v>
      </c>
      <c r="H147" s="75">
        <v>649</v>
      </c>
      <c r="I147" s="75">
        <v>103</v>
      </c>
      <c r="J147" s="154">
        <v>651</v>
      </c>
      <c r="K147" s="154">
        <v>102</v>
      </c>
      <c r="L147" s="155">
        <v>653</v>
      </c>
      <c r="M147" s="83">
        <v>29321.5</v>
      </c>
      <c r="N147" s="83">
        <v>27666.3</v>
      </c>
      <c r="O147" s="83">
        <v>24427.5</v>
      </c>
      <c r="P147" s="83">
        <v>23584.400000000001</v>
      </c>
      <c r="Q147" s="83">
        <v>27665.8</v>
      </c>
      <c r="R147" s="83">
        <v>26751.599999999999</v>
      </c>
      <c r="S147" s="83">
        <v>29521.4</v>
      </c>
      <c r="T147" s="83">
        <v>27931.599999999999</v>
      </c>
      <c r="U147" s="83">
        <v>28798.3</v>
      </c>
      <c r="V147" s="83">
        <v>27345.7</v>
      </c>
      <c r="X147" s="27">
        <f>Table25[[#This Row],[HDC1]]/Table25[[#This Row],[HCC1]]</f>
        <v>0.94354995481131587</v>
      </c>
      <c r="Y147" s="27">
        <f>Table25[[#This Row],[HDC2]]/Table25[[#This Row],[HCC2]]</f>
        <v>0.96548562071435884</v>
      </c>
      <c r="Z147" s="27">
        <f>Table25[[#This Row],[HDC3]]/Table25[[#This Row],[HCC3]]</f>
        <v>0.96695559137997089</v>
      </c>
      <c r="AA147" s="27">
        <f>Table25[[#This Row],[HDC4]]/Table25[[#This Row],[HCC4]]</f>
        <v>0.94614754042829941</v>
      </c>
      <c r="AB147" s="27">
        <f>Table25[[#This Row],[HDC5]]/Table25[[#This Row],[HCC5]]</f>
        <v>0.94955952261070975</v>
      </c>
      <c r="AF147">
        <f>SUM(Table25[[#This Row],[CC1]:[DC1]])</f>
        <v>751</v>
      </c>
      <c r="AG147">
        <f>SUM(Table25[[#This Row],[CC2]:[DC2]])</f>
        <v>755</v>
      </c>
      <c r="AH147">
        <f>SUM(Table25[[#This Row],[CC3]:[DC3]])</f>
        <v>752</v>
      </c>
      <c r="AI147">
        <f>SUM(Table25[[#This Row],[CC4]:[DC4]])</f>
        <v>754</v>
      </c>
      <c r="AJ147">
        <f>SUM(Table25[[#This Row],[CC5]:[DC5]])</f>
        <v>755</v>
      </c>
    </row>
    <row r="148" spans="1:36" ht="15">
      <c r="A148" t="s">
        <v>278</v>
      </c>
      <c r="B148" s="85" t="s">
        <v>402</v>
      </c>
      <c r="C148" s="126">
        <v>100</v>
      </c>
      <c r="D148" s="75">
        <v>654</v>
      </c>
      <c r="E148" s="75">
        <v>102</v>
      </c>
      <c r="F148" s="75">
        <v>651</v>
      </c>
      <c r="G148" s="75">
        <v>101</v>
      </c>
      <c r="H148" s="75">
        <v>654</v>
      </c>
      <c r="I148" s="75">
        <v>103</v>
      </c>
      <c r="J148" s="154">
        <v>653</v>
      </c>
      <c r="K148" s="154">
        <v>103</v>
      </c>
      <c r="L148" s="155">
        <v>653</v>
      </c>
      <c r="M148" s="83">
        <v>24599</v>
      </c>
      <c r="N148" s="83">
        <v>23147.8</v>
      </c>
      <c r="O148" s="83">
        <v>24757.1</v>
      </c>
      <c r="P148" s="83">
        <v>23412.1</v>
      </c>
      <c r="Q148" s="83">
        <v>23135.1</v>
      </c>
      <c r="R148" s="83">
        <v>22449.9</v>
      </c>
      <c r="S148" s="83">
        <v>24921.3</v>
      </c>
      <c r="T148" s="83">
        <v>23475.599999999999</v>
      </c>
      <c r="U148" s="83">
        <v>25000.9</v>
      </c>
      <c r="V148" s="83">
        <v>23562.7</v>
      </c>
      <c r="X148" s="27">
        <f>Table25[[#This Row],[HDC1]]/Table25[[#This Row],[HCC1]]</f>
        <v>0.94100573194032278</v>
      </c>
      <c r="Y148" s="27">
        <f>Table25[[#This Row],[HDC2]]/Table25[[#This Row],[HCC2]]</f>
        <v>0.94567215061537901</v>
      </c>
      <c r="Z148" s="27">
        <f>Table25[[#This Row],[HDC3]]/Table25[[#This Row],[HCC3]]</f>
        <v>0.97038266530077688</v>
      </c>
      <c r="AA148" s="27">
        <f>Table25[[#This Row],[HDC4]]/Table25[[#This Row],[HCC4]]</f>
        <v>0.94198938257635034</v>
      </c>
      <c r="AB148" s="27">
        <f>Table25[[#This Row],[HDC5]]/Table25[[#This Row],[HCC5]]</f>
        <v>0.94247407093344637</v>
      </c>
      <c r="AF148">
        <f>SUM(Table25[[#This Row],[CC1]:[DC1]])</f>
        <v>754</v>
      </c>
      <c r="AG148">
        <f>SUM(Table25[[#This Row],[CC2]:[DC2]])</f>
        <v>753</v>
      </c>
      <c r="AH148">
        <f>SUM(Table25[[#This Row],[CC3]:[DC3]])</f>
        <v>755</v>
      </c>
      <c r="AI148">
        <f>SUM(Table25[[#This Row],[CC4]:[DC4]])</f>
        <v>756</v>
      </c>
      <c r="AJ148">
        <f>SUM(Table25[[#This Row],[CC5]:[DC5]])</f>
        <v>756</v>
      </c>
    </row>
    <row r="149" spans="1:36" ht="15">
      <c r="A149" t="s">
        <v>279</v>
      </c>
      <c r="B149" s="85" t="s">
        <v>403</v>
      </c>
      <c r="C149" s="126">
        <v>100</v>
      </c>
      <c r="D149" s="75">
        <v>655</v>
      </c>
      <c r="E149" s="75">
        <v>101</v>
      </c>
      <c r="F149" s="75">
        <v>654</v>
      </c>
      <c r="G149" s="75">
        <v>102</v>
      </c>
      <c r="H149" s="75">
        <v>655</v>
      </c>
      <c r="I149" s="75">
        <v>101</v>
      </c>
      <c r="J149" s="154">
        <v>658</v>
      </c>
      <c r="K149" s="154">
        <v>102</v>
      </c>
      <c r="L149" s="155">
        <v>659</v>
      </c>
      <c r="M149" s="83">
        <v>28935.7</v>
      </c>
      <c r="N149" s="83">
        <v>27773.3</v>
      </c>
      <c r="O149" s="83">
        <v>34232</v>
      </c>
      <c r="P149" s="83">
        <v>32414.6</v>
      </c>
      <c r="Q149" s="83">
        <v>33400.800000000003</v>
      </c>
      <c r="R149" s="83">
        <v>31597.1</v>
      </c>
      <c r="S149" s="83">
        <v>34153.699999999997</v>
      </c>
      <c r="T149" s="83">
        <v>32265.7</v>
      </c>
      <c r="U149" s="83">
        <v>29665.1</v>
      </c>
      <c r="V149" s="83">
        <v>28070</v>
      </c>
      <c r="X149" s="27">
        <f>Table25[[#This Row],[HDC1]]/Table25[[#This Row],[HCC1]]</f>
        <v>0.95982817073718618</v>
      </c>
      <c r="Y149" s="27">
        <f>Table25[[#This Row],[HDC2]]/Table25[[#This Row],[HCC2]]</f>
        <v>0.94690932460855337</v>
      </c>
      <c r="Z149" s="27">
        <f>Table25[[#This Row],[HDC3]]/Table25[[#This Row],[HCC3]]</f>
        <v>0.94599829944192937</v>
      </c>
      <c r="AA149" s="27">
        <f>Table25[[#This Row],[HDC4]]/Table25[[#This Row],[HCC4]]</f>
        <v>0.94472048416423415</v>
      </c>
      <c r="AB149" s="27">
        <f>Table25[[#This Row],[HDC5]]/Table25[[#This Row],[HCC5]]</f>
        <v>0.94622974471685584</v>
      </c>
      <c r="AF149">
        <f>SUM(Table25[[#This Row],[CC1]:[DC1]])</f>
        <v>755</v>
      </c>
      <c r="AG149">
        <f>SUM(Table25[[#This Row],[CC2]:[DC2]])</f>
        <v>755</v>
      </c>
      <c r="AH149">
        <f>SUM(Table25[[#This Row],[CC3]:[DC3]])</f>
        <v>757</v>
      </c>
      <c r="AI149">
        <f>SUM(Table25[[#This Row],[CC4]:[DC4]])</f>
        <v>759</v>
      </c>
      <c r="AJ149">
        <f>SUM(Table25[[#This Row],[CC5]:[DC5]])</f>
        <v>761</v>
      </c>
    </row>
    <row r="150" spans="1:36" ht="15">
      <c r="A150" t="s">
        <v>280</v>
      </c>
      <c r="B150" s="85" t="s">
        <v>559</v>
      </c>
      <c r="C150" s="126">
        <v>804</v>
      </c>
      <c r="D150" s="75">
        <v>0</v>
      </c>
      <c r="E150" s="75">
        <v>808</v>
      </c>
      <c r="F150" s="75">
        <v>0</v>
      </c>
      <c r="G150" s="75">
        <v>808</v>
      </c>
      <c r="H150" s="75">
        <v>0</v>
      </c>
      <c r="I150" s="75">
        <v>810</v>
      </c>
      <c r="J150" s="154">
        <v>0</v>
      </c>
      <c r="K150" s="154">
        <v>809</v>
      </c>
      <c r="L150" s="155">
        <v>0</v>
      </c>
      <c r="M150" s="83">
        <v>27565.5</v>
      </c>
      <c r="N150" s="83">
        <v>27087</v>
      </c>
      <c r="O150" s="83">
        <v>28166.9</v>
      </c>
      <c r="P150" s="83">
        <v>27232.400000000001</v>
      </c>
      <c r="Q150" s="83">
        <v>23454.2</v>
      </c>
      <c r="R150" s="83">
        <v>23190.799999999999</v>
      </c>
      <c r="S150" s="83">
        <v>27970.9</v>
      </c>
      <c r="T150" s="83">
        <v>27050.799999999999</v>
      </c>
      <c r="U150" s="83">
        <v>28051.200000000001</v>
      </c>
      <c r="V150" s="83">
        <v>27155</v>
      </c>
      <c r="X150" s="27">
        <f>Table25[[#This Row],[HDC1]]/Table25[[#This Row],[HCC1]]</f>
        <v>0.98264134515971047</v>
      </c>
      <c r="Y150" s="27">
        <f>Table25[[#This Row],[HDC2]]/Table25[[#This Row],[HCC2]]</f>
        <v>0.96682276004814161</v>
      </c>
      <c r="Z150" s="27">
        <f>Table25[[#This Row],[HDC3]]/Table25[[#This Row],[HCC3]]</f>
        <v>0.9887696020328981</v>
      </c>
      <c r="AA150" s="27">
        <f>Table25[[#This Row],[HDC4]]/Table25[[#This Row],[HCC4]]</f>
        <v>0.96710509851309745</v>
      </c>
      <c r="AB150" s="27">
        <f>Table25[[#This Row],[HDC5]]/Table25[[#This Row],[HCC5]]</f>
        <v>0.96805127766370058</v>
      </c>
      <c r="AF150">
        <f>SUM(Table25[[#This Row],[CC1]:[DC1]])</f>
        <v>804</v>
      </c>
      <c r="AG150">
        <f>SUM(Table25[[#This Row],[CC2]:[DC2]])</f>
        <v>808</v>
      </c>
      <c r="AH150">
        <f>SUM(Table25[[#This Row],[CC3]:[DC3]])</f>
        <v>808</v>
      </c>
      <c r="AI150">
        <f>SUM(Table25[[#This Row],[CC4]:[DC4]])</f>
        <v>810</v>
      </c>
      <c r="AJ150">
        <f>SUM(Table25[[#This Row],[CC5]:[DC5]])</f>
        <v>809</v>
      </c>
    </row>
    <row r="151" spans="1:36" ht="15">
      <c r="A151" t="s">
        <v>281</v>
      </c>
      <c r="B151" s="85" t="s">
        <v>560</v>
      </c>
      <c r="C151" s="126">
        <v>803</v>
      </c>
      <c r="D151" s="75">
        <v>0</v>
      </c>
      <c r="E151" s="75">
        <v>805</v>
      </c>
      <c r="F151" s="75">
        <v>0</v>
      </c>
      <c r="G151" s="75">
        <v>804</v>
      </c>
      <c r="H151" s="75">
        <v>0</v>
      </c>
      <c r="I151" s="75">
        <v>801</v>
      </c>
      <c r="J151" s="154">
        <v>0</v>
      </c>
      <c r="K151" s="154">
        <v>805</v>
      </c>
      <c r="L151" s="155">
        <v>0</v>
      </c>
      <c r="M151" s="83">
        <v>28943.1</v>
      </c>
      <c r="N151" s="83">
        <v>27985.3</v>
      </c>
      <c r="O151" s="83">
        <v>29187.200000000001</v>
      </c>
      <c r="P151" s="83">
        <v>28248.400000000001</v>
      </c>
      <c r="Q151" s="83">
        <v>29240.799999999999</v>
      </c>
      <c r="R151" s="83">
        <v>28318.6</v>
      </c>
      <c r="S151" s="83">
        <v>22915.5</v>
      </c>
      <c r="T151" s="83">
        <v>22742.3</v>
      </c>
      <c r="U151" s="83">
        <v>29021</v>
      </c>
      <c r="V151" s="83">
        <v>28089</v>
      </c>
      <c r="X151" s="27">
        <f>Table25[[#This Row],[HDC1]]/Table25[[#This Row],[HCC1]]</f>
        <v>0.96690748399445814</v>
      </c>
      <c r="Y151" s="27">
        <f>Table25[[#This Row],[HDC2]]/Table25[[#This Row],[HCC2]]</f>
        <v>0.96783521543690387</v>
      </c>
      <c r="Z151" s="27">
        <f>Table25[[#This Row],[HDC3]]/Table25[[#This Row],[HCC3]]</f>
        <v>0.96846187518809335</v>
      </c>
      <c r="AA151" s="27">
        <f>Table25[[#This Row],[HDC4]]/Table25[[#This Row],[HCC4]]</f>
        <v>0.99244179703694002</v>
      </c>
      <c r="AB151" s="27">
        <f>Table25[[#This Row],[HDC5]]/Table25[[#This Row],[HCC5]]</f>
        <v>0.96788532442024744</v>
      </c>
      <c r="AF151">
        <f>SUM(Table25[[#This Row],[CC1]:[DC1]])</f>
        <v>803</v>
      </c>
      <c r="AG151">
        <f>SUM(Table25[[#This Row],[CC2]:[DC2]])</f>
        <v>805</v>
      </c>
      <c r="AH151">
        <f>SUM(Table25[[#This Row],[CC3]:[DC3]])</f>
        <v>804</v>
      </c>
      <c r="AI151">
        <f>SUM(Table25[[#This Row],[CC4]:[DC4]])</f>
        <v>801</v>
      </c>
      <c r="AJ151">
        <f>SUM(Table25[[#This Row],[CC5]:[DC5]])</f>
        <v>805</v>
      </c>
    </row>
    <row r="152" spans="1:36" ht="15">
      <c r="A152" t="s">
        <v>282</v>
      </c>
      <c r="B152" s="85" t="s">
        <v>561</v>
      </c>
      <c r="C152" s="126">
        <v>69</v>
      </c>
      <c r="D152" s="75">
        <v>686</v>
      </c>
      <c r="E152" s="75">
        <v>79</v>
      </c>
      <c r="F152" s="75">
        <v>679</v>
      </c>
      <c r="G152" s="75">
        <v>78</v>
      </c>
      <c r="H152" s="75">
        <v>681</v>
      </c>
      <c r="I152" s="75">
        <v>78</v>
      </c>
      <c r="J152" s="154">
        <v>681</v>
      </c>
      <c r="K152" s="154">
        <v>78</v>
      </c>
      <c r="L152" s="155">
        <v>682</v>
      </c>
      <c r="M152" s="83">
        <v>20696.400000000001</v>
      </c>
      <c r="N152" s="83">
        <v>19341.099999999999</v>
      </c>
      <c r="O152" s="83">
        <v>19739.8</v>
      </c>
      <c r="P152" s="83">
        <v>19069.599999999999</v>
      </c>
      <c r="Q152" s="83">
        <v>20358.900000000001</v>
      </c>
      <c r="R152" s="83">
        <v>19099.7</v>
      </c>
      <c r="S152" s="83">
        <v>19914.8</v>
      </c>
      <c r="T152" s="83">
        <v>19217.3</v>
      </c>
      <c r="U152" s="83">
        <v>20346.400000000001</v>
      </c>
      <c r="V152" s="83">
        <v>19060.5</v>
      </c>
      <c r="X152" s="27">
        <f>Table25[[#This Row],[HDC1]]/Table25[[#This Row],[HCC1]]</f>
        <v>0.93451518138420198</v>
      </c>
      <c r="Y152" s="27">
        <f>Table25[[#This Row],[HDC2]]/Table25[[#This Row],[HCC2]]</f>
        <v>0.96604828822987054</v>
      </c>
      <c r="Z152" s="27">
        <f>Table25[[#This Row],[HDC3]]/Table25[[#This Row],[HCC3]]</f>
        <v>0.93814990004371546</v>
      </c>
      <c r="AA152" s="27">
        <f>Table25[[#This Row],[HDC4]]/Table25[[#This Row],[HCC4]]</f>
        <v>0.96497579689477175</v>
      </c>
      <c r="AB152" s="27">
        <f>Table25[[#This Row],[HDC5]]/Table25[[#This Row],[HCC5]]</f>
        <v>0.93679963040144687</v>
      </c>
      <c r="AF152">
        <f>SUM(Table25[[#This Row],[CC1]:[DC1]])</f>
        <v>755</v>
      </c>
      <c r="AG152">
        <f>SUM(Table25[[#This Row],[CC2]:[DC2]])</f>
        <v>758</v>
      </c>
      <c r="AH152">
        <f>SUM(Table25[[#This Row],[CC3]:[DC3]])</f>
        <v>759</v>
      </c>
      <c r="AI152">
        <f>SUM(Table25[[#This Row],[CC4]:[DC4]])</f>
        <v>759</v>
      </c>
      <c r="AJ152">
        <f>SUM(Table25[[#This Row],[CC5]:[DC5]])</f>
        <v>760</v>
      </c>
    </row>
    <row r="153" spans="1:36" ht="15">
      <c r="A153" t="s">
        <v>283</v>
      </c>
      <c r="B153" s="85" t="s">
        <v>562</v>
      </c>
      <c r="C153" s="126">
        <v>6</v>
      </c>
      <c r="D153" s="75">
        <v>805</v>
      </c>
      <c r="E153" s="75">
        <v>6</v>
      </c>
      <c r="F153" s="75">
        <v>805</v>
      </c>
      <c r="G153" s="75">
        <v>6</v>
      </c>
      <c r="H153" s="75">
        <v>805</v>
      </c>
      <c r="I153" s="75">
        <v>6</v>
      </c>
      <c r="J153" s="154">
        <v>805</v>
      </c>
      <c r="K153" s="154">
        <v>6</v>
      </c>
      <c r="L153" s="155">
        <v>804</v>
      </c>
      <c r="M153" s="83">
        <v>28841.5</v>
      </c>
      <c r="N153" s="83">
        <v>27190</v>
      </c>
      <c r="O153" s="83">
        <v>29037.1</v>
      </c>
      <c r="P153" s="83">
        <v>27351.1</v>
      </c>
      <c r="Q153" s="83">
        <v>29032.7</v>
      </c>
      <c r="R153" s="83">
        <v>27227.8</v>
      </c>
      <c r="S153" s="83">
        <v>28790.9</v>
      </c>
      <c r="T153" s="83">
        <v>27090</v>
      </c>
      <c r="U153" s="83">
        <v>28780.6</v>
      </c>
      <c r="V153" s="83">
        <v>27116.2</v>
      </c>
      <c r="X153" s="27">
        <f>Table25[[#This Row],[HDC1]]/Table25[[#This Row],[HCC1]]</f>
        <v>0.94273876185357908</v>
      </c>
      <c r="Y153" s="27">
        <f>Table25[[#This Row],[HDC2]]/Table25[[#This Row],[HCC2]]</f>
        <v>0.94193635039311774</v>
      </c>
      <c r="Z153" s="27">
        <f>Table25[[#This Row],[HDC3]]/Table25[[#This Row],[HCC3]]</f>
        <v>0.93783216855476748</v>
      </c>
      <c r="AA153" s="27">
        <f>Table25[[#This Row],[HDC4]]/Table25[[#This Row],[HCC4]]</f>
        <v>0.94092230531174781</v>
      </c>
      <c r="AB153" s="27">
        <f>Table25[[#This Row],[HDC5]]/Table25[[#This Row],[HCC5]]</f>
        <v>0.94216937798378086</v>
      </c>
      <c r="AF153">
        <f>SUM(Table25[[#This Row],[CC1]:[DC1]])</f>
        <v>811</v>
      </c>
      <c r="AG153">
        <f>SUM(Table25[[#This Row],[CC2]:[DC2]])</f>
        <v>811</v>
      </c>
      <c r="AH153">
        <f>SUM(Table25[[#This Row],[CC3]:[DC3]])</f>
        <v>811</v>
      </c>
      <c r="AI153">
        <f>SUM(Table25[[#This Row],[CC4]:[DC4]])</f>
        <v>811</v>
      </c>
      <c r="AJ153">
        <f>SUM(Table25[[#This Row],[CC5]:[DC5]])</f>
        <v>810</v>
      </c>
    </row>
    <row r="154" spans="1:36" ht="15">
      <c r="A154" t="s">
        <v>131</v>
      </c>
      <c r="B154" s="85" t="s">
        <v>563</v>
      </c>
      <c r="C154" s="126">
        <v>101</v>
      </c>
      <c r="D154" s="75">
        <v>653</v>
      </c>
      <c r="E154" s="75">
        <v>96</v>
      </c>
      <c r="F154" s="75">
        <v>656</v>
      </c>
      <c r="G154" s="75">
        <v>111</v>
      </c>
      <c r="H154" s="75">
        <v>643</v>
      </c>
      <c r="I154" s="75">
        <v>103</v>
      </c>
      <c r="J154" s="154">
        <v>651</v>
      </c>
      <c r="K154" s="154">
        <v>101</v>
      </c>
      <c r="L154" s="155">
        <v>654</v>
      </c>
      <c r="M154" s="83">
        <v>27678.9</v>
      </c>
      <c r="N154" s="83">
        <v>26155.9</v>
      </c>
      <c r="O154" s="83">
        <v>28548</v>
      </c>
      <c r="P154" s="83">
        <v>26988</v>
      </c>
      <c r="Q154" s="83">
        <v>27067</v>
      </c>
      <c r="R154" s="83">
        <v>25630.2</v>
      </c>
      <c r="S154" s="83">
        <v>27464.5</v>
      </c>
      <c r="T154" s="83">
        <v>25878.3</v>
      </c>
      <c r="U154" s="83">
        <v>22407.5</v>
      </c>
      <c r="V154" s="83">
        <v>21551.7</v>
      </c>
      <c r="X154" s="27">
        <f>Table25[[#This Row],[HDC1]]/Table25[[#This Row],[HCC1]]</f>
        <v>0.94497613705746974</v>
      </c>
      <c r="Y154" s="27">
        <f>Table25[[#This Row],[HDC2]]/Table25[[#This Row],[HCC2]]</f>
        <v>0.94535519125683065</v>
      </c>
      <c r="Z154" s="27">
        <f>Table25[[#This Row],[HDC3]]/Table25[[#This Row],[HCC3]]</f>
        <v>0.94691690989027233</v>
      </c>
      <c r="AA154" s="27">
        <f>Table25[[#This Row],[HDC4]]/Table25[[#This Row],[HCC4]]</f>
        <v>0.94224544411877142</v>
      </c>
      <c r="AB154" s="27">
        <f>Table25[[#This Row],[HDC5]]/Table25[[#This Row],[HCC5]]</f>
        <v>0.96180743054780771</v>
      </c>
      <c r="AF154">
        <f>SUM(Table25[[#This Row],[CC1]:[DC1]])</f>
        <v>754</v>
      </c>
      <c r="AG154">
        <f>SUM(Table25[[#This Row],[CC2]:[DC2]])</f>
        <v>752</v>
      </c>
      <c r="AH154">
        <f>SUM(Table25[[#This Row],[CC3]:[DC3]])</f>
        <v>754</v>
      </c>
      <c r="AI154">
        <f>SUM(Table25[[#This Row],[CC4]:[DC4]])</f>
        <v>754</v>
      </c>
      <c r="AJ154">
        <f>SUM(Table25[[#This Row],[CC5]:[DC5]])</f>
        <v>755</v>
      </c>
    </row>
    <row r="155" spans="1:36" ht="15">
      <c r="A155" t="s">
        <v>284</v>
      </c>
      <c r="B155" s="85" t="s">
        <v>564</v>
      </c>
      <c r="C155" s="126">
        <v>100</v>
      </c>
      <c r="D155" s="75">
        <v>649</v>
      </c>
      <c r="E155" s="75">
        <v>103</v>
      </c>
      <c r="F155" s="75">
        <v>651</v>
      </c>
      <c r="G155" s="75">
        <v>99</v>
      </c>
      <c r="H155" s="75">
        <v>653</v>
      </c>
      <c r="I155" s="75">
        <v>102</v>
      </c>
      <c r="J155" s="154">
        <v>653</v>
      </c>
      <c r="K155" s="154">
        <v>102</v>
      </c>
      <c r="L155" s="155">
        <v>649</v>
      </c>
      <c r="M155" s="83">
        <v>26228.3</v>
      </c>
      <c r="N155" s="83">
        <v>24763.3</v>
      </c>
      <c r="O155" s="83">
        <v>25231.8</v>
      </c>
      <c r="P155" s="83">
        <v>23791.9</v>
      </c>
      <c r="Q155" s="83">
        <v>24255.5</v>
      </c>
      <c r="R155" s="83">
        <v>23447</v>
      </c>
      <c r="S155" s="83">
        <v>26022.1</v>
      </c>
      <c r="T155" s="83">
        <v>24576.6</v>
      </c>
      <c r="U155" s="83">
        <v>26155.4</v>
      </c>
      <c r="V155" s="83">
        <v>24654.7</v>
      </c>
      <c r="X155" s="27">
        <f>Table25[[#This Row],[HDC1]]/Table25[[#This Row],[HCC1]]</f>
        <v>0.94414430214691769</v>
      </c>
      <c r="Y155" s="27">
        <f>Table25[[#This Row],[HDC2]]/Table25[[#This Row],[HCC2]]</f>
        <v>0.94293312407358976</v>
      </c>
      <c r="Z155" s="27">
        <f>Table25[[#This Row],[HDC3]]/Table25[[#This Row],[HCC3]]</f>
        <v>0.96666735379604629</v>
      </c>
      <c r="AA155" s="27">
        <f>Table25[[#This Row],[HDC4]]/Table25[[#This Row],[HCC4]]</f>
        <v>0.94445106275050816</v>
      </c>
      <c r="AB155" s="27">
        <f>Table25[[#This Row],[HDC5]]/Table25[[#This Row],[HCC5]]</f>
        <v>0.94262370294470743</v>
      </c>
      <c r="AF155">
        <f>SUM(Table25[[#This Row],[CC1]:[DC1]])</f>
        <v>749</v>
      </c>
      <c r="AG155">
        <f>SUM(Table25[[#This Row],[CC2]:[DC2]])</f>
        <v>754</v>
      </c>
      <c r="AH155">
        <f>SUM(Table25[[#This Row],[CC3]:[DC3]])</f>
        <v>752</v>
      </c>
      <c r="AI155">
        <f>SUM(Table25[[#This Row],[CC4]:[DC4]])</f>
        <v>755</v>
      </c>
      <c r="AJ155">
        <f>SUM(Table25[[#This Row],[CC5]:[DC5]])</f>
        <v>751</v>
      </c>
    </row>
    <row r="156" spans="1:36" ht="15">
      <c r="A156" t="s">
        <v>285</v>
      </c>
      <c r="B156" s="85" t="s">
        <v>565</v>
      </c>
      <c r="C156" s="126">
        <v>99</v>
      </c>
      <c r="D156" s="75">
        <v>652</v>
      </c>
      <c r="E156" s="75">
        <v>100</v>
      </c>
      <c r="F156" s="75">
        <v>654</v>
      </c>
      <c r="G156" s="75">
        <v>101</v>
      </c>
      <c r="H156" s="75">
        <v>655</v>
      </c>
      <c r="I156" s="75">
        <v>100</v>
      </c>
      <c r="J156" s="154">
        <v>652</v>
      </c>
      <c r="K156" s="154">
        <v>101</v>
      </c>
      <c r="L156" s="155">
        <v>648</v>
      </c>
      <c r="M156" s="83">
        <v>28137.8</v>
      </c>
      <c r="N156" s="83">
        <v>26572</v>
      </c>
      <c r="O156" s="83">
        <v>28423.5</v>
      </c>
      <c r="P156" s="83">
        <v>26852.9</v>
      </c>
      <c r="Q156" s="83">
        <v>28057.3</v>
      </c>
      <c r="R156" s="83">
        <v>27065.8</v>
      </c>
      <c r="S156" s="83">
        <v>28456.3</v>
      </c>
      <c r="T156" s="83">
        <v>26827.5</v>
      </c>
      <c r="U156" s="83">
        <v>27900.400000000001</v>
      </c>
      <c r="V156" s="83">
        <v>26342.1</v>
      </c>
      <c r="X156" s="27">
        <f>Table25[[#This Row],[HDC1]]/Table25[[#This Row],[HCC1]]</f>
        <v>0.94435243693536808</v>
      </c>
      <c r="Y156" s="27">
        <f>Table25[[#This Row],[HDC2]]/Table25[[#This Row],[HCC2]]</f>
        <v>0.94474290639787506</v>
      </c>
      <c r="Z156" s="27">
        <f>Table25[[#This Row],[HDC3]]/Table25[[#This Row],[HCC3]]</f>
        <v>0.96466160321912653</v>
      </c>
      <c r="AA156" s="27">
        <f>Table25[[#This Row],[HDC4]]/Table25[[#This Row],[HCC4]]</f>
        <v>0.94276135688757856</v>
      </c>
      <c r="AB156" s="27">
        <f>Table25[[#This Row],[HDC5]]/Table25[[#This Row],[HCC5]]</f>
        <v>0.94414775415406216</v>
      </c>
      <c r="AF156">
        <f>SUM(Table25[[#This Row],[CC1]:[DC1]])</f>
        <v>751</v>
      </c>
      <c r="AG156">
        <f>SUM(Table25[[#This Row],[CC2]:[DC2]])</f>
        <v>754</v>
      </c>
      <c r="AH156">
        <f>SUM(Table25[[#This Row],[CC3]:[DC3]])</f>
        <v>756</v>
      </c>
      <c r="AI156">
        <f>SUM(Table25[[#This Row],[CC4]:[DC4]])</f>
        <v>752</v>
      </c>
      <c r="AJ156">
        <f>SUM(Table25[[#This Row],[CC5]:[DC5]])</f>
        <v>749</v>
      </c>
    </row>
    <row r="157" spans="1:36" ht="15">
      <c r="A157" t="s">
        <v>286</v>
      </c>
      <c r="B157" s="85" t="s">
        <v>566</v>
      </c>
      <c r="C157" s="126">
        <v>99</v>
      </c>
      <c r="D157" s="75">
        <v>650</v>
      </c>
      <c r="E157" s="75">
        <v>101</v>
      </c>
      <c r="F157" s="75">
        <v>648</v>
      </c>
      <c r="G157" s="75">
        <v>103</v>
      </c>
      <c r="H157" s="75">
        <v>649</v>
      </c>
      <c r="I157" s="75">
        <v>101</v>
      </c>
      <c r="J157" s="154">
        <v>646</v>
      </c>
      <c r="K157" s="154">
        <v>101</v>
      </c>
      <c r="L157" s="155">
        <v>651</v>
      </c>
      <c r="M157" s="83">
        <v>30290.6</v>
      </c>
      <c r="N157" s="83">
        <v>28670</v>
      </c>
      <c r="O157" s="83">
        <v>29431</v>
      </c>
      <c r="P157" s="83">
        <v>27854.400000000001</v>
      </c>
      <c r="Q157" s="83">
        <v>24608</v>
      </c>
      <c r="R157" s="83">
        <v>23625.7</v>
      </c>
      <c r="S157" s="83">
        <v>30186.400000000001</v>
      </c>
      <c r="T157" s="83">
        <v>28524.400000000001</v>
      </c>
      <c r="U157" s="83">
        <v>29381.1</v>
      </c>
      <c r="V157" s="83">
        <v>27875.4</v>
      </c>
      <c r="X157" s="27">
        <f>Table25[[#This Row],[HDC1]]/Table25[[#This Row],[HCC1]]</f>
        <v>0.94649825358362005</v>
      </c>
      <c r="Y157" s="27">
        <f>Table25[[#This Row],[HDC2]]/Table25[[#This Row],[HCC2]]</f>
        <v>0.94643063436512531</v>
      </c>
      <c r="Z157" s="27">
        <f>Table25[[#This Row],[HDC3]]/Table25[[#This Row],[HCC3]]</f>
        <v>0.96008208712613785</v>
      </c>
      <c r="AA157" s="27">
        <f>Table25[[#This Row],[HDC4]]/Table25[[#This Row],[HCC4]]</f>
        <v>0.94494209312803112</v>
      </c>
      <c r="AB157" s="27">
        <f>Table25[[#This Row],[HDC5]]/Table25[[#This Row],[HCC5]]</f>
        <v>0.94875276963762434</v>
      </c>
      <c r="AF157">
        <f>SUM(Table25[[#This Row],[CC1]:[DC1]])</f>
        <v>749</v>
      </c>
      <c r="AG157">
        <f>SUM(Table25[[#This Row],[CC2]:[DC2]])</f>
        <v>749</v>
      </c>
      <c r="AH157">
        <f>SUM(Table25[[#This Row],[CC3]:[DC3]])</f>
        <v>752</v>
      </c>
      <c r="AI157">
        <f>SUM(Table25[[#This Row],[CC4]:[DC4]])</f>
        <v>747</v>
      </c>
      <c r="AJ157">
        <f>SUM(Table25[[#This Row],[CC5]:[DC5]])</f>
        <v>752</v>
      </c>
    </row>
    <row r="158" spans="1:36" ht="15">
      <c r="A158" t="s">
        <v>287</v>
      </c>
      <c r="B158" s="85" t="s">
        <v>567</v>
      </c>
      <c r="C158" s="126">
        <v>100</v>
      </c>
      <c r="D158" s="75">
        <v>652</v>
      </c>
      <c r="E158" s="75">
        <v>99</v>
      </c>
      <c r="F158" s="75">
        <v>655</v>
      </c>
      <c r="G158" s="75">
        <v>100</v>
      </c>
      <c r="H158" s="75">
        <v>654</v>
      </c>
      <c r="I158" s="75">
        <v>100</v>
      </c>
      <c r="J158" s="154">
        <v>653</v>
      </c>
      <c r="K158" s="154">
        <v>101</v>
      </c>
      <c r="L158" s="155">
        <v>652</v>
      </c>
      <c r="M158" s="83">
        <v>29498</v>
      </c>
      <c r="N158" s="83">
        <v>27848</v>
      </c>
      <c r="O158" s="83">
        <v>29422.7</v>
      </c>
      <c r="P158" s="83">
        <v>27755.9</v>
      </c>
      <c r="Q158" s="83">
        <v>29338.2</v>
      </c>
      <c r="R158" s="83">
        <v>27690</v>
      </c>
      <c r="S158" s="83">
        <v>29220.400000000001</v>
      </c>
      <c r="T158" s="83">
        <v>27605</v>
      </c>
      <c r="U158" s="83">
        <v>29148.3</v>
      </c>
      <c r="V158" s="83">
        <v>27481.8</v>
      </c>
      <c r="X158" s="27">
        <f>Table25[[#This Row],[HDC1]]/Table25[[#This Row],[HCC1]]</f>
        <v>0.94406400433927729</v>
      </c>
      <c r="Y158" s="27">
        <f>Table25[[#This Row],[HDC2]]/Table25[[#This Row],[HCC2]]</f>
        <v>0.94334986252111463</v>
      </c>
      <c r="Z158" s="27">
        <f>Table25[[#This Row],[HDC3]]/Table25[[#This Row],[HCC3]]</f>
        <v>0.94382068429555999</v>
      </c>
      <c r="AA158" s="27">
        <f>Table25[[#This Row],[HDC4]]/Table25[[#This Row],[HCC4]]</f>
        <v>0.94471670476790182</v>
      </c>
      <c r="AB158" s="27">
        <f>Table25[[#This Row],[HDC5]]/Table25[[#This Row],[HCC5]]</f>
        <v>0.94282685439631131</v>
      </c>
      <c r="AF158">
        <f>SUM(Table25[[#This Row],[CC1]:[DC1]])</f>
        <v>752</v>
      </c>
      <c r="AG158">
        <f>SUM(Table25[[#This Row],[CC2]:[DC2]])</f>
        <v>754</v>
      </c>
      <c r="AH158">
        <f>SUM(Table25[[#This Row],[CC3]:[DC3]])</f>
        <v>754</v>
      </c>
      <c r="AI158">
        <f>SUM(Table25[[#This Row],[CC4]:[DC4]])</f>
        <v>753</v>
      </c>
      <c r="AJ158">
        <f>SUM(Table25[[#This Row],[CC5]:[DC5]])</f>
        <v>753</v>
      </c>
    </row>
    <row r="159" spans="1:36" ht="15">
      <c r="A159" t="s">
        <v>288</v>
      </c>
      <c r="B159" s="85" t="s">
        <v>568</v>
      </c>
      <c r="C159" s="126">
        <v>102</v>
      </c>
      <c r="D159" s="75">
        <v>648</v>
      </c>
      <c r="E159" s="75">
        <v>99</v>
      </c>
      <c r="F159" s="75">
        <v>651</v>
      </c>
      <c r="G159" s="75">
        <v>102</v>
      </c>
      <c r="H159" s="75">
        <v>645</v>
      </c>
      <c r="I159" s="75">
        <v>103</v>
      </c>
      <c r="J159" s="154">
        <v>647</v>
      </c>
      <c r="K159" s="154">
        <v>106</v>
      </c>
      <c r="L159" s="155">
        <v>642</v>
      </c>
      <c r="M159" s="83">
        <v>29651.8</v>
      </c>
      <c r="N159" s="83">
        <v>28086.6</v>
      </c>
      <c r="O159" s="83">
        <v>29431.7</v>
      </c>
      <c r="P159" s="83">
        <v>27907.4</v>
      </c>
      <c r="Q159" s="83">
        <v>29172.799999999999</v>
      </c>
      <c r="R159" s="83">
        <v>27526.9</v>
      </c>
      <c r="S159" s="83">
        <v>28993.5</v>
      </c>
      <c r="T159" s="83">
        <v>27388.3</v>
      </c>
      <c r="U159" s="83">
        <v>28942.6</v>
      </c>
      <c r="V159" s="83">
        <v>27387.200000000001</v>
      </c>
      <c r="X159" s="27">
        <f>Table25[[#This Row],[HDC1]]/Table25[[#This Row],[HCC1]]</f>
        <v>0.94721399712665</v>
      </c>
      <c r="Y159" s="27">
        <f>Table25[[#This Row],[HDC2]]/Table25[[#This Row],[HCC2]]</f>
        <v>0.94820890400486557</v>
      </c>
      <c r="Z159" s="27">
        <f>Table25[[#This Row],[HDC3]]/Table25[[#This Row],[HCC3]]</f>
        <v>0.94358100696539249</v>
      </c>
      <c r="AA159" s="27">
        <f>Table25[[#This Row],[HDC4]]/Table25[[#This Row],[HCC4]]</f>
        <v>0.94463586665976851</v>
      </c>
      <c r="AB159" s="27">
        <f>Table25[[#This Row],[HDC5]]/Table25[[#This Row],[HCC5]]</f>
        <v>0.94625914741591988</v>
      </c>
      <c r="AF159">
        <f>SUM(Table25[[#This Row],[CC1]:[DC1]])</f>
        <v>750</v>
      </c>
      <c r="AG159">
        <f>SUM(Table25[[#This Row],[CC2]:[DC2]])</f>
        <v>750</v>
      </c>
      <c r="AH159">
        <f>SUM(Table25[[#This Row],[CC3]:[DC3]])</f>
        <v>747</v>
      </c>
      <c r="AI159">
        <f>SUM(Table25[[#This Row],[CC4]:[DC4]])</f>
        <v>750</v>
      </c>
      <c r="AJ159">
        <f>SUM(Table25[[#This Row],[CC5]:[DC5]])</f>
        <v>748</v>
      </c>
    </row>
    <row r="160" spans="1:36" ht="15">
      <c r="A160" t="s">
        <v>289</v>
      </c>
      <c r="B160" s="85" t="s">
        <v>569</v>
      </c>
      <c r="C160" s="126">
        <v>101</v>
      </c>
      <c r="D160" s="75">
        <v>657</v>
      </c>
      <c r="E160" s="75">
        <v>102</v>
      </c>
      <c r="F160" s="75">
        <v>652</v>
      </c>
      <c r="G160" s="75">
        <v>102</v>
      </c>
      <c r="H160" s="75">
        <v>654</v>
      </c>
      <c r="I160" s="75">
        <v>102</v>
      </c>
      <c r="J160" s="154">
        <v>654</v>
      </c>
      <c r="K160" s="154">
        <v>102</v>
      </c>
      <c r="L160" s="155">
        <v>654</v>
      </c>
      <c r="M160" s="83">
        <v>29434.5</v>
      </c>
      <c r="N160" s="83">
        <v>27882.799999999999</v>
      </c>
      <c r="O160" s="83">
        <v>29083.4</v>
      </c>
      <c r="P160" s="83">
        <v>27543.1</v>
      </c>
      <c r="Q160" s="83">
        <v>29077.8</v>
      </c>
      <c r="R160" s="83">
        <v>27550.7</v>
      </c>
      <c r="S160" s="83">
        <v>28613</v>
      </c>
      <c r="T160" s="83">
        <v>27502</v>
      </c>
      <c r="U160" s="83">
        <v>29296.1</v>
      </c>
      <c r="V160" s="83">
        <v>27810</v>
      </c>
      <c r="X160" s="27">
        <f>Table25[[#This Row],[HDC1]]/Table25[[#This Row],[HCC1]]</f>
        <v>0.94728295027943399</v>
      </c>
      <c r="Y160" s="27">
        <f>Table25[[#This Row],[HDC2]]/Table25[[#This Row],[HCC2]]</f>
        <v>0.94703851681715334</v>
      </c>
      <c r="Z160" s="27">
        <f>Table25[[#This Row],[HDC3]]/Table25[[#This Row],[HCC3]]</f>
        <v>0.94748227169868426</v>
      </c>
      <c r="AA160" s="27">
        <f>Table25[[#This Row],[HDC4]]/Table25[[#This Row],[HCC4]]</f>
        <v>0.9611714954740852</v>
      </c>
      <c r="AB160" s="27">
        <f>Table25[[#This Row],[HDC5]]/Table25[[#This Row],[HCC5]]</f>
        <v>0.94927311143804127</v>
      </c>
      <c r="AF160">
        <f>SUM(Table25[[#This Row],[CC1]:[DC1]])</f>
        <v>758</v>
      </c>
      <c r="AG160">
        <f>SUM(Table25[[#This Row],[CC2]:[DC2]])</f>
        <v>754</v>
      </c>
      <c r="AH160">
        <f>SUM(Table25[[#This Row],[CC3]:[DC3]])</f>
        <v>756</v>
      </c>
      <c r="AI160">
        <f>SUM(Table25[[#This Row],[CC4]:[DC4]])</f>
        <v>756</v>
      </c>
      <c r="AJ160">
        <f>SUM(Table25[[#This Row],[CC5]:[DC5]])</f>
        <v>756</v>
      </c>
    </row>
    <row r="161" spans="1:36" ht="15">
      <c r="A161" t="s">
        <v>290</v>
      </c>
      <c r="B161" s="85" t="s">
        <v>570</v>
      </c>
      <c r="C161" s="126">
        <v>104</v>
      </c>
      <c r="D161" s="75">
        <v>648</v>
      </c>
      <c r="E161" s="75">
        <v>101</v>
      </c>
      <c r="F161" s="75">
        <v>655</v>
      </c>
      <c r="G161" s="75">
        <v>97</v>
      </c>
      <c r="H161" s="75">
        <v>660</v>
      </c>
      <c r="I161" s="75">
        <v>102</v>
      </c>
      <c r="J161" s="154">
        <v>654</v>
      </c>
      <c r="K161" s="154">
        <v>102</v>
      </c>
      <c r="L161" s="155">
        <v>652</v>
      </c>
      <c r="M161" s="83">
        <v>25406.1</v>
      </c>
      <c r="N161" s="83">
        <v>23986.5</v>
      </c>
      <c r="O161" s="83">
        <v>25538.3</v>
      </c>
      <c r="P161" s="83">
        <v>24135</v>
      </c>
      <c r="Q161" s="83">
        <v>23293.4</v>
      </c>
      <c r="R161" s="83">
        <v>22395.5</v>
      </c>
      <c r="S161" s="83">
        <v>25378.400000000001</v>
      </c>
      <c r="T161" s="83">
        <v>23954.3</v>
      </c>
      <c r="U161" s="83">
        <v>25542.6</v>
      </c>
      <c r="V161" s="83">
        <v>24103.599999999999</v>
      </c>
      <c r="X161" s="27">
        <f>Table25[[#This Row],[HDC1]]/Table25[[#This Row],[HCC1]]</f>
        <v>0.94412365534261466</v>
      </c>
      <c r="Y161" s="27">
        <f>Table25[[#This Row],[HDC2]]/Table25[[#This Row],[HCC2]]</f>
        <v>0.94505115845612275</v>
      </c>
      <c r="Z161" s="27">
        <f>Table25[[#This Row],[HDC3]]/Table25[[#This Row],[HCC3]]</f>
        <v>0.96145260030738311</v>
      </c>
      <c r="AA161" s="27">
        <f>Table25[[#This Row],[HDC4]]/Table25[[#This Row],[HCC4]]</f>
        <v>0.94388535132238427</v>
      </c>
      <c r="AB161" s="27">
        <f>Table25[[#This Row],[HDC5]]/Table25[[#This Row],[HCC5]]</f>
        <v>0.94366274380838289</v>
      </c>
      <c r="AF161">
        <f>SUM(Table25[[#This Row],[CC1]:[DC1]])</f>
        <v>752</v>
      </c>
      <c r="AG161">
        <f>SUM(Table25[[#This Row],[CC2]:[DC2]])</f>
        <v>756</v>
      </c>
      <c r="AH161">
        <f>SUM(Table25[[#This Row],[CC3]:[DC3]])</f>
        <v>757</v>
      </c>
      <c r="AI161">
        <f>SUM(Table25[[#This Row],[CC4]:[DC4]])</f>
        <v>756</v>
      </c>
      <c r="AJ161">
        <f>SUM(Table25[[#This Row],[CC5]:[DC5]])</f>
        <v>754</v>
      </c>
    </row>
    <row r="162" spans="1:36" ht="15">
      <c r="A162" t="s">
        <v>291</v>
      </c>
      <c r="B162" s="85" t="s">
        <v>571</v>
      </c>
      <c r="C162" s="126">
        <v>102</v>
      </c>
      <c r="D162" s="75">
        <v>652</v>
      </c>
      <c r="E162" s="75">
        <v>99</v>
      </c>
      <c r="F162" s="75">
        <v>655</v>
      </c>
      <c r="G162" s="75">
        <v>106</v>
      </c>
      <c r="H162" s="75">
        <v>646</v>
      </c>
      <c r="I162" s="75">
        <v>106</v>
      </c>
      <c r="J162" s="154">
        <v>646</v>
      </c>
      <c r="K162" s="154">
        <v>107</v>
      </c>
      <c r="L162" s="155">
        <v>644</v>
      </c>
      <c r="M162" s="83">
        <v>28604</v>
      </c>
      <c r="N162" s="83">
        <v>27174.799999999999</v>
      </c>
      <c r="O162" s="83">
        <v>28066.2</v>
      </c>
      <c r="P162" s="83">
        <v>26568.5</v>
      </c>
      <c r="Q162" s="83">
        <v>26372.7</v>
      </c>
      <c r="R162" s="83">
        <v>25650.2</v>
      </c>
      <c r="S162" s="83">
        <v>28376.799999999999</v>
      </c>
      <c r="T162" s="83">
        <v>26872.9</v>
      </c>
      <c r="U162" s="83">
        <v>15137.1</v>
      </c>
      <c r="V162" s="83">
        <v>14563.6</v>
      </c>
      <c r="X162" s="27">
        <f>Table25[[#This Row],[HDC1]]/Table25[[#This Row],[HCC1]]</f>
        <v>0.9500349601454342</v>
      </c>
      <c r="Y162" s="27">
        <f>Table25[[#This Row],[HDC2]]/Table25[[#This Row],[HCC2]]</f>
        <v>0.94663687994812262</v>
      </c>
      <c r="Z162" s="27">
        <f>Table25[[#This Row],[HDC3]]/Table25[[#This Row],[HCC3]]</f>
        <v>0.97260424605747609</v>
      </c>
      <c r="AA162" s="27">
        <f>Table25[[#This Row],[HDC4]]/Table25[[#This Row],[HCC4]]</f>
        <v>0.94700248089989014</v>
      </c>
      <c r="AB162" s="27">
        <f>Table25[[#This Row],[HDC5]]/Table25[[#This Row],[HCC5]]</f>
        <v>0.96211295426468746</v>
      </c>
      <c r="AF162">
        <f>SUM(Table25[[#This Row],[CC1]:[DC1]])</f>
        <v>754</v>
      </c>
      <c r="AG162">
        <f>SUM(Table25[[#This Row],[CC2]:[DC2]])</f>
        <v>754</v>
      </c>
      <c r="AH162">
        <f>SUM(Table25[[#This Row],[CC3]:[DC3]])</f>
        <v>752</v>
      </c>
      <c r="AI162">
        <f>SUM(Table25[[#This Row],[CC4]:[DC4]])</f>
        <v>752</v>
      </c>
      <c r="AJ162">
        <f>SUM(Table25[[#This Row],[CC5]:[DC5]])</f>
        <v>751</v>
      </c>
    </row>
    <row r="163" spans="1:36" ht="15">
      <c r="A163" t="s">
        <v>292</v>
      </c>
      <c r="B163" s="85" t="s">
        <v>572</v>
      </c>
      <c r="C163" s="126">
        <v>104</v>
      </c>
      <c r="D163" s="75">
        <v>646</v>
      </c>
      <c r="E163" s="75">
        <v>101</v>
      </c>
      <c r="F163" s="75">
        <v>653</v>
      </c>
      <c r="G163" s="75">
        <v>100</v>
      </c>
      <c r="H163" s="75">
        <v>651</v>
      </c>
      <c r="I163" s="75">
        <v>99</v>
      </c>
      <c r="J163" s="154">
        <v>652</v>
      </c>
      <c r="K163" s="154">
        <v>103</v>
      </c>
      <c r="L163" s="155">
        <v>648</v>
      </c>
      <c r="M163" s="83">
        <v>29303.200000000001</v>
      </c>
      <c r="N163" s="83">
        <v>27787.3</v>
      </c>
      <c r="O163" s="83">
        <v>29545.1</v>
      </c>
      <c r="P163" s="83">
        <v>27837.9</v>
      </c>
      <c r="Q163" s="83">
        <v>28825.200000000001</v>
      </c>
      <c r="R163" s="83">
        <v>27234.400000000001</v>
      </c>
      <c r="S163" s="83">
        <v>29693.5</v>
      </c>
      <c r="T163" s="83">
        <v>28002</v>
      </c>
      <c r="U163" s="83">
        <v>28775.200000000001</v>
      </c>
      <c r="V163" s="83">
        <v>27218.1</v>
      </c>
      <c r="X163" s="27">
        <f>Table25[[#This Row],[HDC1]]/Table25[[#This Row],[HCC1]]</f>
        <v>0.94826844849709246</v>
      </c>
      <c r="Y163" s="27">
        <f>Table25[[#This Row],[HDC2]]/Table25[[#This Row],[HCC2]]</f>
        <v>0.94221715275967932</v>
      </c>
      <c r="Z163" s="27">
        <f>Table25[[#This Row],[HDC3]]/Table25[[#This Row],[HCC3]]</f>
        <v>0.94481217823293506</v>
      </c>
      <c r="AA163" s="27">
        <f>Table25[[#This Row],[HDC4]]/Table25[[#This Row],[HCC4]]</f>
        <v>0.94303467088756798</v>
      </c>
      <c r="AB163" s="27">
        <f>Table25[[#This Row],[HDC5]]/Table25[[#This Row],[HCC5]]</f>
        <v>0.94588743084322602</v>
      </c>
      <c r="AF163">
        <f>SUM(Table25[[#This Row],[CC1]:[DC1]])</f>
        <v>750</v>
      </c>
      <c r="AG163">
        <f>SUM(Table25[[#This Row],[CC2]:[DC2]])</f>
        <v>754</v>
      </c>
      <c r="AH163">
        <f>SUM(Table25[[#This Row],[CC3]:[DC3]])</f>
        <v>751</v>
      </c>
      <c r="AI163">
        <f>SUM(Table25[[#This Row],[CC4]:[DC4]])</f>
        <v>751</v>
      </c>
      <c r="AJ163">
        <f>SUM(Table25[[#This Row],[CC5]:[DC5]])</f>
        <v>751</v>
      </c>
    </row>
    <row r="164" spans="1:36" ht="15">
      <c r="A164" t="s">
        <v>293</v>
      </c>
      <c r="B164" s="85" t="s">
        <v>573</v>
      </c>
      <c r="C164" s="126">
        <v>101</v>
      </c>
      <c r="D164" s="75">
        <v>658</v>
      </c>
      <c r="E164" s="75">
        <v>103</v>
      </c>
      <c r="F164" s="75">
        <v>649</v>
      </c>
      <c r="G164" s="75">
        <v>104</v>
      </c>
      <c r="H164" s="75">
        <v>649</v>
      </c>
      <c r="I164" s="75">
        <v>104</v>
      </c>
      <c r="J164" s="154">
        <v>654</v>
      </c>
      <c r="K164" s="154">
        <v>104</v>
      </c>
      <c r="L164" s="155">
        <v>648</v>
      </c>
      <c r="M164" s="83">
        <v>28399.599999999999</v>
      </c>
      <c r="N164" s="83">
        <v>27408.400000000001</v>
      </c>
      <c r="O164" s="83">
        <v>29272.2</v>
      </c>
      <c r="P164" s="83">
        <v>27697.7</v>
      </c>
      <c r="Q164" s="83">
        <v>28775</v>
      </c>
      <c r="R164" s="83">
        <v>27286.3</v>
      </c>
      <c r="S164" s="83">
        <v>29462.1</v>
      </c>
      <c r="T164" s="83">
        <v>27998.5</v>
      </c>
      <c r="U164" s="83">
        <v>29598.5</v>
      </c>
      <c r="V164" s="83">
        <v>27960.1</v>
      </c>
      <c r="X164" s="27">
        <f>Table25[[#This Row],[HDC1]]/Table25[[#This Row],[HCC1]]</f>
        <v>0.96509809997323914</v>
      </c>
      <c r="Y164" s="27">
        <f>Table25[[#This Row],[HDC2]]/Table25[[#This Row],[HCC2]]</f>
        <v>0.94621176406283092</v>
      </c>
      <c r="Z164" s="27">
        <f>Table25[[#This Row],[HDC3]]/Table25[[#This Row],[HCC3]]</f>
        <v>0.94826411815812339</v>
      </c>
      <c r="AA164" s="27">
        <f>Table25[[#This Row],[HDC4]]/Table25[[#This Row],[HCC4]]</f>
        <v>0.9503226178717743</v>
      </c>
      <c r="AB164" s="27">
        <f>Table25[[#This Row],[HDC5]]/Table25[[#This Row],[HCC5]]</f>
        <v>0.94464584353936853</v>
      </c>
      <c r="AF164">
        <f>SUM(Table25[[#This Row],[CC1]:[DC1]])</f>
        <v>759</v>
      </c>
      <c r="AG164">
        <f>SUM(Table25[[#This Row],[CC2]:[DC2]])</f>
        <v>752</v>
      </c>
      <c r="AH164">
        <f>SUM(Table25[[#This Row],[CC3]:[DC3]])</f>
        <v>753</v>
      </c>
      <c r="AI164">
        <f>SUM(Table25[[#This Row],[CC4]:[DC4]])</f>
        <v>758</v>
      </c>
      <c r="AJ164">
        <f>SUM(Table25[[#This Row],[CC5]:[DC5]])</f>
        <v>752</v>
      </c>
    </row>
    <row r="165" spans="1:36" ht="15">
      <c r="A165" t="s">
        <v>294</v>
      </c>
      <c r="B165" s="85" t="s">
        <v>574</v>
      </c>
      <c r="C165" s="126">
        <v>100</v>
      </c>
      <c r="D165" s="75">
        <v>655</v>
      </c>
      <c r="E165" s="75">
        <v>105</v>
      </c>
      <c r="F165" s="75">
        <v>649</v>
      </c>
      <c r="G165" s="75">
        <v>105</v>
      </c>
      <c r="H165" s="75">
        <v>647</v>
      </c>
      <c r="I165" s="75">
        <v>103</v>
      </c>
      <c r="J165" s="154">
        <v>648</v>
      </c>
      <c r="K165" s="154">
        <v>104</v>
      </c>
      <c r="L165" s="155">
        <v>650</v>
      </c>
      <c r="M165" s="83">
        <v>28977.8</v>
      </c>
      <c r="N165" s="83">
        <v>27487.7</v>
      </c>
      <c r="O165" s="83">
        <v>29398</v>
      </c>
      <c r="P165" s="83">
        <v>27894.400000000001</v>
      </c>
      <c r="Q165" s="83">
        <v>29372.7</v>
      </c>
      <c r="R165" s="83">
        <v>27943.599999999999</v>
      </c>
      <c r="S165" s="83">
        <v>23676.799999999999</v>
      </c>
      <c r="T165" s="83">
        <v>22868.9</v>
      </c>
      <c r="U165" s="83">
        <v>28802.3</v>
      </c>
      <c r="V165" s="83">
        <v>27279.8</v>
      </c>
      <c r="X165" s="27">
        <f>Table25[[#This Row],[HDC1]]/Table25[[#This Row],[HCC1]]</f>
        <v>0.94857787685745643</v>
      </c>
      <c r="Y165" s="27">
        <f>Table25[[#This Row],[HDC2]]/Table25[[#This Row],[HCC2]]</f>
        <v>0.94885366351452483</v>
      </c>
      <c r="Z165" s="27">
        <f>Table25[[#This Row],[HDC3]]/Table25[[#This Row],[HCC3]]</f>
        <v>0.95134597772761775</v>
      </c>
      <c r="AA165" s="27">
        <f>Table25[[#This Row],[HDC4]]/Table25[[#This Row],[HCC4]]</f>
        <v>0.96587799026895538</v>
      </c>
      <c r="AB165" s="27">
        <f>Table25[[#This Row],[HDC5]]/Table25[[#This Row],[HCC5]]</f>
        <v>0.94713963815389746</v>
      </c>
      <c r="AF165">
        <f>SUM(Table25[[#This Row],[CC1]:[DC1]])</f>
        <v>755</v>
      </c>
      <c r="AG165">
        <f>SUM(Table25[[#This Row],[CC2]:[DC2]])</f>
        <v>754</v>
      </c>
      <c r="AH165">
        <f>SUM(Table25[[#This Row],[CC3]:[DC3]])</f>
        <v>752</v>
      </c>
      <c r="AI165">
        <f>SUM(Table25[[#This Row],[CC4]:[DC4]])</f>
        <v>751</v>
      </c>
      <c r="AJ165">
        <f>SUM(Table25[[#This Row],[CC5]:[DC5]])</f>
        <v>754</v>
      </c>
    </row>
    <row r="166" spans="1:36" ht="15">
      <c r="A166" t="s">
        <v>295</v>
      </c>
      <c r="B166" s="85" t="s">
        <v>575</v>
      </c>
      <c r="C166" s="126">
        <v>102</v>
      </c>
      <c r="D166" s="75">
        <v>649</v>
      </c>
      <c r="E166" s="75">
        <v>99</v>
      </c>
      <c r="F166" s="75">
        <v>655</v>
      </c>
      <c r="G166" s="75">
        <v>102</v>
      </c>
      <c r="H166" s="75">
        <v>647</v>
      </c>
      <c r="I166" s="75">
        <v>100</v>
      </c>
      <c r="J166" s="154">
        <v>655</v>
      </c>
      <c r="K166" s="154">
        <v>103</v>
      </c>
      <c r="L166" s="155">
        <v>652</v>
      </c>
      <c r="M166" s="83">
        <v>32531.5</v>
      </c>
      <c r="N166" s="83">
        <v>30774.1</v>
      </c>
      <c r="O166" s="83">
        <v>32604.400000000001</v>
      </c>
      <c r="P166" s="83">
        <v>30709.3</v>
      </c>
      <c r="Q166" s="83">
        <v>32252.3</v>
      </c>
      <c r="R166" s="83">
        <v>30467.599999999999</v>
      </c>
      <c r="S166" s="83">
        <v>32565.5</v>
      </c>
      <c r="T166" s="83">
        <v>30807.4</v>
      </c>
      <c r="U166" s="83">
        <v>32296.9</v>
      </c>
      <c r="V166" s="83">
        <v>30616.7</v>
      </c>
      <c r="X166" s="27">
        <f>Table25[[#This Row],[HDC1]]/Table25[[#This Row],[HCC1]]</f>
        <v>0.94597851313342451</v>
      </c>
      <c r="Y166" s="27">
        <f>Table25[[#This Row],[HDC2]]/Table25[[#This Row],[HCC2]]</f>
        <v>0.94187594312424083</v>
      </c>
      <c r="Z166" s="27">
        <f>Table25[[#This Row],[HDC3]]/Table25[[#This Row],[HCC3]]</f>
        <v>0.94466441153034042</v>
      </c>
      <c r="AA166" s="27">
        <f>Table25[[#This Row],[HDC4]]/Table25[[#This Row],[HCC4]]</f>
        <v>0.94601341910918002</v>
      </c>
      <c r="AB166" s="27">
        <f>Table25[[#This Row],[HDC5]]/Table25[[#This Row],[HCC5]]</f>
        <v>0.94797643117450903</v>
      </c>
      <c r="AF166">
        <f>SUM(Table25[[#This Row],[CC1]:[DC1]])</f>
        <v>751</v>
      </c>
      <c r="AG166">
        <f>SUM(Table25[[#This Row],[CC2]:[DC2]])</f>
        <v>754</v>
      </c>
      <c r="AH166">
        <f>SUM(Table25[[#This Row],[CC3]:[DC3]])</f>
        <v>749</v>
      </c>
      <c r="AI166">
        <f>SUM(Table25[[#This Row],[CC4]:[DC4]])</f>
        <v>755</v>
      </c>
      <c r="AJ166">
        <f>SUM(Table25[[#This Row],[CC5]:[DC5]])</f>
        <v>755</v>
      </c>
    </row>
    <row r="167" spans="1:36" ht="15">
      <c r="A167" t="s">
        <v>296</v>
      </c>
      <c r="B167" s="85" t="s">
        <v>576</v>
      </c>
      <c r="C167" s="126">
        <v>100</v>
      </c>
      <c r="D167" s="75">
        <v>657</v>
      </c>
      <c r="E167" s="75">
        <v>102</v>
      </c>
      <c r="F167" s="75">
        <v>655</v>
      </c>
      <c r="G167" s="75">
        <v>100</v>
      </c>
      <c r="H167" s="75">
        <v>659</v>
      </c>
      <c r="I167" s="75">
        <v>102</v>
      </c>
      <c r="J167" s="154">
        <v>654</v>
      </c>
      <c r="K167" s="154">
        <v>100</v>
      </c>
      <c r="L167" s="155">
        <v>654</v>
      </c>
      <c r="M167" s="83">
        <v>20702.599999999999</v>
      </c>
      <c r="N167" s="83">
        <v>19416.599999999999</v>
      </c>
      <c r="O167" s="83">
        <v>20508.8</v>
      </c>
      <c r="P167" s="83">
        <v>19209</v>
      </c>
      <c r="Q167" s="83">
        <v>20459.8</v>
      </c>
      <c r="R167" s="83">
        <v>19176.2</v>
      </c>
      <c r="S167" s="83">
        <v>20337.5</v>
      </c>
      <c r="T167" s="83">
        <v>19073.8</v>
      </c>
      <c r="U167" s="83">
        <v>20047.599999999999</v>
      </c>
      <c r="V167" s="83">
        <v>18732.599999999999</v>
      </c>
      <c r="X167" s="27">
        <f>Table25[[#This Row],[HDC1]]/Table25[[#This Row],[HCC1]]</f>
        <v>0.93788219837121911</v>
      </c>
      <c r="Y167" s="27">
        <f>Table25[[#This Row],[HDC2]]/Table25[[#This Row],[HCC2]]</f>
        <v>0.93662232797628342</v>
      </c>
      <c r="Z167" s="27">
        <f>Table25[[#This Row],[HDC3]]/Table25[[#This Row],[HCC3]]</f>
        <v>0.93726233883029164</v>
      </c>
      <c r="AA167" s="27">
        <f>Table25[[#This Row],[HDC4]]/Table25[[#This Row],[HCC4]]</f>
        <v>0.93786355255070675</v>
      </c>
      <c r="AB167" s="27">
        <f>Table25[[#This Row],[HDC5]]/Table25[[#This Row],[HCC5]]</f>
        <v>0.93440611344998903</v>
      </c>
      <c r="AF167">
        <f>SUM(Table25[[#This Row],[CC1]:[DC1]])</f>
        <v>757</v>
      </c>
      <c r="AG167">
        <f>SUM(Table25[[#This Row],[CC2]:[DC2]])</f>
        <v>757</v>
      </c>
      <c r="AH167">
        <f>SUM(Table25[[#This Row],[CC3]:[DC3]])</f>
        <v>759</v>
      </c>
      <c r="AI167">
        <f>SUM(Table25[[#This Row],[CC4]:[DC4]])</f>
        <v>756</v>
      </c>
      <c r="AJ167">
        <f>SUM(Table25[[#This Row],[CC5]:[DC5]])</f>
        <v>754</v>
      </c>
    </row>
    <row r="168" spans="1:36" ht="15">
      <c r="A168" t="s">
        <v>297</v>
      </c>
      <c r="B168" s="85" t="s">
        <v>577</v>
      </c>
      <c r="C168" s="126">
        <v>100</v>
      </c>
      <c r="D168" s="75">
        <v>655</v>
      </c>
      <c r="E168" s="75">
        <v>102</v>
      </c>
      <c r="F168" s="75">
        <v>653</v>
      </c>
      <c r="G168" s="75">
        <v>99</v>
      </c>
      <c r="H168" s="75">
        <v>648</v>
      </c>
      <c r="I168" s="75">
        <v>101</v>
      </c>
      <c r="J168" s="154">
        <v>652</v>
      </c>
      <c r="K168" s="154">
        <v>103</v>
      </c>
      <c r="L168" s="155">
        <v>649</v>
      </c>
      <c r="M168" s="83">
        <v>20962.3</v>
      </c>
      <c r="N168" s="83">
        <v>19539.7</v>
      </c>
      <c r="O168" s="83">
        <v>20009.599999999999</v>
      </c>
      <c r="P168" s="83">
        <v>18669.2</v>
      </c>
      <c r="Q168" s="83">
        <v>25797</v>
      </c>
      <c r="R168" s="83">
        <v>24310.799999999999</v>
      </c>
      <c r="S168" s="83">
        <v>25985.200000000001</v>
      </c>
      <c r="T168" s="83">
        <v>24500.9</v>
      </c>
      <c r="U168" s="83">
        <v>20497.900000000001</v>
      </c>
      <c r="V168" s="83">
        <v>19128.599999999999</v>
      </c>
      <c r="X168" s="27">
        <f>Table25[[#This Row],[HDC1]]/Table25[[#This Row],[HCC1]]</f>
        <v>0.93213530957957869</v>
      </c>
      <c r="Y168" s="27">
        <f>Table25[[#This Row],[HDC2]]/Table25[[#This Row],[HCC2]]</f>
        <v>0.93301215416600047</v>
      </c>
      <c r="Z168" s="27">
        <f>Table25[[#This Row],[HDC3]]/Table25[[#This Row],[HCC3]]</f>
        <v>0.94238864984300497</v>
      </c>
      <c r="AA168" s="27">
        <f>Table25[[#This Row],[HDC4]]/Table25[[#This Row],[HCC4]]</f>
        <v>0.94287902344411434</v>
      </c>
      <c r="AB168" s="27">
        <f>Table25[[#This Row],[HDC5]]/Table25[[#This Row],[HCC5]]</f>
        <v>0.93319803492065023</v>
      </c>
      <c r="AF168">
        <f>SUM(Table25[[#This Row],[CC1]:[DC1]])</f>
        <v>755</v>
      </c>
      <c r="AG168">
        <f>SUM(Table25[[#This Row],[CC2]:[DC2]])</f>
        <v>755</v>
      </c>
      <c r="AH168">
        <f>SUM(Table25[[#This Row],[CC3]:[DC3]])</f>
        <v>747</v>
      </c>
      <c r="AI168">
        <f>SUM(Table25[[#This Row],[CC4]:[DC4]])</f>
        <v>753</v>
      </c>
      <c r="AJ168">
        <f>SUM(Table25[[#This Row],[CC5]:[DC5]])</f>
        <v>752</v>
      </c>
    </row>
    <row r="169" spans="1:36" ht="15">
      <c r="A169" t="s">
        <v>298</v>
      </c>
      <c r="B169" s="85" t="s">
        <v>578</v>
      </c>
      <c r="C169" s="126">
        <v>101</v>
      </c>
      <c r="D169" s="75">
        <v>651</v>
      </c>
      <c r="E169" s="75">
        <v>106</v>
      </c>
      <c r="F169" s="75">
        <v>644</v>
      </c>
      <c r="G169" s="75">
        <v>100</v>
      </c>
      <c r="H169" s="75">
        <v>653</v>
      </c>
      <c r="I169" s="75">
        <v>101</v>
      </c>
      <c r="J169" s="154">
        <v>651</v>
      </c>
      <c r="K169" s="154">
        <v>102</v>
      </c>
      <c r="L169" s="155">
        <v>651</v>
      </c>
      <c r="M169" s="83">
        <v>31966.3</v>
      </c>
      <c r="N169" s="83">
        <v>30177.7</v>
      </c>
      <c r="O169" s="83">
        <v>31709.5</v>
      </c>
      <c r="P169" s="83">
        <v>29996.400000000001</v>
      </c>
      <c r="Q169" s="83">
        <v>31815</v>
      </c>
      <c r="R169" s="83">
        <v>30145</v>
      </c>
      <c r="S169" s="83">
        <v>32510.6</v>
      </c>
      <c r="T169" s="83">
        <v>30753.7</v>
      </c>
      <c r="U169" s="83">
        <v>32699</v>
      </c>
      <c r="V169" s="83">
        <v>30984</v>
      </c>
      <c r="X169" s="27">
        <f>Table25[[#This Row],[HDC1]]/Table25[[#This Row],[HCC1]]</f>
        <v>0.94404732483897114</v>
      </c>
      <c r="Y169" s="27">
        <f>Table25[[#This Row],[HDC2]]/Table25[[#This Row],[HCC2]]</f>
        <v>0.94597518093946609</v>
      </c>
      <c r="Z169" s="27">
        <f>Table25[[#This Row],[HDC3]]/Table25[[#This Row],[HCC3]]</f>
        <v>0.9475090366179475</v>
      </c>
      <c r="AA169" s="27">
        <f>Table25[[#This Row],[HDC4]]/Table25[[#This Row],[HCC4]]</f>
        <v>0.94595916408802061</v>
      </c>
      <c r="AB169" s="27">
        <f>Table25[[#This Row],[HDC5]]/Table25[[#This Row],[HCC5]]</f>
        <v>0.94755191290253526</v>
      </c>
      <c r="AF169">
        <f>SUM(Table25[[#This Row],[CC1]:[DC1]])</f>
        <v>752</v>
      </c>
      <c r="AG169">
        <f>SUM(Table25[[#This Row],[CC2]:[DC2]])</f>
        <v>750</v>
      </c>
      <c r="AH169">
        <f>SUM(Table25[[#This Row],[CC3]:[DC3]])</f>
        <v>753</v>
      </c>
      <c r="AI169">
        <f>SUM(Table25[[#This Row],[CC4]:[DC4]])</f>
        <v>752</v>
      </c>
      <c r="AJ169">
        <f>SUM(Table25[[#This Row],[CC5]:[DC5]])</f>
        <v>753</v>
      </c>
    </row>
    <row r="170" spans="1:36" ht="15">
      <c r="A170" t="s">
        <v>299</v>
      </c>
      <c r="B170" s="85" t="s">
        <v>579</v>
      </c>
      <c r="C170" s="126">
        <v>101</v>
      </c>
      <c r="D170" s="75">
        <v>656</v>
      </c>
      <c r="E170" s="75">
        <v>102</v>
      </c>
      <c r="F170" s="75">
        <v>648</v>
      </c>
      <c r="G170" s="75">
        <v>105</v>
      </c>
      <c r="H170" s="75">
        <v>650</v>
      </c>
      <c r="I170" s="75">
        <v>103</v>
      </c>
      <c r="J170" s="154">
        <v>651</v>
      </c>
      <c r="K170" s="154">
        <v>105</v>
      </c>
      <c r="L170" s="155">
        <v>647</v>
      </c>
      <c r="M170" s="83">
        <v>26715.200000000001</v>
      </c>
      <c r="N170" s="83">
        <v>25187.1</v>
      </c>
      <c r="O170" s="83">
        <v>25541.3</v>
      </c>
      <c r="P170" s="83">
        <v>24719.9</v>
      </c>
      <c r="Q170" s="83">
        <v>26553.4</v>
      </c>
      <c r="R170" s="83">
        <v>24982.5</v>
      </c>
      <c r="S170" s="83">
        <v>26620.2</v>
      </c>
      <c r="T170" s="83">
        <v>25040.6</v>
      </c>
      <c r="U170" s="83">
        <v>26751.9</v>
      </c>
      <c r="V170" s="83">
        <v>25255.5</v>
      </c>
      <c r="X170" s="27">
        <f>Table25[[#This Row],[HDC1]]/Table25[[#This Row],[HCC1]]</f>
        <v>0.94280035335689039</v>
      </c>
      <c r="Y170" s="27">
        <f>Table25[[#This Row],[HDC2]]/Table25[[#This Row],[HCC2]]</f>
        <v>0.96784032136187281</v>
      </c>
      <c r="Z170" s="27">
        <f>Table25[[#This Row],[HDC3]]/Table25[[#This Row],[HCC3]]</f>
        <v>0.94083996776307366</v>
      </c>
      <c r="AA170" s="27">
        <f>Table25[[#This Row],[HDC4]]/Table25[[#This Row],[HCC4]]</f>
        <v>0.94066160284295375</v>
      </c>
      <c r="AB170" s="27">
        <f>Table25[[#This Row],[HDC5]]/Table25[[#This Row],[HCC5]]</f>
        <v>0.94406378612360242</v>
      </c>
      <c r="AF170">
        <f>SUM(Table25[[#This Row],[CC1]:[DC1]])</f>
        <v>757</v>
      </c>
      <c r="AG170">
        <f>SUM(Table25[[#This Row],[CC2]:[DC2]])</f>
        <v>750</v>
      </c>
      <c r="AH170">
        <f>SUM(Table25[[#This Row],[CC3]:[DC3]])</f>
        <v>755</v>
      </c>
      <c r="AI170">
        <f>SUM(Table25[[#This Row],[CC4]:[DC4]])</f>
        <v>754</v>
      </c>
      <c r="AJ170">
        <f>SUM(Table25[[#This Row],[CC5]:[DC5]])</f>
        <v>752</v>
      </c>
    </row>
    <row r="171" spans="1:36" ht="15">
      <c r="A171" t="s">
        <v>300</v>
      </c>
      <c r="B171" s="85" t="s">
        <v>580</v>
      </c>
      <c r="C171" s="126">
        <v>101</v>
      </c>
      <c r="D171" s="75">
        <v>651</v>
      </c>
      <c r="E171" s="75">
        <v>102</v>
      </c>
      <c r="F171" s="75">
        <v>646</v>
      </c>
      <c r="G171" s="75">
        <v>102</v>
      </c>
      <c r="H171" s="75">
        <v>649</v>
      </c>
      <c r="I171" s="75">
        <v>102</v>
      </c>
      <c r="J171" s="154">
        <v>644</v>
      </c>
      <c r="K171" s="154">
        <v>104</v>
      </c>
      <c r="L171" s="155">
        <v>646</v>
      </c>
      <c r="M171" s="83">
        <v>23049.9</v>
      </c>
      <c r="N171" s="83">
        <v>22345.5</v>
      </c>
      <c r="O171" s="83">
        <v>28539.1</v>
      </c>
      <c r="P171" s="83">
        <v>26936.6</v>
      </c>
      <c r="Q171" s="83">
        <v>26859.200000000001</v>
      </c>
      <c r="R171" s="83">
        <v>25334.6</v>
      </c>
      <c r="S171" s="83">
        <v>28854.799999999999</v>
      </c>
      <c r="T171" s="83">
        <v>27312.1</v>
      </c>
      <c r="U171" s="83">
        <v>26763.4</v>
      </c>
      <c r="V171" s="83">
        <v>25354.3</v>
      </c>
      <c r="X171" s="27">
        <f>Table25[[#This Row],[HDC1]]/Table25[[#This Row],[HCC1]]</f>
        <v>0.96944021449116913</v>
      </c>
      <c r="Y171" s="27">
        <f>Table25[[#This Row],[HDC2]]/Table25[[#This Row],[HCC2]]</f>
        <v>0.94384896510401517</v>
      </c>
      <c r="Z171" s="27">
        <f>Table25[[#This Row],[HDC3]]/Table25[[#This Row],[HCC3]]</f>
        <v>0.9432373265026508</v>
      </c>
      <c r="AA171" s="27">
        <f>Table25[[#This Row],[HDC4]]/Table25[[#This Row],[HCC4]]</f>
        <v>0.94653575834869763</v>
      </c>
      <c r="AB171" s="27">
        <f>Table25[[#This Row],[HDC5]]/Table25[[#This Row],[HCC5]]</f>
        <v>0.94734973882242157</v>
      </c>
      <c r="AF171">
        <f>SUM(Table25[[#This Row],[CC1]:[DC1]])</f>
        <v>752</v>
      </c>
      <c r="AG171">
        <f>SUM(Table25[[#This Row],[CC2]:[DC2]])</f>
        <v>748</v>
      </c>
      <c r="AH171">
        <f>SUM(Table25[[#This Row],[CC3]:[DC3]])</f>
        <v>751</v>
      </c>
      <c r="AI171">
        <f>SUM(Table25[[#This Row],[CC4]:[DC4]])</f>
        <v>746</v>
      </c>
      <c r="AJ171">
        <f>SUM(Table25[[#This Row],[CC5]:[DC5]])</f>
        <v>750</v>
      </c>
    </row>
    <row r="172" spans="1:36" ht="15">
      <c r="A172" t="s">
        <v>301</v>
      </c>
      <c r="B172" s="85" t="s">
        <v>581</v>
      </c>
      <c r="C172" s="126">
        <v>101</v>
      </c>
      <c r="D172" s="75">
        <v>650</v>
      </c>
      <c r="E172" s="75">
        <v>102</v>
      </c>
      <c r="F172" s="75">
        <v>651</v>
      </c>
      <c r="G172" s="75">
        <v>102</v>
      </c>
      <c r="H172" s="75">
        <v>648</v>
      </c>
      <c r="I172" s="75">
        <v>103</v>
      </c>
      <c r="J172" s="154">
        <v>649</v>
      </c>
      <c r="K172" s="154">
        <v>102</v>
      </c>
      <c r="L172" s="155">
        <v>648</v>
      </c>
      <c r="M172" s="83">
        <v>21601.3</v>
      </c>
      <c r="N172" s="83">
        <v>20240.2</v>
      </c>
      <c r="O172" s="83">
        <v>16163.2</v>
      </c>
      <c r="P172" s="83">
        <v>15588.4</v>
      </c>
      <c r="Q172" s="83">
        <v>21306.799999999999</v>
      </c>
      <c r="R172" s="83">
        <v>19995.5</v>
      </c>
      <c r="S172" s="83">
        <v>21389.3</v>
      </c>
      <c r="T172" s="83">
        <v>20074.900000000001</v>
      </c>
      <c r="U172" s="83">
        <v>21715.4</v>
      </c>
      <c r="V172" s="83">
        <v>20350.599999999999</v>
      </c>
      <c r="X172" s="27">
        <f>Table25[[#This Row],[HDC1]]/Table25[[#This Row],[HCC1]]</f>
        <v>0.93698990338544441</v>
      </c>
      <c r="Y172" s="27">
        <f>Table25[[#This Row],[HDC2]]/Table25[[#This Row],[HCC2]]</f>
        <v>0.96443773510195996</v>
      </c>
      <c r="Z172" s="27">
        <f>Table25[[#This Row],[HDC3]]/Table25[[#This Row],[HCC3]]</f>
        <v>0.93845626748268163</v>
      </c>
      <c r="AA172" s="27">
        <f>Table25[[#This Row],[HDC4]]/Table25[[#This Row],[HCC4]]</f>
        <v>0.93854871360914116</v>
      </c>
      <c r="AB172" s="27">
        <f>Table25[[#This Row],[HDC5]]/Table25[[#This Row],[HCC5]]</f>
        <v>0.93715059358796049</v>
      </c>
      <c r="AF172">
        <f>SUM(Table25[[#This Row],[CC1]:[DC1]])</f>
        <v>751</v>
      </c>
      <c r="AG172">
        <f>SUM(Table25[[#This Row],[CC2]:[DC2]])</f>
        <v>753</v>
      </c>
      <c r="AH172">
        <f>SUM(Table25[[#This Row],[CC3]:[DC3]])</f>
        <v>750</v>
      </c>
      <c r="AI172">
        <f>SUM(Table25[[#This Row],[CC4]:[DC4]])</f>
        <v>752</v>
      </c>
      <c r="AJ172">
        <f>SUM(Table25[[#This Row],[CC5]:[DC5]])</f>
        <v>750</v>
      </c>
    </row>
    <row r="173" spans="1:36" ht="15">
      <c r="A173" t="s">
        <v>302</v>
      </c>
      <c r="B173" s="85" t="s">
        <v>582</v>
      </c>
      <c r="C173" s="126">
        <v>101</v>
      </c>
      <c r="D173" s="75">
        <v>646</v>
      </c>
      <c r="E173" s="75">
        <v>101</v>
      </c>
      <c r="F173" s="75">
        <v>649</v>
      </c>
      <c r="G173" s="75">
        <v>103</v>
      </c>
      <c r="H173" s="75">
        <v>647</v>
      </c>
      <c r="I173" s="75">
        <v>101</v>
      </c>
      <c r="J173" s="154">
        <v>647</v>
      </c>
      <c r="K173" s="154">
        <v>102</v>
      </c>
      <c r="L173" s="155">
        <v>647</v>
      </c>
      <c r="M173" s="83">
        <v>27944.2</v>
      </c>
      <c r="N173" s="83">
        <v>26399.9</v>
      </c>
      <c r="O173" s="83">
        <v>27758.5</v>
      </c>
      <c r="P173" s="83">
        <v>26224.3</v>
      </c>
      <c r="Q173" s="83">
        <v>27842.9</v>
      </c>
      <c r="R173" s="83">
        <v>26371.200000000001</v>
      </c>
      <c r="S173" s="83">
        <v>27846.1</v>
      </c>
      <c r="T173" s="83">
        <v>26282</v>
      </c>
      <c r="U173" s="83">
        <v>27824.3</v>
      </c>
      <c r="V173" s="83">
        <v>26341</v>
      </c>
      <c r="X173" s="27">
        <f>Table25[[#This Row],[HDC1]]/Table25[[#This Row],[HCC1]]</f>
        <v>0.94473629590398012</v>
      </c>
      <c r="Y173" s="27">
        <f>Table25[[#This Row],[HDC2]]/Table25[[#This Row],[HCC2]]</f>
        <v>0.94473044292739161</v>
      </c>
      <c r="Z173" s="27">
        <f>Table25[[#This Row],[HDC3]]/Table25[[#This Row],[HCC3]]</f>
        <v>0.9471427186104896</v>
      </c>
      <c r="AA173" s="27">
        <f>Table25[[#This Row],[HDC4]]/Table25[[#This Row],[HCC4]]</f>
        <v>0.94383055436847529</v>
      </c>
      <c r="AB173" s="27">
        <f>Table25[[#This Row],[HDC5]]/Table25[[#This Row],[HCC5]]</f>
        <v>0.94669048277944101</v>
      </c>
      <c r="AF173">
        <f>SUM(Table25[[#This Row],[CC1]:[DC1]])</f>
        <v>747</v>
      </c>
      <c r="AG173">
        <f>SUM(Table25[[#This Row],[CC2]:[DC2]])</f>
        <v>750</v>
      </c>
      <c r="AH173">
        <f>SUM(Table25[[#This Row],[CC3]:[DC3]])</f>
        <v>750</v>
      </c>
      <c r="AI173">
        <f>SUM(Table25[[#This Row],[CC4]:[DC4]])</f>
        <v>748</v>
      </c>
      <c r="AJ173">
        <f>SUM(Table25[[#This Row],[CC5]:[DC5]])</f>
        <v>749</v>
      </c>
    </row>
    <row r="174" spans="1:36" ht="15">
      <c r="A174" t="s">
        <v>303</v>
      </c>
      <c r="B174" s="85" t="s">
        <v>583</v>
      </c>
      <c r="C174" s="126">
        <v>98</v>
      </c>
      <c r="D174" s="75">
        <v>654</v>
      </c>
      <c r="E174" s="75">
        <v>103</v>
      </c>
      <c r="F174" s="75">
        <v>651</v>
      </c>
      <c r="G174" s="75">
        <v>98</v>
      </c>
      <c r="H174" s="75">
        <v>657</v>
      </c>
      <c r="I174" s="75">
        <v>97</v>
      </c>
      <c r="J174" s="154">
        <v>656</v>
      </c>
      <c r="K174" s="154">
        <v>104</v>
      </c>
      <c r="L174" s="155">
        <v>651</v>
      </c>
      <c r="M174" s="83">
        <v>26106.6</v>
      </c>
      <c r="N174" s="83">
        <v>24577.3</v>
      </c>
      <c r="O174" s="83">
        <v>20307.8</v>
      </c>
      <c r="P174" s="83">
        <v>19362.8</v>
      </c>
      <c r="Q174" s="83">
        <v>20744.3</v>
      </c>
      <c r="R174" s="83">
        <v>19803.7</v>
      </c>
      <c r="S174" s="83">
        <v>26116.3</v>
      </c>
      <c r="T174" s="83">
        <v>24576.9</v>
      </c>
      <c r="U174" s="83">
        <v>25715.599999999999</v>
      </c>
      <c r="V174" s="83">
        <v>24186.6</v>
      </c>
      <c r="X174" s="27">
        <f>Table25[[#This Row],[HDC1]]/Table25[[#This Row],[HCC1]]</f>
        <v>0.94142094336298099</v>
      </c>
      <c r="Y174" s="27">
        <f>Table25[[#This Row],[HDC2]]/Table25[[#This Row],[HCC2]]</f>
        <v>0.95346615586129468</v>
      </c>
      <c r="Z174" s="27">
        <f>Table25[[#This Row],[HDC3]]/Table25[[#This Row],[HCC3]]</f>
        <v>0.95465742396706577</v>
      </c>
      <c r="AA174" s="27">
        <f>Table25[[#This Row],[HDC4]]/Table25[[#This Row],[HCC4]]</f>
        <v>0.94105596887767418</v>
      </c>
      <c r="AB174" s="27">
        <f>Table25[[#This Row],[HDC5]]/Table25[[#This Row],[HCC5]]</f>
        <v>0.94054192785702062</v>
      </c>
      <c r="AF174">
        <f>SUM(Table25[[#This Row],[CC1]:[DC1]])</f>
        <v>752</v>
      </c>
      <c r="AG174">
        <f>SUM(Table25[[#This Row],[CC2]:[DC2]])</f>
        <v>754</v>
      </c>
      <c r="AH174">
        <f>SUM(Table25[[#This Row],[CC3]:[DC3]])</f>
        <v>755</v>
      </c>
      <c r="AI174">
        <f>SUM(Table25[[#This Row],[CC4]:[DC4]])</f>
        <v>753</v>
      </c>
      <c r="AJ174">
        <f>SUM(Table25[[#This Row],[CC5]:[DC5]])</f>
        <v>755</v>
      </c>
    </row>
    <row r="175" spans="1:36" ht="15">
      <c r="A175" t="s">
        <v>304</v>
      </c>
      <c r="B175" s="85" t="s">
        <v>584</v>
      </c>
      <c r="C175" s="126">
        <v>98</v>
      </c>
      <c r="D175" s="75">
        <v>656</v>
      </c>
      <c r="E175" s="75">
        <v>102</v>
      </c>
      <c r="F175" s="75">
        <v>649</v>
      </c>
      <c r="G175" s="75">
        <v>104</v>
      </c>
      <c r="H175" s="75">
        <v>649</v>
      </c>
      <c r="I175" s="75">
        <v>101</v>
      </c>
      <c r="J175" s="154">
        <v>651</v>
      </c>
      <c r="K175" s="154">
        <v>98</v>
      </c>
      <c r="L175" s="155">
        <v>653</v>
      </c>
      <c r="M175" s="83">
        <v>20482.2</v>
      </c>
      <c r="N175" s="83">
        <v>19575.099999999999</v>
      </c>
      <c r="O175" s="83">
        <v>25331.7</v>
      </c>
      <c r="P175" s="83">
        <v>23942.799999999999</v>
      </c>
      <c r="Q175" s="83">
        <v>19871.7</v>
      </c>
      <c r="R175" s="83">
        <v>18983</v>
      </c>
      <c r="S175" s="83">
        <v>25329.5</v>
      </c>
      <c r="T175" s="83">
        <v>23890.7</v>
      </c>
      <c r="U175" s="83">
        <v>25642.2</v>
      </c>
      <c r="V175" s="83">
        <v>24112.3</v>
      </c>
      <c r="X175" s="27">
        <f>Table25[[#This Row],[HDC1]]/Table25[[#This Row],[HCC1]]</f>
        <v>0.95571276523029747</v>
      </c>
      <c r="Y175" s="27">
        <f>Table25[[#This Row],[HDC2]]/Table25[[#This Row],[HCC2]]</f>
        <v>0.94517146500234883</v>
      </c>
      <c r="Z175" s="27">
        <f>Table25[[#This Row],[HDC3]]/Table25[[#This Row],[HCC3]]</f>
        <v>0.95527810906968202</v>
      </c>
      <c r="AA175" s="27">
        <f>Table25[[#This Row],[HDC4]]/Table25[[#This Row],[HCC4]]</f>
        <v>0.94319666791685586</v>
      </c>
      <c r="AB175" s="27">
        <f>Table25[[#This Row],[HDC5]]/Table25[[#This Row],[HCC5]]</f>
        <v>0.94033663258222766</v>
      </c>
      <c r="AF175">
        <f>SUM(Table25[[#This Row],[CC1]:[DC1]])</f>
        <v>754</v>
      </c>
      <c r="AG175">
        <f>SUM(Table25[[#This Row],[CC2]:[DC2]])</f>
        <v>751</v>
      </c>
      <c r="AH175">
        <f>SUM(Table25[[#This Row],[CC3]:[DC3]])</f>
        <v>753</v>
      </c>
      <c r="AI175">
        <f>SUM(Table25[[#This Row],[CC4]:[DC4]])</f>
        <v>752</v>
      </c>
      <c r="AJ175">
        <f>SUM(Table25[[#This Row],[CC5]:[DC5]])</f>
        <v>751</v>
      </c>
    </row>
    <row r="176" spans="1:36" ht="15">
      <c r="A176" t="s">
        <v>305</v>
      </c>
      <c r="B176" s="85" t="s">
        <v>585</v>
      </c>
      <c r="C176" s="126">
        <v>100</v>
      </c>
      <c r="D176" s="75">
        <v>656</v>
      </c>
      <c r="E176" s="75">
        <v>101</v>
      </c>
      <c r="F176" s="75">
        <v>652</v>
      </c>
      <c r="G176" s="75">
        <v>99</v>
      </c>
      <c r="H176" s="75">
        <v>657</v>
      </c>
      <c r="I176" s="75">
        <v>103</v>
      </c>
      <c r="J176" s="154">
        <v>652</v>
      </c>
      <c r="K176" s="154">
        <v>102</v>
      </c>
      <c r="L176" s="155">
        <v>654</v>
      </c>
      <c r="M176" s="83">
        <v>19621.3</v>
      </c>
      <c r="N176" s="83">
        <v>18315.8</v>
      </c>
      <c r="O176" s="83">
        <v>20319.8</v>
      </c>
      <c r="P176" s="83">
        <v>18971.099999999999</v>
      </c>
      <c r="Q176" s="83">
        <v>20254.7</v>
      </c>
      <c r="R176" s="83">
        <v>18895.8</v>
      </c>
      <c r="S176" s="83">
        <v>20180</v>
      </c>
      <c r="T176" s="83">
        <v>18860.2</v>
      </c>
      <c r="U176" s="83">
        <v>18565.3</v>
      </c>
      <c r="V176" s="83">
        <v>17767.3</v>
      </c>
      <c r="X176" s="27">
        <f>Table25[[#This Row],[HDC1]]/Table25[[#This Row],[HCC1]]</f>
        <v>0.93346516285873005</v>
      </c>
      <c r="Y176" s="27">
        <f>Table25[[#This Row],[HDC2]]/Table25[[#This Row],[HCC2]]</f>
        <v>0.9336263152196379</v>
      </c>
      <c r="Z176" s="27">
        <f>Table25[[#This Row],[HDC3]]/Table25[[#This Row],[HCC3]]</f>
        <v>0.93290939880620294</v>
      </c>
      <c r="AA176" s="27">
        <f>Table25[[#This Row],[HDC4]]/Table25[[#This Row],[HCC4]]</f>
        <v>0.93459861248761156</v>
      </c>
      <c r="AB176" s="27">
        <f>Table25[[#This Row],[HDC5]]/Table25[[#This Row],[HCC5]]</f>
        <v>0.95701658470372142</v>
      </c>
      <c r="AF176">
        <f>SUM(Table25[[#This Row],[CC1]:[DC1]])</f>
        <v>756</v>
      </c>
      <c r="AG176">
        <f>SUM(Table25[[#This Row],[CC2]:[DC2]])</f>
        <v>753</v>
      </c>
      <c r="AH176">
        <f>SUM(Table25[[#This Row],[CC3]:[DC3]])</f>
        <v>756</v>
      </c>
      <c r="AI176">
        <f>SUM(Table25[[#This Row],[CC4]:[DC4]])</f>
        <v>755</v>
      </c>
      <c r="AJ176">
        <f>SUM(Table25[[#This Row],[CC5]:[DC5]])</f>
        <v>756</v>
      </c>
    </row>
    <row r="177" spans="1:36" ht="15">
      <c r="A177" t="s">
        <v>306</v>
      </c>
      <c r="B177" s="85" t="s">
        <v>586</v>
      </c>
      <c r="C177" s="126">
        <v>94</v>
      </c>
      <c r="D177" s="75">
        <v>654</v>
      </c>
      <c r="E177" s="75">
        <v>97</v>
      </c>
      <c r="F177" s="75">
        <v>656</v>
      </c>
      <c r="G177" s="75">
        <v>96</v>
      </c>
      <c r="H177" s="75">
        <v>655</v>
      </c>
      <c r="I177" s="75">
        <v>96</v>
      </c>
      <c r="J177" s="154">
        <v>656</v>
      </c>
      <c r="K177" s="154">
        <v>98</v>
      </c>
      <c r="L177" s="155">
        <v>653</v>
      </c>
      <c r="M177" s="83">
        <v>19627.599999999999</v>
      </c>
      <c r="N177" s="83">
        <v>18753.099999999999</v>
      </c>
      <c r="O177" s="83">
        <v>21711.1</v>
      </c>
      <c r="P177" s="83">
        <v>20412</v>
      </c>
      <c r="Q177" s="83">
        <v>21742.7</v>
      </c>
      <c r="R177" s="83">
        <v>20405.599999999999</v>
      </c>
      <c r="S177" s="83">
        <v>21713.5</v>
      </c>
      <c r="T177" s="83">
        <v>20378.7</v>
      </c>
      <c r="U177" s="83">
        <v>21745.599999999999</v>
      </c>
      <c r="V177" s="83">
        <v>20461.099999999999</v>
      </c>
      <c r="X177" s="27">
        <f>Table25[[#This Row],[HDC1]]/Table25[[#This Row],[HCC1]]</f>
        <v>0.95544539322178967</v>
      </c>
      <c r="Y177" s="27">
        <f>Table25[[#This Row],[HDC2]]/Table25[[#This Row],[HCC2]]</f>
        <v>0.94016424778108898</v>
      </c>
      <c r="Z177" s="27">
        <f>Table25[[#This Row],[HDC3]]/Table25[[#This Row],[HCC3]]</f>
        <v>0.93850349772567332</v>
      </c>
      <c r="AA177" s="27">
        <f>Table25[[#This Row],[HDC4]]/Table25[[#This Row],[HCC4]]</f>
        <v>0.93852672300642459</v>
      </c>
      <c r="AB177" s="27">
        <f>Table25[[#This Row],[HDC5]]/Table25[[#This Row],[HCC5]]</f>
        <v>0.94093057905967181</v>
      </c>
      <c r="AF177">
        <f>SUM(Table25[[#This Row],[CC1]:[DC1]])</f>
        <v>748</v>
      </c>
      <c r="AG177">
        <f>SUM(Table25[[#This Row],[CC2]:[DC2]])</f>
        <v>753</v>
      </c>
      <c r="AH177">
        <f>SUM(Table25[[#This Row],[CC3]:[DC3]])</f>
        <v>751</v>
      </c>
      <c r="AI177">
        <f>SUM(Table25[[#This Row],[CC4]:[DC4]])</f>
        <v>752</v>
      </c>
      <c r="AJ177">
        <f>SUM(Table25[[#This Row],[CC5]:[DC5]])</f>
        <v>751</v>
      </c>
    </row>
    <row r="178" spans="1:36" ht="15">
      <c r="A178" t="s">
        <v>307</v>
      </c>
      <c r="B178" s="85" t="s">
        <v>587</v>
      </c>
      <c r="C178" s="126">
        <v>99</v>
      </c>
      <c r="D178" s="75">
        <v>672</v>
      </c>
      <c r="E178" s="75">
        <v>97</v>
      </c>
      <c r="F178" s="75">
        <v>674</v>
      </c>
      <c r="G178" s="75">
        <v>84</v>
      </c>
      <c r="H178" s="75">
        <v>685</v>
      </c>
      <c r="I178" s="75">
        <v>83</v>
      </c>
      <c r="J178" s="154">
        <v>688</v>
      </c>
      <c r="K178" s="154">
        <v>91</v>
      </c>
      <c r="L178" s="155">
        <v>681</v>
      </c>
      <c r="M178" s="83">
        <v>14897.4</v>
      </c>
      <c r="N178" s="83">
        <v>13831.1</v>
      </c>
      <c r="O178" s="83">
        <v>15974.9</v>
      </c>
      <c r="P178" s="83">
        <v>14810.7</v>
      </c>
      <c r="Q178" s="83">
        <v>15292</v>
      </c>
      <c r="R178" s="83">
        <v>14103</v>
      </c>
      <c r="S178" s="83">
        <v>15886.3</v>
      </c>
      <c r="T178" s="83">
        <v>14694.4</v>
      </c>
      <c r="U178" s="83">
        <v>15962.7</v>
      </c>
      <c r="V178" s="83">
        <v>14766.7</v>
      </c>
      <c r="X178" s="27">
        <f>Table25[[#This Row],[HDC1]]/Table25[[#This Row],[HCC1]]</f>
        <v>0.92842375179561543</v>
      </c>
      <c r="Y178" s="27">
        <f>Table25[[#This Row],[HDC2]]/Table25[[#This Row],[HCC2]]</f>
        <v>0.92712317447996551</v>
      </c>
      <c r="Z178" s="27">
        <f>Table25[[#This Row],[HDC3]]/Table25[[#This Row],[HCC3]]</f>
        <v>0.92224692649751505</v>
      </c>
      <c r="AA178" s="27">
        <f>Table25[[#This Row],[HDC4]]/Table25[[#This Row],[HCC4]]</f>
        <v>0.92497309002096151</v>
      </c>
      <c r="AB178" s="27">
        <f>Table25[[#This Row],[HDC5]]/Table25[[#This Row],[HCC5]]</f>
        <v>0.92507533186741586</v>
      </c>
      <c r="AF178">
        <f>SUM(Table25[[#This Row],[CC1]:[DC1]])</f>
        <v>771</v>
      </c>
      <c r="AG178">
        <f>SUM(Table25[[#This Row],[CC2]:[DC2]])</f>
        <v>771</v>
      </c>
      <c r="AH178">
        <f>SUM(Table25[[#This Row],[CC3]:[DC3]])</f>
        <v>769</v>
      </c>
      <c r="AI178">
        <f>SUM(Table25[[#This Row],[CC4]:[DC4]])</f>
        <v>771</v>
      </c>
      <c r="AJ178">
        <f>SUM(Table25[[#This Row],[CC5]:[DC5]])</f>
        <v>772</v>
      </c>
    </row>
    <row r="179" spans="1:36" ht="15">
      <c r="A179" t="s">
        <v>308</v>
      </c>
      <c r="B179" s="85" t="s">
        <v>588</v>
      </c>
      <c r="C179" s="126">
        <v>63</v>
      </c>
      <c r="D179" s="75">
        <v>685</v>
      </c>
      <c r="E179" s="75">
        <v>63</v>
      </c>
      <c r="F179" s="75">
        <v>691</v>
      </c>
      <c r="G179" s="75">
        <v>62</v>
      </c>
      <c r="H179" s="75">
        <v>705</v>
      </c>
      <c r="I179" s="75">
        <v>142</v>
      </c>
      <c r="J179" s="154">
        <v>618</v>
      </c>
      <c r="K179" s="154">
        <v>135</v>
      </c>
      <c r="L179" s="155">
        <v>612</v>
      </c>
      <c r="M179" s="83">
        <v>16653.599999999999</v>
      </c>
      <c r="N179" s="83">
        <v>15512.7</v>
      </c>
      <c r="O179" s="83">
        <v>15701.2</v>
      </c>
      <c r="P179" s="83">
        <v>14580.2</v>
      </c>
      <c r="Q179" s="83">
        <v>15985.9</v>
      </c>
      <c r="R179" s="83">
        <v>14841.6</v>
      </c>
      <c r="S179" s="83">
        <v>16593</v>
      </c>
      <c r="T179" s="83">
        <v>15379.9</v>
      </c>
      <c r="U179" s="83">
        <v>16718.2</v>
      </c>
      <c r="V179" s="83">
        <v>15547.7</v>
      </c>
      <c r="X179" s="27">
        <f>Table25[[#This Row],[HDC1]]/Table25[[#This Row],[HCC1]]</f>
        <v>0.93149228995532507</v>
      </c>
      <c r="Y179" s="27">
        <f>Table25[[#This Row],[HDC2]]/Table25[[#This Row],[HCC2]]</f>
        <v>0.92860418311976156</v>
      </c>
      <c r="Z179" s="27">
        <f>Table25[[#This Row],[HDC3]]/Table25[[#This Row],[HCC3]]</f>
        <v>0.92841816851100034</v>
      </c>
      <c r="AA179" s="27">
        <f>Table25[[#This Row],[HDC4]]/Table25[[#This Row],[HCC4]]</f>
        <v>0.92689085759055023</v>
      </c>
      <c r="AB179" s="27">
        <f>Table25[[#This Row],[HDC5]]/Table25[[#This Row],[HCC5]]</f>
        <v>0.9299864817982797</v>
      </c>
      <c r="AF179">
        <f>SUM(Table25[[#This Row],[CC1]:[DC1]])</f>
        <v>748</v>
      </c>
      <c r="AG179">
        <f>SUM(Table25[[#This Row],[CC2]:[DC2]])</f>
        <v>754</v>
      </c>
      <c r="AH179">
        <f>SUM(Table25[[#This Row],[CC3]:[DC3]])</f>
        <v>767</v>
      </c>
      <c r="AI179">
        <f>SUM(Table25[[#This Row],[CC4]:[DC4]])</f>
        <v>760</v>
      </c>
      <c r="AJ179">
        <f>SUM(Table25[[#This Row],[CC5]:[DC5]])</f>
        <v>747</v>
      </c>
    </row>
    <row r="180" spans="1:36" ht="15">
      <c r="A180" t="s">
        <v>309</v>
      </c>
      <c r="B180" s="85" t="s">
        <v>589</v>
      </c>
      <c r="C180" s="126">
        <v>71</v>
      </c>
      <c r="D180" s="75">
        <v>677</v>
      </c>
      <c r="E180" s="75">
        <v>75</v>
      </c>
      <c r="F180" s="75">
        <v>672</v>
      </c>
      <c r="G180" s="75">
        <v>100</v>
      </c>
      <c r="H180" s="75">
        <v>649</v>
      </c>
      <c r="I180" s="75">
        <v>97</v>
      </c>
      <c r="J180" s="154">
        <v>648</v>
      </c>
      <c r="K180" s="154">
        <v>71</v>
      </c>
      <c r="L180" s="155">
        <v>678</v>
      </c>
      <c r="M180" s="83">
        <v>16615.2</v>
      </c>
      <c r="N180" s="83">
        <v>15456.4</v>
      </c>
      <c r="O180" s="83">
        <v>16184.2</v>
      </c>
      <c r="P180" s="83">
        <v>15087.6</v>
      </c>
      <c r="Q180" s="83">
        <v>16297.5</v>
      </c>
      <c r="R180" s="83">
        <v>15255.3</v>
      </c>
      <c r="S180" s="83">
        <v>16103</v>
      </c>
      <c r="T180" s="83">
        <v>14976.9</v>
      </c>
      <c r="U180" s="83">
        <v>16475.7</v>
      </c>
      <c r="V180" s="83">
        <v>15292.8</v>
      </c>
      <c r="X180" s="27">
        <f>Table25[[#This Row],[HDC1]]/Table25[[#This Row],[HCC1]]</f>
        <v>0.93025663248110158</v>
      </c>
      <c r="Y180" s="27">
        <f>Table25[[#This Row],[HDC2]]/Table25[[#This Row],[HCC2]]</f>
        <v>0.93224255755613494</v>
      </c>
      <c r="Z180" s="27">
        <f>Table25[[#This Row],[HDC3]]/Table25[[#This Row],[HCC3]]</f>
        <v>0.93605154164749194</v>
      </c>
      <c r="AA180" s="27">
        <f>Table25[[#This Row],[HDC4]]/Table25[[#This Row],[HCC4]]</f>
        <v>0.93006893125504564</v>
      </c>
      <c r="AB180" s="27">
        <f>Table25[[#This Row],[HDC5]]/Table25[[#This Row],[HCC5]]</f>
        <v>0.92820335403048115</v>
      </c>
      <c r="AF180">
        <f>SUM(Table25[[#This Row],[CC1]:[DC1]])</f>
        <v>748</v>
      </c>
      <c r="AG180">
        <f>SUM(Table25[[#This Row],[CC2]:[DC2]])</f>
        <v>747</v>
      </c>
      <c r="AH180">
        <f>SUM(Table25[[#This Row],[CC3]:[DC3]])</f>
        <v>749</v>
      </c>
      <c r="AI180">
        <f>SUM(Table25[[#This Row],[CC4]:[DC4]])</f>
        <v>745</v>
      </c>
      <c r="AJ180">
        <f>SUM(Table25[[#This Row],[CC5]:[DC5]])</f>
        <v>749</v>
      </c>
    </row>
    <row r="181" spans="1:36" ht="15">
      <c r="A181" t="s">
        <v>310</v>
      </c>
      <c r="B181" s="85" t="s">
        <v>590</v>
      </c>
      <c r="C181" s="126">
        <v>87</v>
      </c>
      <c r="D181" s="75">
        <v>661</v>
      </c>
      <c r="E181" s="75">
        <v>72</v>
      </c>
      <c r="F181" s="75">
        <v>663</v>
      </c>
      <c r="G181" s="75">
        <v>88</v>
      </c>
      <c r="H181" s="75">
        <v>673</v>
      </c>
      <c r="I181" s="75">
        <v>79</v>
      </c>
      <c r="J181" s="154">
        <v>658</v>
      </c>
      <c r="K181" s="154">
        <v>87</v>
      </c>
      <c r="L181" s="155">
        <v>667</v>
      </c>
      <c r="M181" s="83">
        <v>17230.2</v>
      </c>
      <c r="N181" s="83">
        <v>16073.8</v>
      </c>
      <c r="O181" s="83">
        <v>17128.3</v>
      </c>
      <c r="P181" s="83">
        <v>15922.2</v>
      </c>
      <c r="Q181" s="83">
        <v>14755.8</v>
      </c>
      <c r="R181" s="83">
        <v>13665.8</v>
      </c>
      <c r="S181" s="83">
        <v>17189.5</v>
      </c>
      <c r="T181" s="83">
        <v>15987.7</v>
      </c>
      <c r="U181" s="83">
        <v>17083.400000000001</v>
      </c>
      <c r="V181" s="83">
        <v>15840.2</v>
      </c>
      <c r="X181" s="27">
        <f>Table25[[#This Row],[HDC1]]/Table25[[#This Row],[HCC1]]</f>
        <v>0.9328852828173787</v>
      </c>
      <c r="Y181" s="27">
        <f>Table25[[#This Row],[HDC2]]/Table25[[#This Row],[HCC2]]</f>
        <v>0.92958437206260991</v>
      </c>
      <c r="Z181" s="27">
        <f>Table25[[#This Row],[HDC3]]/Table25[[#This Row],[HCC3]]</f>
        <v>0.9261307418100001</v>
      </c>
      <c r="AA181" s="27">
        <f>Table25[[#This Row],[HDC4]]/Table25[[#This Row],[HCC4]]</f>
        <v>0.93008522644637714</v>
      </c>
      <c r="AB181" s="27">
        <f>Table25[[#This Row],[HDC5]]/Table25[[#This Row],[HCC5]]</f>
        <v>0.92722760106302016</v>
      </c>
      <c r="AF181">
        <f>SUM(Table25[[#This Row],[CC1]:[DC1]])</f>
        <v>748</v>
      </c>
      <c r="AG181">
        <f>SUM(Table25[[#This Row],[CC2]:[DC2]])</f>
        <v>735</v>
      </c>
      <c r="AH181">
        <f>SUM(Table25[[#This Row],[CC3]:[DC3]])</f>
        <v>761</v>
      </c>
      <c r="AI181">
        <f>SUM(Table25[[#This Row],[CC4]:[DC4]])</f>
        <v>737</v>
      </c>
      <c r="AJ181">
        <f>SUM(Table25[[#This Row],[CC5]:[DC5]])</f>
        <v>754</v>
      </c>
    </row>
    <row r="182" spans="1:36" ht="15">
      <c r="A182" t="s">
        <v>311</v>
      </c>
      <c r="B182" s="85" t="s">
        <v>591</v>
      </c>
      <c r="C182" s="126">
        <v>100</v>
      </c>
      <c r="D182" s="75">
        <v>658</v>
      </c>
      <c r="E182" s="75">
        <v>105</v>
      </c>
      <c r="F182" s="75">
        <v>649</v>
      </c>
      <c r="G182" s="75">
        <v>98</v>
      </c>
      <c r="H182" s="75">
        <v>659.5</v>
      </c>
      <c r="I182" s="75">
        <v>98</v>
      </c>
      <c r="J182" s="154">
        <v>661.6</v>
      </c>
      <c r="K182" s="154">
        <v>98</v>
      </c>
      <c r="L182" s="155">
        <v>661</v>
      </c>
      <c r="M182" s="83">
        <v>29355.5</v>
      </c>
      <c r="N182" s="83">
        <v>27878.799999999999</v>
      </c>
      <c r="O182" s="83">
        <v>28861</v>
      </c>
      <c r="P182" s="83">
        <v>27455.3</v>
      </c>
      <c r="Q182" s="83">
        <v>24506.400000000001</v>
      </c>
      <c r="R182" s="83">
        <v>23887.5</v>
      </c>
      <c r="S182" s="83">
        <v>29222.7</v>
      </c>
      <c r="T182" s="83">
        <v>27617.5</v>
      </c>
      <c r="U182" s="83">
        <v>29382.7</v>
      </c>
      <c r="V182" s="83">
        <v>27858.7</v>
      </c>
      <c r="X182" s="27">
        <f>Table25[[#This Row],[HDC1]]/Table25[[#This Row],[HCC1]]</f>
        <v>0.94969596838752535</v>
      </c>
      <c r="Y182" s="27">
        <f>Table25[[#This Row],[HDC2]]/Table25[[#This Row],[HCC2]]</f>
        <v>0.95129413395239248</v>
      </c>
      <c r="Z182" s="27">
        <f>Table25[[#This Row],[HDC3]]/Table25[[#This Row],[HCC3]]</f>
        <v>0.97474537263735184</v>
      </c>
      <c r="AA182" s="27">
        <f>Table25[[#This Row],[HDC4]]/Table25[[#This Row],[HCC4]]</f>
        <v>0.94507009961434085</v>
      </c>
      <c r="AB182" s="27">
        <f>Table25[[#This Row],[HDC5]]/Table25[[#This Row],[HCC5]]</f>
        <v>0.94813274477839005</v>
      </c>
      <c r="AF182">
        <f>SUM(Table25[[#This Row],[CC1]:[DC1]])</f>
        <v>758</v>
      </c>
      <c r="AG182">
        <f>SUM(Table25[[#This Row],[CC2]:[DC2]])</f>
        <v>754</v>
      </c>
      <c r="AH182">
        <f>SUM(Table25[[#This Row],[CC3]:[DC3]])</f>
        <v>757.5</v>
      </c>
      <c r="AI182">
        <f>SUM(Table25[[#This Row],[CC4]:[DC4]])</f>
        <v>759.6</v>
      </c>
      <c r="AJ182">
        <f>SUM(Table25[[#This Row],[CC5]:[DC5]])</f>
        <v>759</v>
      </c>
    </row>
    <row r="183" spans="1:36" ht="15">
      <c r="A183" t="s">
        <v>312</v>
      </c>
      <c r="B183" s="85" t="s">
        <v>592</v>
      </c>
      <c r="C183" s="126">
        <v>100</v>
      </c>
      <c r="D183" s="75">
        <v>657</v>
      </c>
      <c r="E183" s="75">
        <v>96</v>
      </c>
      <c r="F183" s="75">
        <v>662</v>
      </c>
      <c r="G183" s="75">
        <v>101</v>
      </c>
      <c r="H183" s="75">
        <v>656</v>
      </c>
      <c r="I183" s="75">
        <v>103</v>
      </c>
      <c r="J183" s="154">
        <v>653</v>
      </c>
      <c r="K183" s="154">
        <v>102</v>
      </c>
      <c r="L183" s="155">
        <v>655</v>
      </c>
      <c r="M183" s="83">
        <v>29752.9</v>
      </c>
      <c r="N183" s="83">
        <v>28138.6</v>
      </c>
      <c r="O183" s="83">
        <v>29708.6</v>
      </c>
      <c r="P183" s="83">
        <v>28085.200000000001</v>
      </c>
      <c r="Q183" s="83">
        <v>24785.200000000001</v>
      </c>
      <c r="R183" s="83">
        <v>24175.3</v>
      </c>
      <c r="S183" s="83">
        <v>29357</v>
      </c>
      <c r="T183" s="83">
        <v>27741.7</v>
      </c>
      <c r="U183" s="83">
        <v>28829.200000000001</v>
      </c>
      <c r="V183" s="83">
        <v>27999</v>
      </c>
      <c r="X183" s="27">
        <f>Table25[[#This Row],[HDC1]]/Table25[[#This Row],[HCC1]]</f>
        <v>0.94574310403355633</v>
      </c>
      <c r="Y183" s="27">
        <f>Table25[[#This Row],[HDC2]]/Table25[[#This Row],[HCC2]]</f>
        <v>0.94535589021360822</v>
      </c>
      <c r="Z183" s="27">
        <f>Table25[[#This Row],[HDC3]]/Table25[[#This Row],[HCC3]]</f>
        <v>0.97539257298710513</v>
      </c>
      <c r="AA183" s="27">
        <f>Table25[[#This Row],[HDC4]]/Table25[[#This Row],[HCC4]]</f>
        <v>0.94497734782164389</v>
      </c>
      <c r="AB183" s="27">
        <f>Table25[[#This Row],[HDC5]]/Table25[[#This Row],[HCC5]]</f>
        <v>0.97120280826384353</v>
      </c>
      <c r="AF183">
        <f>SUM(Table25[[#This Row],[CC1]:[DC1]])</f>
        <v>757</v>
      </c>
      <c r="AG183">
        <f>SUM(Table25[[#This Row],[CC2]:[DC2]])</f>
        <v>758</v>
      </c>
      <c r="AH183">
        <f>SUM(Table25[[#This Row],[CC3]:[DC3]])</f>
        <v>757</v>
      </c>
      <c r="AI183">
        <f>SUM(Table25[[#This Row],[CC4]:[DC4]])</f>
        <v>756</v>
      </c>
      <c r="AJ183">
        <f>SUM(Table25[[#This Row],[CC5]:[DC5]])</f>
        <v>757</v>
      </c>
    </row>
    <row r="184" spans="1:36" ht="15">
      <c r="A184" t="s">
        <v>313</v>
      </c>
      <c r="B184" s="85" t="s">
        <v>593</v>
      </c>
      <c r="C184" s="126">
        <v>103</v>
      </c>
      <c r="D184" s="75">
        <v>655</v>
      </c>
      <c r="E184" s="75">
        <v>98</v>
      </c>
      <c r="F184" s="75">
        <v>658</v>
      </c>
      <c r="G184" s="75">
        <v>101</v>
      </c>
      <c r="H184" s="75">
        <v>654</v>
      </c>
      <c r="I184" s="75">
        <v>101</v>
      </c>
      <c r="J184" s="154">
        <v>658</v>
      </c>
      <c r="K184" s="154">
        <v>107</v>
      </c>
      <c r="L184" s="155">
        <v>648</v>
      </c>
      <c r="M184" s="83">
        <v>25353</v>
      </c>
      <c r="N184" s="83">
        <v>24656.400000000001</v>
      </c>
      <c r="O184" s="83">
        <v>29826.7</v>
      </c>
      <c r="P184" s="83">
        <v>28213.5</v>
      </c>
      <c r="Q184" s="83">
        <v>29837.5</v>
      </c>
      <c r="R184" s="83">
        <v>28238.3</v>
      </c>
      <c r="S184" s="83">
        <v>24980.7</v>
      </c>
      <c r="T184" s="83">
        <v>24203.599999999999</v>
      </c>
      <c r="U184" s="83">
        <v>28972.2</v>
      </c>
      <c r="V184" s="83">
        <v>28167.3</v>
      </c>
      <c r="X184" s="27">
        <f>Table25[[#This Row],[HDC1]]/Table25[[#This Row],[HCC1]]</f>
        <v>0.97252396166134192</v>
      </c>
      <c r="Y184" s="27">
        <f>Table25[[#This Row],[HDC2]]/Table25[[#This Row],[HCC2]]</f>
        <v>0.94591423120895035</v>
      </c>
      <c r="Z184" s="27">
        <f>Table25[[#This Row],[HDC3]]/Table25[[#This Row],[HCC3]]</f>
        <v>0.94640301633850021</v>
      </c>
      <c r="AA184" s="27">
        <f>Table25[[#This Row],[HDC4]]/Table25[[#This Row],[HCC4]]</f>
        <v>0.96889198461212045</v>
      </c>
      <c r="AB184" s="27">
        <f>Table25[[#This Row],[HDC5]]/Table25[[#This Row],[HCC5]]</f>
        <v>0.97221819537349596</v>
      </c>
      <c r="AF184">
        <f>SUM(Table25[[#This Row],[CC1]:[DC1]])</f>
        <v>758</v>
      </c>
      <c r="AG184">
        <f>SUM(Table25[[#This Row],[CC2]:[DC2]])</f>
        <v>756</v>
      </c>
      <c r="AH184">
        <f>SUM(Table25[[#This Row],[CC3]:[DC3]])</f>
        <v>755</v>
      </c>
      <c r="AI184">
        <f>SUM(Table25[[#This Row],[CC4]:[DC4]])</f>
        <v>759</v>
      </c>
      <c r="AJ184">
        <f>SUM(Table25[[#This Row],[CC5]:[DC5]])</f>
        <v>755</v>
      </c>
    </row>
    <row r="185" spans="1:36" ht="15">
      <c r="A185" t="s">
        <v>314</v>
      </c>
      <c r="B185" s="85" t="s">
        <v>594</v>
      </c>
      <c r="C185" s="126">
        <v>99</v>
      </c>
      <c r="D185" s="75">
        <v>659</v>
      </c>
      <c r="E185" s="75">
        <v>107</v>
      </c>
      <c r="F185" s="75">
        <v>653</v>
      </c>
      <c r="G185" s="75">
        <v>107</v>
      </c>
      <c r="H185" s="75">
        <v>648</v>
      </c>
      <c r="I185" s="75">
        <v>112</v>
      </c>
      <c r="J185" s="154">
        <v>648</v>
      </c>
      <c r="K185" s="154">
        <v>111</v>
      </c>
      <c r="L185" s="155">
        <v>645</v>
      </c>
      <c r="M185" s="83">
        <v>25113.200000000001</v>
      </c>
      <c r="N185" s="83">
        <v>24530.400000000001</v>
      </c>
      <c r="O185" s="83">
        <v>29396</v>
      </c>
      <c r="P185" s="83">
        <v>27878.400000000001</v>
      </c>
      <c r="Q185" s="83">
        <v>29316.1</v>
      </c>
      <c r="R185" s="83">
        <v>27846.6</v>
      </c>
      <c r="S185" s="83">
        <v>28452.3</v>
      </c>
      <c r="T185" s="83">
        <v>27697.200000000001</v>
      </c>
      <c r="U185" s="83">
        <v>24602.3</v>
      </c>
      <c r="V185" s="83">
        <v>24020.5</v>
      </c>
      <c r="X185" s="27">
        <f>Table25[[#This Row],[HDC1]]/Table25[[#This Row],[HCC1]]</f>
        <v>0.97679308092955097</v>
      </c>
      <c r="Y185" s="27">
        <f>Table25[[#This Row],[HDC2]]/Table25[[#This Row],[HCC2]]</f>
        <v>0.94837392842563617</v>
      </c>
      <c r="Z185" s="27">
        <f>Table25[[#This Row],[HDC3]]/Table25[[#This Row],[HCC3]]</f>
        <v>0.94987396004243407</v>
      </c>
      <c r="AA185" s="27">
        <f>Table25[[#This Row],[HDC4]]/Table25[[#This Row],[HCC4]]</f>
        <v>0.97346084499319918</v>
      </c>
      <c r="AB185" s="27">
        <f>Table25[[#This Row],[HDC5]]/Table25[[#This Row],[HCC5]]</f>
        <v>0.97635180450608283</v>
      </c>
      <c r="AF185">
        <f>SUM(Table25[[#This Row],[CC1]:[DC1]])</f>
        <v>758</v>
      </c>
      <c r="AG185">
        <f>SUM(Table25[[#This Row],[CC2]:[DC2]])</f>
        <v>760</v>
      </c>
      <c r="AH185">
        <f>SUM(Table25[[#This Row],[CC3]:[DC3]])</f>
        <v>755</v>
      </c>
      <c r="AI185">
        <f>SUM(Table25[[#This Row],[CC4]:[DC4]])</f>
        <v>760</v>
      </c>
      <c r="AJ185">
        <f>SUM(Table25[[#This Row],[CC5]:[DC5]])</f>
        <v>756</v>
      </c>
    </row>
    <row r="186" spans="1:36" ht="15">
      <c r="A186" t="s">
        <v>315</v>
      </c>
      <c r="B186" s="85" t="s">
        <v>595</v>
      </c>
      <c r="C186" s="126">
        <v>101</v>
      </c>
      <c r="D186" s="75">
        <v>651</v>
      </c>
      <c r="E186" s="75">
        <v>96</v>
      </c>
      <c r="F186" s="75">
        <v>656</v>
      </c>
      <c r="G186" s="75">
        <v>98</v>
      </c>
      <c r="H186" s="75">
        <v>656</v>
      </c>
      <c r="I186" s="75">
        <v>101</v>
      </c>
      <c r="J186" s="154">
        <v>654</v>
      </c>
      <c r="K186" s="154">
        <v>103</v>
      </c>
      <c r="L186" s="155">
        <v>650</v>
      </c>
      <c r="M186" s="83">
        <v>30934.400000000001</v>
      </c>
      <c r="N186" s="83">
        <v>29494</v>
      </c>
      <c r="O186" s="83">
        <v>32240.2</v>
      </c>
      <c r="P186" s="83">
        <v>30802.400000000001</v>
      </c>
      <c r="Q186" s="83">
        <v>31004.9</v>
      </c>
      <c r="R186" s="83">
        <v>29559</v>
      </c>
      <c r="S186" s="83">
        <v>30808.7</v>
      </c>
      <c r="T186" s="83">
        <v>29402.5</v>
      </c>
      <c r="U186" s="83">
        <v>30626.6</v>
      </c>
      <c r="V186" s="83">
        <v>29245.4</v>
      </c>
      <c r="X186" s="27">
        <f>Table25[[#This Row],[HDC1]]/Table25[[#This Row],[HCC1]]</f>
        <v>0.95343695044998444</v>
      </c>
      <c r="Y186" s="27">
        <f>Table25[[#This Row],[HDC2]]/Table25[[#This Row],[HCC2]]</f>
        <v>0.95540350245966221</v>
      </c>
      <c r="Z186" s="27">
        <f>Table25[[#This Row],[HDC3]]/Table25[[#This Row],[HCC3]]</f>
        <v>0.95336543578595634</v>
      </c>
      <c r="AA186" s="27">
        <f>Table25[[#This Row],[HDC4]]/Table25[[#This Row],[HCC4]]</f>
        <v>0.95435704849604164</v>
      </c>
      <c r="AB186" s="27">
        <f>Table25[[#This Row],[HDC5]]/Table25[[#This Row],[HCC5]]</f>
        <v>0.95490194797986072</v>
      </c>
      <c r="AF186">
        <f>SUM(Table25[[#This Row],[CC1]:[DC1]])</f>
        <v>752</v>
      </c>
      <c r="AG186">
        <f>SUM(Table25[[#This Row],[CC2]:[DC2]])</f>
        <v>752</v>
      </c>
      <c r="AH186">
        <f>SUM(Table25[[#This Row],[CC3]:[DC3]])</f>
        <v>754</v>
      </c>
      <c r="AI186">
        <f>SUM(Table25[[#This Row],[CC4]:[DC4]])</f>
        <v>755</v>
      </c>
      <c r="AJ186">
        <f>SUM(Table25[[#This Row],[CC5]:[DC5]])</f>
        <v>753</v>
      </c>
    </row>
    <row r="187" spans="1:36" ht="15">
      <c r="A187" t="s">
        <v>316</v>
      </c>
      <c r="B187" s="85" t="s">
        <v>596</v>
      </c>
      <c r="C187" s="126">
        <v>101</v>
      </c>
      <c r="D187" s="75">
        <v>651</v>
      </c>
      <c r="E187" s="75">
        <v>102</v>
      </c>
      <c r="F187" s="75">
        <v>651</v>
      </c>
      <c r="G187" s="75">
        <v>101</v>
      </c>
      <c r="H187" s="75">
        <v>650</v>
      </c>
      <c r="I187" s="75">
        <v>100</v>
      </c>
      <c r="J187" s="154">
        <v>651</v>
      </c>
      <c r="K187" s="154">
        <v>103</v>
      </c>
      <c r="L187" s="155">
        <v>651</v>
      </c>
      <c r="M187" s="83">
        <v>31701.3</v>
      </c>
      <c r="N187" s="83">
        <v>30033.8</v>
      </c>
      <c r="O187" s="83">
        <v>30374.5</v>
      </c>
      <c r="P187" s="83">
        <v>28774.6</v>
      </c>
      <c r="Q187" s="83">
        <v>31410.1</v>
      </c>
      <c r="R187" s="83">
        <v>29725.3</v>
      </c>
      <c r="S187" s="83">
        <v>31444.6</v>
      </c>
      <c r="T187" s="83">
        <v>29739.7</v>
      </c>
      <c r="U187" s="83">
        <v>30432.6</v>
      </c>
      <c r="V187" s="83">
        <v>28824.7</v>
      </c>
      <c r="X187" s="27">
        <f>Table25[[#This Row],[HDC1]]/Table25[[#This Row],[HCC1]]</f>
        <v>0.94739963345351763</v>
      </c>
      <c r="Y187" s="27">
        <f>Table25[[#This Row],[HDC2]]/Table25[[#This Row],[HCC2]]</f>
        <v>0.94732752802515263</v>
      </c>
      <c r="Z187" s="27">
        <f>Table25[[#This Row],[HDC3]]/Table25[[#This Row],[HCC3]]</f>
        <v>0.9463612022884359</v>
      </c>
      <c r="AA187" s="27">
        <f>Table25[[#This Row],[HDC4]]/Table25[[#This Row],[HCC4]]</f>
        <v>0.94578083359304943</v>
      </c>
      <c r="AB187" s="27">
        <f>Table25[[#This Row],[HDC5]]/Table25[[#This Row],[HCC5]]</f>
        <v>0.94716521099084539</v>
      </c>
      <c r="AF187">
        <f>SUM(Table25[[#This Row],[CC1]:[DC1]])</f>
        <v>752</v>
      </c>
      <c r="AG187">
        <f>SUM(Table25[[#This Row],[CC2]:[DC2]])</f>
        <v>753</v>
      </c>
      <c r="AH187">
        <f>SUM(Table25[[#This Row],[CC3]:[DC3]])</f>
        <v>751</v>
      </c>
      <c r="AI187">
        <f>SUM(Table25[[#This Row],[CC4]:[DC4]])</f>
        <v>751</v>
      </c>
      <c r="AJ187">
        <f>SUM(Table25[[#This Row],[CC5]:[DC5]])</f>
        <v>754</v>
      </c>
    </row>
    <row r="188" spans="1:36" ht="15">
      <c r="A188" t="s">
        <v>317</v>
      </c>
      <c r="B188" s="85" t="s">
        <v>597</v>
      </c>
      <c r="C188" s="126">
        <v>100</v>
      </c>
      <c r="D188" s="75">
        <v>653</v>
      </c>
      <c r="E188" s="75">
        <v>100</v>
      </c>
      <c r="F188" s="75">
        <v>649</v>
      </c>
      <c r="G188" s="75">
        <v>100</v>
      </c>
      <c r="H188" s="75">
        <v>652</v>
      </c>
      <c r="I188" s="75">
        <v>100</v>
      </c>
      <c r="J188" s="154">
        <v>652</v>
      </c>
      <c r="K188" s="154">
        <v>101</v>
      </c>
      <c r="L188" s="155">
        <v>653</v>
      </c>
      <c r="M188" s="83">
        <v>26596.9</v>
      </c>
      <c r="N188" s="83">
        <v>25941.9</v>
      </c>
      <c r="O188" s="83">
        <v>25795.7</v>
      </c>
      <c r="P188" s="83">
        <v>25054.3</v>
      </c>
      <c r="Q188" s="83">
        <v>30654.400000000001</v>
      </c>
      <c r="R188" s="83">
        <v>28996</v>
      </c>
      <c r="S188" s="83">
        <v>30764.799999999999</v>
      </c>
      <c r="T188" s="83">
        <v>29133</v>
      </c>
      <c r="U188" s="83">
        <v>26571.3</v>
      </c>
      <c r="V188" s="83">
        <v>25884.400000000001</v>
      </c>
      <c r="X188" s="27">
        <f>Table25[[#This Row],[HDC1]]/Table25[[#This Row],[HCC1]]</f>
        <v>0.97537306979384819</v>
      </c>
      <c r="Y188" s="27">
        <f>Table25[[#This Row],[HDC2]]/Table25[[#This Row],[HCC2]]</f>
        <v>0.97125877568742069</v>
      </c>
      <c r="Z188" s="27">
        <f>Table25[[#This Row],[HDC3]]/Table25[[#This Row],[HCC3]]</f>
        <v>0.94590009917010276</v>
      </c>
      <c r="AA188" s="27">
        <f>Table25[[#This Row],[HDC4]]/Table25[[#This Row],[HCC4]]</f>
        <v>0.946958862076139</v>
      </c>
      <c r="AB188" s="27">
        <f>Table25[[#This Row],[HDC5]]/Table25[[#This Row],[HCC5]]</f>
        <v>0.97414879964472956</v>
      </c>
      <c r="AF188">
        <f>SUM(Table25[[#This Row],[CC1]:[DC1]])</f>
        <v>753</v>
      </c>
      <c r="AG188">
        <f>SUM(Table25[[#This Row],[CC2]:[DC2]])</f>
        <v>749</v>
      </c>
      <c r="AH188">
        <f>SUM(Table25[[#This Row],[CC3]:[DC3]])</f>
        <v>752</v>
      </c>
      <c r="AI188">
        <f>SUM(Table25[[#This Row],[CC4]:[DC4]])</f>
        <v>752</v>
      </c>
      <c r="AJ188">
        <f>SUM(Table25[[#This Row],[CC5]:[DC5]])</f>
        <v>754</v>
      </c>
    </row>
    <row r="189" spans="1:36" ht="15">
      <c r="A189" t="s">
        <v>318</v>
      </c>
      <c r="B189" s="85" t="s">
        <v>598</v>
      </c>
      <c r="C189" s="126">
        <v>111</v>
      </c>
      <c r="D189" s="75">
        <v>645</v>
      </c>
      <c r="E189" s="75">
        <v>101</v>
      </c>
      <c r="F189" s="75">
        <v>652</v>
      </c>
      <c r="G189" s="75">
        <v>98</v>
      </c>
      <c r="H189" s="75">
        <v>657</v>
      </c>
      <c r="I189" s="75">
        <v>107</v>
      </c>
      <c r="J189" s="154">
        <v>646</v>
      </c>
      <c r="K189" s="154">
        <v>103</v>
      </c>
      <c r="L189" s="155">
        <v>643</v>
      </c>
      <c r="M189" s="83">
        <v>30504.1</v>
      </c>
      <c r="N189" s="83">
        <v>28828.6</v>
      </c>
      <c r="O189" s="83">
        <v>30682.7</v>
      </c>
      <c r="P189" s="83">
        <v>29039.1</v>
      </c>
      <c r="Q189" s="83">
        <v>31857.7</v>
      </c>
      <c r="R189" s="83">
        <v>30221.7</v>
      </c>
      <c r="S189" s="83">
        <v>30109.599999999999</v>
      </c>
      <c r="T189" s="83">
        <v>28540.2</v>
      </c>
      <c r="U189" s="83">
        <v>30765</v>
      </c>
      <c r="V189" s="83">
        <v>29174.799999999999</v>
      </c>
      <c r="X189" s="27">
        <f>Table25[[#This Row],[HDC1]]/Table25[[#This Row],[HCC1]]</f>
        <v>0.94507295740572583</v>
      </c>
      <c r="Y189" s="27">
        <f>Table25[[#This Row],[HDC2]]/Table25[[#This Row],[HCC2]]</f>
        <v>0.94643235438862938</v>
      </c>
      <c r="Z189" s="27">
        <f>Table25[[#This Row],[HDC3]]/Table25[[#This Row],[HCC3]]</f>
        <v>0.94864663801843829</v>
      </c>
      <c r="AA189" s="27">
        <f>Table25[[#This Row],[HDC4]]/Table25[[#This Row],[HCC4]]</f>
        <v>0.94787708903472656</v>
      </c>
      <c r="AB189" s="27">
        <f>Table25[[#This Row],[HDC5]]/Table25[[#This Row],[HCC5]]</f>
        <v>0.94831139281651222</v>
      </c>
      <c r="AF189">
        <f>SUM(Table25[[#This Row],[CC1]:[DC1]])</f>
        <v>756</v>
      </c>
      <c r="AG189">
        <f>SUM(Table25[[#This Row],[CC2]:[DC2]])</f>
        <v>753</v>
      </c>
      <c r="AH189">
        <f>SUM(Table25[[#This Row],[CC3]:[DC3]])</f>
        <v>755</v>
      </c>
      <c r="AI189">
        <f>SUM(Table25[[#This Row],[CC4]:[DC4]])</f>
        <v>753</v>
      </c>
      <c r="AJ189">
        <f>SUM(Table25[[#This Row],[CC5]:[DC5]])</f>
        <v>746</v>
      </c>
    </row>
    <row r="190" spans="1:36" ht="15">
      <c r="A190" t="s">
        <v>319</v>
      </c>
      <c r="B190" s="85" t="s">
        <v>599</v>
      </c>
      <c r="C190" s="126">
        <v>99</v>
      </c>
      <c r="D190" s="75">
        <v>686</v>
      </c>
      <c r="E190" s="75">
        <v>102</v>
      </c>
      <c r="F190" s="75">
        <v>685</v>
      </c>
      <c r="G190" s="75">
        <v>110</v>
      </c>
      <c r="H190" s="75">
        <v>656</v>
      </c>
      <c r="I190" s="75">
        <v>103</v>
      </c>
      <c r="J190" s="154">
        <v>683</v>
      </c>
      <c r="K190" s="154">
        <v>102</v>
      </c>
      <c r="L190" s="155">
        <v>683</v>
      </c>
      <c r="M190" s="83">
        <v>34068.199999999997</v>
      </c>
      <c r="N190" s="83">
        <v>32272.9</v>
      </c>
      <c r="O190" s="83">
        <v>32504.2</v>
      </c>
      <c r="P190" s="83">
        <v>31043.9</v>
      </c>
      <c r="Q190" s="83">
        <v>21140</v>
      </c>
      <c r="R190" s="83">
        <v>19806.099999999999</v>
      </c>
      <c r="S190" s="83">
        <v>33654.800000000003</v>
      </c>
      <c r="T190" s="83">
        <v>31836.400000000001</v>
      </c>
      <c r="U190" s="83">
        <v>32908.199999999997</v>
      </c>
      <c r="V190" s="83">
        <v>31115.599999999999</v>
      </c>
      <c r="X190" s="27">
        <f>Table25[[#This Row],[HDC1]]/Table25[[#This Row],[HCC1]]</f>
        <v>0.9473027632807135</v>
      </c>
      <c r="Y190" s="27">
        <f>Table25[[#This Row],[HDC2]]/Table25[[#This Row],[HCC2]]</f>
        <v>0.95507349819407961</v>
      </c>
      <c r="Z190" s="27">
        <f>Table25[[#This Row],[HDC3]]/Table25[[#This Row],[HCC3]]</f>
        <v>0.93690160832544933</v>
      </c>
      <c r="AA190" s="27">
        <f>Table25[[#This Row],[HDC4]]/Table25[[#This Row],[HCC4]]</f>
        <v>0.94596907424795273</v>
      </c>
      <c r="AB190" s="27">
        <f>Table25[[#This Row],[HDC5]]/Table25[[#This Row],[HCC5]]</f>
        <v>0.94552725460523523</v>
      </c>
      <c r="AF190">
        <f>SUM(Table25[[#This Row],[CC1]:[DC1]])</f>
        <v>785</v>
      </c>
      <c r="AG190">
        <f>SUM(Table25[[#This Row],[CC2]:[DC2]])</f>
        <v>787</v>
      </c>
      <c r="AH190">
        <f>SUM(Table25[[#This Row],[CC3]:[DC3]])</f>
        <v>766</v>
      </c>
      <c r="AI190">
        <f>SUM(Table25[[#This Row],[CC4]:[DC4]])</f>
        <v>786</v>
      </c>
      <c r="AJ190">
        <f>SUM(Table25[[#This Row],[CC5]:[DC5]])</f>
        <v>785</v>
      </c>
    </row>
    <row r="191" spans="1:36" ht="15">
      <c r="A191" t="s">
        <v>320</v>
      </c>
      <c r="B191" s="85" t="s">
        <v>600</v>
      </c>
      <c r="C191" s="126">
        <v>100</v>
      </c>
      <c r="D191" s="75">
        <v>652</v>
      </c>
      <c r="E191" s="75">
        <v>99</v>
      </c>
      <c r="F191" s="75">
        <v>650</v>
      </c>
      <c r="G191" s="75">
        <v>99</v>
      </c>
      <c r="H191" s="75">
        <v>650</v>
      </c>
      <c r="I191" s="75">
        <v>101</v>
      </c>
      <c r="J191" s="154">
        <v>651</v>
      </c>
      <c r="K191" s="154">
        <v>101</v>
      </c>
      <c r="L191" s="155">
        <v>651</v>
      </c>
      <c r="M191" s="83">
        <v>31896.400000000001</v>
      </c>
      <c r="N191" s="83">
        <v>30193.5</v>
      </c>
      <c r="O191" s="83">
        <v>31681.7</v>
      </c>
      <c r="P191" s="83">
        <v>30024.2</v>
      </c>
      <c r="Q191" s="83">
        <v>30907.9</v>
      </c>
      <c r="R191" s="83">
        <v>29962.1</v>
      </c>
      <c r="S191" s="83">
        <v>31549.9</v>
      </c>
      <c r="T191" s="83">
        <v>29901.8</v>
      </c>
      <c r="U191" s="83">
        <v>31765.5</v>
      </c>
      <c r="V191" s="83">
        <v>30165</v>
      </c>
      <c r="X191" s="27">
        <f>Table25[[#This Row],[HDC1]]/Table25[[#This Row],[HCC1]]</f>
        <v>0.94661152982781749</v>
      </c>
      <c r="Y191" s="27">
        <f>Table25[[#This Row],[HDC2]]/Table25[[#This Row],[HCC2]]</f>
        <v>0.94768273167159589</v>
      </c>
      <c r="Z191" s="27">
        <f>Table25[[#This Row],[HDC3]]/Table25[[#This Row],[HCC3]]</f>
        <v>0.96939940921253132</v>
      </c>
      <c r="AA191" s="27">
        <f>Table25[[#This Row],[HDC4]]/Table25[[#This Row],[HCC4]]</f>
        <v>0.94776211652017905</v>
      </c>
      <c r="AB191" s="27">
        <f>Table25[[#This Row],[HDC5]]/Table25[[#This Row],[HCC5]]</f>
        <v>0.94961514851017614</v>
      </c>
      <c r="AF191">
        <f>SUM(Table25[[#This Row],[CC1]:[DC1]])</f>
        <v>752</v>
      </c>
      <c r="AG191">
        <f>SUM(Table25[[#This Row],[CC2]:[DC2]])</f>
        <v>749</v>
      </c>
      <c r="AH191">
        <f>SUM(Table25[[#This Row],[CC3]:[DC3]])</f>
        <v>749</v>
      </c>
      <c r="AI191">
        <f>SUM(Table25[[#This Row],[CC4]:[DC4]])</f>
        <v>752</v>
      </c>
      <c r="AJ191">
        <f>SUM(Table25[[#This Row],[CC5]:[DC5]])</f>
        <v>752</v>
      </c>
    </row>
    <row r="192" spans="1:36" ht="15">
      <c r="A192" t="s">
        <v>321</v>
      </c>
      <c r="B192" s="85" t="s">
        <v>601</v>
      </c>
      <c r="C192" s="126">
        <v>98</v>
      </c>
      <c r="D192" s="75">
        <v>659</v>
      </c>
      <c r="E192" s="75">
        <v>97</v>
      </c>
      <c r="F192" s="75">
        <v>660</v>
      </c>
      <c r="G192" s="75">
        <v>103</v>
      </c>
      <c r="H192" s="75">
        <v>655</v>
      </c>
      <c r="I192" s="75">
        <v>97</v>
      </c>
      <c r="J192" s="154">
        <v>661</v>
      </c>
      <c r="K192" s="154">
        <v>99</v>
      </c>
      <c r="L192" s="155">
        <v>657</v>
      </c>
      <c r="M192" s="83">
        <v>31966.400000000001</v>
      </c>
      <c r="N192" s="83">
        <v>30276.9</v>
      </c>
      <c r="O192" s="83">
        <v>31873.599999999999</v>
      </c>
      <c r="P192" s="83">
        <v>30212.7</v>
      </c>
      <c r="Q192" s="83">
        <v>31657</v>
      </c>
      <c r="R192" s="83">
        <v>30085.8</v>
      </c>
      <c r="S192" s="83">
        <v>31751.200000000001</v>
      </c>
      <c r="T192" s="83">
        <v>30030.9</v>
      </c>
      <c r="U192" s="83">
        <v>27197</v>
      </c>
      <c r="V192" s="83">
        <v>26611.7</v>
      </c>
      <c r="X192" s="27">
        <f>Table25[[#This Row],[HDC1]]/Table25[[#This Row],[HCC1]]</f>
        <v>0.94714763001151214</v>
      </c>
      <c r="Y192" s="27">
        <f>Table25[[#This Row],[HDC2]]/Table25[[#This Row],[HCC2]]</f>
        <v>0.94789104462627383</v>
      </c>
      <c r="Z192" s="27">
        <f>Table25[[#This Row],[HDC3]]/Table25[[#This Row],[HCC3]]</f>
        <v>0.95036800707584423</v>
      </c>
      <c r="AA192" s="27">
        <f>Table25[[#This Row],[HDC4]]/Table25[[#This Row],[HCC4]]</f>
        <v>0.94581937060646526</v>
      </c>
      <c r="AB192" s="27">
        <f>Table25[[#This Row],[HDC5]]/Table25[[#This Row],[HCC5]]</f>
        <v>0.97847924403426856</v>
      </c>
      <c r="AF192">
        <f>SUM(Table25[[#This Row],[CC1]:[DC1]])</f>
        <v>757</v>
      </c>
      <c r="AG192">
        <f>SUM(Table25[[#This Row],[CC2]:[DC2]])</f>
        <v>757</v>
      </c>
      <c r="AH192">
        <f>SUM(Table25[[#This Row],[CC3]:[DC3]])</f>
        <v>758</v>
      </c>
      <c r="AI192">
        <f>SUM(Table25[[#This Row],[CC4]:[DC4]])</f>
        <v>758</v>
      </c>
      <c r="AJ192">
        <f>SUM(Table25[[#This Row],[CC5]:[DC5]])</f>
        <v>756</v>
      </c>
    </row>
    <row r="193" spans="1:36" ht="15">
      <c r="A193" t="s">
        <v>322</v>
      </c>
      <c r="B193" s="85" t="s">
        <v>602</v>
      </c>
      <c r="C193" s="126">
        <v>99</v>
      </c>
      <c r="D193" s="75">
        <v>651</v>
      </c>
      <c r="E193" s="75">
        <v>100</v>
      </c>
      <c r="F193" s="75">
        <v>651</v>
      </c>
      <c r="G193" s="75">
        <v>99</v>
      </c>
      <c r="H193" s="75">
        <v>653</v>
      </c>
      <c r="I193" s="75">
        <v>105</v>
      </c>
      <c r="J193" s="154">
        <v>644</v>
      </c>
      <c r="K193" s="154">
        <v>100</v>
      </c>
      <c r="L193" s="155">
        <v>650</v>
      </c>
      <c r="M193" s="83">
        <v>25458.5</v>
      </c>
      <c r="N193" s="83">
        <v>24016.9</v>
      </c>
      <c r="O193" s="83">
        <v>20554.2</v>
      </c>
      <c r="P193" s="83">
        <v>20075.5</v>
      </c>
      <c r="Q193" s="83">
        <v>25242.400000000001</v>
      </c>
      <c r="R193" s="83">
        <v>23731.9</v>
      </c>
      <c r="S193" s="83">
        <v>24972.9</v>
      </c>
      <c r="T193" s="83">
        <v>23614.1</v>
      </c>
      <c r="U193" s="83">
        <v>21904.1</v>
      </c>
      <c r="V193" s="83">
        <v>20576</v>
      </c>
      <c r="X193" s="27">
        <f>Table25[[#This Row],[HDC1]]/Table25[[#This Row],[HCC1]]</f>
        <v>0.94337451145982687</v>
      </c>
      <c r="Y193" s="27">
        <f>Table25[[#This Row],[HDC2]]/Table25[[#This Row],[HCC2]]</f>
        <v>0.97671035603428979</v>
      </c>
      <c r="Z193" s="27">
        <f>Table25[[#This Row],[HDC3]]/Table25[[#This Row],[HCC3]]</f>
        <v>0.94016020663645294</v>
      </c>
      <c r="AA193" s="27">
        <f>Table25[[#This Row],[HDC4]]/Table25[[#This Row],[HCC4]]</f>
        <v>0.94558901849604959</v>
      </c>
      <c r="AB193" s="27">
        <f>Table25[[#This Row],[HDC5]]/Table25[[#This Row],[HCC5]]</f>
        <v>0.9393675156705823</v>
      </c>
      <c r="AF193">
        <f>SUM(Table25[[#This Row],[CC1]:[DC1]])</f>
        <v>750</v>
      </c>
      <c r="AG193">
        <f>SUM(Table25[[#This Row],[CC2]:[DC2]])</f>
        <v>751</v>
      </c>
      <c r="AH193">
        <f>SUM(Table25[[#This Row],[CC3]:[DC3]])</f>
        <v>752</v>
      </c>
      <c r="AI193">
        <f>SUM(Table25[[#This Row],[CC4]:[DC4]])</f>
        <v>749</v>
      </c>
      <c r="AJ193">
        <f>SUM(Table25[[#This Row],[CC5]:[DC5]])</f>
        <v>750</v>
      </c>
    </row>
    <row r="194" spans="1:36" ht="15">
      <c r="A194" t="s">
        <v>323</v>
      </c>
      <c r="B194" s="85" t="s">
        <v>603</v>
      </c>
      <c r="C194" s="126">
        <v>102</v>
      </c>
      <c r="D194" s="75">
        <v>652</v>
      </c>
      <c r="E194" s="75">
        <v>102</v>
      </c>
      <c r="F194" s="75">
        <v>651</v>
      </c>
      <c r="G194" s="75">
        <v>103</v>
      </c>
      <c r="H194" s="75">
        <v>648</v>
      </c>
      <c r="I194" s="75">
        <v>102</v>
      </c>
      <c r="J194" s="154">
        <v>648</v>
      </c>
      <c r="K194" s="154">
        <v>102</v>
      </c>
      <c r="L194" s="155">
        <v>647</v>
      </c>
      <c r="M194" s="83">
        <v>30657.8</v>
      </c>
      <c r="N194" s="83">
        <v>29050.2</v>
      </c>
      <c r="O194" s="83">
        <v>30041.9</v>
      </c>
      <c r="P194" s="83">
        <v>28667.1</v>
      </c>
      <c r="Q194" s="83">
        <v>30228</v>
      </c>
      <c r="R194" s="83">
        <v>28633.200000000001</v>
      </c>
      <c r="S194" s="83">
        <v>30447.7</v>
      </c>
      <c r="T194" s="83">
        <v>28810.400000000001</v>
      </c>
      <c r="U194" s="83">
        <v>30430.6</v>
      </c>
      <c r="V194" s="83">
        <v>28807.4</v>
      </c>
      <c r="X194" s="27">
        <f>Table25[[#This Row],[HDC1]]/Table25[[#This Row],[HCC1]]</f>
        <v>0.94756309976580189</v>
      </c>
      <c r="Y194" s="27">
        <f>Table25[[#This Row],[HDC2]]/Table25[[#This Row],[HCC2]]</f>
        <v>0.95423724864272885</v>
      </c>
      <c r="Z194" s="27">
        <f>Table25[[#This Row],[HDC3]]/Table25[[#This Row],[HCC3]]</f>
        <v>0.94724096863834861</v>
      </c>
      <c r="AA194" s="27">
        <f>Table25[[#This Row],[HDC4]]/Table25[[#This Row],[HCC4]]</f>
        <v>0.94622582329699778</v>
      </c>
      <c r="AB194" s="27">
        <f>Table25[[#This Row],[HDC5]]/Table25[[#This Row],[HCC5]]</f>
        <v>0.94665895513069087</v>
      </c>
      <c r="AF194">
        <f>SUM(Table25[[#This Row],[CC1]:[DC1]])</f>
        <v>754</v>
      </c>
      <c r="AG194">
        <f>SUM(Table25[[#This Row],[CC2]:[DC2]])</f>
        <v>753</v>
      </c>
      <c r="AH194">
        <f>SUM(Table25[[#This Row],[CC3]:[DC3]])</f>
        <v>751</v>
      </c>
      <c r="AI194">
        <f>SUM(Table25[[#This Row],[CC4]:[DC4]])</f>
        <v>750</v>
      </c>
      <c r="AJ194">
        <f>SUM(Table25[[#This Row],[CC5]:[DC5]])</f>
        <v>749</v>
      </c>
    </row>
    <row r="195" spans="1:36" ht="15">
      <c r="A195" t="s">
        <v>324</v>
      </c>
      <c r="B195" s="85" t="s">
        <v>604</v>
      </c>
      <c r="C195" s="126">
        <v>103</v>
      </c>
      <c r="D195" s="75">
        <v>649</v>
      </c>
      <c r="E195" s="75">
        <v>102</v>
      </c>
      <c r="F195" s="75">
        <v>653</v>
      </c>
      <c r="G195" s="75">
        <v>103</v>
      </c>
      <c r="H195" s="75">
        <v>649</v>
      </c>
      <c r="I195" s="75">
        <v>102</v>
      </c>
      <c r="J195" s="154">
        <v>653</v>
      </c>
      <c r="K195" s="154">
        <v>105</v>
      </c>
      <c r="L195" s="155">
        <v>648</v>
      </c>
      <c r="M195" s="83">
        <v>30470.9</v>
      </c>
      <c r="N195" s="83">
        <v>29592</v>
      </c>
      <c r="O195" s="83">
        <v>30962.2</v>
      </c>
      <c r="P195" s="83">
        <v>29370.5</v>
      </c>
      <c r="Q195" s="83">
        <v>30296.2</v>
      </c>
      <c r="R195" s="83">
        <v>28933.8</v>
      </c>
      <c r="S195" s="83">
        <v>28591</v>
      </c>
      <c r="T195" s="83">
        <v>28206.9</v>
      </c>
      <c r="U195" s="83">
        <v>30769.4</v>
      </c>
      <c r="V195" s="83">
        <v>29284.3</v>
      </c>
      <c r="X195" s="27">
        <f>Table25[[#This Row],[HDC1]]/Table25[[#This Row],[HCC1]]</f>
        <v>0.97115608662691288</v>
      </c>
      <c r="Y195" s="27">
        <f>Table25[[#This Row],[HDC2]]/Table25[[#This Row],[HCC2]]</f>
        <v>0.94859215430428068</v>
      </c>
      <c r="Z195" s="27">
        <f>Table25[[#This Row],[HDC3]]/Table25[[#This Row],[HCC3]]</f>
        <v>0.95503066391164559</v>
      </c>
      <c r="AA195" s="27">
        <f>Table25[[#This Row],[HDC4]]/Table25[[#This Row],[HCC4]]</f>
        <v>0.98656570249379183</v>
      </c>
      <c r="AB195" s="27">
        <f>Table25[[#This Row],[HDC5]]/Table25[[#This Row],[HCC5]]</f>
        <v>0.95173451546016485</v>
      </c>
      <c r="AF195">
        <f>SUM(Table25[[#This Row],[CC1]:[DC1]])</f>
        <v>752</v>
      </c>
      <c r="AG195">
        <f>SUM(Table25[[#This Row],[CC2]:[DC2]])</f>
        <v>755</v>
      </c>
      <c r="AH195">
        <f>SUM(Table25[[#This Row],[CC3]:[DC3]])</f>
        <v>752</v>
      </c>
      <c r="AI195">
        <f>SUM(Table25[[#This Row],[CC4]:[DC4]])</f>
        <v>755</v>
      </c>
      <c r="AJ195">
        <f>SUM(Table25[[#This Row],[CC5]:[DC5]])</f>
        <v>753</v>
      </c>
    </row>
    <row r="196" spans="1:36" ht="15">
      <c r="A196" t="s">
        <v>325</v>
      </c>
      <c r="B196" s="85" t="s">
        <v>605</v>
      </c>
      <c r="C196" s="126">
        <v>103</v>
      </c>
      <c r="D196" s="75">
        <v>685</v>
      </c>
      <c r="E196" s="75">
        <v>105</v>
      </c>
      <c r="F196" s="75">
        <v>681</v>
      </c>
      <c r="G196" s="75">
        <v>103</v>
      </c>
      <c r="H196" s="75">
        <v>685</v>
      </c>
      <c r="I196" s="75">
        <v>102</v>
      </c>
      <c r="J196" s="154">
        <v>656</v>
      </c>
      <c r="K196" s="154">
        <v>103</v>
      </c>
      <c r="L196" s="155">
        <v>683</v>
      </c>
      <c r="M196" s="83">
        <v>30905.9</v>
      </c>
      <c r="N196" s="83">
        <v>29345.599999999999</v>
      </c>
      <c r="O196" s="83">
        <v>30886.3</v>
      </c>
      <c r="P196" s="83">
        <v>29437.5</v>
      </c>
      <c r="Q196" s="83">
        <v>29865.7</v>
      </c>
      <c r="R196" s="83">
        <v>29007.9</v>
      </c>
      <c r="S196" s="83">
        <v>30910.1</v>
      </c>
      <c r="T196" s="83">
        <v>29417.8</v>
      </c>
      <c r="U196" s="83">
        <v>30543.5</v>
      </c>
      <c r="V196" s="83">
        <v>28936.799999999999</v>
      </c>
      <c r="X196" s="27">
        <f>Table25[[#This Row],[HDC1]]/Table25[[#This Row],[HCC1]]</f>
        <v>0.94951449399629184</v>
      </c>
      <c r="Y196" s="27">
        <f>Table25[[#This Row],[HDC2]]/Table25[[#This Row],[HCC2]]</f>
        <v>0.95309247141936715</v>
      </c>
      <c r="Z196" s="27">
        <f>Table25[[#This Row],[HDC3]]/Table25[[#This Row],[HCC3]]</f>
        <v>0.97127808824169537</v>
      </c>
      <c r="AA196" s="27">
        <f>Table25[[#This Row],[HDC4]]/Table25[[#This Row],[HCC4]]</f>
        <v>0.95172128204049811</v>
      </c>
      <c r="AB196" s="27">
        <f>Table25[[#This Row],[HDC5]]/Table25[[#This Row],[HCC5]]</f>
        <v>0.94739633637271425</v>
      </c>
      <c r="AF196">
        <f>SUM(Table25[[#This Row],[CC1]:[DC1]])</f>
        <v>788</v>
      </c>
      <c r="AG196">
        <f>SUM(Table25[[#This Row],[CC2]:[DC2]])</f>
        <v>786</v>
      </c>
      <c r="AH196">
        <f>SUM(Table25[[#This Row],[CC3]:[DC3]])</f>
        <v>788</v>
      </c>
      <c r="AI196">
        <f>SUM(Table25[[#This Row],[CC4]:[DC4]])</f>
        <v>758</v>
      </c>
      <c r="AJ196">
        <f>SUM(Table25[[#This Row],[CC5]:[DC5]])</f>
        <v>786</v>
      </c>
    </row>
    <row r="197" spans="1:36" ht="15">
      <c r="A197" t="s">
        <v>326</v>
      </c>
      <c r="B197" s="85" t="s">
        <v>606</v>
      </c>
      <c r="C197" s="126">
        <v>104</v>
      </c>
      <c r="D197" s="75">
        <v>650</v>
      </c>
      <c r="E197" s="75">
        <v>103</v>
      </c>
      <c r="F197" s="75">
        <v>652</v>
      </c>
      <c r="G197" s="75">
        <v>104</v>
      </c>
      <c r="H197" s="75">
        <v>650</v>
      </c>
      <c r="I197" s="75">
        <v>100</v>
      </c>
      <c r="J197" s="154">
        <v>654</v>
      </c>
      <c r="K197" s="154">
        <v>105</v>
      </c>
      <c r="L197" s="155">
        <v>651</v>
      </c>
      <c r="M197" s="83">
        <v>15237.7</v>
      </c>
      <c r="N197" s="83">
        <v>14383.8</v>
      </c>
      <c r="O197" s="83">
        <v>30682.3</v>
      </c>
      <c r="P197" s="83">
        <v>29027.7</v>
      </c>
      <c r="Q197" s="83">
        <v>15120.8</v>
      </c>
      <c r="R197" s="83">
        <v>14266.8</v>
      </c>
      <c r="S197" s="83">
        <v>16118.5</v>
      </c>
      <c r="T197" s="83">
        <v>15215.9</v>
      </c>
      <c r="U197" s="83">
        <v>15151.5</v>
      </c>
      <c r="V197" s="83">
        <v>14282.3</v>
      </c>
      <c r="X197" s="27">
        <f>Table25[[#This Row],[HDC1]]/Table25[[#This Row],[HCC1]]</f>
        <v>0.94396135899774891</v>
      </c>
      <c r="Y197" s="27">
        <f>Table25[[#This Row],[HDC2]]/Table25[[#This Row],[HCC2]]</f>
        <v>0.94607314314767799</v>
      </c>
      <c r="Z197" s="27">
        <f>Table25[[#This Row],[HDC3]]/Table25[[#This Row],[HCC3]]</f>
        <v>0.94352150679858204</v>
      </c>
      <c r="AA197" s="27">
        <f>Table25[[#This Row],[HDC4]]/Table25[[#This Row],[HCC4]]</f>
        <v>0.94400223345844836</v>
      </c>
      <c r="AB197" s="27">
        <f>Table25[[#This Row],[HDC5]]/Table25[[#This Row],[HCC5]]</f>
        <v>0.94263274263274255</v>
      </c>
      <c r="AF197">
        <f>SUM(Table25[[#This Row],[CC1]:[DC1]])</f>
        <v>754</v>
      </c>
      <c r="AG197">
        <f>SUM(Table25[[#This Row],[CC2]:[DC2]])</f>
        <v>755</v>
      </c>
      <c r="AH197">
        <f>SUM(Table25[[#This Row],[CC3]:[DC3]])</f>
        <v>754</v>
      </c>
      <c r="AI197">
        <f>SUM(Table25[[#This Row],[CC4]:[DC4]])</f>
        <v>754</v>
      </c>
      <c r="AJ197">
        <f>SUM(Table25[[#This Row],[CC5]:[DC5]])</f>
        <v>756</v>
      </c>
    </row>
    <row r="198" spans="1:36" ht="15">
      <c r="A198" t="s">
        <v>327</v>
      </c>
      <c r="B198" s="85" t="s">
        <v>607</v>
      </c>
      <c r="C198" s="126">
        <v>103</v>
      </c>
      <c r="D198" s="75">
        <v>689</v>
      </c>
      <c r="E198" s="75">
        <v>101</v>
      </c>
      <c r="F198" s="75">
        <v>689</v>
      </c>
      <c r="G198" s="75">
        <v>110</v>
      </c>
      <c r="H198" s="75">
        <v>659</v>
      </c>
      <c r="I198" s="75">
        <v>108</v>
      </c>
      <c r="J198" s="154">
        <v>684</v>
      </c>
      <c r="K198" s="154">
        <v>107</v>
      </c>
      <c r="L198" s="155">
        <v>683</v>
      </c>
      <c r="M198" s="83">
        <v>32899.300000000003</v>
      </c>
      <c r="N198" s="83">
        <v>31136.6</v>
      </c>
      <c r="O198" s="83">
        <v>32747.7</v>
      </c>
      <c r="P198" s="83">
        <v>31027.5</v>
      </c>
      <c r="Q198" s="83">
        <v>23037.5</v>
      </c>
      <c r="R198" s="83">
        <v>21681.3</v>
      </c>
      <c r="S198" s="83">
        <v>32348.7</v>
      </c>
      <c r="T198" s="83">
        <v>30644.3</v>
      </c>
      <c r="U198" s="83">
        <v>32517.8</v>
      </c>
      <c r="V198" s="83">
        <v>30779.1</v>
      </c>
      <c r="X198" s="27">
        <f>Table25[[#This Row],[HDC1]]/Table25[[#This Row],[HCC1]]</f>
        <v>0.94642135242999081</v>
      </c>
      <c r="Y198" s="27">
        <f>Table25[[#This Row],[HDC2]]/Table25[[#This Row],[HCC2]]</f>
        <v>0.94747112010919854</v>
      </c>
      <c r="Z198" s="27">
        <f>Table25[[#This Row],[HDC3]]/Table25[[#This Row],[HCC3]]</f>
        <v>0.94113076505697235</v>
      </c>
      <c r="AA198" s="27">
        <f>Table25[[#This Row],[HDC4]]/Table25[[#This Row],[HCC4]]</f>
        <v>0.94731163848933642</v>
      </c>
      <c r="AB198" s="27">
        <f>Table25[[#This Row],[HDC5]]/Table25[[#This Row],[HCC5]]</f>
        <v>0.94653082311841508</v>
      </c>
      <c r="AF198">
        <f>SUM(Table25[[#This Row],[CC1]:[DC1]])</f>
        <v>792</v>
      </c>
      <c r="AG198">
        <f>SUM(Table25[[#This Row],[CC2]:[DC2]])</f>
        <v>790</v>
      </c>
      <c r="AH198">
        <f>SUM(Table25[[#This Row],[CC3]:[DC3]])</f>
        <v>769</v>
      </c>
      <c r="AI198">
        <f>SUM(Table25[[#This Row],[CC4]:[DC4]])</f>
        <v>792</v>
      </c>
      <c r="AJ198">
        <f>SUM(Table25[[#This Row],[CC5]:[DC5]])</f>
        <v>790</v>
      </c>
    </row>
    <row r="199" spans="1:36" ht="15">
      <c r="A199" t="s">
        <v>328</v>
      </c>
      <c r="B199" s="85" t="s">
        <v>608</v>
      </c>
      <c r="C199" s="126">
        <v>103</v>
      </c>
      <c r="D199" s="75">
        <v>653</v>
      </c>
      <c r="E199" s="75">
        <v>107</v>
      </c>
      <c r="F199" s="75">
        <v>648</v>
      </c>
      <c r="G199" s="75">
        <v>103</v>
      </c>
      <c r="H199" s="75">
        <v>651</v>
      </c>
      <c r="I199" s="75">
        <v>105</v>
      </c>
      <c r="J199" s="154">
        <v>650</v>
      </c>
      <c r="K199" s="154">
        <v>104</v>
      </c>
      <c r="L199" s="155">
        <v>647</v>
      </c>
      <c r="M199" s="83">
        <v>31219.9</v>
      </c>
      <c r="N199" s="83">
        <v>29547.3</v>
      </c>
      <c r="O199" s="83">
        <v>30499.200000000001</v>
      </c>
      <c r="P199" s="83">
        <v>28923.5</v>
      </c>
      <c r="Q199" s="83">
        <v>30955.5</v>
      </c>
      <c r="R199" s="83">
        <v>29284.400000000001</v>
      </c>
      <c r="S199" s="83">
        <v>30698.5</v>
      </c>
      <c r="T199" s="83">
        <v>29071.9</v>
      </c>
      <c r="U199" s="83">
        <v>30815.8</v>
      </c>
      <c r="V199" s="83">
        <v>29243.8</v>
      </c>
      <c r="X199" s="27">
        <f>Table25[[#This Row],[HDC1]]/Table25[[#This Row],[HCC1]]</f>
        <v>0.94642519674950909</v>
      </c>
      <c r="Y199" s="27">
        <f>Table25[[#This Row],[HDC2]]/Table25[[#This Row],[HCC2]]</f>
        <v>0.94833634980589654</v>
      </c>
      <c r="Z199" s="27">
        <f>Table25[[#This Row],[HDC3]]/Table25[[#This Row],[HCC3]]</f>
        <v>0.94601605530519617</v>
      </c>
      <c r="AA199" s="27">
        <f>Table25[[#This Row],[HDC4]]/Table25[[#This Row],[HCC4]]</f>
        <v>0.94701369773767452</v>
      </c>
      <c r="AB199" s="27">
        <f>Table25[[#This Row],[HDC5]]/Table25[[#This Row],[HCC5]]</f>
        <v>0.94898720786090252</v>
      </c>
      <c r="AF199">
        <f>SUM(Table25[[#This Row],[CC1]:[DC1]])</f>
        <v>756</v>
      </c>
      <c r="AG199">
        <f>SUM(Table25[[#This Row],[CC2]:[DC2]])</f>
        <v>755</v>
      </c>
      <c r="AH199">
        <f>SUM(Table25[[#This Row],[CC3]:[DC3]])</f>
        <v>754</v>
      </c>
      <c r="AI199">
        <f>SUM(Table25[[#This Row],[CC4]:[DC4]])</f>
        <v>755</v>
      </c>
      <c r="AJ199">
        <f>SUM(Table25[[#This Row],[CC5]:[DC5]])</f>
        <v>751</v>
      </c>
    </row>
    <row r="200" spans="1:36" ht="15">
      <c r="A200" t="s">
        <v>329</v>
      </c>
      <c r="B200" s="85" t="s">
        <v>609</v>
      </c>
      <c r="C200" s="126">
        <v>102</v>
      </c>
      <c r="D200" s="75">
        <v>651</v>
      </c>
      <c r="E200" s="75">
        <v>102</v>
      </c>
      <c r="F200" s="75">
        <v>653</v>
      </c>
      <c r="G200" s="75">
        <v>101</v>
      </c>
      <c r="H200" s="75">
        <v>646</v>
      </c>
      <c r="I200" s="75">
        <v>101</v>
      </c>
      <c r="J200" s="154">
        <v>652</v>
      </c>
      <c r="K200" s="154">
        <v>103</v>
      </c>
      <c r="L200" s="155">
        <v>648</v>
      </c>
      <c r="M200" s="83">
        <v>24921.4</v>
      </c>
      <c r="N200" s="83">
        <v>23401.3</v>
      </c>
      <c r="O200" s="83">
        <v>24658.1</v>
      </c>
      <c r="P200" s="83">
        <v>23157.3</v>
      </c>
      <c r="Q200" s="83">
        <v>24609</v>
      </c>
      <c r="R200" s="83">
        <v>23099.599999999999</v>
      </c>
      <c r="S200" s="83">
        <v>24518.799999999999</v>
      </c>
      <c r="T200" s="83">
        <v>23003.9</v>
      </c>
      <c r="U200" s="83">
        <v>24282.2</v>
      </c>
      <c r="V200" s="83">
        <v>23148.3</v>
      </c>
      <c r="X200" s="27">
        <f>Table25[[#This Row],[HDC1]]/Table25[[#This Row],[HCC1]]</f>
        <v>0.93900422929690941</v>
      </c>
      <c r="Y200" s="27">
        <f>Table25[[#This Row],[HDC2]]/Table25[[#This Row],[HCC2]]</f>
        <v>0.93913561872163709</v>
      </c>
      <c r="Z200" s="27">
        <f>Table25[[#This Row],[HDC3]]/Table25[[#This Row],[HCC3]]</f>
        <v>0.93866471616075409</v>
      </c>
      <c r="AA200" s="27">
        <f>Table25[[#This Row],[HDC4]]/Table25[[#This Row],[HCC4]]</f>
        <v>0.93821475765535023</v>
      </c>
      <c r="AB200" s="27">
        <f>Table25[[#This Row],[HDC5]]/Table25[[#This Row],[HCC5]]</f>
        <v>0.95330324270453248</v>
      </c>
      <c r="AF200">
        <f>SUM(Table25[[#This Row],[CC1]:[DC1]])</f>
        <v>753</v>
      </c>
      <c r="AG200">
        <f>SUM(Table25[[#This Row],[CC2]:[DC2]])</f>
        <v>755</v>
      </c>
      <c r="AH200">
        <f>SUM(Table25[[#This Row],[CC3]:[DC3]])</f>
        <v>747</v>
      </c>
      <c r="AI200">
        <f>SUM(Table25[[#This Row],[CC4]:[DC4]])</f>
        <v>753</v>
      </c>
      <c r="AJ200">
        <f>SUM(Table25[[#This Row],[CC5]:[DC5]])</f>
        <v>751</v>
      </c>
    </row>
    <row r="201" spans="1:36" ht="15">
      <c r="A201" t="s">
        <v>330</v>
      </c>
      <c r="B201" s="85" t="s">
        <v>610</v>
      </c>
      <c r="C201" s="126">
        <v>105</v>
      </c>
      <c r="D201" s="75">
        <v>649</v>
      </c>
      <c r="E201" s="75">
        <v>102</v>
      </c>
      <c r="F201" s="75">
        <v>654</v>
      </c>
      <c r="G201" s="75">
        <v>102</v>
      </c>
      <c r="H201" s="75">
        <v>647</v>
      </c>
      <c r="I201" s="75">
        <v>110</v>
      </c>
      <c r="J201" s="154">
        <v>643</v>
      </c>
      <c r="K201" s="154">
        <v>107</v>
      </c>
      <c r="L201" s="155">
        <v>644</v>
      </c>
      <c r="M201" s="83">
        <v>31084</v>
      </c>
      <c r="N201" s="83">
        <v>29478.7</v>
      </c>
      <c r="O201" s="83">
        <v>30793.599999999999</v>
      </c>
      <c r="P201" s="83">
        <v>29146</v>
      </c>
      <c r="Q201" s="83">
        <v>30995.1</v>
      </c>
      <c r="R201" s="83">
        <v>29350.6</v>
      </c>
      <c r="S201" s="83">
        <v>30669.8</v>
      </c>
      <c r="T201" s="83">
        <v>29029.1</v>
      </c>
      <c r="U201" s="83">
        <v>30732.7</v>
      </c>
      <c r="V201" s="83">
        <v>29034.2</v>
      </c>
      <c r="X201" s="27">
        <f>Table25[[#This Row],[HDC1]]/Table25[[#This Row],[HCC1]]</f>
        <v>0.94835606743018919</v>
      </c>
      <c r="Y201" s="27">
        <f>Table25[[#This Row],[HDC2]]/Table25[[#This Row],[HCC2]]</f>
        <v>0.94649537566247532</v>
      </c>
      <c r="Z201" s="27">
        <f>Table25[[#This Row],[HDC3]]/Table25[[#This Row],[HCC3]]</f>
        <v>0.94694322650999674</v>
      </c>
      <c r="AA201" s="27">
        <f>Table25[[#This Row],[HDC4]]/Table25[[#This Row],[HCC4]]</f>
        <v>0.94650437890041672</v>
      </c>
      <c r="AB201" s="27">
        <f>Table25[[#This Row],[HDC5]]/Table25[[#This Row],[HCC5]]</f>
        <v>0.94473313441383278</v>
      </c>
      <c r="AF201">
        <f>SUM(Table25[[#This Row],[CC1]:[DC1]])</f>
        <v>754</v>
      </c>
      <c r="AG201">
        <f>SUM(Table25[[#This Row],[CC2]:[DC2]])</f>
        <v>756</v>
      </c>
      <c r="AH201">
        <f>SUM(Table25[[#This Row],[CC3]:[DC3]])</f>
        <v>749</v>
      </c>
      <c r="AI201">
        <f>SUM(Table25[[#This Row],[CC4]:[DC4]])</f>
        <v>753</v>
      </c>
      <c r="AJ201">
        <f>SUM(Table25[[#This Row],[CC5]:[DC5]])</f>
        <v>751</v>
      </c>
    </row>
    <row r="202" spans="1:36" ht="15">
      <c r="A202" t="s">
        <v>331</v>
      </c>
      <c r="B202" s="85" t="s">
        <v>611</v>
      </c>
      <c r="C202" s="126">
        <v>102</v>
      </c>
      <c r="D202" s="75">
        <v>652</v>
      </c>
      <c r="E202" s="75">
        <v>105</v>
      </c>
      <c r="F202" s="75">
        <v>646</v>
      </c>
      <c r="G202" s="75">
        <v>103</v>
      </c>
      <c r="H202" s="75">
        <v>648</v>
      </c>
      <c r="I202" s="75">
        <v>103</v>
      </c>
      <c r="J202" s="154">
        <v>651</v>
      </c>
      <c r="K202" s="154">
        <v>104</v>
      </c>
      <c r="L202" s="155">
        <v>648</v>
      </c>
      <c r="M202" s="83">
        <v>25843</v>
      </c>
      <c r="N202" s="83">
        <v>25047.8</v>
      </c>
      <c r="O202" s="83">
        <v>30025.3</v>
      </c>
      <c r="P202" s="83">
        <v>28421.8</v>
      </c>
      <c r="Q202" s="83">
        <v>30102</v>
      </c>
      <c r="R202" s="83">
        <v>28395.8</v>
      </c>
      <c r="S202" s="83">
        <v>30207</v>
      </c>
      <c r="T202" s="83">
        <v>28483.8</v>
      </c>
      <c r="U202" s="83">
        <v>30323.4</v>
      </c>
      <c r="V202" s="83">
        <v>28683</v>
      </c>
      <c r="X202" s="27">
        <f>Table25[[#This Row],[HDC1]]/Table25[[#This Row],[HCC1]]</f>
        <v>0.9692295786092946</v>
      </c>
      <c r="Y202" s="27">
        <f>Table25[[#This Row],[HDC2]]/Table25[[#This Row],[HCC2]]</f>
        <v>0.94659503818446444</v>
      </c>
      <c r="Z202" s="27">
        <f>Table25[[#This Row],[HDC3]]/Table25[[#This Row],[HCC3]]</f>
        <v>0.94331938077204169</v>
      </c>
      <c r="AA202" s="27">
        <f>Table25[[#This Row],[HDC4]]/Table25[[#This Row],[HCC4]]</f>
        <v>0.94295362002184924</v>
      </c>
      <c r="AB202" s="27">
        <f>Table25[[#This Row],[HDC5]]/Table25[[#This Row],[HCC5]]</f>
        <v>0.94590316389323092</v>
      </c>
      <c r="AF202">
        <f>SUM(Table25[[#This Row],[CC1]:[DC1]])</f>
        <v>754</v>
      </c>
      <c r="AG202">
        <f>SUM(Table25[[#This Row],[CC2]:[DC2]])</f>
        <v>751</v>
      </c>
      <c r="AH202">
        <f>SUM(Table25[[#This Row],[CC3]:[DC3]])</f>
        <v>751</v>
      </c>
      <c r="AI202">
        <f>SUM(Table25[[#This Row],[CC4]:[DC4]])</f>
        <v>754</v>
      </c>
      <c r="AJ202">
        <f>SUM(Table25[[#This Row],[CC5]:[DC5]])</f>
        <v>752</v>
      </c>
    </row>
    <row r="203" spans="1:36" ht="15">
      <c r="A203" t="s">
        <v>332</v>
      </c>
      <c r="B203" s="85" t="s">
        <v>612</v>
      </c>
      <c r="C203" s="126">
        <v>101</v>
      </c>
      <c r="D203" s="75">
        <v>654</v>
      </c>
      <c r="E203" s="75">
        <v>105</v>
      </c>
      <c r="F203" s="75">
        <v>648</v>
      </c>
      <c r="G203" s="75">
        <v>103</v>
      </c>
      <c r="H203" s="75">
        <v>655</v>
      </c>
      <c r="I203" s="75">
        <v>102</v>
      </c>
      <c r="J203" s="154">
        <v>649</v>
      </c>
      <c r="K203" s="154">
        <v>104</v>
      </c>
      <c r="L203" s="155">
        <v>647</v>
      </c>
      <c r="M203" s="83">
        <v>30820.9</v>
      </c>
      <c r="N203" s="83">
        <v>29282.7</v>
      </c>
      <c r="O203" s="83">
        <v>30602.1</v>
      </c>
      <c r="P203" s="83">
        <v>29034.400000000001</v>
      </c>
      <c r="Q203" s="83">
        <v>30623.9</v>
      </c>
      <c r="R203" s="83">
        <v>28990.1</v>
      </c>
      <c r="S203" s="83">
        <v>30639</v>
      </c>
      <c r="T203" s="83">
        <v>28978.5</v>
      </c>
      <c r="U203" s="83">
        <v>30587.7</v>
      </c>
      <c r="V203" s="83">
        <v>29039.5</v>
      </c>
      <c r="X203" s="27">
        <f>Table25[[#This Row],[HDC1]]/Table25[[#This Row],[HCC1]]</f>
        <v>0.95009230749264295</v>
      </c>
      <c r="Y203" s="27">
        <f>Table25[[#This Row],[HDC2]]/Table25[[#This Row],[HCC2]]</f>
        <v>0.94877148953829971</v>
      </c>
      <c r="Z203" s="27">
        <f>Table25[[#This Row],[HDC3]]/Table25[[#This Row],[HCC3]]</f>
        <v>0.94664951230901351</v>
      </c>
      <c r="AA203" s="27">
        <f>Table25[[#This Row],[HDC4]]/Table25[[#This Row],[HCC4]]</f>
        <v>0.94580436698325665</v>
      </c>
      <c r="AB203" s="27">
        <f>Table25[[#This Row],[HDC5]]/Table25[[#This Row],[HCC5]]</f>
        <v>0.94938488346622985</v>
      </c>
      <c r="AF203">
        <f>SUM(Table25[[#This Row],[CC1]:[DC1]])</f>
        <v>755</v>
      </c>
      <c r="AG203">
        <f>SUM(Table25[[#This Row],[CC2]:[DC2]])</f>
        <v>753</v>
      </c>
      <c r="AH203">
        <f>SUM(Table25[[#This Row],[CC3]:[DC3]])</f>
        <v>758</v>
      </c>
      <c r="AI203">
        <f>SUM(Table25[[#This Row],[CC4]:[DC4]])</f>
        <v>751</v>
      </c>
      <c r="AJ203">
        <f>SUM(Table25[[#This Row],[CC5]:[DC5]])</f>
        <v>751</v>
      </c>
    </row>
    <row r="204" spans="1:36" ht="15">
      <c r="A204" t="s">
        <v>333</v>
      </c>
      <c r="B204" s="85" t="s">
        <v>613</v>
      </c>
      <c r="C204" s="126">
        <v>103</v>
      </c>
      <c r="D204" s="75">
        <v>649</v>
      </c>
      <c r="E204" s="75">
        <v>101</v>
      </c>
      <c r="F204" s="75">
        <v>653</v>
      </c>
      <c r="G204" s="75">
        <v>101</v>
      </c>
      <c r="H204" s="75">
        <v>655</v>
      </c>
      <c r="I204" s="75">
        <v>104</v>
      </c>
      <c r="J204" s="154">
        <v>638</v>
      </c>
      <c r="K204" s="154">
        <v>100</v>
      </c>
      <c r="L204" s="155">
        <v>653</v>
      </c>
      <c r="M204" s="83">
        <v>30600.2</v>
      </c>
      <c r="N204" s="83">
        <v>28917</v>
      </c>
      <c r="O204" s="83">
        <v>30534.1</v>
      </c>
      <c r="P204" s="83">
        <v>28759.8</v>
      </c>
      <c r="Q204" s="83">
        <v>30246.799999999999</v>
      </c>
      <c r="R204" s="83">
        <v>28584.799999999999</v>
      </c>
      <c r="S204" s="83">
        <v>30196.1</v>
      </c>
      <c r="T204" s="83">
        <v>28540.400000000001</v>
      </c>
      <c r="U204" s="83">
        <v>30605</v>
      </c>
      <c r="V204" s="83">
        <v>28945.1</v>
      </c>
      <c r="X204" s="27">
        <f>Table25[[#This Row],[HDC1]]/Table25[[#This Row],[HCC1]]</f>
        <v>0.94499382356978057</v>
      </c>
      <c r="Y204" s="27">
        <f>Table25[[#This Row],[HDC2]]/Table25[[#This Row],[HCC2]]</f>
        <v>0.94189119705509583</v>
      </c>
      <c r="Z204" s="27">
        <f>Table25[[#This Row],[HDC3]]/Table25[[#This Row],[HCC3]]</f>
        <v>0.9450520385627571</v>
      </c>
      <c r="AA204" s="27">
        <f>Table25[[#This Row],[HDC4]]/Table25[[#This Row],[HCC4]]</f>
        <v>0.94516841578879396</v>
      </c>
      <c r="AB204" s="27">
        <f>Table25[[#This Row],[HDC5]]/Table25[[#This Row],[HCC5]]</f>
        <v>0.94576376409083474</v>
      </c>
      <c r="AF204">
        <f>SUM(Table25[[#This Row],[CC1]:[DC1]])</f>
        <v>752</v>
      </c>
      <c r="AG204">
        <f>SUM(Table25[[#This Row],[CC2]:[DC2]])</f>
        <v>754</v>
      </c>
      <c r="AH204">
        <f>SUM(Table25[[#This Row],[CC3]:[DC3]])</f>
        <v>756</v>
      </c>
      <c r="AI204">
        <f>SUM(Table25[[#This Row],[CC4]:[DC4]])</f>
        <v>742</v>
      </c>
      <c r="AJ204">
        <f>SUM(Table25[[#This Row],[CC5]:[DC5]])</f>
        <v>753</v>
      </c>
    </row>
    <row r="205" spans="1:36" ht="15">
      <c r="A205" t="s">
        <v>334</v>
      </c>
      <c r="B205" s="85" t="s">
        <v>614</v>
      </c>
      <c r="C205" s="126">
        <v>104</v>
      </c>
      <c r="D205" s="75">
        <v>651</v>
      </c>
      <c r="E205" s="75">
        <v>105</v>
      </c>
      <c r="F205" s="75">
        <v>652</v>
      </c>
      <c r="G205" s="75">
        <v>101</v>
      </c>
      <c r="H205" s="75">
        <v>652</v>
      </c>
      <c r="I205" s="75">
        <v>104</v>
      </c>
      <c r="J205" s="154">
        <v>645</v>
      </c>
      <c r="K205" s="154">
        <v>104</v>
      </c>
      <c r="L205" s="155">
        <v>646</v>
      </c>
      <c r="M205" s="83">
        <v>30722.400000000001</v>
      </c>
      <c r="N205" s="83">
        <v>29114.7</v>
      </c>
      <c r="O205" s="83">
        <v>25737</v>
      </c>
      <c r="P205" s="83">
        <v>24990.2</v>
      </c>
      <c r="Q205" s="83">
        <v>30599</v>
      </c>
      <c r="R205" s="83">
        <v>28914.3</v>
      </c>
      <c r="S205" s="83">
        <v>30455.3</v>
      </c>
      <c r="T205" s="83">
        <v>28874.6</v>
      </c>
      <c r="U205" s="83">
        <v>30535.1</v>
      </c>
      <c r="V205" s="83">
        <v>28936.9</v>
      </c>
      <c r="X205" s="27">
        <f>Table25[[#This Row],[HDC1]]/Table25[[#This Row],[HCC1]]</f>
        <v>0.94767010389813289</v>
      </c>
      <c r="Y205" s="27">
        <f>Table25[[#This Row],[HDC2]]/Table25[[#This Row],[HCC2]]</f>
        <v>0.97098340909973968</v>
      </c>
      <c r="Z205" s="27">
        <f>Table25[[#This Row],[HDC3]]/Table25[[#This Row],[HCC3]]</f>
        <v>0.94494264518448312</v>
      </c>
      <c r="AA205" s="27">
        <f>Table25[[#This Row],[HDC4]]/Table25[[#This Row],[HCC4]]</f>
        <v>0.94809770384793446</v>
      </c>
      <c r="AB205" s="27">
        <f>Table25[[#This Row],[HDC5]]/Table25[[#This Row],[HCC5]]</f>
        <v>0.9476602336327703</v>
      </c>
      <c r="AF205">
        <f>SUM(Table25[[#This Row],[CC1]:[DC1]])</f>
        <v>755</v>
      </c>
      <c r="AG205">
        <f>SUM(Table25[[#This Row],[CC2]:[DC2]])</f>
        <v>757</v>
      </c>
      <c r="AH205">
        <f>SUM(Table25[[#This Row],[CC3]:[DC3]])</f>
        <v>753</v>
      </c>
      <c r="AI205">
        <f>SUM(Table25[[#This Row],[CC4]:[DC4]])</f>
        <v>749</v>
      </c>
      <c r="AJ205">
        <f>SUM(Table25[[#This Row],[CC5]:[DC5]])</f>
        <v>750</v>
      </c>
    </row>
    <row r="206" spans="1:36" ht="15">
      <c r="A206" t="s">
        <v>335</v>
      </c>
      <c r="B206" s="85" t="s">
        <v>615</v>
      </c>
      <c r="C206" s="126">
        <v>102</v>
      </c>
      <c r="D206" s="75">
        <v>654</v>
      </c>
      <c r="E206" s="75">
        <v>100</v>
      </c>
      <c r="F206" s="75">
        <v>654</v>
      </c>
      <c r="G206" s="75">
        <v>99</v>
      </c>
      <c r="H206" s="75">
        <v>657</v>
      </c>
      <c r="I206" s="75">
        <v>103</v>
      </c>
      <c r="J206" s="154">
        <v>653</v>
      </c>
      <c r="K206" s="154">
        <v>100</v>
      </c>
      <c r="L206" s="155">
        <v>654</v>
      </c>
      <c r="M206" s="83">
        <v>28329.200000000001</v>
      </c>
      <c r="N206" s="83">
        <v>26809.4</v>
      </c>
      <c r="O206" s="83">
        <v>28234.5</v>
      </c>
      <c r="P206" s="83">
        <v>26632.7</v>
      </c>
      <c r="Q206" s="83">
        <v>28296.2</v>
      </c>
      <c r="R206" s="83">
        <v>26678.400000000001</v>
      </c>
      <c r="S206" s="83">
        <v>27989.1</v>
      </c>
      <c r="T206" s="83">
        <v>26434.400000000001</v>
      </c>
      <c r="U206" s="83">
        <v>28200.3</v>
      </c>
      <c r="V206" s="83">
        <v>26623.200000000001</v>
      </c>
      <c r="X206" s="27">
        <f>Table25[[#This Row],[HDC1]]/Table25[[#This Row],[HCC1]]</f>
        <v>0.94635217372887337</v>
      </c>
      <c r="Y206" s="27">
        <f>Table25[[#This Row],[HDC2]]/Table25[[#This Row],[HCC2]]</f>
        <v>0.9432679877454887</v>
      </c>
      <c r="Z206" s="27">
        <f>Table25[[#This Row],[HDC3]]/Table25[[#This Row],[HCC3]]</f>
        <v>0.9428262452202063</v>
      </c>
      <c r="AA206" s="27">
        <f>Table25[[#This Row],[HDC4]]/Table25[[#This Row],[HCC4]]</f>
        <v>0.94445337649299199</v>
      </c>
      <c r="AB206" s="27">
        <f>Table25[[#This Row],[HDC5]]/Table25[[#This Row],[HCC5]]</f>
        <v>0.94407506303124444</v>
      </c>
      <c r="AF206">
        <f>SUM(Table25[[#This Row],[CC1]:[DC1]])</f>
        <v>756</v>
      </c>
      <c r="AG206">
        <f>SUM(Table25[[#This Row],[CC2]:[DC2]])</f>
        <v>754</v>
      </c>
      <c r="AH206">
        <f>SUM(Table25[[#This Row],[CC3]:[DC3]])</f>
        <v>756</v>
      </c>
      <c r="AI206">
        <f>SUM(Table25[[#This Row],[CC4]:[DC4]])</f>
        <v>756</v>
      </c>
      <c r="AJ206">
        <f>SUM(Table25[[#This Row],[CC5]:[DC5]])</f>
        <v>754</v>
      </c>
    </row>
    <row r="207" spans="1:36" ht="15">
      <c r="A207" t="s">
        <v>336</v>
      </c>
      <c r="B207" s="85" t="s">
        <v>616</v>
      </c>
      <c r="C207" s="126">
        <v>100</v>
      </c>
      <c r="D207" s="75">
        <v>655</v>
      </c>
      <c r="E207" s="75">
        <v>102</v>
      </c>
      <c r="F207" s="75">
        <v>656</v>
      </c>
      <c r="G207" s="75">
        <v>101</v>
      </c>
      <c r="H207" s="75">
        <v>656</v>
      </c>
      <c r="I207" s="75">
        <v>100</v>
      </c>
      <c r="J207" s="154">
        <v>656</v>
      </c>
      <c r="K207" s="154">
        <v>99</v>
      </c>
      <c r="L207" s="155">
        <v>654</v>
      </c>
      <c r="M207" s="83">
        <v>28334</v>
      </c>
      <c r="N207" s="83">
        <v>26777.5</v>
      </c>
      <c r="O207" s="83">
        <v>28026.1</v>
      </c>
      <c r="P207" s="83">
        <v>26541.1</v>
      </c>
      <c r="Q207" s="83">
        <v>27840.5</v>
      </c>
      <c r="R207" s="83">
        <v>26431.3</v>
      </c>
      <c r="S207" s="83">
        <v>28183.9</v>
      </c>
      <c r="T207" s="83">
        <v>26615.9</v>
      </c>
      <c r="U207" s="83">
        <v>28277</v>
      </c>
      <c r="V207" s="83">
        <v>26718.7</v>
      </c>
      <c r="X207" s="27">
        <f>Table25[[#This Row],[HDC1]]/Table25[[#This Row],[HCC1]]</f>
        <v>0.94506599844709538</v>
      </c>
      <c r="Y207" s="27">
        <f>Table25[[#This Row],[HDC2]]/Table25[[#This Row],[HCC2]]</f>
        <v>0.94701367653722779</v>
      </c>
      <c r="Z207" s="27">
        <f>Table25[[#This Row],[HDC3]]/Table25[[#This Row],[HCC3]]</f>
        <v>0.94938309297606005</v>
      </c>
      <c r="AA207" s="27">
        <f>Table25[[#This Row],[HDC4]]/Table25[[#This Row],[HCC4]]</f>
        <v>0.94436540010431491</v>
      </c>
      <c r="AB207" s="27">
        <f>Table25[[#This Row],[HDC5]]/Table25[[#This Row],[HCC5]]</f>
        <v>0.94489160802065286</v>
      </c>
      <c r="AF207">
        <f>SUM(Table25[[#This Row],[CC1]:[DC1]])</f>
        <v>755</v>
      </c>
      <c r="AG207">
        <f>SUM(Table25[[#This Row],[CC2]:[DC2]])</f>
        <v>758</v>
      </c>
      <c r="AH207">
        <f>SUM(Table25[[#This Row],[CC3]:[DC3]])</f>
        <v>757</v>
      </c>
      <c r="AI207">
        <f>SUM(Table25[[#This Row],[CC4]:[DC4]])</f>
        <v>756</v>
      </c>
      <c r="AJ207">
        <f>SUM(Table25[[#This Row],[CC5]:[DC5]])</f>
        <v>753</v>
      </c>
    </row>
    <row r="208" spans="1:36" ht="15">
      <c r="A208" t="s">
        <v>337</v>
      </c>
      <c r="B208" s="85" t="s">
        <v>617</v>
      </c>
      <c r="C208" s="126">
        <v>98</v>
      </c>
      <c r="D208" s="75">
        <v>651</v>
      </c>
      <c r="E208" s="75">
        <v>98</v>
      </c>
      <c r="F208" s="75">
        <v>658</v>
      </c>
      <c r="G208" s="75">
        <v>98</v>
      </c>
      <c r="H208" s="75">
        <v>657</v>
      </c>
      <c r="I208" s="75">
        <v>100</v>
      </c>
      <c r="J208" s="154">
        <v>650</v>
      </c>
      <c r="K208" s="154">
        <v>100</v>
      </c>
      <c r="L208" s="155">
        <v>652</v>
      </c>
      <c r="M208" s="83">
        <v>28534</v>
      </c>
      <c r="N208" s="83">
        <v>27040.2</v>
      </c>
      <c r="O208" s="83">
        <v>28538.7</v>
      </c>
      <c r="P208" s="83">
        <v>26880.2</v>
      </c>
      <c r="Q208" s="83">
        <v>28443.4</v>
      </c>
      <c r="R208" s="83">
        <v>26877.1</v>
      </c>
      <c r="S208" s="83">
        <v>27999.1</v>
      </c>
      <c r="T208" s="83">
        <v>26448.9</v>
      </c>
      <c r="U208" s="83">
        <v>28506.6</v>
      </c>
      <c r="V208" s="83">
        <v>26931.9</v>
      </c>
      <c r="X208" s="27">
        <f>Table25[[#This Row],[HDC1]]/Table25[[#This Row],[HCC1]]</f>
        <v>0.94764841942945266</v>
      </c>
      <c r="Y208" s="27">
        <f>Table25[[#This Row],[HDC2]]/Table25[[#This Row],[HCC2]]</f>
        <v>0.94188593033319667</v>
      </c>
      <c r="Z208" s="27">
        <f>Table25[[#This Row],[HDC3]]/Table25[[#This Row],[HCC3]]</f>
        <v>0.94493274362417989</v>
      </c>
      <c r="AA208" s="27">
        <f>Table25[[#This Row],[HDC4]]/Table25[[#This Row],[HCC4]]</f>
        <v>0.9446339346621857</v>
      </c>
      <c r="AB208" s="27">
        <f>Table25[[#This Row],[HDC5]]/Table25[[#This Row],[HCC5]]</f>
        <v>0.94476016080486636</v>
      </c>
      <c r="AF208">
        <f>SUM(Table25[[#This Row],[CC1]:[DC1]])</f>
        <v>749</v>
      </c>
      <c r="AG208">
        <f>SUM(Table25[[#This Row],[CC2]:[DC2]])</f>
        <v>756</v>
      </c>
      <c r="AH208">
        <f>SUM(Table25[[#This Row],[CC3]:[DC3]])</f>
        <v>755</v>
      </c>
      <c r="AI208">
        <f>SUM(Table25[[#This Row],[CC4]:[DC4]])</f>
        <v>750</v>
      </c>
      <c r="AJ208">
        <f>SUM(Table25[[#This Row],[CC5]:[DC5]])</f>
        <v>752</v>
      </c>
    </row>
    <row r="209" spans="1:36" ht="15">
      <c r="A209" t="s">
        <v>338</v>
      </c>
      <c r="B209" s="85" t="s">
        <v>618</v>
      </c>
      <c r="C209" s="126">
        <v>96</v>
      </c>
      <c r="D209" s="75">
        <v>656</v>
      </c>
      <c r="E209" s="75">
        <v>95</v>
      </c>
      <c r="F209" s="75">
        <v>655</v>
      </c>
      <c r="G209" s="75">
        <v>97</v>
      </c>
      <c r="H209" s="75">
        <v>656</v>
      </c>
      <c r="I209" s="75">
        <v>97</v>
      </c>
      <c r="J209" s="154">
        <v>656</v>
      </c>
      <c r="K209" s="154">
        <v>95</v>
      </c>
      <c r="L209" s="155">
        <v>656</v>
      </c>
      <c r="M209" s="83">
        <v>31429.599999999999</v>
      </c>
      <c r="N209" s="83">
        <v>29772.6</v>
      </c>
      <c r="O209" s="83">
        <v>28250.7</v>
      </c>
      <c r="P209" s="83">
        <v>26667.1</v>
      </c>
      <c r="Q209" s="83">
        <v>31149.5</v>
      </c>
      <c r="R209" s="83">
        <v>29449.4</v>
      </c>
      <c r="S209" s="83">
        <v>28186.400000000001</v>
      </c>
      <c r="T209" s="83">
        <v>26664.5</v>
      </c>
      <c r="U209" s="83">
        <v>31343.5</v>
      </c>
      <c r="V209" s="83">
        <v>29648.6</v>
      </c>
      <c r="X209" s="27">
        <f>Table25[[#This Row],[HDC1]]/Table25[[#This Row],[HCC1]]</f>
        <v>0.94727899814187899</v>
      </c>
      <c r="Y209" s="27">
        <f>Table25[[#This Row],[HDC2]]/Table25[[#This Row],[HCC2]]</f>
        <v>0.94394475181145943</v>
      </c>
      <c r="Z209" s="27">
        <f>Table25[[#This Row],[HDC3]]/Table25[[#This Row],[HCC3]]</f>
        <v>0.94542127481982063</v>
      </c>
      <c r="AA209" s="27">
        <f>Table25[[#This Row],[HDC4]]/Table25[[#This Row],[HCC4]]</f>
        <v>0.9460058751738426</v>
      </c>
      <c r="AB209" s="27">
        <f>Table25[[#This Row],[HDC5]]/Table25[[#This Row],[HCC5]]</f>
        <v>0.94592499242267136</v>
      </c>
      <c r="AF209">
        <f>SUM(Table25[[#This Row],[CC1]:[DC1]])</f>
        <v>752</v>
      </c>
      <c r="AG209">
        <f>SUM(Table25[[#This Row],[CC2]:[DC2]])</f>
        <v>750</v>
      </c>
      <c r="AH209">
        <f>SUM(Table25[[#This Row],[CC3]:[DC3]])</f>
        <v>753</v>
      </c>
      <c r="AI209">
        <f>SUM(Table25[[#This Row],[CC4]:[DC4]])</f>
        <v>753</v>
      </c>
      <c r="AJ209">
        <f>SUM(Table25[[#This Row],[CC5]:[DC5]])</f>
        <v>751</v>
      </c>
    </row>
    <row r="210" spans="1:36" ht="15">
      <c r="A210" t="s">
        <v>339</v>
      </c>
      <c r="B210" s="85" t="s">
        <v>619</v>
      </c>
      <c r="C210" s="126">
        <v>101</v>
      </c>
      <c r="D210" s="75">
        <v>652</v>
      </c>
      <c r="E210" s="75">
        <v>100</v>
      </c>
      <c r="F210" s="75">
        <v>650</v>
      </c>
      <c r="G210" s="75">
        <v>100</v>
      </c>
      <c r="H210" s="75">
        <v>652</v>
      </c>
      <c r="I210" s="75">
        <v>103</v>
      </c>
      <c r="J210" s="154">
        <v>642</v>
      </c>
      <c r="K210" s="154">
        <v>102</v>
      </c>
      <c r="L210" s="155">
        <v>647</v>
      </c>
      <c r="M210" s="83">
        <v>25727</v>
      </c>
      <c r="N210" s="83">
        <v>24297</v>
      </c>
      <c r="O210" s="83">
        <v>25684.400000000001</v>
      </c>
      <c r="P210" s="83">
        <v>24275</v>
      </c>
      <c r="Q210" s="83">
        <v>25652.2</v>
      </c>
      <c r="R210" s="83">
        <v>24222.799999999999</v>
      </c>
      <c r="S210" s="83">
        <v>25494.5</v>
      </c>
      <c r="T210" s="83">
        <v>24065.5</v>
      </c>
      <c r="U210" s="83">
        <v>25597.7</v>
      </c>
      <c r="V210" s="83">
        <v>24113.9</v>
      </c>
      <c r="X210" s="27">
        <f>Table25[[#This Row],[HDC1]]/Table25[[#This Row],[HCC1]]</f>
        <v>0.94441637190500249</v>
      </c>
      <c r="Y210" s="27">
        <f>Table25[[#This Row],[HDC2]]/Table25[[#This Row],[HCC2]]</f>
        <v>0.94512622447867178</v>
      </c>
      <c r="Z210" s="27">
        <f>Table25[[#This Row],[HDC3]]/Table25[[#This Row],[HCC3]]</f>
        <v>0.94427768378540622</v>
      </c>
      <c r="AA210" s="27">
        <f>Table25[[#This Row],[HDC4]]/Table25[[#This Row],[HCC4]]</f>
        <v>0.9439486948165291</v>
      </c>
      <c r="AB210" s="27">
        <f>Table25[[#This Row],[HDC5]]/Table25[[#This Row],[HCC5]]</f>
        <v>0.94203385460412459</v>
      </c>
      <c r="AF210">
        <f>SUM(Table25[[#This Row],[CC1]:[DC1]])</f>
        <v>753</v>
      </c>
      <c r="AG210">
        <f>SUM(Table25[[#This Row],[CC2]:[DC2]])</f>
        <v>750</v>
      </c>
      <c r="AH210">
        <f>SUM(Table25[[#This Row],[CC3]:[DC3]])</f>
        <v>752</v>
      </c>
      <c r="AI210">
        <f>SUM(Table25[[#This Row],[CC4]:[DC4]])</f>
        <v>745</v>
      </c>
      <c r="AJ210">
        <f>SUM(Table25[[#This Row],[CC5]:[DC5]])</f>
        <v>749</v>
      </c>
    </row>
    <row r="211" spans="1:36" ht="15">
      <c r="A211" t="s">
        <v>340</v>
      </c>
      <c r="B211" s="85" t="s">
        <v>620</v>
      </c>
      <c r="C211" s="126">
        <v>101</v>
      </c>
      <c r="D211" s="75">
        <v>655</v>
      </c>
      <c r="E211" s="75">
        <v>102</v>
      </c>
      <c r="F211" s="75">
        <v>655</v>
      </c>
      <c r="G211" s="75">
        <v>103</v>
      </c>
      <c r="H211" s="75">
        <v>654</v>
      </c>
      <c r="I211" s="75">
        <v>103</v>
      </c>
      <c r="J211" s="154">
        <v>653</v>
      </c>
      <c r="K211" s="154">
        <v>104</v>
      </c>
      <c r="L211" s="155">
        <v>651</v>
      </c>
      <c r="M211" s="83">
        <v>32242.5</v>
      </c>
      <c r="N211" s="83">
        <v>30437.5</v>
      </c>
      <c r="O211" s="83">
        <v>31244.7</v>
      </c>
      <c r="P211" s="83">
        <v>30244.6</v>
      </c>
      <c r="Q211" s="83">
        <v>31218.9</v>
      </c>
      <c r="R211" s="83">
        <v>29519.200000000001</v>
      </c>
      <c r="S211" s="83">
        <v>31914.1</v>
      </c>
      <c r="T211" s="83">
        <v>30215.5</v>
      </c>
      <c r="U211" s="83">
        <v>31809.7</v>
      </c>
      <c r="V211" s="83">
        <v>30141.8</v>
      </c>
      <c r="X211" s="27">
        <f>Table25[[#This Row],[HDC1]]/Table25[[#This Row],[HCC1]]</f>
        <v>0.9440179886795379</v>
      </c>
      <c r="Y211" s="27">
        <f>Table25[[#This Row],[HDC2]]/Table25[[#This Row],[HCC2]]</f>
        <v>0.96799137133657864</v>
      </c>
      <c r="Z211" s="27">
        <f>Table25[[#This Row],[HDC3]]/Table25[[#This Row],[HCC3]]</f>
        <v>0.94555541675075028</v>
      </c>
      <c r="AA211" s="27">
        <f>Table25[[#This Row],[HDC4]]/Table25[[#This Row],[HCC4]]</f>
        <v>0.94677587649346218</v>
      </c>
      <c r="AB211" s="27">
        <f>Table25[[#This Row],[HDC5]]/Table25[[#This Row],[HCC5]]</f>
        <v>0.94756630839020795</v>
      </c>
      <c r="AF211">
        <f>SUM(Table25[[#This Row],[CC1]:[DC1]])</f>
        <v>756</v>
      </c>
      <c r="AG211">
        <f>SUM(Table25[[#This Row],[CC2]:[DC2]])</f>
        <v>757</v>
      </c>
      <c r="AH211">
        <f>SUM(Table25[[#This Row],[CC3]:[DC3]])</f>
        <v>757</v>
      </c>
      <c r="AI211">
        <f>SUM(Table25[[#This Row],[CC4]:[DC4]])</f>
        <v>756</v>
      </c>
      <c r="AJ211">
        <f>SUM(Table25[[#This Row],[CC5]:[DC5]])</f>
        <v>755</v>
      </c>
    </row>
    <row r="212" spans="1:36" ht="15">
      <c r="A212" t="s">
        <v>341</v>
      </c>
      <c r="B212" s="85" t="s">
        <v>621</v>
      </c>
      <c r="C212" s="126">
        <v>102</v>
      </c>
      <c r="D212" s="75">
        <v>656</v>
      </c>
      <c r="E212" s="75">
        <v>103</v>
      </c>
      <c r="F212" s="75">
        <v>654</v>
      </c>
      <c r="G212" s="75">
        <v>103</v>
      </c>
      <c r="H212" s="75">
        <v>653</v>
      </c>
      <c r="I212" s="75">
        <v>104</v>
      </c>
      <c r="J212" s="154">
        <v>652</v>
      </c>
      <c r="K212" s="154">
        <v>104</v>
      </c>
      <c r="L212" s="155">
        <v>651</v>
      </c>
      <c r="M212" s="83">
        <v>32298.400000000001</v>
      </c>
      <c r="N212" s="83">
        <v>30577.200000000001</v>
      </c>
      <c r="O212" s="83">
        <v>31183.7</v>
      </c>
      <c r="P212" s="83">
        <v>30300</v>
      </c>
      <c r="Q212" s="83">
        <v>31965.8</v>
      </c>
      <c r="R212" s="83">
        <v>30265.200000000001</v>
      </c>
      <c r="S212" s="83">
        <v>31131.200000000001</v>
      </c>
      <c r="T212" s="83">
        <v>29478.400000000001</v>
      </c>
      <c r="U212" s="83">
        <v>31278.3</v>
      </c>
      <c r="V212" s="83">
        <v>29636.9</v>
      </c>
      <c r="X212" s="27">
        <f>Table25[[#This Row],[HDC1]]/Table25[[#This Row],[HCC1]]</f>
        <v>0.94670943452307232</v>
      </c>
      <c r="Y212" s="27">
        <f>Table25[[#This Row],[HDC2]]/Table25[[#This Row],[HCC2]]</f>
        <v>0.97166147698958105</v>
      </c>
      <c r="Z212" s="27">
        <f>Table25[[#This Row],[HDC3]]/Table25[[#This Row],[HCC3]]</f>
        <v>0.94679939185003981</v>
      </c>
      <c r="AA212" s="27">
        <f>Table25[[#This Row],[HDC4]]/Table25[[#This Row],[HCC4]]</f>
        <v>0.94690856761062858</v>
      </c>
      <c r="AB212" s="27">
        <f>Table25[[#This Row],[HDC5]]/Table25[[#This Row],[HCC5]]</f>
        <v>0.94752272342166943</v>
      </c>
      <c r="AF212">
        <f>SUM(Table25[[#This Row],[CC1]:[DC1]])</f>
        <v>758</v>
      </c>
      <c r="AG212">
        <f>SUM(Table25[[#This Row],[CC2]:[DC2]])</f>
        <v>757</v>
      </c>
      <c r="AH212">
        <f>SUM(Table25[[#This Row],[CC3]:[DC3]])</f>
        <v>756</v>
      </c>
      <c r="AI212">
        <f>SUM(Table25[[#This Row],[CC4]:[DC4]])</f>
        <v>756</v>
      </c>
      <c r="AJ212">
        <f>SUM(Table25[[#This Row],[CC5]:[DC5]])</f>
        <v>755</v>
      </c>
    </row>
    <row r="213" spans="1:36" ht="15">
      <c r="A213" t="s">
        <v>342</v>
      </c>
      <c r="B213" s="85" t="s">
        <v>622</v>
      </c>
      <c r="C213" s="126">
        <v>102</v>
      </c>
      <c r="D213" s="75">
        <v>651</v>
      </c>
      <c r="E213" s="75">
        <v>100</v>
      </c>
      <c r="F213" s="75">
        <v>647</v>
      </c>
      <c r="G213" s="75">
        <v>100</v>
      </c>
      <c r="H213" s="75">
        <v>651</v>
      </c>
      <c r="I213" s="75">
        <v>100</v>
      </c>
      <c r="J213" s="154">
        <v>653</v>
      </c>
      <c r="K213" s="154">
        <v>100</v>
      </c>
      <c r="L213" s="155">
        <v>650</v>
      </c>
      <c r="M213" s="83">
        <v>31165.1</v>
      </c>
      <c r="N213" s="83">
        <v>29632.3</v>
      </c>
      <c r="O213" s="83">
        <v>27113.1</v>
      </c>
      <c r="P213" s="83">
        <v>26375.9</v>
      </c>
      <c r="Q213" s="83">
        <v>31942.7</v>
      </c>
      <c r="R213" s="83">
        <v>30302.3</v>
      </c>
      <c r="S213" s="83">
        <v>31769.5</v>
      </c>
      <c r="T213" s="83">
        <v>30153.7</v>
      </c>
      <c r="U213" s="83">
        <v>31945.8</v>
      </c>
      <c r="V213" s="83">
        <v>30279.4</v>
      </c>
      <c r="X213" s="27">
        <f>Table25[[#This Row],[HDC1]]/Table25[[#This Row],[HCC1]]</f>
        <v>0.95081677902525585</v>
      </c>
      <c r="Y213" s="27">
        <f>Table25[[#This Row],[HDC2]]/Table25[[#This Row],[HCC2]]</f>
        <v>0.97281019138350111</v>
      </c>
      <c r="Z213" s="27">
        <f>Table25[[#This Row],[HDC3]]/Table25[[#This Row],[HCC3]]</f>
        <v>0.94864554342619745</v>
      </c>
      <c r="AA213" s="27">
        <f>Table25[[#This Row],[HDC4]]/Table25[[#This Row],[HCC4]]</f>
        <v>0.94913989833015944</v>
      </c>
      <c r="AB213" s="27">
        <f>Table25[[#This Row],[HDC5]]/Table25[[#This Row],[HCC5]]</f>
        <v>0.94783664832309733</v>
      </c>
      <c r="AF213">
        <f>SUM(Table25[[#This Row],[CC1]:[DC1]])</f>
        <v>753</v>
      </c>
      <c r="AG213">
        <f>SUM(Table25[[#This Row],[CC2]:[DC2]])</f>
        <v>747</v>
      </c>
      <c r="AH213">
        <f>SUM(Table25[[#This Row],[CC3]:[DC3]])</f>
        <v>751</v>
      </c>
      <c r="AI213">
        <f>SUM(Table25[[#This Row],[CC4]:[DC4]])</f>
        <v>753</v>
      </c>
      <c r="AJ213">
        <f>SUM(Table25[[#This Row],[CC5]:[DC5]])</f>
        <v>750</v>
      </c>
    </row>
    <row r="214" spans="1:36" ht="15">
      <c r="A214" t="s">
        <v>343</v>
      </c>
      <c r="B214" s="85" t="s">
        <v>623</v>
      </c>
      <c r="C214" s="126">
        <v>105</v>
      </c>
      <c r="D214" s="75">
        <v>647</v>
      </c>
      <c r="E214" s="75">
        <v>105</v>
      </c>
      <c r="F214" s="75">
        <v>647</v>
      </c>
      <c r="G214" s="75">
        <v>107</v>
      </c>
      <c r="H214" s="75">
        <v>649</v>
      </c>
      <c r="I214" s="75">
        <v>107</v>
      </c>
      <c r="J214" s="154">
        <v>645</v>
      </c>
      <c r="K214" s="154">
        <v>104</v>
      </c>
      <c r="L214" s="155">
        <v>648</v>
      </c>
      <c r="M214" s="83">
        <v>31237</v>
      </c>
      <c r="N214" s="83">
        <v>30278.1</v>
      </c>
      <c r="O214" s="83">
        <v>32001.5</v>
      </c>
      <c r="P214" s="83">
        <v>30180.400000000001</v>
      </c>
      <c r="Q214" s="83">
        <v>32128.2</v>
      </c>
      <c r="R214" s="83">
        <v>30349.5</v>
      </c>
      <c r="S214" s="83">
        <v>32047.5</v>
      </c>
      <c r="T214" s="83">
        <v>30288.6</v>
      </c>
      <c r="U214" s="83">
        <v>27921.9</v>
      </c>
      <c r="V214" s="83">
        <v>27038.1</v>
      </c>
      <c r="X214" s="27">
        <f>Table25[[#This Row],[HDC1]]/Table25[[#This Row],[HCC1]]</f>
        <v>0.96930242981080128</v>
      </c>
      <c r="Y214" s="27">
        <f>Table25[[#This Row],[HDC2]]/Table25[[#This Row],[HCC2]]</f>
        <v>0.94309329250191398</v>
      </c>
      <c r="Z214" s="27">
        <f>Table25[[#This Row],[HDC3]]/Table25[[#This Row],[HCC3]]</f>
        <v>0.94463742133079354</v>
      </c>
      <c r="AA214" s="27">
        <f>Table25[[#This Row],[HDC4]]/Table25[[#This Row],[HCC4]]</f>
        <v>0.94511584366955292</v>
      </c>
      <c r="AB214" s="27">
        <f>Table25[[#This Row],[HDC5]]/Table25[[#This Row],[HCC5]]</f>
        <v>0.96834742621383207</v>
      </c>
      <c r="AF214">
        <f>SUM(Table25[[#This Row],[CC1]:[DC1]])</f>
        <v>752</v>
      </c>
      <c r="AG214">
        <f>SUM(Table25[[#This Row],[CC2]:[DC2]])</f>
        <v>752</v>
      </c>
      <c r="AH214">
        <f>SUM(Table25[[#This Row],[CC3]:[DC3]])</f>
        <v>756</v>
      </c>
      <c r="AI214">
        <f>SUM(Table25[[#This Row],[CC4]:[DC4]])</f>
        <v>752</v>
      </c>
      <c r="AJ214">
        <f>SUM(Table25[[#This Row],[CC5]:[DC5]])</f>
        <v>752</v>
      </c>
    </row>
    <row r="215" spans="1:36" ht="15">
      <c r="A215" t="s">
        <v>344</v>
      </c>
      <c r="B215" s="85" t="s">
        <v>624</v>
      </c>
      <c r="C215" s="126">
        <v>106</v>
      </c>
      <c r="D215" s="75">
        <v>649</v>
      </c>
      <c r="E215" s="75">
        <v>105</v>
      </c>
      <c r="F215" s="75">
        <v>648</v>
      </c>
      <c r="G215" s="75">
        <v>106</v>
      </c>
      <c r="H215" s="75">
        <v>648</v>
      </c>
      <c r="I215" s="75">
        <v>108</v>
      </c>
      <c r="J215" s="154">
        <v>646</v>
      </c>
      <c r="K215" s="154">
        <v>107</v>
      </c>
      <c r="L215" s="155">
        <v>647</v>
      </c>
      <c r="M215" s="83">
        <v>24279.4</v>
      </c>
      <c r="N215" s="83">
        <v>22844.3</v>
      </c>
      <c r="O215" s="83">
        <v>24117.8</v>
      </c>
      <c r="P215" s="83">
        <v>22662.400000000001</v>
      </c>
      <c r="Q215" s="83">
        <v>23949.599999999999</v>
      </c>
      <c r="R215" s="83">
        <v>22507.8</v>
      </c>
      <c r="S215" s="83">
        <v>18969.7</v>
      </c>
      <c r="T215" s="83">
        <v>18402</v>
      </c>
      <c r="U215" s="83">
        <v>19257.8</v>
      </c>
      <c r="V215" s="83">
        <v>18847</v>
      </c>
      <c r="X215" s="27">
        <f>Table25[[#This Row],[HDC1]]/Table25[[#This Row],[HCC1]]</f>
        <v>0.94089227905137685</v>
      </c>
      <c r="Y215" s="27">
        <f>Table25[[#This Row],[HDC2]]/Table25[[#This Row],[HCC2]]</f>
        <v>0.93965452902005997</v>
      </c>
      <c r="Z215" s="27">
        <f>Table25[[#This Row],[HDC3]]/Table25[[#This Row],[HCC3]]</f>
        <v>0.93979857701172465</v>
      </c>
      <c r="AA215" s="27">
        <f>Table25[[#This Row],[HDC4]]/Table25[[#This Row],[HCC4]]</f>
        <v>0.97007332746432462</v>
      </c>
      <c r="AB215" s="27">
        <f>Table25[[#This Row],[HDC5]]/Table25[[#This Row],[HCC5]]</f>
        <v>0.97866838371984344</v>
      </c>
      <c r="AF215">
        <f>SUM(Table25[[#This Row],[CC1]:[DC1]])</f>
        <v>755</v>
      </c>
      <c r="AG215">
        <f>SUM(Table25[[#This Row],[CC2]:[DC2]])</f>
        <v>753</v>
      </c>
      <c r="AH215">
        <f>SUM(Table25[[#This Row],[CC3]:[DC3]])</f>
        <v>754</v>
      </c>
      <c r="AI215">
        <f>SUM(Table25[[#This Row],[CC4]:[DC4]])</f>
        <v>754</v>
      </c>
      <c r="AJ215">
        <f>SUM(Table25[[#This Row],[CC5]:[DC5]])</f>
        <v>754</v>
      </c>
    </row>
    <row r="216" spans="1:36" ht="15">
      <c r="A216" t="s">
        <v>345</v>
      </c>
      <c r="B216" s="85" t="s">
        <v>625</v>
      </c>
      <c r="C216" s="126">
        <v>101</v>
      </c>
      <c r="D216" s="75">
        <v>651</v>
      </c>
      <c r="E216" s="75">
        <v>101</v>
      </c>
      <c r="F216" s="75">
        <v>649</v>
      </c>
      <c r="G216" s="75">
        <v>101</v>
      </c>
      <c r="H216" s="75">
        <v>640</v>
      </c>
      <c r="I216" s="75">
        <v>102</v>
      </c>
      <c r="J216" s="154">
        <v>652</v>
      </c>
      <c r="K216" s="154">
        <v>102</v>
      </c>
      <c r="L216" s="155">
        <v>649</v>
      </c>
      <c r="M216" s="83">
        <v>25613.1</v>
      </c>
      <c r="N216" s="83">
        <v>24719.200000000001</v>
      </c>
      <c r="O216" s="83">
        <v>26107.3</v>
      </c>
      <c r="P216" s="83">
        <v>24492.799999999999</v>
      </c>
      <c r="Q216" s="83">
        <v>25629.200000000001</v>
      </c>
      <c r="R216" s="83">
        <v>24869.599999999999</v>
      </c>
      <c r="S216" s="83">
        <v>27012.6</v>
      </c>
      <c r="T216" s="83">
        <v>25378.400000000001</v>
      </c>
      <c r="U216" s="83">
        <v>27102.7</v>
      </c>
      <c r="V216" s="83">
        <v>25489.4</v>
      </c>
      <c r="X216" s="27">
        <f>Table25[[#This Row],[HDC1]]/Table25[[#This Row],[HCC1]]</f>
        <v>0.96509989029051546</v>
      </c>
      <c r="Y216" s="27">
        <f>Table25[[#This Row],[HDC2]]/Table25[[#This Row],[HCC2]]</f>
        <v>0.93815905896052065</v>
      </c>
      <c r="Z216" s="27">
        <f>Table25[[#This Row],[HDC3]]/Table25[[#This Row],[HCC3]]</f>
        <v>0.97036193092254142</v>
      </c>
      <c r="AA216" s="27">
        <f>Table25[[#This Row],[HDC4]]/Table25[[#This Row],[HCC4]]</f>
        <v>0.93950230633111964</v>
      </c>
      <c r="AB216" s="27">
        <f>Table25[[#This Row],[HDC5]]/Table25[[#This Row],[HCC5]]</f>
        <v>0.9404745652647154</v>
      </c>
      <c r="AF216">
        <f>SUM(Table25[[#This Row],[CC1]:[DC1]])</f>
        <v>752</v>
      </c>
      <c r="AG216">
        <f>SUM(Table25[[#This Row],[CC2]:[DC2]])</f>
        <v>750</v>
      </c>
      <c r="AH216">
        <f>SUM(Table25[[#This Row],[CC3]:[DC3]])</f>
        <v>741</v>
      </c>
      <c r="AI216">
        <f>SUM(Table25[[#This Row],[CC4]:[DC4]])</f>
        <v>754</v>
      </c>
      <c r="AJ216">
        <f>SUM(Table25[[#This Row],[CC5]:[DC5]])</f>
        <v>751</v>
      </c>
    </row>
    <row r="217" spans="1:36" ht="15">
      <c r="A217" t="s">
        <v>346</v>
      </c>
      <c r="B217" s="85" t="s">
        <v>626</v>
      </c>
      <c r="C217" s="126">
        <v>100</v>
      </c>
      <c r="D217" s="75">
        <v>649</v>
      </c>
      <c r="E217" s="75">
        <v>105</v>
      </c>
      <c r="F217" s="75">
        <v>637</v>
      </c>
      <c r="G217" s="75">
        <v>101</v>
      </c>
      <c r="H217" s="75">
        <v>644</v>
      </c>
      <c r="I217" s="75">
        <v>104</v>
      </c>
      <c r="J217" s="154">
        <v>648</v>
      </c>
      <c r="K217" s="154">
        <v>103</v>
      </c>
      <c r="L217" s="155">
        <v>648</v>
      </c>
      <c r="M217" s="83">
        <v>25965.5</v>
      </c>
      <c r="N217" s="83">
        <v>24470.3</v>
      </c>
      <c r="O217" s="83">
        <v>20459.900000000001</v>
      </c>
      <c r="P217" s="83">
        <v>19852.900000000001</v>
      </c>
      <c r="Q217" s="83">
        <v>26625.8</v>
      </c>
      <c r="R217" s="83">
        <v>25122.3</v>
      </c>
      <c r="S217" s="83">
        <v>24514.799999999999</v>
      </c>
      <c r="T217" s="83">
        <v>23807.4</v>
      </c>
      <c r="U217" s="83">
        <v>25785.9</v>
      </c>
      <c r="V217" s="83">
        <v>24292.7</v>
      </c>
      <c r="X217" s="27">
        <f>Table25[[#This Row],[HDC1]]/Table25[[#This Row],[HCC1]]</f>
        <v>0.94241589801852454</v>
      </c>
      <c r="Y217" s="27">
        <f>Table25[[#This Row],[HDC2]]/Table25[[#This Row],[HCC2]]</f>
        <v>0.97033221081236953</v>
      </c>
      <c r="Z217" s="27">
        <f>Table25[[#This Row],[HDC3]]/Table25[[#This Row],[HCC3]]</f>
        <v>0.94353221311660118</v>
      </c>
      <c r="AA217" s="27">
        <f>Table25[[#This Row],[HDC4]]/Table25[[#This Row],[HCC4]]</f>
        <v>0.97114396201478304</v>
      </c>
      <c r="AB217" s="27">
        <f>Table25[[#This Row],[HDC5]]/Table25[[#This Row],[HCC5]]</f>
        <v>0.94209238382216631</v>
      </c>
      <c r="AF217">
        <f>SUM(Table25[[#This Row],[CC1]:[DC1]])</f>
        <v>749</v>
      </c>
      <c r="AG217">
        <f>SUM(Table25[[#This Row],[CC2]:[DC2]])</f>
        <v>742</v>
      </c>
      <c r="AH217">
        <f>SUM(Table25[[#This Row],[CC3]:[DC3]])</f>
        <v>745</v>
      </c>
      <c r="AI217">
        <f>SUM(Table25[[#This Row],[CC4]:[DC4]])</f>
        <v>752</v>
      </c>
      <c r="AJ217">
        <f>SUM(Table25[[#This Row],[CC5]:[DC5]])</f>
        <v>751</v>
      </c>
    </row>
    <row r="218" spans="1:36" ht="15">
      <c r="A218" t="s">
        <v>347</v>
      </c>
      <c r="B218" s="85" t="s">
        <v>407</v>
      </c>
      <c r="C218" s="126">
        <v>99</v>
      </c>
      <c r="D218" s="75">
        <v>672</v>
      </c>
      <c r="E218" s="75">
        <v>110</v>
      </c>
      <c r="F218" s="75">
        <v>653</v>
      </c>
      <c r="G218" s="75">
        <v>105</v>
      </c>
      <c r="H218" s="75">
        <v>670</v>
      </c>
      <c r="I218" s="75">
        <v>100</v>
      </c>
      <c r="J218" s="154">
        <v>681</v>
      </c>
      <c r="K218" s="154">
        <v>103</v>
      </c>
      <c r="L218" s="155">
        <v>659</v>
      </c>
      <c r="M218" s="83">
        <v>26595.200000000001</v>
      </c>
      <c r="N218" s="83">
        <v>25373.5</v>
      </c>
      <c r="O218" s="83">
        <v>25467</v>
      </c>
      <c r="P218" s="83">
        <v>24323.599999999999</v>
      </c>
      <c r="Q218" s="83">
        <v>26293.3</v>
      </c>
      <c r="R218" s="83">
        <v>25092.3</v>
      </c>
      <c r="S218" s="83">
        <v>28253</v>
      </c>
      <c r="T218" s="83">
        <v>26716.9</v>
      </c>
      <c r="U218" s="83">
        <v>28202.799999999999</v>
      </c>
      <c r="V218" s="83">
        <v>26647.9</v>
      </c>
      <c r="X218" s="27">
        <f>Table25[[#This Row],[HDC1]]/Table25[[#This Row],[HCC1]]</f>
        <v>0.95406313921309105</v>
      </c>
      <c r="Y218" s="27">
        <f>Table25[[#This Row],[HDC2]]/Table25[[#This Row],[HCC2]]</f>
        <v>0.95510268190206926</v>
      </c>
      <c r="Z218" s="27">
        <f>Table25[[#This Row],[HDC3]]/Table25[[#This Row],[HCC3]]</f>
        <v>0.95432296440538089</v>
      </c>
      <c r="AA218" s="27">
        <f>Table25[[#This Row],[HDC4]]/Table25[[#This Row],[HCC4]]</f>
        <v>0.94563055250769834</v>
      </c>
      <c r="AB218" s="27">
        <f>Table25[[#This Row],[HDC5]]/Table25[[#This Row],[HCC5]]</f>
        <v>0.9448671763087354</v>
      </c>
      <c r="AF218">
        <f>SUM(Table25[[#This Row],[CC1]:[DC1]])</f>
        <v>771</v>
      </c>
      <c r="AG218">
        <f>SUM(Table25[[#This Row],[CC2]:[DC2]])</f>
        <v>763</v>
      </c>
      <c r="AH218">
        <f>SUM(Table25[[#This Row],[CC3]:[DC3]])</f>
        <v>775</v>
      </c>
      <c r="AI218">
        <f>SUM(Table25[[#This Row],[CC4]:[DC4]])</f>
        <v>781</v>
      </c>
      <c r="AJ218">
        <f>SUM(Table25[[#This Row],[CC5]:[DC5]])</f>
        <v>762</v>
      </c>
    </row>
    <row r="219" spans="1:36" ht="15">
      <c r="A219" t="s">
        <v>348</v>
      </c>
      <c r="B219" s="85" t="s">
        <v>406</v>
      </c>
      <c r="C219" s="126">
        <v>108</v>
      </c>
      <c r="D219" s="75">
        <v>654</v>
      </c>
      <c r="E219" s="75">
        <v>99</v>
      </c>
      <c r="F219" s="75">
        <v>665</v>
      </c>
      <c r="G219" s="75">
        <v>102</v>
      </c>
      <c r="H219" s="75">
        <v>660</v>
      </c>
      <c r="I219" s="75">
        <v>105</v>
      </c>
      <c r="J219" s="154">
        <v>658</v>
      </c>
      <c r="K219" s="154">
        <v>103</v>
      </c>
      <c r="L219" s="155">
        <v>660</v>
      </c>
      <c r="M219" s="83">
        <v>23250.7</v>
      </c>
      <c r="N219" s="83">
        <v>21854.9</v>
      </c>
      <c r="O219" s="83">
        <v>23218.1</v>
      </c>
      <c r="P219" s="83">
        <v>21791.4</v>
      </c>
      <c r="Q219" s="83">
        <v>23159.7</v>
      </c>
      <c r="R219" s="83">
        <v>21746</v>
      </c>
      <c r="S219" s="83">
        <v>23086.400000000001</v>
      </c>
      <c r="T219" s="83">
        <v>21646.9</v>
      </c>
      <c r="U219" s="83">
        <v>22835.5</v>
      </c>
      <c r="V219" s="83">
        <v>21470.1</v>
      </c>
      <c r="X219" s="27">
        <f>Table25[[#This Row],[HDC1]]/Table25[[#This Row],[HCC1]]</f>
        <v>0.939967398831003</v>
      </c>
      <c r="Y219" s="27">
        <f>Table25[[#This Row],[HDC2]]/Table25[[#This Row],[HCC2]]</f>
        <v>0.93855225018412369</v>
      </c>
      <c r="Z219" s="27">
        <f>Table25[[#This Row],[HDC3]]/Table25[[#This Row],[HCC3]]</f>
        <v>0.93895862208923253</v>
      </c>
      <c r="AA219" s="27">
        <f>Table25[[#This Row],[HDC4]]/Table25[[#This Row],[HCC4]]</f>
        <v>0.93764727285328164</v>
      </c>
      <c r="AB219" s="27">
        <f>Table25[[#This Row],[HDC5]]/Table25[[#This Row],[HCC5]]</f>
        <v>0.94020713362965547</v>
      </c>
      <c r="AF219">
        <f>SUM(Table25[[#This Row],[CC1]:[DC1]])</f>
        <v>762</v>
      </c>
      <c r="AG219">
        <f>SUM(Table25[[#This Row],[CC2]:[DC2]])</f>
        <v>764</v>
      </c>
      <c r="AH219">
        <f>SUM(Table25[[#This Row],[CC3]:[DC3]])</f>
        <v>762</v>
      </c>
      <c r="AI219">
        <f>SUM(Table25[[#This Row],[CC4]:[DC4]])</f>
        <v>763</v>
      </c>
      <c r="AJ219">
        <f>SUM(Table25[[#This Row],[CC5]:[DC5]])</f>
        <v>763</v>
      </c>
    </row>
    <row r="220" spans="1:36" ht="15">
      <c r="A220" t="s">
        <v>349</v>
      </c>
      <c r="B220" s="85" t="s">
        <v>405</v>
      </c>
      <c r="C220" s="126">
        <v>100</v>
      </c>
      <c r="D220" s="75">
        <v>665</v>
      </c>
      <c r="E220" s="75">
        <v>104</v>
      </c>
      <c r="F220" s="75">
        <v>660</v>
      </c>
      <c r="G220" s="75">
        <v>100</v>
      </c>
      <c r="H220" s="75">
        <v>665</v>
      </c>
      <c r="I220" s="75">
        <v>102</v>
      </c>
      <c r="J220" s="154">
        <v>664</v>
      </c>
      <c r="K220" s="154">
        <v>103</v>
      </c>
      <c r="L220" s="155">
        <v>662</v>
      </c>
      <c r="M220" s="83">
        <v>25999.8</v>
      </c>
      <c r="N220" s="83">
        <v>24886.9</v>
      </c>
      <c r="O220" s="83">
        <v>27497.200000000001</v>
      </c>
      <c r="P220" s="83">
        <v>26007.8</v>
      </c>
      <c r="Q220" s="83">
        <v>27089.200000000001</v>
      </c>
      <c r="R220" s="83">
        <v>25602.6</v>
      </c>
      <c r="S220" s="83">
        <v>27552.6</v>
      </c>
      <c r="T220" s="83">
        <v>26039.200000000001</v>
      </c>
      <c r="U220" s="83">
        <v>25795.8</v>
      </c>
      <c r="V220" s="83">
        <v>24654.400000000001</v>
      </c>
      <c r="X220" s="27">
        <f>Table25[[#This Row],[HDC1]]/Table25[[#This Row],[HCC1]]</f>
        <v>0.95719582458326613</v>
      </c>
      <c r="Y220" s="27">
        <f>Table25[[#This Row],[HDC2]]/Table25[[#This Row],[HCC2]]</f>
        <v>0.94583448496574196</v>
      </c>
      <c r="Z220" s="27">
        <f>Table25[[#This Row],[HDC3]]/Table25[[#This Row],[HCC3]]</f>
        <v>0.94512204125629395</v>
      </c>
      <c r="AA220" s="27">
        <f>Table25[[#This Row],[HDC4]]/Table25[[#This Row],[HCC4]]</f>
        <v>0.94507233437134797</v>
      </c>
      <c r="AB220" s="27">
        <f>Table25[[#This Row],[HDC5]]/Table25[[#This Row],[HCC5]]</f>
        <v>0.95575248683894287</v>
      </c>
      <c r="AF220">
        <f>SUM(Table25[[#This Row],[CC1]:[DC1]])</f>
        <v>765</v>
      </c>
      <c r="AG220">
        <f>SUM(Table25[[#This Row],[CC2]:[DC2]])</f>
        <v>764</v>
      </c>
      <c r="AH220">
        <f>SUM(Table25[[#This Row],[CC3]:[DC3]])</f>
        <v>765</v>
      </c>
      <c r="AI220">
        <f>SUM(Table25[[#This Row],[CC4]:[DC4]])</f>
        <v>766</v>
      </c>
      <c r="AJ220">
        <f>SUM(Table25[[#This Row],[CC5]:[DC5]])</f>
        <v>765</v>
      </c>
    </row>
    <row r="221" spans="1:36" ht="15">
      <c r="A221" t="s">
        <v>350</v>
      </c>
      <c r="B221" s="85" t="s">
        <v>404</v>
      </c>
      <c r="C221" s="126">
        <v>95</v>
      </c>
      <c r="D221" s="75">
        <v>669</v>
      </c>
      <c r="E221" s="75">
        <v>100</v>
      </c>
      <c r="F221" s="75">
        <v>662</v>
      </c>
      <c r="G221" s="75">
        <v>108</v>
      </c>
      <c r="H221" s="75">
        <v>653</v>
      </c>
      <c r="I221" s="75">
        <v>105</v>
      </c>
      <c r="J221" s="154">
        <v>658</v>
      </c>
      <c r="K221" s="154">
        <v>105</v>
      </c>
      <c r="L221" s="155">
        <v>658</v>
      </c>
      <c r="M221" s="83">
        <v>28048.7</v>
      </c>
      <c r="N221" s="83">
        <v>26491.9</v>
      </c>
      <c r="O221" s="83">
        <v>27541.4</v>
      </c>
      <c r="P221" s="83">
        <v>26052.2</v>
      </c>
      <c r="Q221" s="83">
        <v>21421.599999999999</v>
      </c>
      <c r="R221" s="83">
        <v>20057</v>
      </c>
      <c r="S221" s="83">
        <v>27469.7</v>
      </c>
      <c r="T221" s="83">
        <v>25934.400000000001</v>
      </c>
      <c r="U221" s="83">
        <v>25819.9</v>
      </c>
      <c r="V221" s="83">
        <v>24688.2</v>
      </c>
      <c r="X221" s="27">
        <f>Table25[[#This Row],[HDC1]]/Table25[[#This Row],[HCC1]]</f>
        <v>0.94449653638136533</v>
      </c>
      <c r="Y221" s="27">
        <f>Table25[[#This Row],[HDC2]]/Table25[[#This Row],[HCC2]]</f>
        <v>0.94592867464979991</v>
      </c>
      <c r="Z221" s="27">
        <f>Table25[[#This Row],[HDC3]]/Table25[[#This Row],[HCC3]]</f>
        <v>0.9362979422638833</v>
      </c>
      <c r="AA221" s="27">
        <f>Table25[[#This Row],[HDC4]]/Table25[[#This Row],[HCC4]]</f>
        <v>0.94410932773201017</v>
      </c>
      <c r="AB221" s="27">
        <f>Table25[[#This Row],[HDC5]]/Table25[[#This Row],[HCC5]]</f>
        <v>0.95616946618693333</v>
      </c>
      <c r="AF221">
        <f>SUM(Table25[[#This Row],[CC1]:[DC1]])</f>
        <v>764</v>
      </c>
      <c r="AG221">
        <f>SUM(Table25[[#This Row],[CC2]:[DC2]])</f>
        <v>762</v>
      </c>
      <c r="AH221">
        <f>SUM(Table25[[#This Row],[CC3]:[DC3]])</f>
        <v>761</v>
      </c>
      <c r="AI221">
        <f>SUM(Table25[[#This Row],[CC4]:[DC4]])</f>
        <v>763</v>
      </c>
      <c r="AJ221">
        <f>SUM(Table25[[#This Row],[CC5]:[DC5]])</f>
        <v>763</v>
      </c>
    </row>
    <row r="222" spans="1:36" ht="15">
      <c r="A222" t="s">
        <v>351</v>
      </c>
      <c r="B222" s="85" t="s">
        <v>627</v>
      </c>
      <c r="C222" s="126">
        <v>809</v>
      </c>
      <c r="D222" s="75">
        <v>0</v>
      </c>
      <c r="E222" s="75">
        <v>803</v>
      </c>
      <c r="F222" s="75">
        <v>0</v>
      </c>
      <c r="G222" s="75">
        <v>808</v>
      </c>
      <c r="H222" s="75">
        <v>0</v>
      </c>
      <c r="I222" s="75">
        <v>806</v>
      </c>
      <c r="J222" s="154">
        <v>0</v>
      </c>
      <c r="K222" s="154">
        <v>806</v>
      </c>
      <c r="L222" s="155">
        <v>0</v>
      </c>
      <c r="M222" s="83">
        <v>27645</v>
      </c>
      <c r="N222" s="83">
        <v>26797.599999999999</v>
      </c>
      <c r="O222" s="83">
        <v>29276.2</v>
      </c>
      <c r="P222" s="83">
        <v>28367</v>
      </c>
      <c r="Q222" s="83">
        <v>29207.5</v>
      </c>
      <c r="R222" s="83">
        <v>28308.7</v>
      </c>
      <c r="S222" s="83">
        <v>28952.6</v>
      </c>
      <c r="T222" s="83">
        <v>28103.8</v>
      </c>
      <c r="U222" s="83">
        <v>29251.9</v>
      </c>
      <c r="V222" s="83">
        <v>28339.599999999999</v>
      </c>
      <c r="X222" s="27">
        <f>Table25[[#This Row],[HDC1]]/Table25[[#This Row],[HCC1]]</f>
        <v>0.9693470790378006</v>
      </c>
      <c r="Y222" s="27">
        <f>Table25[[#This Row],[HDC2]]/Table25[[#This Row],[HCC2]]</f>
        <v>0.96894405694728136</v>
      </c>
      <c r="Z222" s="27">
        <f>Table25[[#This Row],[HDC3]]/Table25[[#This Row],[HCC3]]</f>
        <v>0.9692270820850809</v>
      </c>
      <c r="AA222" s="27">
        <f>Table25[[#This Row],[HDC4]]/Table25[[#This Row],[HCC4]]</f>
        <v>0.9706831165422104</v>
      </c>
      <c r="AB222" s="27">
        <f>Table25[[#This Row],[HDC5]]/Table25[[#This Row],[HCC5]]</f>
        <v>0.96881228227909977</v>
      </c>
      <c r="AF222">
        <f>SUM(Table25[[#This Row],[CC1]:[DC1]])</f>
        <v>809</v>
      </c>
      <c r="AG222">
        <f>SUM(Table25[[#This Row],[CC2]:[DC2]])</f>
        <v>803</v>
      </c>
      <c r="AH222">
        <f>SUM(Table25[[#This Row],[CC3]:[DC3]])</f>
        <v>808</v>
      </c>
      <c r="AI222">
        <f>SUM(Table25[[#This Row],[CC4]:[DC4]])</f>
        <v>806</v>
      </c>
      <c r="AJ222">
        <f>SUM(Table25[[#This Row],[CC5]:[DC5]])</f>
        <v>806</v>
      </c>
    </row>
    <row r="223" spans="1:36" ht="15">
      <c r="A223" t="s">
        <v>352</v>
      </c>
      <c r="B223" s="85" t="s">
        <v>628</v>
      </c>
      <c r="C223" s="126">
        <v>0</v>
      </c>
      <c r="D223" s="75">
        <v>733</v>
      </c>
      <c r="E223" s="75">
        <v>0</v>
      </c>
      <c r="F223" s="75">
        <v>731</v>
      </c>
      <c r="G223" s="75">
        <v>0</v>
      </c>
      <c r="H223" s="75">
        <v>726</v>
      </c>
      <c r="I223" s="75">
        <v>10</v>
      </c>
      <c r="J223" s="154">
        <v>729</v>
      </c>
      <c r="K223" s="154">
        <v>0</v>
      </c>
      <c r="L223" s="155">
        <v>736</v>
      </c>
      <c r="M223" s="83">
        <v>22191.8</v>
      </c>
      <c r="N223" s="83">
        <v>20714.900000000001</v>
      </c>
      <c r="O223" s="83">
        <v>20448</v>
      </c>
      <c r="P223" s="83">
        <v>19548.7</v>
      </c>
      <c r="Q223" s="83">
        <v>21605.5</v>
      </c>
      <c r="R223" s="83">
        <v>20176.3</v>
      </c>
      <c r="S223" s="83">
        <v>20253.400000000001</v>
      </c>
      <c r="T223" s="83">
        <v>19281.8</v>
      </c>
      <c r="U223" s="83">
        <v>22287.8</v>
      </c>
      <c r="V223" s="83">
        <v>20835.5</v>
      </c>
      <c r="X223" s="27">
        <f>Table25[[#This Row],[HDC1]]/Table25[[#This Row],[HCC1]]</f>
        <v>0.93344839084706976</v>
      </c>
      <c r="Y223" s="27">
        <f>Table25[[#This Row],[HDC2]]/Table25[[#This Row],[HCC2]]</f>
        <v>0.95602014866979657</v>
      </c>
      <c r="Z223" s="27">
        <f>Table25[[#This Row],[HDC3]]/Table25[[#This Row],[HCC3]]</f>
        <v>0.93385017703825413</v>
      </c>
      <c r="AA223" s="27">
        <f>Table25[[#This Row],[HDC4]]/Table25[[#This Row],[HCC4]]</f>
        <v>0.95202780767673567</v>
      </c>
      <c r="AB223" s="27">
        <f>Table25[[#This Row],[HDC5]]/Table25[[#This Row],[HCC5]]</f>
        <v>0.93483879072856002</v>
      </c>
      <c r="AF223">
        <f>SUM(Table25[[#This Row],[CC1]:[DC1]])</f>
        <v>733</v>
      </c>
      <c r="AG223">
        <f>SUM(Table25[[#This Row],[CC2]:[DC2]])</f>
        <v>731</v>
      </c>
      <c r="AH223">
        <f>SUM(Table25[[#This Row],[CC3]:[DC3]])</f>
        <v>726</v>
      </c>
      <c r="AI223">
        <f>SUM(Table25[[#This Row],[CC4]:[DC4]])</f>
        <v>739</v>
      </c>
      <c r="AJ223">
        <f>SUM(Table25[[#This Row],[CC5]:[DC5]])</f>
        <v>736</v>
      </c>
    </row>
    <row r="224" spans="1:36" ht="15">
      <c r="A224" t="s">
        <v>353</v>
      </c>
      <c r="B224" s="85" t="s">
        <v>629</v>
      </c>
      <c r="C224" s="126">
        <v>4</v>
      </c>
      <c r="D224" s="75">
        <v>806</v>
      </c>
      <c r="E224" s="75">
        <v>4</v>
      </c>
      <c r="F224" s="75">
        <v>807</v>
      </c>
      <c r="G224" s="75">
        <v>5</v>
      </c>
      <c r="H224" s="75">
        <v>806</v>
      </c>
      <c r="I224" s="75">
        <v>5</v>
      </c>
      <c r="J224" s="154">
        <v>806</v>
      </c>
      <c r="K224" s="154">
        <v>5</v>
      </c>
      <c r="L224" s="155">
        <v>805</v>
      </c>
      <c r="M224" s="83">
        <v>33472</v>
      </c>
      <c r="N224" s="83">
        <v>31482.1</v>
      </c>
      <c r="O224" s="83">
        <v>31633.5</v>
      </c>
      <c r="P224" s="83">
        <v>30053.8</v>
      </c>
      <c r="Q224" s="83">
        <v>32512.6</v>
      </c>
      <c r="R224" s="83">
        <v>30520.5</v>
      </c>
      <c r="S224" s="83">
        <v>32572.799999999999</v>
      </c>
      <c r="T224" s="83">
        <v>31206.6</v>
      </c>
      <c r="U224" s="83">
        <v>33472.5</v>
      </c>
      <c r="V224" s="83">
        <v>31450.9</v>
      </c>
      <c r="X224" s="27">
        <f>Table25[[#This Row],[HDC1]]/Table25[[#This Row],[HCC1]]</f>
        <v>0.94055031070745698</v>
      </c>
      <c r="Y224" s="27">
        <f>Table25[[#This Row],[HDC2]]/Table25[[#This Row],[HCC2]]</f>
        <v>0.95006243381225597</v>
      </c>
      <c r="Z224" s="27">
        <f>Table25[[#This Row],[HDC3]]/Table25[[#This Row],[HCC3]]</f>
        <v>0.93872836992427555</v>
      </c>
      <c r="AA224" s="27">
        <f>Table25[[#This Row],[HDC4]]/Table25[[#This Row],[HCC4]]</f>
        <v>0.95805702917771884</v>
      </c>
      <c r="AB224" s="27">
        <f>Table25[[#This Row],[HDC5]]/Table25[[#This Row],[HCC5]]</f>
        <v>0.93960415266263353</v>
      </c>
      <c r="AF224">
        <f>SUM(Table25[[#This Row],[CC1]:[DC1]])</f>
        <v>810</v>
      </c>
      <c r="AG224">
        <f>SUM(Table25[[#This Row],[CC2]:[DC2]])</f>
        <v>811</v>
      </c>
      <c r="AH224">
        <f>SUM(Table25[[#This Row],[CC3]:[DC3]])</f>
        <v>811</v>
      </c>
      <c r="AI224">
        <f>SUM(Table25[[#This Row],[CC4]:[DC4]])</f>
        <v>811</v>
      </c>
      <c r="AJ224">
        <f>SUM(Table25[[#This Row],[CC5]:[DC5]])</f>
        <v>810</v>
      </c>
    </row>
    <row r="225" spans="1:36" ht="15">
      <c r="A225" t="s">
        <v>354</v>
      </c>
      <c r="B225" s="85" t="s">
        <v>630</v>
      </c>
      <c r="C225" s="126">
        <v>799</v>
      </c>
      <c r="D225" s="75">
        <v>0</v>
      </c>
      <c r="E225" s="75">
        <v>801</v>
      </c>
      <c r="F225" s="75">
        <v>0</v>
      </c>
      <c r="G225" s="75">
        <v>806</v>
      </c>
      <c r="H225" s="75">
        <v>0</v>
      </c>
      <c r="I225" s="75">
        <v>806</v>
      </c>
      <c r="J225" s="154">
        <v>0</v>
      </c>
      <c r="K225" s="154">
        <v>806</v>
      </c>
      <c r="L225" s="155">
        <v>0</v>
      </c>
      <c r="M225" s="83">
        <v>32551.1</v>
      </c>
      <c r="N225" s="83">
        <v>31500.5</v>
      </c>
      <c r="O225" s="83">
        <v>32091.200000000001</v>
      </c>
      <c r="P225" s="83">
        <v>31048.799999999999</v>
      </c>
      <c r="Q225" s="83">
        <v>30382</v>
      </c>
      <c r="R225" s="83">
        <v>29792.3</v>
      </c>
      <c r="S225" s="83">
        <v>31916.2</v>
      </c>
      <c r="T225" s="83">
        <v>30919.3</v>
      </c>
      <c r="U225" s="83">
        <v>31915.5</v>
      </c>
      <c r="V225" s="83">
        <v>30905.5</v>
      </c>
      <c r="X225" s="27">
        <f>Table25[[#This Row],[HDC1]]/Table25[[#This Row],[HCC1]]</f>
        <v>0.96772459302450609</v>
      </c>
      <c r="Y225" s="27">
        <f>Table25[[#This Row],[HDC2]]/Table25[[#This Row],[HCC2]]</f>
        <v>0.96751757491150214</v>
      </c>
      <c r="Z225" s="27">
        <f>Table25[[#This Row],[HDC3]]/Table25[[#This Row],[HCC3]]</f>
        <v>0.98059048120597725</v>
      </c>
      <c r="AA225" s="27">
        <f>Table25[[#This Row],[HDC4]]/Table25[[#This Row],[HCC4]]</f>
        <v>0.96876507854945137</v>
      </c>
      <c r="AB225" s="27">
        <f>Table25[[#This Row],[HDC5]]/Table25[[#This Row],[HCC5]]</f>
        <v>0.96835393460857577</v>
      </c>
      <c r="AF225">
        <f>SUM(Table25[[#This Row],[CC1]:[DC1]])</f>
        <v>799</v>
      </c>
      <c r="AG225">
        <f>SUM(Table25[[#This Row],[CC2]:[DC2]])</f>
        <v>801</v>
      </c>
      <c r="AH225">
        <f>SUM(Table25[[#This Row],[CC3]:[DC3]])</f>
        <v>806</v>
      </c>
      <c r="AI225">
        <f>SUM(Table25[[#This Row],[CC4]:[DC4]])</f>
        <v>806</v>
      </c>
      <c r="AJ225">
        <f>SUM(Table25[[#This Row],[CC5]:[DC5]])</f>
        <v>806</v>
      </c>
    </row>
    <row r="226" spans="1:36" ht="15">
      <c r="A226" t="s">
        <v>355</v>
      </c>
      <c r="B226" s="85" t="s">
        <v>631</v>
      </c>
      <c r="C226" s="126">
        <v>103</v>
      </c>
      <c r="D226" s="75">
        <v>654</v>
      </c>
      <c r="E226" s="75">
        <v>103</v>
      </c>
      <c r="F226" s="75">
        <v>655</v>
      </c>
      <c r="G226" s="75">
        <v>103</v>
      </c>
      <c r="H226" s="75">
        <v>657</v>
      </c>
      <c r="I226" s="75">
        <v>102</v>
      </c>
      <c r="J226" s="154">
        <v>653</v>
      </c>
      <c r="K226" s="154">
        <v>105</v>
      </c>
      <c r="L226" s="155">
        <v>651</v>
      </c>
      <c r="M226" s="83">
        <v>20615.8</v>
      </c>
      <c r="N226" s="83">
        <v>19343.599999999999</v>
      </c>
      <c r="O226" s="83">
        <v>19640</v>
      </c>
      <c r="P226" s="83">
        <v>18677.3</v>
      </c>
      <c r="Q226" s="83">
        <v>19534.7</v>
      </c>
      <c r="R226" s="83">
        <v>18616.2</v>
      </c>
      <c r="S226" s="83">
        <v>20509.7</v>
      </c>
      <c r="T226" s="83">
        <v>19211.599999999999</v>
      </c>
      <c r="U226" s="83">
        <v>19453.8</v>
      </c>
      <c r="V226" s="83">
        <v>18600.599999999999</v>
      </c>
      <c r="X226" s="27">
        <f>Table25[[#This Row],[HDC1]]/Table25[[#This Row],[HCC1]]</f>
        <v>0.93829004937960203</v>
      </c>
      <c r="Y226" s="27">
        <f>Table25[[#This Row],[HDC2]]/Table25[[#This Row],[HCC2]]</f>
        <v>0.95098268839103861</v>
      </c>
      <c r="Z226" s="27">
        <f>Table25[[#This Row],[HDC3]]/Table25[[#This Row],[HCC3]]</f>
        <v>0.952981105417539</v>
      </c>
      <c r="AA226" s="27">
        <f>Table25[[#This Row],[HDC4]]/Table25[[#This Row],[HCC4]]</f>
        <v>0.93670799670399851</v>
      </c>
      <c r="AB226" s="27">
        <f>Table25[[#This Row],[HDC5]]/Table25[[#This Row],[HCC5]]</f>
        <v>0.95614224470283438</v>
      </c>
      <c r="AF226">
        <f>SUM(Table25[[#This Row],[CC1]:[DC1]])</f>
        <v>757</v>
      </c>
      <c r="AG226">
        <f>SUM(Table25[[#This Row],[CC2]:[DC2]])</f>
        <v>758</v>
      </c>
      <c r="AH226">
        <f>SUM(Table25[[#This Row],[CC3]:[DC3]])</f>
        <v>760</v>
      </c>
      <c r="AI226">
        <f>SUM(Table25[[#This Row],[CC4]:[DC4]])</f>
        <v>755</v>
      </c>
      <c r="AJ226">
        <f>SUM(Table25[[#This Row],[CC5]:[DC5]])</f>
        <v>756</v>
      </c>
    </row>
    <row r="227" spans="1:36" ht="15">
      <c r="A227" t="s">
        <v>356</v>
      </c>
      <c r="B227" s="85" t="s">
        <v>632</v>
      </c>
      <c r="C227" s="126">
        <v>102</v>
      </c>
      <c r="D227" s="75">
        <v>655</v>
      </c>
      <c r="E227" s="75">
        <v>102</v>
      </c>
      <c r="F227" s="75">
        <v>657</v>
      </c>
      <c r="G227" s="75">
        <v>104</v>
      </c>
      <c r="H227" s="75">
        <v>651</v>
      </c>
      <c r="I227" s="75">
        <v>101</v>
      </c>
      <c r="J227" s="154">
        <v>657</v>
      </c>
      <c r="K227" s="154">
        <v>105</v>
      </c>
      <c r="L227" s="155">
        <v>650</v>
      </c>
      <c r="M227" s="83">
        <v>19808.2</v>
      </c>
      <c r="N227" s="83">
        <v>18832.099999999999</v>
      </c>
      <c r="O227" s="83">
        <v>20470.7</v>
      </c>
      <c r="P227" s="83">
        <v>19217.5</v>
      </c>
      <c r="Q227" s="83">
        <v>19598.2</v>
      </c>
      <c r="R227" s="83">
        <v>18957.3</v>
      </c>
      <c r="S227" s="83">
        <v>19699.7</v>
      </c>
      <c r="T227" s="83">
        <v>18831.900000000001</v>
      </c>
      <c r="U227" s="83">
        <v>19375.599999999999</v>
      </c>
      <c r="V227" s="83">
        <v>18404</v>
      </c>
      <c r="X227" s="27">
        <f>Table25[[#This Row],[HDC1]]/Table25[[#This Row],[HCC1]]</f>
        <v>0.95072242808533824</v>
      </c>
      <c r="Y227" s="27">
        <f>Table25[[#This Row],[HDC2]]/Table25[[#This Row],[HCC2]]</f>
        <v>0.93878079401290626</v>
      </c>
      <c r="Z227" s="27">
        <f>Table25[[#This Row],[HDC3]]/Table25[[#This Row],[HCC3]]</f>
        <v>0.96729801716484165</v>
      </c>
      <c r="AA227" s="27">
        <f>Table25[[#This Row],[HDC4]]/Table25[[#This Row],[HCC4]]</f>
        <v>0.95594856774468651</v>
      </c>
      <c r="AB227" s="27">
        <f>Table25[[#This Row],[HDC5]]/Table25[[#This Row],[HCC5]]</f>
        <v>0.94985445612006858</v>
      </c>
      <c r="AF227">
        <f>SUM(Table25[[#This Row],[CC1]:[DC1]])</f>
        <v>757</v>
      </c>
      <c r="AG227">
        <f>SUM(Table25[[#This Row],[CC2]:[DC2]])</f>
        <v>759</v>
      </c>
      <c r="AH227">
        <f>SUM(Table25[[#This Row],[CC3]:[DC3]])</f>
        <v>755</v>
      </c>
      <c r="AI227">
        <f>SUM(Table25[[#This Row],[CC4]:[DC4]])</f>
        <v>758</v>
      </c>
      <c r="AJ227">
        <f>SUM(Table25[[#This Row],[CC5]:[DC5]])</f>
        <v>755</v>
      </c>
    </row>
    <row r="228" spans="1:36" ht="15">
      <c r="A228" t="s">
        <v>357</v>
      </c>
      <c r="B228" s="85" t="s">
        <v>633</v>
      </c>
      <c r="C228" s="126">
        <v>103</v>
      </c>
      <c r="D228" s="75">
        <v>656</v>
      </c>
      <c r="E228" s="75">
        <v>105</v>
      </c>
      <c r="F228" s="75">
        <v>652</v>
      </c>
      <c r="G228" s="75">
        <v>101</v>
      </c>
      <c r="H228" s="75">
        <v>656</v>
      </c>
      <c r="I228" s="75">
        <v>102</v>
      </c>
      <c r="J228" s="154">
        <v>654</v>
      </c>
      <c r="K228" s="154">
        <v>102</v>
      </c>
      <c r="L228" s="155">
        <v>655</v>
      </c>
      <c r="M228" s="83">
        <v>19871</v>
      </c>
      <c r="N228" s="83">
        <v>18805.599999999999</v>
      </c>
      <c r="O228" s="83">
        <v>20600</v>
      </c>
      <c r="P228" s="83">
        <v>19366.3</v>
      </c>
      <c r="Q228" s="83">
        <v>19856.2</v>
      </c>
      <c r="R228" s="83">
        <v>18763.8</v>
      </c>
      <c r="S228" s="83">
        <v>19775.400000000001</v>
      </c>
      <c r="T228" s="83">
        <v>18744.900000000001</v>
      </c>
      <c r="U228" s="83">
        <v>19884.7</v>
      </c>
      <c r="V228" s="83">
        <v>18825.099999999999</v>
      </c>
      <c r="X228" s="27">
        <f>Table25[[#This Row],[HDC1]]/Table25[[#This Row],[HCC1]]</f>
        <v>0.94638417794776297</v>
      </c>
      <c r="Y228" s="27">
        <f>Table25[[#This Row],[HDC2]]/Table25[[#This Row],[HCC2]]</f>
        <v>0.94011165048543688</v>
      </c>
      <c r="Z228" s="27">
        <f>Table25[[#This Row],[HDC3]]/Table25[[#This Row],[HCC3]]</f>
        <v>0.94498443811001087</v>
      </c>
      <c r="AA228" s="27">
        <f>Table25[[#This Row],[HDC4]]/Table25[[#This Row],[HCC4]]</f>
        <v>0.94788980248187138</v>
      </c>
      <c r="AB228" s="27">
        <f>Table25[[#This Row],[HDC5]]/Table25[[#This Row],[HCC5]]</f>
        <v>0.94671279928789465</v>
      </c>
      <c r="AF228">
        <f>SUM(Table25[[#This Row],[CC1]:[DC1]])</f>
        <v>759</v>
      </c>
      <c r="AG228">
        <f>SUM(Table25[[#This Row],[CC2]:[DC2]])</f>
        <v>757</v>
      </c>
      <c r="AH228">
        <f>SUM(Table25[[#This Row],[CC3]:[DC3]])</f>
        <v>757</v>
      </c>
      <c r="AI228">
        <f>SUM(Table25[[#This Row],[CC4]:[DC4]])</f>
        <v>756</v>
      </c>
      <c r="AJ228">
        <f>SUM(Table25[[#This Row],[CC5]:[DC5]])</f>
        <v>757</v>
      </c>
    </row>
    <row r="229" spans="1:36" ht="15">
      <c r="A229" t="s">
        <v>358</v>
      </c>
      <c r="B229" s="85" t="s">
        <v>634</v>
      </c>
      <c r="C229" s="126">
        <v>98</v>
      </c>
      <c r="D229" s="75">
        <v>663</v>
      </c>
      <c r="E229" s="75">
        <v>99</v>
      </c>
      <c r="F229" s="75">
        <v>659</v>
      </c>
      <c r="G229" s="75">
        <v>101</v>
      </c>
      <c r="H229" s="75">
        <v>660</v>
      </c>
      <c r="I229" s="75">
        <v>103</v>
      </c>
      <c r="J229" s="154">
        <v>660</v>
      </c>
      <c r="K229" s="154">
        <v>103</v>
      </c>
      <c r="L229" s="155">
        <v>657</v>
      </c>
      <c r="M229" s="83">
        <v>19993.3</v>
      </c>
      <c r="N229" s="83">
        <v>18855.7</v>
      </c>
      <c r="O229" s="83">
        <v>20687.5</v>
      </c>
      <c r="P229" s="83">
        <v>19398.2</v>
      </c>
      <c r="Q229" s="83">
        <v>19781.599999999999</v>
      </c>
      <c r="R229" s="83">
        <v>18699</v>
      </c>
      <c r="S229" s="83">
        <v>20528.599999999999</v>
      </c>
      <c r="T229" s="83">
        <v>19180.900000000001</v>
      </c>
      <c r="U229" s="83">
        <v>19808.599999999999</v>
      </c>
      <c r="V229" s="83">
        <v>18730.7</v>
      </c>
      <c r="X229" s="27">
        <f>Table25[[#This Row],[HDC1]]/Table25[[#This Row],[HCC1]]</f>
        <v>0.94310093881450296</v>
      </c>
      <c r="Y229" s="27">
        <f>Table25[[#This Row],[HDC2]]/Table25[[#This Row],[HCC2]]</f>
        <v>0.93767734138972814</v>
      </c>
      <c r="Z229" s="27">
        <f>Table25[[#This Row],[HDC3]]/Table25[[#This Row],[HCC3]]</f>
        <v>0.94527237432765809</v>
      </c>
      <c r="AA229" s="27">
        <f>Table25[[#This Row],[HDC4]]/Table25[[#This Row],[HCC4]]</f>
        <v>0.93435012616544733</v>
      </c>
      <c r="AB229" s="27">
        <f>Table25[[#This Row],[HDC5]]/Table25[[#This Row],[HCC5]]</f>
        <v>0.94558424118817086</v>
      </c>
      <c r="AF229">
        <f>SUM(Table25[[#This Row],[CC1]:[DC1]])</f>
        <v>761</v>
      </c>
      <c r="AG229">
        <f>SUM(Table25[[#This Row],[CC2]:[DC2]])</f>
        <v>758</v>
      </c>
      <c r="AH229">
        <f>SUM(Table25[[#This Row],[CC3]:[DC3]])</f>
        <v>761</v>
      </c>
      <c r="AI229">
        <f>SUM(Table25[[#This Row],[CC4]:[DC4]])</f>
        <v>763</v>
      </c>
      <c r="AJ229">
        <f>SUM(Table25[[#This Row],[CC5]:[DC5]])</f>
        <v>760</v>
      </c>
    </row>
    <row r="230" spans="1:36" ht="15">
      <c r="A230" t="s">
        <v>359</v>
      </c>
      <c r="B230" s="85" t="s">
        <v>635</v>
      </c>
      <c r="C230" s="126">
        <v>104</v>
      </c>
      <c r="D230" s="75">
        <v>650</v>
      </c>
      <c r="E230" s="75">
        <v>102</v>
      </c>
      <c r="F230" s="75">
        <v>650</v>
      </c>
      <c r="G230" s="75">
        <v>103.5</v>
      </c>
      <c r="H230" s="75">
        <v>649.6</v>
      </c>
      <c r="I230" s="75">
        <v>98.5</v>
      </c>
      <c r="J230" s="154">
        <v>659.3</v>
      </c>
      <c r="K230" s="154">
        <v>98.2</v>
      </c>
      <c r="L230" s="155">
        <v>654.9</v>
      </c>
      <c r="M230" s="83">
        <v>27493.8</v>
      </c>
      <c r="N230" s="83">
        <v>26451.7</v>
      </c>
      <c r="O230" s="83">
        <v>27921</v>
      </c>
      <c r="P230" s="83">
        <v>26903.3</v>
      </c>
      <c r="Q230" s="83">
        <v>27816.6</v>
      </c>
      <c r="R230" s="83">
        <v>26788.400000000001</v>
      </c>
      <c r="S230" s="83">
        <v>29970.6</v>
      </c>
      <c r="T230" s="83">
        <v>28292.7</v>
      </c>
      <c r="U230" s="83">
        <v>28431.4</v>
      </c>
      <c r="V230" s="83">
        <v>27402.799999999999</v>
      </c>
      <c r="X230" s="27">
        <f>Table25[[#This Row],[HDC1]]/Table25[[#This Row],[HCC1]]</f>
        <v>0.96209690912132917</v>
      </c>
      <c r="Y230" s="27">
        <f>Table25[[#This Row],[HDC2]]/Table25[[#This Row],[HCC2]]</f>
        <v>0.96355073242362377</v>
      </c>
      <c r="Z230" s="27">
        <f>Table25[[#This Row],[HDC3]]/Table25[[#This Row],[HCC3]]</f>
        <v>0.96303646024316425</v>
      </c>
      <c r="AA230" s="27">
        <f>Table25[[#This Row],[HDC4]]/Table25[[#This Row],[HCC4]]</f>
        <v>0.94401513483213562</v>
      </c>
      <c r="AB230" s="27">
        <f>Table25[[#This Row],[HDC5]]/Table25[[#This Row],[HCC5]]</f>
        <v>0.96382169010319574</v>
      </c>
      <c r="AF230">
        <f>SUM(Table25[[#This Row],[CC1]:[DC1]])</f>
        <v>754</v>
      </c>
      <c r="AG230">
        <f>SUM(Table25[[#This Row],[CC2]:[DC2]])</f>
        <v>752</v>
      </c>
      <c r="AH230">
        <f>SUM(Table25[[#This Row],[CC3]:[DC3]])</f>
        <v>753.1</v>
      </c>
      <c r="AI230">
        <f>SUM(Table25[[#This Row],[CC4]:[DC4]])</f>
        <v>757.8</v>
      </c>
      <c r="AJ230">
        <f>SUM(Table25[[#This Row],[CC5]:[DC5]])</f>
        <v>753.1</v>
      </c>
    </row>
    <row r="231" spans="1:36" ht="15">
      <c r="A231" t="s">
        <v>360</v>
      </c>
      <c r="B231" s="85" t="s">
        <v>636</v>
      </c>
      <c r="C231" s="126">
        <v>102</v>
      </c>
      <c r="D231" s="75">
        <v>653</v>
      </c>
      <c r="E231" s="75">
        <v>101</v>
      </c>
      <c r="F231" s="75">
        <v>648</v>
      </c>
      <c r="G231" s="75">
        <v>103</v>
      </c>
      <c r="H231" s="75">
        <v>648</v>
      </c>
      <c r="I231" s="75">
        <v>100</v>
      </c>
      <c r="J231" s="154">
        <v>654</v>
      </c>
      <c r="K231" s="154">
        <v>102</v>
      </c>
      <c r="L231" s="155">
        <v>651</v>
      </c>
      <c r="M231" s="83">
        <v>28731.4</v>
      </c>
      <c r="N231" s="83">
        <v>27839.200000000001</v>
      </c>
      <c r="O231" s="83">
        <v>29560.3</v>
      </c>
      <c r="P231" s="83">
        <v>27979.9</v>
      </c>
      <c r="Q231" s="83">
        <v>29576.6</v>
      </c>
      <c r="R231" s="83">
        <v>28058.799999999999</v>
      </c>
      <c r="S231" s="83">
        <v>28658.5</v>
      </c>
      <c r="T231" s="83">
        <v>27785.599999999999</v>
      </c>
      <c r="U231" s="83">
        <v>29633.200000000001</v>
      </c>
      <c r="V231" s="83">
        <v>28066.799999999999</v>
      </c>
      <c r="X231" s="27">
        <f>Table25[[#This Row],[HDC1]]/Table25[[#This Row],[HCC1]]</f>
        <v>0.96894686649449724</v>
      </c>
      <c r="Y231" s="27">
        <f>Table25[[#This Row],[HDC2]]/Table25[[#This Row],[HCC2]]</f>
        <v>0.94653640186331001</v>
      </c>
      <c r="Z231" s="27">
        <f>Table25[[#This Row],[HDC3]]/Table25[[#This Row],[HCC3]]</f>
        <v>0.94868240433315532</v>
      </c>
      <c r="AA231" s="27">
        <f>Table25[[#This Row],[HDC4]]/Table25[[#This Row],[HCC4]]</f>
        <v>0.96954132281870997</v>
      </c>
      <c r="AB231" s="27">
        <f>Table25[[#This Row],[HDC5]]/Table25[[#This Row],[HCC5]]</f>
        <v>0.94714036958546488</v>
      </c>
      <c r="AF231">
        <f>SUM(Table25[[#This Row],[CC1]:[DC1]])</f>
        <v>755</v>
      </c>
      <c r="AG231">
        <f>SUM(Table25[[#This Row],[CC2]:[DC2]])</f>
        <v>749</v>
      </c>
      <c r="AH231">
        <f>SUM(Table25[[#This Row],[CC3]:[DC3]])</f>
        <v>751</v>
      </c>
      <c r="AI231">
        <f>SUM(Table25[[#This Row],[CC4]:[DC4]])</f>
        <v>754</v>
      </c>
      <c r="AJ231">
        <f>SUM(Table25[[#This Row],[CC5]:[DC5]])</f>
        <v>753</v>
      </c>
    </row>
    <row r="232" spans="1:36" ht="15">
      <c r="A232" t="s">
        <v>361</v>
      </c>
      <c r="B232" s="85" t="s">
        <v>637</v>
      </c>
      <c r="C232" s="126">
        <v>100</v>
      </c>
      <c r="D232" s="75">
        <v>685</v>
      </c>
      <c r="E232" s="75">
        <v>100</v>
      </c>
      <c r="F232" s="75">
        <v>689</v>
      </c>
      <c r="G232" s="75">
        <v>100</v>
      </c>
      <c r="H232" s="75">
        <v>693</v>
      </c>
      <c r="I232" s="75">
        <v>111</v>
      </c>
      <c r="J232" s="154">
        <v>653</v>
      </c>
      <c r="K232" s="154">
        <v>115</v>
      </c>
      <c r="L232" s="155">
        <v>677</v>
      </c>
      <c r="M232" s="83">
        <v>31587.5</v>
      </c>
      <c r="N232" s="83">
        <v>30502.5</v>
      </c>
      <c r="O232" s="83">
        <v>31306.3</v>
      </c>
      <c r="P232" s="83">
        <v>30163.5</v>
      </c>
      <c r="Q232" s="83">
        <v>31227.5</v>
      </c>
      <c r="R232" s="83">
        <v>30160.9</v>
      </c>
      <c r="S232" s="83">
        <v>17936.400000000001</v>
      </c>
      <c r="T232" s="83">
        <v>16740.099999999999</v>
      </c>
      <c r="U232" s="83">
        <v>31012.5</v>
      </c>
      <c r="V232" s="83">
        <v>29946.9</v>
      </c>
      <c r="X232" s="27">
        <f>Table25[[#This Row],[HDC1]]/Table25[[#This Row],[HCC1]]</f>
        <v>0.96565096952908591</v>
      </c>
      <c r="Y232" s="27">
        <f>Table25[[#This Row],[HDC2]]/Table25[[#This Row],[HCC2]]</f>
        <v>0.96349616530858007</v>
      </c>
      <c r="Z232" s="27">
        <f>Table25[[#This Row],[HDC3]]/Table25[[#This Row],[HCC3]]</f>
        <v>0.96584420782963742</v>
      </c>
      <c r="AA232" s="27">
        <f>Table25[[#This Row],[HDC4]]/Table25[[#This Row],[HCC4]]</f>
        <v>0.93330322695747181</v>
      </c>
      <c r="AB232" s="27">
        <f>Table25[[#This Row],[HDC5]]/Table25[[#This Row],[HCC5]]</f>
        <v>0.9656396614268441</v>
      </c>
      <c r="AF232">
        <f>SUM(Table25[[#This Row],[CC1]:[DC1]])</f>
        <v>785</v>
      </c>
      <c r="AG232">
        <f>SUM(Table25[[#This Row],[CC2]:[DC2]])</f>
        <v>789</v>
      </c>
      <c r="AH232">
        <f>SUM(Table25[[#This Row],[CC3]:[DC3]])</f>
        <v>793</v>
      </c>
      <c r="AI232">
        <f>SUM(Table25[[#This Row],[CC4]:[DC4]])</f>
        <v>764</v>
      </c>
      <c r="AJ232">
        <f>SUM(Table25[[#This Row],[CC5]:[DC5]])</f>
        <v>792</v>
      </c>
    </row>
    <row r="233" spans="1:36" ht="15">
      <c r="A233" t="s">
        <v>362</v>
      </c>
      <c r="B233" s="85" t="s">
        <v>638</v>
      </c>
      <c r="C233" s="126">
        <v>101</v>
      </c>
      <c r="D233" s="75">
        <v>652</v>
      </c>
      <c r="E233" s="75">
        <v>99</v>
      </c>
      <c r="F233" s="75">
        <v>649</v>
      </c>
      <c r="G233" s="75">
        <v>102</v>
      </c>
      <c r="H233" s="75">
        <v>649</v>
      </c>
      <c r="I233" s="75">
        <v>105</v>
      </c>
      <c r="J233" s="154">
        <v>645</v>
      </c>
      <c r="K233" s="154">
        <v>101</v>
      </c>
      <c r="L233" s="155">
        <v>651</v>
      </c>
      <c r="M233" s="83">
        <v>28000.799999999999</v>
      </c>
      <c r="N233" s="83">
        <v>27132.799999999999</v>
      </c>
      <c r="O233" s="83">
        <v>29322.2</v>
      </c>
      <c r="P233" s="83">
        <v>27731.5</v>
      </c>
      <c r="Q233" s="83">
        <v>27143.1</v>
      </c>
      <c r="R233" s="83">
        <v>26365.599999999999</v>
      </c>
      <c r="S233" s="83">
        <v>27491.7</v>
      </c>
      <c r="T233" s="83">
        <v>26635.200000000001</v>
      </c>
      <c r="U233" s="83">
        <v>29262.400000000001</v>
      </c>
      <c r="V233" s="83">
        <v>27703.4</v>
      </c>
      <c r="X233" s="27">
        <f>Table25[[#This Row],[HDC1]]/Table25[[#This Row],[HCC1]]</f>
        <v>0.96900088568898035</v>
      </c>
      <c r="Y233" s="27">
        <f>Table25[[#This Row],[HDC2]]/Table25[[#This Row],[HCC2]]</f>
        <v>0.94575100094808706</v>
      </c>
      <c r="Z233" s="27">
        <f>Table25[[#This Row],[HDC3]]/Table25[[#This Row],[HCC3]]</f>
        <v>0.97135551945061549</v>
      </c>
      <c r="AA233" s="27">
        <f>Table25[[#This Row],[HDC4]]/Table25[[#This Row],[HCC4]]</f>
        <v>0.96884514235205532</v>
      </c>
      <c r="AB233" s="27">
        <f>Table25[[#This Row],[HDC5]]/Table25[[#This Row],[HCC5]]</f>
        <v>0.94672344031931766</v>
      </c>
      <c r="AF233">
        <f>SUM(Table25[[#This Row],[CC1]:[DC1]])</f>
        <v>753</v>
      </c>
      <c r="AG233">
        <f>SUM(Table25[[#This Row],[CC2]:[DC2]])</f>
        <v>748</v>
      </c>
      <c r="AH233">
        <f>SUM(Table25[[#This Row],[CC3]:[DC3]])</f>
        <v>751</v>
      </c>
      <c r="AI233">
        <f>SUM(Table25[[#This Row],[CC4]:[DC4]])</f>
        <v>750</v>
      </c>
      <c r="AJ233">
        <f>SUM(Table25[[#This Row],[CC5]:[DC5]])</f>
        <v>752</v>
      </c>
    </row>
    <row r="234" spans="1:36" ht="15">
      <c r="A234" t="s">
        <v>363</v>
      </c>
      <c r="B234" s="85" t="s">
        <v>639</v>
      </c>
      <c r="C234" s="126">
        <v>100</v>
      </c>
      <c r="D234" s="75">
        <v>653</v>
      </c>
      <c r="E234" s="75">
        <v>99</v>
      </c>
      <c r="F234" s="75">
        <v>654</v>
      </c>
      <c r="G234" s="75">
        <v>104</v>
      </c>
      <c r="H234" s="75">
        <v>651</v>
      </c>
      <c r="I234" s="75">
        <v>101</v>
      </c>
      <c r="J234" s="154">
        <v>652</v>
      </c>
      <c r="K234" s="154">
        <v>106</v>
      </c>
      <c r="L234" s="155">
        <v>649</v>
      </c>
      <c r="M234" s="83">
        <v>31436</v>
      </c>
      <c r="N234" s="83">
        <v>30076</v>
      </c>
      <c r="O234" s="83">
        <v>31260.9</v>
      </c>
      <c r="P234" s="83">
        <v>29922.9</v>
      </c>
      <c r="Q234" s="83">
        <v>32521</v>
      </c>
      <c r="R234" s="83">
        <v>30672.799999999999</v>
      </c>
      <c r="S234" s="83">
        <v>32682</v>
      </c>
      <c r="T234" s="83">
        <v>30826.7</v>
      </c>
      <c r="U234" s="83">
        <v>32397.9</v>
      </c>
      <c r="V234" s="83">
        <v>30540.2</v>
      </c>
      <c r="X234" s="27">
        <f>Table25[[#This Row],[HDC1]]/Table25[[#This Row],[HCC1]]</f>
        <v>0.95673749840946687</v>
      </c>
      <c r="Y234" s="27">
        <f>Table25[[#This Row],[HDC2]]/Table25[[#This Row],[HCC2]]</f>
        <v>0.95719892901356007</v>
      </c>
      <c r="Z234" s="27">
        <f>Table25[[#This Row],[HDC3]]/Table25[[#This Row],[HCC3]]</f>
        <v>0.94316902924264323</v>
      </c>
      <c r="AA234" s="27">
        <f>Table25[[#This Row],[HDC4]]/Table25[[#This Row],[HCC4]]</f>
        <v>0.94323174836301327</v>
      </c>
      <c r="AB234" s="27">
        <f>Table25[[#This Row],[HDC5]]/Table25[[#This Row],[HCC5]]</f>
        <v>0.94265986375660149</v>
      </c>
      <c r="AF234">
        <f>SUM(Table25[[#This Row],[CC1]:[DC1]])</f>
        <v>753</v>
      </c>
      <c r="AG234">
        <f>SUM(Table25[[#This Row],[CC2]:[DC2]])</f>
        <v>753</v>
      </c>
      <c r="AH234">
        <f>SUM(Table25[[#This Row],[CC3]:[DC3]])</f>
        <v>755</v>
      </c>
      <c r="AI234">
        <f>SUM(Table25[[#This Row],[CC4]:[DC4]])</f>
        <v>753</v>
      </c>
      <c r="AJ234">
        <f>SUM(Table25[[#This Row],[CC5]:[DC5]])</f>
        <v>755</v>
      </c>
    </row>
    <row r="235" spans="1:36" ht="15">
      <c r="A235" t="s">
        <v>364</v>
      </c>
      <c r="B235" s="85" t="s">
        <v>640</v>
      </c>
      <c r="C235" s="126">
        <v>97</v>
      </c>
      <c r="D235" s="75">
        <v>669</v>
      </c>
      <c r="E235" s="75">
        <v>99</v>
      </c>
      <c r="F235" s="75">
        <v>677</v>
      </c>
      <c r="G235" s="75">
        <v>99</v>
      </c>
      <c r="H235" s="75">
        <v>675</v>
      </c>
      <c r="I235" s="75">
        <v>99</v>
      </c>
      <c r="J235" s="154">
        <v>670</v>
      </c>
      <c r="K235" s="154">
        <v>100</v>
      </c>
      <c r="L235" s="155">
        <v>674</v>
      </c>
      <c r="M235" s="83">
        <v>26900.2</v>
      </c>
      <c r="N235" s="83">
        <v>25236.9</v>
      </c>
      <c r="O235" s="83">
        <v>25510.5</v>
      </c>
      <c r="P235" s="83">
        <v>24405.7</v>
      </c>
      <c r="Q235" s="83">
        <v>26784.3</v>
      </c>
      <c r="R235" s="83">
        <v>25165.9</v>
      </c>
      <c r="S235" s="83">
        <v>26670.9</v>
      </c>
      <c r="T235" s="83">
        <v>25084.400000000001</v>
      </c>
      <c r="U235" s="83">
        <v>26845.9</v>
      </c>
      <c r="V235" s="83">
        <v>25261.599999999999</v>
      </c>
      <c r="X235" s="27">
        <f>Table25[[#This Row],[HDC1]]/Table25[[#This Row],[HCC1]]</f>
        <v>0.93816774596471408</v>
      </c>
      <c r="Y235" s="27">
        <f>Table25[[#This Row],[HDC2]]/Table25[[#This Row],[HCC2]]</f>
        <v>0.9566923423688285</v>
      </c>
      <c r="Z235" s="27">
        <f>Table25[[#This Row],[HDC3]]/Table25[[#This Row],[HCC3]]</f>
        <v>0.93957654297480253</v>
      </c>
      <c r="AA235" s="27">
        <f>Table25[[#This Row],[HDC4]]/Table25[[#This Row],[HCC4]]</f>
        <v>0.94051569313371508</v>
      </c>
      <c r="AB235" s="27">
        <f>Table25[[#This Row],[HDC5]]/Table25[[#This Row],[HCC5]]</f>
        <v>0.94098540186769664</v>
      </c>
      <c r="AF235">
        <f>SUM(Table25[[#This Row],[CC1]:[DC1]])</f>
        <v>766</v>
      </c>
      <c r="AG235">
        <f>SUM(Table25[[#This Row],[CC2]:[DC2]])</f>
        <v>776</v>
      </c>
      <c r="AH235">
        <f>SUM(Table25[[#This Row],[CC3]:[DC3]])</f>
        <v>774</v>
      </c>
      <c r="AI235">
        <f>SUM(Table25[[#This Row],[CC4]:[DC4]])</f>
        <v>769</v>
      </c>
      <c r="AJ235">
        <f>SUM(Table25[[#This Row],[CC5]:[DC5]])</f>
        <v>774</v>
      </c>
    </row>
    <row r="236" spans="1:36" ht="15">
      <c r="A236" t="s">
        <v>365</v>
      </c>
      <c r="B236" s="85" t="s">
        <v>641</v>
      </c>
      <c r="C236" s="126">
        <v>99</v>
      </c>
      <c r="D236" s="75">
        <v>659</v>
      </c>
      <c r="E236" s="75">
        <v>108</v>
      </c>
      <c r="F236" s="75">
        <v>646</v>
      </c>
      <c r="G236" s="75">
        <v>100</v>
      </c>
      <c r="H236" s="75">
        <v>656</v>
      </c>
      <c r="I236" s="75">
        <v>105</v>
      </c>
      <c r="J236" s="154">
        <v>651</v>
      </c>
      <c r="K236" s="154">
        <v>103</v>
      </c>
      <c r="L236" s="155">
        <v>652</v>
      </c>
      <c r="M236" s="83">
        <v>24670.9</v>
      </c>
      <c r="N236" s="83">
        <v>23785.9</v>
      </c>
      <c r="O236" s="83">
        <v>24860.1</v>
      </c>
      <c r="P236" s="83">
        <v>23376.2</v>
      </c>
      <c r="Q236" s="83">
        <v>25263.8</v>
      </c>
      <c r="R236" s="83">
        <v>23743.3</v>
      </c>
      <c r="S236" s="83">
        <v>25194.7</v>
      </c>
      <c r="T236" s="83">
        <v>23697.8</v>
      </c>
      <c r="U236" s="83">
        <v>24319.9</v>
      </c>
      <c r="V236" s="83">
        <v>23488.3</v>
      </c>
      <c r="X236" s="27">
        <f>Table25[[#This Row],[HDC1]]/Table25[[#This Row],[HCC1]]</f>
        <v>0.9641277780705203</v>
      </c>
      <c r="Y236" s="27">
        <f>Table25[[#This Row],[HDC2]]/Table25[[#This Row],[HCC2]]</f>
        <v>0.94030997461796217</v>
      </c>
      <c r="Z236" s="27">
        <f>Table25[[#This Row],[HDC3]]/Table25[[#This Row],[HCC3]]</f>
        <v>0.93981507136693609</v>
      </c>
      <c r="AA236" s="27">
        <f>Table25[[#This Row],[HDC4]]/Table25[[#This Row],[HCC4]]</f>
        <v>0.94058671069709099</v>
      </c>
      <c r="AB236" s="27">
        <f>Table25[[#This Row],[HDC5]]/Table25[[#This Row],[HCC5]]</f>
        <v>0.96580578045139975</v>
      </c>
      <c r="AF236">
        <f>SUM(Table25[[#This Row],[CC1]:[DC1]])</f>
        <v>758</v>
      </c>
      <c r="AG236">
        <f>SUM(Table25[[#This Row],[CC2]:[DC2]])</f>
        <v>754</v>
      </c>
      <c r="AH236">
        <f>SUM(Table25[[#This Row],[CC3]:[DC3]])</f>
        <v>756</v>
      </c>
      <c r="AI236">
        <f>SUM(Table25[[#This Row],[CC4]:[DC4]])</f>
        <v>756</v>
      </c>
      <c r="AJ236">
        <f>SUM(Table25[[#This Row],[CC5]:[DC5]])</f>
        <v>755</v>
      </c>
    </row>
    <row r="237" spans="1:36" ht="15">
      <c r="A237" t="s">
        <v>366</v>
      </c>
      <c r="B237" s="85" t="s">
        <v>642</v>
      </c>
      <c r="C237" s="126">
        <v>100</v>
      </c>
      <c r="D237" s="75">
        <v>658</v>
      </c>
      <c r="E237" s="75">
        <v>101</v>
      </c>
      <c r="F237" s="75">
        <v>653</v>
      </c>
      <c r="G237" s="75">
        <v>101</v>
      </c>
      <c r="H237" s="75">
        <v>653</v>
      </c>
      <c r="I237" s="75">
        <v>101</v>
      </c>
      <c r="J237" s="154">
        <v>653</v>
      </c>
      <c r="K237" s="154">
        <v>101</v>
      </c>
      <c r="L237" s="155">
        <v>655</v>
      </c>
      <c r="M237" s="83">
        <v>18227.8</v>
      </c>
      <c r="N237" s="83">
        <v>16958.2</v>
      </c>
      <c r="O237" s="83">
        <v>16651.3</v>
      </c>
      <c r="P237" s="83">
        <v>15873.3</v>
      </c>
      <c r="Q237" s="83">
        <v>16601.8</v>
      </c>
      <c r="R237" s="83">
        <v>15833</v>
      </c>
      <c r="S237" s="83">
        <v>18080.5</v>
      </c>
      <c r="T237" s="83">
        <v>16809.8</v>
      </c>
      <c r="U237" s="83">
        <v>16704.3</v>
      </c>
      <c r="V237" s="83">
        <v>15925.1</v>
      </c>
      <c r="X237" s="27">
        <f>Table25[[#This Row],[HDC1]]/Table25[[#This Row],[HCC1]]</f>
        <v>0.93034814952983913</v>
      </c>
      <c r="Y237" s="27">
        <f>Table25[[#This Row],[HDC2]]/Table25[[#This Row],[HCC2]]</f>
        <v>0.95327692132145836</v>
      </c>
      <c r="Z237" s="27">
        <f>Table25[[#This Row],[HDC3]]/Table25[[#This Row],[HCC3]]</f>
        <v>0.95369176836246672</v>
      </c>
      <c r="AA237" s="27">
        <f>Table25[[#This Row],[HDC4]]/Table25[[#This Row],[HCC4]]</f>
        <v>0.92971986394181572</v>
      </c>
      <c r="AB237" s="27">
        <f>Table25[[#This Row],[HDC5]]/Table25[[#This Row],[HCC5]]</f>
        <v>0.95335332818495844</v>
      </c>
      <c r="AF237">
        <f>SUM(Table25[[#This Row],[CC1]:[DC1]])</f>
        <v>758</v>
      </c>
      <c r="AG237">
        <f>SUM(Table25[[#This Row],[CC2]:[DC2]])</f>
        <v>754</v>
      </c>
      <c r="AH237">
        <f>SUM(Table25[[#This Row],[CC3]:[DC3]])</f>
        <v>754</v>
      </c>
      <c r="AI237">
        <f>SUM(Table25[[#This Row],[CC4]:[DC4]])</f>
        <v>754</v>
      </c>
      <c r="AJ237">
        <f>SUM(Table25[[#This Row],[CC5]:[DC5]])</f>
        <v>756</v>
      </c>
    </row>
    <row r="238" spans="1:36" ht="15">
      <c r="A238" t="s">
        <v>367</v>
      </c>
      <c r="B238" s="85" t="s">
        <v>643</v>
      </c>
      <c r="C238" s="126">
        <v>103</v>
      </c>
      <c r="D238" s="75">
        <v>649</v>
      </c>
      <c r="E238" s="75">
        <v>98</v>
      </c>
      <c r="F238" s="75">
        <v>654</v>
      </c>
      <c r="G238" s="75">
        <v>102</v>
      </c>
      <c r="H238" s="75">
        <v>648</v>
      </c>
      <c r="I238" s="75">
        <v>104</v>
      </c>
      <c r="J238" s="154">
        <v>646</v>
      </c>
      <c r="K238" s="154">
        <v>105</v>
      </c>
      <c r="L238" s="155">
        <v>645</v>
      </c>
      <c r="M238" s="83">
        <v>30097.4</v>
      </c>
      <c r="N238" s="83">
        <v>28597.7</v>
      </c>
      <c r="O238" s="83">
        <v>30550.400000000001</v>
      </c>
      <c r="P238" s="83">
        <v>28888.5</v>
      </c>
      <c r="Q238" s="83">
        <v>29847.7</v>
      </c>
      <c r="R238" s="83">
        <v>28330.400000000001</v>
      </c>
      <c r="S238" s="83">
        <v>29933.599999999999</v>
      </c>
      <c r="T238" s="83">
        <v>28259.200000000001</v>
      </c>
      <c r="U238" s="83">
        <v>29741.5</v>
      </c>
      <c r="V238" s="83">
        <v>28322.1</v>
      </c>
      <c r="X238" s="27">
        <f>Table25[[#This Row],[HDC1]]/Table25[[#This Row],[HCC1]]</f>
        <v>0.95017177563510469</v>
      </c>
      <c r="Y238" s="27">
        <f>Table25[[#This Row],[HDC2]]/Table25[[#This Row],[HCC2]]</f>
        <v>0.94560136692154595</v>
      </c>
      <c r="Z238" s="27">
        <f>Table25[[#This Row],[HDC3]]/Table25[[#This Row],[HCC3]]</f>
        <v>0.9491652623150193</v>
      </c>
      <c r="AA238" s="27">
        <f>Table25[[#This Row],[HDC4]]/Table25[[#This Row],[HCC4]]</f>
        <v>0.94406285912820387</v>
      </c>
      <c r="AB238" s="27">
        <f>Table25[[#This Row],[HDC5]]/Table25[[#This Row],[HCC5]]</f>
        <v>0.95227544004169251</v>
      </c>
      <c r="AF238">
        <f>SUM(Table25[[#This Row],[CC1]:[DC1]])</f>
        <v>752</v>
      </c>
      <c r="AG238">
        <f>SUM(Table25[[#This Row],[CC2]:[DC2]])</f>
        <v>752</v>
      </c>
      <c r="AH238">
        <f>SUM(Table25[[#This Row],[CC3]:[DC3]])</f>
        <v>750</v>
      </c>
      <c r="AI238">
        <f>SUM(Table25[[#This Row],[CC4]:[DC4]])</f>
        <v>750</v>
      </c>
      <c r="AJ238">
        <f>SUM(Table25[[#This Row],[CC5]:[DC5]])</f>
        <v>750</v>
      </c>
    </row>
    <row r="239" spans="1:36" ht="15">
      <c r="A239" t="s">
        <v>368</v>
      </c>
      <c r="B239" s="85" t="s">
        <v>644</v>
      </c>
      <c r="C239" s="126">
        <v>103</v>
      </c>
      <c r="D239" s="75">
        <v>651</v>
      </c>
      <c r="E239" s="75">
        <v>101</v>
      </c>
      <c r="F239" s="75">
        <v>652</v>
      </c>
      <c r="G239" s="75">
        <v>102</v>
      </c>
      <c r="H239" s="75">
        <v>651</v>
      </c>
      <c r="I239" s="75">
        <v>103</v>
      </c>
      <c r="J239" s="154">
        <v>652</v>
      </c>
      <c r="K239" s="154">
        <v>103</v>
      </c>
      <c r="L239" s="155">
        <v>650</v>
      </c>
      <c r="M239" s="83">
        <v>30637.1</v>
      </c>
      <c r="N239" s="83">
        <v>29224.400000000001</v>
      </c>
      <c r="O239" s="83">
        <v>30548.7</v>
      </c>
      <c r="P239" s="83">
        <v>29129.5</v>
      </c>
      <c r="Q239" s="83">
        <v>30434.400000000001</v>
      </c>
      <c r="R239" s="83">
        <v>28983</v>
      </c>
      <c r="S239" s="83">
        <v>30700.5</v>
      </c>
      <c r="T239" s="83">
        <v>29093.7</v>
      </c>
      <c r="U239" s="83">
        <v>30533.599999999999</v>
      </c>
      <c r="V239" s="83">
        <v>29066.3</v>
      </c>
      <c r="X239" s="27">
        <f>Table25[[#This Row],[HDC1]]/Table25[[#This Row],[HCC1]]</f>
        <v>0.9538892388639918</v>
      </c>
      <c r="Y239" s="27">
        <f>Table25[[#This Row],[HDC2]]/Table25[[#This Row],[HCC2]]</f>
        <v>0.95354303129102058</v>
      </c>
      <c r="Z239" s="27">
        <f>Table25[[#This Row],[HDC3]]/Table25[[#This Row],[HCC3]]</f>
        <v>0.95231054333254472</v>
      </c>
      <c r="AA239" s="27">
        <f>Table25[[#This Row],[HDC4]]/Table25[[#This Row],[HCC4]]</f>
        <v>0.94766209019397085</v>
      </c>
      <c r="AB239" s="27">
        <f>Table25[[#This Row],[HDC5]]/Table25[[#This Row],[HCC5]]</f>
        <v>0.95194474284067387</v>
      </c>
      <c r="AF239">
        <f>SUM(Table25[[#This Row],[CC1]:[DC1]])</f>
        <v>754</v>
      </c>
      <c r="AG239">
        <f>SUM(Table25[[#This Row],[CC2]:[DC2]])</f>
        <v>753</v>
      </c>
      <c r="AH239">
        <f>SUM(Table25[[#This Row],[CC3]:[DC3]])</f>
        <v>753</v>
      </c>
      <c r="AI239">
        <f>SUM(Table25[[#This Row],[CC4]:[DC4]])</f>
        <v>755</v>
      </c>
      <c r="AJ239">
        <f>SUM(Table25[[#This Row],[CC5]:[DC5]])</f>
        <v>753</v>
      </c>
    </row>
    <row r="240" spans="1:36" ht="15">
      <c r="A240" t="s">
        <v>369</v>
      </c>
      <c r="B240" s="85" t="s">
        <v>645</v>
      </c>
      <c r="C240" s="126">
        <v>100</v>
      </c>
      <c r="D240" s="75">
        <v>654</v>
      </c>
      <c r="E240" s="75">
        <v>101</v>
      </c>
      <c r="F240" s="75">
        <v>655</v>
      </c>
      <c r="G240" s="75">
        <v>99</v>
      </c>
      <c r="H240" s="75">
        <v>653</v>
      </c>
      <c r="I240" s="75">
        <v>103</v>
      </c>
      <c r="J240" s="154">
        <v>651</v>
      </c>
      <c r="K240" s="154">
        <v>100</v>
      </c>
      <c r="L240" s="155">
        <v>654</v>
      </c>
      <c r="M240" s="83">
        <v>30774.2</v>
      </c>
      <c r="N240" s="83">
        <v>29344.9</v>
      </c>
      <c r="O240" s="83">
        <v>30438.799999999999</v>
      </c>
      <c r="P240" s="83">
        <v>29035.4</v>
      </c>
      <c r="Q240" s="83">
        <v>30610.5</v>
      </c>
      <c r="R240" s="83">
        <v>28977.9</v>
      </c>
      <c r="S240" s="83">
        <v>30208</v>
      </c>
      <c r="T240" s="83">
        <v>28855.4</v>
      </c>
      <c r="U240" s="83">
        <v>30521.7</v>
      </c>
      <c r="V240" s="83">
        <v>29090.2</v>
      </c>
      <c r="X240" s="27">
        <f>Table25[[#This Row],[HDC1]]/Table25[[#This Row],[HCC1]]</f>
        <v>0.95355525082699144</v>
      </c>
      <c r="Y240" s="27">
        <f>Table25[[#This Row],[HDC2]]/Table25[[#This Row],[HCC2]]</f>
        <v>0.95389437165722701</v>
      </c>
      <c r="Z240" s="27">
        <f>Table25[[#This Row],[HDC3]]/Table25[[#This Row],[HCC3]]</f>
        <v>0.94666535992551581</v>
      </c>
      <c r="AA240" s="27">
        <f>Table25[[#This Row],[HDC4]]/Table25[[#This Row],[HCC4]]</f>
        <v>0.95522378177966105</v>
      </c>
      <c r="AB240" s="27">
        <f>Table25[[#This Row],[HDC5]]/Table25[[#This Row],[HCC5]]</f>
        <v>0.95309894271944229</v>
      </c>
      <c r="AF240">
        <f>SUM(Table25[[#This Row],[CC1]:[DC1]])</f>
        <v>754</v>
      </c>
      <c r="AG240">
        <f>SUM(Table25[[#This Row],[CC2]:[DC2]])</f>
        <v>756</v>
      </c>
      <c r="AH240">
        <f>SUM(Table25[[#This Row],[CC3]:[DC3]])</f>
        <v>752</v>
      </c>
      <c r="AI240">
        <f>SUM(Table25[[#This Row],[CC4]:[DC4]])</f>
        <v>754</v>
      </c>
      <c r="AJ240">
        <f>SUM(Table25[[#This Row],[CC5]:[DC5]])</f>
        <v>754</v>
      </c>
    </row>
    <row r="241" spans="1:36" ht="15">
      <c r="A241" t="s">
        <v>370</v>
      </c>
      <c r="B241" s="85" t="s">
        <v>646</v>
      </c>
      <c r="C241" s="126">
        <v>99</v>
      </c>
      <c r="D241" s="75">
        <v>653</v>
      </c>
      <c r="E241" s="75">
        <v>100</v>
      </c>
      <c r="F241" s="75">
        <v>651</v>
      </c>
      <c r="G241" s="75">
        <v>99</v>
      </c>
      <c r="H241" s="75">
        <v>653</v>
      </c>
      <c r="I241" s="75">
        <v>103</v>
      </c>
      <c r="J241" s="154">
        <v>647</v>
      </c>
      <c r="K241" s="154">
        <v>105</v>
      </c>
      <c r="L241" s="155">
        <v>650</v>
      </c>
      <c r="M241" s="83">
        <v>31202.7</v>
      </c>
      <c r="N241" s="83">
        <v>29626.2</v>
      </c>
      <c r="O241" s="83">
        <v>30094.799999999999</v>
      </c>
      <c r="P241" s="83">
        <v>28813.3</v>
      </c>
      <c r="Q241" s="83">
        <v>30838.5</v>
      </c>
      <c r="R241" s="83">
        <v>29261.4</v>
      </c>
      <c r="S241" s="83">
        <v>30698.5</v>
      </c>
      <c r="T241" s="83">
        <v>29116</v>
      </c>
      <c r="U241" s="83">
        <v>30680</v>
      </c>
      <c r="V241" s="83">
        <v>29166.7</v>
      </c>
      <c r="X241" s="27">
        <f>Table25[[#This Row],[HDC1]]/Table25[[#This Row],[HCC1]]</f>
        <v>0.9494755261563903</v>
      </c>
      <c r="Y241" s="27">
        <f>Table25[[#This Row],[HDC2]]/Table25[[#This Row],[HCC2]]</f>
        <v>0.95741789279211031</v>
      </c>
      <c r="Z241" s="27">
        <f>Table25[[#This Row],[HDC3]]/Table25[[#This Row],[HCC3]]</f>
        <v>0.94885938032005457</v>
      </c>
      <c r="AA241" s="27">
        <f>Table25[[#This Row],[HDC4]]/Table25[[#This Row],[HCC4]]</f>
        <v>0.94845025001221561</v>
      </c>
      <c r="AB241" s="27">
        <f>Table25[[#This Row],[HDC5]]/Table25[[#This Row],[HCC5]]</f>
        <v>0.950674706649283</v>
      </c>
      <c r="AF241">
        <f>SUM(Table25[[#This Row],[CC1]:[DC1]])</f>
        <v>752</v>
      </c>
      <c r="AG241">
        <f>SUM(Table25[[#This Row],[CC2]:[DC2]])</f>
        <v>751</v>
      </c>
      <c r="AH241">
        <f>SUM(Table25[[#This Row],[CC3]:[DC3]])</f>
        <v>752</v>
      </c>
      <c r="AI241">
        <f>SUM(Table25[[#This Row],[CC4]:[DC4]])</f>
        <v>750</v>
      </c>
      <c r="AJ241">
        <f>SUM(Table25[[#This Row],[CC5]:[DC5]])</f>
        <v>755</v>
      </c>
    </row>
    <row r="242" spans="1:36" ht="15">
      <c r="A242" t="s">
        <v>371</v>
      </c>
      <c r="B242" s="85" t="s">
        <v>647</v>
      </c>
      <c r="C242" s="126">
        <v>101</v>
      </c>
      <c r="D242" s="75">
        <v>650</v>
      </c>
      <c r="E242" s="75">
        <v>102</v>
      </c>
      <c r="F242" s="75">
        <v>652</v>
      </c>
      <c r="G242" s="75">
        <v>103</v>
      </c>
      <c r="H242" s="75">
        <v>653</v>
      </c>
      <c r="I242" s="75">
        <v>100</v>
      </c>
      <c r="J242" s="154">
        <v>657</v>
      </c>
      <c r="K242" s="154">
        <v>102</v>
      </c>
      <c r="L242" s="155">
        <v>653</v>
      </c>
      <c r="M242" s="83">
        <v>30894.5</v>
      </c>
      <c r="N242" s="83">
        <v>29222.6</v>
      </c>
      <c r="O242" s="83">
        <v>29675.8</v>
      </c>
      <c r="P242" s="83">
        <v>28357.7</v>
      </c>
      <c r="Q242" s="83">
        <v>29532.799999999999</v>
      </c>
      <c r="R242" s="83">
        <v>28334.3</v>
      </c>
      <c r="S242" s="83">
        <v>29800.799999999999</v>
      </c>
      <c r="T242" s="83">
        <v>28585.5</v>
      </c>
      <c r="U242" s="83">
        <v>26096.9</v>
      </c>
      <c r="V242" s="83">
        <v>24733.7</v>
      </c>
      <c r="X242" s="27">
        <f>Table25[[#This Row],[HDC1]]/Table25[[#This Row],[HCC1]]</f>
        <v>0.94588357150949198</v>
      </c>
      <c r="Y242" s="27">
        <f>Table25[[#This Row],[HDC2]]/Table25[[#This Row],[HCC2]]</f>
        <v>0.95558333726470734</v>
      </c>
      <c r="Z242" s="27">
        <f>Table25[[#This Row],[HDC3]]/Table25[[#This Row],[HCC3]]</f>
        <v>0.95941800303391478</v>
      </c>
      <c r="AA242" s="27">
        <f>Table25[[#This Row],[HDC4]]/Table25[[#This Row],[HCC4]]</f>
        <v>0.95921921559152779</v>
      </c>
      <c r="AB242" s="27">
        <f>Table25[[#This Row],[HDC5]]/Table25[[#This Row],[HCC5]]</f>
        <v>0.94776391065605492</v>
      </c>
      <c r="AF242">
        <f>SUM(Table25[[#This Row],[CC1]:[DC1]])</f>
        <v>751</v>
      </c>
      <c r="AG242">
        <f>SUM(Table25[[#This Row],[CC2]:[DC2]])</f>
        <v>754</v>
      </c>
      <c r="AH242">
        <f>SUM(Table25[[#This Row],[CC3]:[DC3]])</f>
        <v>756</v>
      </c>
      <c r="AI242">
        <f>SUM(Table25[[#This Row],[CC4]:[DC4]])</f>
        <v>757</v>
      </c>
      <c r="AJ242">
        <f>SUM(Table25[[#This Row],[CC5]:[DC5]])</f>
        <v>755</v>
      </c>
    </row>
    <row r="243" spans="1:36" ht="15">
      <c r="A243" t="s">
        <v>372</v>
      </c>
      <c r="B243" s="85" t="s">
        <v>648</v>
      </c>
      <c r="C243" s="126">
        <v>107</v>
      </c>
      <c r="D243" s="75">
        <v>650</v>
      </c>
      <c r="E243" s="75">
        <v>101</v>
      </c>
      <c r="F243" s="75">
        <v>678</v>
      </c>
      <c r="G243" s="75">
        <v>101</v>
      </c>
      <c r="H243" s="75">
        <v>680</v>
      </c>
      <c r="I243" s="75">
        <v>101</v>
      </c>
      <c r="J243" s="154">
        <v>682</v>
      </c>
      <c r="K243" s="154">
        <v>99</v>
      </c>
      <c r="L243" s="155">
        <v>684</v>
      </c>
      <c r="M243" s="83">
        <v>19977.400000000001</v>
      </c>
      <c r="N243" s="83">
        <v>18706.3</v>
      </c>
      <c r="O243" s="83">
        <v>34836.9</v>
      </c>
      <c r="P243" s="83">
        <v>33086.699999999997</v>
      </c>
      <c r="Q243" s="83">
        <v>34108.6</v>
      </c>
      <c r="R243" s="83">
        <v>32288.2</v>
      </c>
      <c r="S243" s="83">
        <v>34232.800000000003</v>
      </c>
      <c r="T243" s="83">
        <v>32523.1</v>
      </c>
      <c r="U243" s="83">
        <v>34906.1</v>
      </c>
      <c r="V243" s="83">
        <v>32991.699999999997</v>
      </c>
      <c r="X243" s="27">
        <f>Table25[[#This Row],[HDC1]]/Table25[[#This Row],[HCC1]]</f>
        <v>0.93637310160481335</v>
      </c>
      <c r="Y243" s="27">
        <f>Table25[[#This Row],[HDC2]]/Table25[[#This Row],[HCC2]]</f>
        <v>0.94976016809762054</v>
      </c>
      <c r="Z243" s="27">
        <f>Table25[[#This Row],[HDC3]]/Table25[[#This Row],[HCC3]]</f>
        <v>0.94662929583741351</v>
      </c>
      <c r="AA243" s="27">
        <f>Table25[[#This Row],[HDC4]]/Table25[[#This Row],[HCC4]]</f>
        <v>0.95005667079526057</v>
      </c>
      <c r="AB243" s="27">
        <f>Table25[[#This Row],[HDC5]]/Table25[[#This Row],[HCC5]]</f>
        <v>0.94515571776852747</v>
      </c>
      <c r="AF243">
        <f>SUM(Table25[[#This Row],[CC1]:[DC1]])</f>
        <v>757</v>
      </c>
      <c r="AG243">
        <f>SUM(Table25[[#This Row],[CC2]:[DC2]])</f>
        <v>779</v>
      </c>
      <c r="AH243">
        <f>SUM(Table25[[#This Row],[CC3]:[DC3]])</f>
        <v>781</v>
      </c>
      <c r="AI243">
        <f>SUM(Table25[[#This Row],[CC4]:[DC4]])</f>
        <v>783</v>
      </c>
      <c r="AJ243">
        <f>SUM(Table25[[#This Row],[CC5]:[DC5]])</f>
        <v>783</v>
      </c>
    </row>
    <row r="244" spans="1:36" ht="15">
      <c r="A244" t="s">
        <v>373</v>
      </c>
      <c r="B244" s="85" t="s">
        <v>649</v>
      </c>
      <c r="C244" s="126">
        <v>100</v>
      </c>
      <c r="D244" s="75">
        <v>665</v>
      </c>
      <c r="E244" s="75">
        <v>102</v>
      </c>
      <c r="F244" s="75">
        <v>659</v>
      </c>
      <c r="G244" s="75">
        <v>100</v>
      </c>
      <c r="H244" s="75">
        <v>669</v>
      </c>
      <c r="I244" s="75">
        <v>102</v>
      </c>
      <c r="J244" s="154">
        <v>667</v>
      </c>
      <c r="K244" s="154">
        <v>105</v>
      </c>
      <c r="L244" s="155">
        <v>664</v>
      </c>
      <c r="M244" s="83">
        <v>31718.2</v>
      </c>
      <c r="N244" s="83">
        <v>30060</v>
      </c>
      <c r="O244" s="83">
        <v>30757.3</v>
      </c>
      <c r="P244" s="83">
        <v>29109.9</v>
      </c>
      <c r="Q244" s="83">
        <v>31465.7</v>
      </c>
      <c r="R244" s="83">
        <v>29765.599999999999</v>
      </c>
      <c r="S244" s="83">
        <v>30207.200000000001</v>
      </c>
      <c r="T244" s="83">
        <v>28821.5</v>
      </c>
      <c r="U244" s="83">
        <v>30270.799999999999</v>
      </c>
      <c r="V244" s="83">
        <v>28932.2</v>
      </c>
      <c r="X244" s="27">
        <f>Table25[[#This Row],[HDC1]]/Table25[[#This Row],[HCC1]]</f>
        <v>0.94772086688399715</v>
      </c>
      <c r="Y244" s="27">
        <f>Table25[[#This Row],[HDC2]]/Table25[[#This Row],[HCC2]]</f>
        <v>0.94643873161818504</v>
      </c>
      <c r="Z244" s="27">
        <f>Table25[[#This Row],[HDC3]]/Table25[[#This Row],[HCC3]]</f>
        <v>0.94596973847713539</v>
      </c>
      <c r="AA244" s="27">
        <f>Table25[[#This Row],[HDC4]]/Table25[[#This Row],[HCC4]]</f>
        <v>0.9541268306893721</v>
      </c>
      <c r="AB244" s="27">
        <f>Table25[[#This Row],[HDC5]]/Table25[[#This Row],[HCC5]]</f>
        <v>0.95577916672172525</v>
      </c>
      <c r="AF244">
        <f>SUM(Table25[[#This Row],[CC1]:[DC1]])</f>
        <v>765</v>
      </c>
      <c r="AG244">
        <f>SUM(Table25[[#This Row],[CC2]:[DC2]])</f>
        <v>761</v>
      </c>
      <c r="AH244">
        <f>SUM(Table25[[#This Row],[CC3]:[DC3]])</f>
        <v>769</v>
      </c>
      <c r="AI244">
        <f>SUM(Table25[[#This Row],[CC4]:[DC4]])</f>
        <v>769</v>
      </c>
      <c r="AJ244">
        <f>SUM(Table25[[#This Row],[CC5]:[DC5]])</f>
        <v>769</v>
      </c>
    </row>
    <row r="245" spans="1:36" ht="15">
      <c r="A245" t="s">
        <v>374</v>
      </c>
      <c r="B245" s="85" t="s">
        <v>650</v>
      </c>
      <c r="C245" s="126">
        <v>99</v>
      </c>
      <c r="D245" s="75">
        <v>651</v>
      </c>
      <c r="E245" s="75">
        <v>99</v>
      </c>
      <c r="F245" s="75">
        <v>653</v>
      </c>
      <c r="G245" s="75">
        <v>103.6</v>
      </c>
      <c r="H245" s="75">
        <v>651.1</v>
      </c>
      <c r="I245" s="75">
        <v>103</v>
      </c>
      <c r="J245" s="154">
        <v>654</v>
      </c>
      <c r="K245" s="154">
        <v>100</v>
      </c>
      <c r="L245" s="155">
        <v>656</v>
      </c>
      <c r="M245" s="83">
        <v>30877.5</v>
      </c>
      <c r="N245" s="83">
        <v>29367.8</v>
      </c>
      <c r="O245" s="83">
        <v>31273.1</v>
      </c>
      <c r="P245" s="83">
        <v>29626.6</v>
      </c>
      <c r="Q245" s="83">
        <v>29791.5</v>
      </c>
      <c r="R245" s="83">
        <v>28472.2</v>
      </c>
      <c r="S245" s="83">
        <v>29993.200000000001</v>
      </c>
      <c r="T245" s="83">
        <v>28785.9</v>
      </c>
      <c r="U245" s="83">
        <v>31217.1</v>
      </c>
      <c r="V245" s="83">
        <v>29529.599999999999</v>
      </c>
      <c r="X245" s="27">
        <f>Table25[[#This Row],[HDC1]]/Table25[[#This Row],[HCC1]]</f>
        <v>0.951106792972229</v>
      </c>
      <c r="Y245" s="27">
        <f>Table25[[#This Row],[HDC2]]/Table25[[#This Row],[HCC2]]</f>
        <v>0.9473509182012656</v>
      </c>
      <c r="Z245" s="27">
        <f>Table25[[#This Row],[HDC3]]/Table25[[#This Row],[HCC3]]</f>
        <v>0.95571555645066553</v>
      </c>
      <c r="AA245" s="27">
        <f>Table25[[#This Row],[HDC4]]/Table25[[#This Row],[HCC4]]</f>
        <v>0.95974754277636265</v>
      </c>
      <c r="AB245" s="27">
        <f>Table25[[#This Row],[HDC5]]/Table25[[#This Row],[HCC5]]</f>
        <v>0.94594308888397705</v>
      </c>
      <c r="AF245">
        <f>SUM(Table25[[#This Row],[CC1]:[DC1]])</f>
        <v>750</v>
      </c>
      <c r="AG245">
        <f>SUM(Table25[[#This Row],[CC2]:[DC2]])</f>
        <v>752</v>
      </c>
      <c r="AH245">
        <f>SUM(Table25[[#This Row],[CC3]:[DC3]])</f>
        <v>754.7</v>
      </c>
      <c r="AI245">
        <f>SUM(Table25[[#This Row],[CC4]:[DC4]])</f>
        <v>757</v>
      </c>
      <c r="AJ245">
        <f>SUM(Table25[[#This Row],[CC5]:[DC5]])</f>
        <v>756</v>
      </c>
    </row>
    <row r="246" spans="1:36" ht="15">
      <c r="A246" t="s">
        <v>118</v>
      </c>
      <c r="B246" s="85" t="s">
        <v>651</v>
      </c>
      <c r="C246" s="126">
        <v>100</v>
      </c>
      <c r="D246" s="75">
        <v>654</v>
      </c>
      <c r="E246" s="75">
        <v>100</v>
      </c>
      <c r="F246" s="75">
        <v>655</v>
      </c>
      <c r="G246" s="75">
        <v>98</v>
      </c>
      <c r="H246" s="75">
        <v>660</v>
      </c>
      <c r="I246" s="75">
        <v>101</v>
      </c>
      <c r="J246" s="154">
        <v>651</v>
      </c>
      <c r="K246" s="154">
        <v>102</v>
      </c>
      <c r="L246" s="155">
        <v>652</v>
      </c>
      <c r="M246" s="83">
        <v>17865.400000000001</v>
      </c>
      <c r="N246" s="83">
        <v>16620.599999999999</v>
      </c>
      <c r="O246" s="83">
        <v>16495.5</v>
      </c>
      <c r="P246" s="83">
        <v>15680.4</v>
      </c>
      <c r="Q246" s="83">
        <v>16645.5</v>
      </c>
      <c r="R246" s="83">
        <v>15843.3</v>
      </c>
      <c r="S246" s="83">
        <v>16373.2</v>
      </c>
      <c r="T246" s="83">
        <v>15607.4</v>
      </c>
      <c r="U246" s="83">
        <v>16472.400000000001</v>
      </c>
      <c r="V246" s="83">
        <v>15877</v>
      </c>
      <c r="X246" s="27">
        <f>Table25[[#This Row],[HDC1]]/Table25[[#This Row],[HCC1]]</f>
        <v>0.93032341845130795</v>
      </c>
      <c r="Y246" s="27">
        <f>Table25[[#This Row],[HDC2]]/Table25[[#This Row],[HCC2]]</f>
        <v>0.95058652359734475</v>
      </c>
      <c r="Z246" s="27">
        <f>Table25[[#This Row],[HDC3]]/Table25[[#This Row],[HCC3]]</f>
        <v>0.95180679462917905</v>
      </c>
      <c r="AA246" s="27">
        <f>Table25[[#This Row],[HDC4]]/Table25[[#This Row],[HCC4]]</f>
        <v>0.95322844648572047</v>
      </c>
      <c r="AB246" s="27">
        <f>Table25[[#This Row],[HDC5]]/Table25[[#This Row],[HCC5]]</f>
        <v>0.96385469026978454</v>
      </c>
      <c r="AF246">
        <f>SUM(Table25[[#This Row],[CC1]:[DC1]])</f>
        <v>754</v>
      </c>
      <c r="AG246">
        <f>SUM(Table25[[#This Row],[CC2]:[DC2]])</f>
        <v>755</v>
      </c>
      <c r="AH246">
        <f>SUM(Table25[[#This Row],[CC3]:[DC3]])</f>
        <v>758</v>
      </c>
      <c r="AI246">
        <f>SUM(Table25[[#This Row],[CC4]:[DC4]])</f>
        <v>752</v>
      </c>
      <c r="AJ246">
        <f>SUM(Table25[[#This Row],[CC5]:[DC5]])</f>
        <v>754</v>
      </c>
    </row>
    <row r="247" spans="1:36" ht="15">
      <c r="A247" t="s">
        <v>375</v>
      </c>
      <c r="B247" s="85" t="s">
        <v>652</v>
      </c>
      <c r="C247" s="126">
        <v>96</v>
      </c>
      <c r="D247" s="75">
        <v>655</v>
      </c>
      <c r="E247" s="75">
        <v>92</v>
      </c>
      <c r="F247" s="75">
        <v>648</v>
      </c>
      <c r="G247" s="75">
        <v>97</v>
      </c>
      <c r="H247" s="75">
        <v>657</v>
      </c>
      <c r="I247" s="75">
        <v>96</v>
      </c>
      <c r="J247" s="154">
        <v>659</v>
      </c>
      <c r="K247" s="154">
        <v>99</v>
      </c>
      <c r="L247" s="155">
        <v>652</v>
      </c>
      <c r="M247" s="83">
        <v>16177.6</v>
      </c>
      <c r="N247" s="83">
        <v>15321.7</v>
      </c>
      <c r="O247" s="83">
        <v>16699.7</v>
      </c>
      <c r="P247" s="83">
        <v>15338.4</v>
      </c>
      <c r="Q247" s="83">
        <v>16707.2</v>
      </c>
      <c r="R247" s="83">
        <v>15569.1</v>
      </c>
      <c r="S247" s="83">
        <v>16544.5</v>
      </c>
      <c r="T247" s="83">
        <v>15250.1</v>
      </c>
      <c r="U247" s="83">
        <v>16540.5</v>
      </c>
      <c r="V247" s="83">
        <v>15258.5</v>
      </c>
      <c r="X247" s="27">
        <f>Table25[[#This Row],[HDC1]]/Table25[[#This Row],[HCC1]]</f>
        <v>0.94709351201661562</v>
      </c>
      <c r="Y247" s="27">
        <f>Table25[[#This Row],[HDC2]]/Table25[[#This Row],[HCC2]]</f>
        <v>0.91848356557303423</v>
      </c>
      <c r="Z247" s="27">
        <f>Table25[[#This Row],[HDC3]]/Table25[[#This Row],[HCC3]]</f>
        <v>0.93187966864585325</v>
      </c>
      <c r="AA247" s="27">
        <f>Table25[[#This Row],[HDC4]]/Table25[[#This Row],[HCC4]]</f>
        <v>0.92176251926622144</v>
      </c>
      <c r="AB247" s="27">
        <f>Table25[[#This Row],[HDC5]]/Table25[[#This Row],[HCC5]]</f>
        <v>0.92249327408482207</v>
      </c>
      <c r="AF247">
        <f>SUM(Table25[[#This Row],[CC1]:[DC1]])</f>
        <v>751</v>
      </c>
      <c r="AG247">
        <f>SUM(Table25[[#This Row],[CC2]:[DC2]])</f>
        <v>740</v>
      </c>
      <c r="AH247">
        <f>SUM(Table25[[#This Row],[CC3]:[DC3]])</f>
        <v>754</v>
      </c>
      <c r="AI247">
        <f>SUM(Table25[[#This Row],[CC4]:[DC4]])</f>
        <v>755</v>
      </c>
      <c r="AJ247">
        <f>SUM(Table25[[#This Row],[CC5]:[DC5]])</f>
        <v>751</v>
      </c>
    </row>
    <row r="248" spans="1:36" ht="15">
      <c r="A248" t="s">
        <v>376</v>
      </c>
      <c r="B248" s="85" t="s">
        <v>653</v>
      </c>
      <c r="C248" s="126">
        <v>99</v>
      </c>
      <c r="D248" s="75">
        <v>654</v>
      </c>
      <c r="E248" s="75">
        <v>100</v>
      </c>
      <c r="F248" s="75">
        <v>656</v>
      </c>
      <c r="G248" s="75">
        <v>103</v>
      </c>
      <c r="H248" s="75">
        <v>653</v>
      </c>
      <c r="I248" s="75">
        <v>101</v>
      </c>
      <c r="J248" s="154">
        <v>657</v>
      </c>
      <c r="K248" s="154">
        <v>101</v>
      </c>
      <c r="L248" s="155">
        <v>653</v>
      </c>
      <c r="M248" s="83">
        <v>16506.7</v>
      </c>
      <c r="N248" s="83">
        <v>15642.3</v>
      </c>
      <c r="O248" s="83">
        <v>16244.5</v>
      </c>
      <c r="P248" s="83">
        <v>15358</v>
      </c>
      <c r="Q248" s="83">
        <v>16147.2</v>
      </c>
      <c r="R248" s="83">
        <v>15286.9</v>
      </c>
      <c r="S248" s="83">
        <v>16140.1</v>
      </c>
      <c r="T248" s="83">
        <v>15261.2</v>
      </c>
      <c r="U248" s="83">
        <v>16736.8</v>
      </c>
      <c r="V248" s="83">
        <v>15388.6</v>
      </c>
      <c r="X248" s="27">
        <f>Table25[[#This Row],[HDC1]]/Table25[[#This Row],[HCC1]]</f>
        <v>0.94763338523145135</v>
      </c>
      <c r="Y248" s="27">
        <f>Table25[[#This Row],[HDC2]]/Table25[[#This Row],[HCC2]]</f>
        <v>0.94542768321585768</v>
      </c>
      <c r="Z248" s="27">
        <f>Table25[[#This Row],[HDC3]]/Table25[[#This Row],[HCC3]]</f>
        <v>0.94672141300039625</v>
      </c>
      <c r="AA248" s="27">
        <f>Table25[[#This Row],[HDC4]]/Table25[[#This Row],[HCC4]]</f>
        <v>0.94554556663217704</v>
      </c>
      <c r="AB248" s="27">
        <f>Table25[[#This Row],[HDC5]]/Table25[[#This Row],[HCC5]]</f>
        <v>0.91944696716218155</v>
      </c>
      <c r="AF248">
        <f>SUM(Table25[[#This Row],[CC1]:[DC1]])</f>
        <v>753</v>
      </c>
      <c r="AG248">
        <f>SUM(Table25[[#This Row],[CC2]:[DC2]])</f>
        <v>756</v>
      </c>
      <c r="AH248">
        <f>SUM(Table25[[#This Row],[CC3]:[DC3]])</f>
        <v>756</v>
      </c>
      <c r="AI248">
        <f>SUM(Table25[[#This Row],[CC4]:[DC4]])</f>
        <v>758</v>
      </c>
      <c r="AJ248">
        <f>SUM(Table25[[#This Row],[CC5]:[DC5]])</f>
        <v>754</v>
      </c>
    </row>
    <row r="249" spans="1:36" ht="15">
      <c r="A249" t="s">
        <v>377</v>
      </c>
      <c r="B249" s="85" t="s">
        <v>654</v>
      </c>
      <c r="C249" s="126">
        <v>96</v>
      </c>
      <c r="D249" s="75">
        <v>693</v>
      </c>
      <c r="E249" s="75">
        <v>116</v>
      </c>
      <c r="F249" s="75">
        <v>655</v>
      </c>
      <c r="G249" s="75">
        <v>98</v>
      </c>
      <c r="H249" s="75">
        <v>688</v>
      </c>
      <c r="I249" s="75">
        <v>101</v>
      </c>
      <c r="J249" s="154">
        <v>682</v>
      </c>
      <c r="K249" s="154">
        <v>99</v>
      </c>
      <c r="L249" s="155">
        <v>686</v>
      </c>
      <c r="M249" s="83">
        <v>16968.2</v>
      </c>
      <c r="N249" s="83">
        <v>16189.6</v>
      </c>
      <c r="O249" s="83">
        <v>7116</v>
      </c>
      <c r="P249" s="83">
        <v>6697.4</v>
      </c>
      <c r="Q249" s="83">
        <v>16846</v>
      </c>
      <c r="R249" s="83">
        <v>16086.6</v>
      </c>
      <c r="S249" s="83">
        <v>16880.900000000001</v>
      </c>
      <c r="T249" s="83">
        <v>16170.3</v>
      </c>
      <c r="U249" s="83">
        <v>16966.5</v>
      </c>
      <c r="V249" s="83">
        <v>16206.6</v>
      </c>
      <c r="X249" s="27">
        <f>Table25[[#This Row],[HDC1]]/Table25[[#This Row],[HCC1]]</f>
        <v>0.95411416649968761</v>
      </c>
      <c r="Y249" s="27">
        <f>Table25[[#This Row],[HDC2]]/Table25[[#This Row],[HCC2]]</f>
        <v>0.94117481731309716</v>
      </c>
      <c r="Z249" s="27">
        <f>Table25[[#This Row],[HDC3]]/Table25[[#This Row],[HCC3]]</f>
        <v>0.9549210495073015</v>
      </c>
      <c r="AA249" s="27">
        <f>Table25[[#This Row],[HDC4]]/Table25[[#This Row],[HCC4]]</f>
        <v>0.95790508799886254</v>
      </c>
      <c r="AB249" s="27">
        <f>Table25[[#This Row],[HDC5]]/Table25[[#This Row],[HCC5]]</f>
        <v>0.95521174078330828</v>
      </c>
      <c r="AF249">
        <f>SUM(Table25[[#This Row],[CC1]:[DC1]])</f>
        <v>789</v>
      </c>
      <c r="AG249">
        <f>SUM(Table25[[#This Row],[CC2]:[DC2]])</f>
        <v>771</v>
      </c>
      <c r="AH249">
        <f>SUM(Table25[[#This Row],[CC3]:[DC3]])</f>
        <v>786</v>
      </c>
      <c r="AI249">
        <f>SUM(Table25[[#This Row],[CC4]:[DC4]])</f>
        <v>783</v>
      </c>
      <c r="AJ249">
        <f>SUM(Table25[[#This Row],[CC5]:[DC5]])</f>
        <v>785</v>
      </c>
    </row>
    <row r="250" spans="1:36" ht="15">
      <c r="A250" t="s">
        <v>378</v>
      </c>
      <c r="B250" s="85" t="s">
        <v>655</v>
      </c>
      <c r="C250" s="126">
        <v>100</v>
      </c>
      <c r="D250" s="75">
        <v>655</v>
      </c>
      <c r="E250" s="75">
        <v>104</v>
      </c>
      <c r="F250" s="75">
        <v>652</v>
      </c>
      <c r="G250" s="75">
        <v>104</v>
      </c>
      <c r="H250" s="75">
        <v>650</v>
      </c>
      <c r="I250" s="75">
        <v>103</v>
      </c>
      <c r="J250" s="154">
        <v>651</v>
      </c>
      <c r="K250" s="154">
        <v>103</v>
      </c>
      <c r="L250" s="155">
        <v>653</v>
      </c>
      <c r="M250" s="83">
        <v>29235.599999999999</v>
      </c>
      <c r="N250" s="83">
        <v>28164.9</v>
      </c>
      <c r="O250" s="83">
        <v>29640.799999999999</v>
      </c>
      <c r="P250" s="83">
        <v>28169.4</v>
      </c>
      <c r="Q250" s="83">
        <v>28673.1</v>
      </c>
      <c r="R250" s="83">
        <v>27563.9</v>
      </c>
      <c r="S250" s="83">
        <v>27572.799999999999</v>
      </c>
      <c r="T250" s="83">
        <v>26847.599999999999</v>
      </c>
      <c r="U250" s="83">
        <v>29627.5</v>
      </c>
      <c r="V250" s="83">
        <v>28049.1</v>
      </c>
      <c r="X250" s="27">
        <f>Table25[[#This Row],[HDC1]]/Table25[[#This Row],[HCC1]]</f>
        <v>0.96337684193243867</v>
      </c>
      <c r="Y250" s="27">
        <f>Table25[[#This Row],[HDC2]]/Table25[[#This Row],[HCC2]]</f>
        <v>0.95035896467031933</v>
      </c>
      <c r="Z250" s="27">
        <f>Table25[[#This Row],[HDC3]]/Table25[[#This Row],[HCC3]]</f>
        <v>0.96131565823018794</v>
      </c>
      <c r="AA250" s="27">
        <f>Table25[[#This Row],[HDC4]]/Table25[[#This Row],[HCC4]]</f>
        <v>0.97369871757674231</v>
      </c>
      <c r="AB250" s="27">
        <f>Table25[[#This Row],[HDC5]]/Table25[[#This Row],[HCC5]]</f>
        <v>0.94672517087165631</v>
      </c>
      <c r="AF250">
        <f>SUM(Table25[[#This Row],[CC1]:[DC1]])</f>
        <v>755</v>
      </c>
      <c r="AG250">
        <f>SUM(Table25[[#This Row],[CC2]:[DC2]])</f>
        <v>756</v>
      </c>
      <c r="AH250">
        <f>SUM(Table25[[#This Row],[CC3]:[DC3]])</f>
        <v>754</v>
      </c>
      <c r="AI250">
        <f>SUM(Table25[[#This Row],[CC4]:[DC4]])</f>
        <v>754</v>
      </c>
      <c r="AJ250">
        <f>SUM(Table25[[#This Row],[CC5]:[DC5]])</f>
        <v>756</v>
      </c>
    </row>
    <row r="251" spans="1:36" ht="15">
      <c r="A251" t="s">
        <v>379</v>
      </c>
      <c r="B251" s="85" t="s">
        <v>656</v>
      </c>
      <c r="C251" s="126">
        <v>84</v>
      </c>
      <c r="D251" s="75">
        <v>669</v>
      </c>
      <c r="E251" s="75">
        <v>88</v>
      </c>
      <c r="F251" s="75">
        <v>666</v>
      </c>
      <c r="G251" s="75">
        <v>92</v>
      </c>
      <c r="H251" s="75">
        <v>661</v>
      </c>
      <c r="I251" s="75">
        <v>106</v>
      </c>
      <c r="J251" s="154">
        <v>646</v>
      </c>
      <c r="K251" s="154">
        <v>102</v>
      </c>
      <c r="L251" s="155">
        <v>648</v>
      </c>
      <c r="M251" s="83">
        <v>28961.599999999999</v>
      </c>
      <c r="N251" s="83">
        <v>28056.7</v>
      </c>
      <c r="O251" s="83">
        <v>28518.400000000001</v>
      </c>
      <c r="P251" s="83">
        <v>27534.6</v>
      </c>
      <c r="Q251" s="83">
        <v>28533.4</v>
      </c>
      <c r="R251" s="83">
        <v>27552.2</v>
      </c>
      <c r="S251" s="83">
        <v>28360.3</v>
      </c>
      <c r="T251" s="83">
        <v>27342.400000000001</v>
      </c>
      <c r="U251" s="83">
        <v>29759</v>
      </c>
      <c r="V251" s="83">
        <v>28175.1</v>
      </c>
      <c r="X251" s="27">
        <f>Table25[[#This Row],[HDC1]]/Table25[[#This Row],[HCC1]]</f>
        <v>0.9687551792718635</v>
      </c>
      <c r="Y251" s="27">
        <f>Table25[[#This Row],[HDC2]]/Table25[[#This Row],[HCC2]]</f>
        <v>0.96550297351885084</v>
      </c>
      <c r="Z251" s="27">
        <f>Table25[[#This Row],[HDC3]]/Table25[[#This Row],[HCC3]]</f>
        <v>0.96561222987796758</v>
      </c>
      <c r="AA251" s="27">
        <f>Table25[[#This Row],[HDC4]]/Table25[[#This Row],[HCC4]]</f>
        <v>0.9641082781211765</v>
      </c>
      <c r="AB251" s="27">
        <f>Table25[[#This Row],[HDC5]]/Table25[[#This Row],[HCC5]]</f>
        <v>0.94677576531469465</v>
      </c>
      <c r="AF251">
        <f>SUM(Table25[[#This Row],[CC1]:[DC1]])</f>
        <v>753</v>
      </c>
      <c r="AG251">
        <f>SUM(Table25[[#This Row],[CC2]:[DC2]])</f>
        <v>754</v>
      </c>
      <c r="AH251">
        <f>SUM(Table25[[#This Row],[CC3]:[DC3]])</f>
        <v>753</v>
      </c>
      <c r="AI251">
        <f>SUM(Table25[[#This Row],[CC4]:[DC4]])</f>
        <v>752</v>
      </c>
      <c r="AJ251">
        <f>SUM(Table25[[#This Row],[CC5]:[DC5]])</f>
        <v>750</v>
      </c>
    </row>
    <row r="252" spans="1:36" ht="15">
      <c r="A252" t="s">
        <v>380</v>
      </c>
      <c r="B252" s="85" t="s">
        <v>657</v>
      </c>
      <c r="C252" s="126">
        <v>101</v>
      </c>
      <c r="D252" s="75">
        <v>652</v>
      </c>
      <c r="E252" s="75">
        <v>100</v>
      </c>
      <c r="F252" s="75">
        <v>653</v>
      </c>
      <c r="G252" s="75">
        <v>103</v>
      </c>
      <c r="H252" s="75">
        <v>650</v>
      </c>
      <c r="I252" s="75">
        <v>104</v>
      </c>
      <c r="J252" s="154">
        <v>649</v>
      </c>
      <c r="K252" s="154">
        <v>106</v>
      </c>
      <c r="L252" s="155">
        <v>642</v>
      </c>
      <c r="M252" s="83">
        <v>29996.2</v>
      </c>
      <c r="N252" s="83">
        <v>28453.4</v>
      </c>
      <c r="O252" s="83">
        <v>27573.1</v>
      </c>
      <c r="P252" s="83">
        <v>26866</v>
      </c>
      <c r="Q252" s="83">
        <v>28579</v>
      </c>
      <c r="R252" s="83">
        <v>27624</v>
      </c>
      <c r="S252" s="83">
        <v>28385.5</v>
      </c>
      <c r="T252" s="83">
        <v>27400.799999999999</v>
      </c>
      <c r="U252" s="83">
        <v>28436.5</v>
      </c>
      <c r="V252" s="83">
        <v>27558.9</v>
      </c>
      <c r="X252" s="27">
        <f>Table25[[#This Row],[HDC1]]/Table25[[#This Row],[HCC1]]</f>
        <v>0.94856681846367208</v>
      </c>
      <c r="Y252" s="27">
        <f>Table25[[#This Row],[HDC2]]/Table25[[#This Row],[HCC2]]</f>
        <v>0.97435544062872881</v>
      </c>
      <c r="Z252" s="27">
        <f>Table25[[#This Row],[HDC3]]/Table25[[#This Row],[HCC3]]</f>
        <v>0.96658385527835122</v>
      </c>
      <c r="AA252" s="27">
        <f>Table25[[#This Row],[HDC4]]/Table25[[#This Row],[HCC4]]</f>
        <v>0.96530975321907309</v>
      </c>
      <c r="AB252" s="27">
        <f>Table25[[#This Row],[HDC5]]/Table25[[#This Row],[HCC5]]</f>
        <v>0.96913825541117937</v>
      </c>
      <c r="AF252">
        <f>SUM(Table25[[#This Row],[CC1]:[DC1]])</f>
        <v>753</v>
      </c>
      <c r="AG252">
        <f>SUM(Table25[[#This Row],[CC2]:[DC2]])</f>
        <v>753</v>
      </c>
      <c r="AH252">
        <f>SUM(Table25[[#This Row],[CC3]:[DC3]])</f>
        <v>753</v>
      </c>
      <c r="AI252">
        <f>SUM(Table25[[#This Row],[CC4]:[DC4]])</f>
        <v>753</v>
      </c>
      <c r="AJ252">
        <f>SUM(Table25[[#This Row],[CC5]:[DC5]])</f>
        <v>748</v>
      </c>
    </row>
    <row r="253" spans="1:36" ht="15">
      <c r="A253" t="s">
        <v>381</v>
      </c>
      <c r="B253" s="85" t="s">
        <v>658</v>
      </c>
      <c r="C253" s="126">
        <v>98</v>
      </c>
      <c r="D253" s="75">
        <v>685</v>
      </c>
      <c r="E253" s="75">
        <v>117</v>
      </c>
      <c r="F253" s="75">
        <v>665</v>
      </c>
      <c r="G253" s="75">
        <v>98</v>
      </c>
      <c r="H253" s="75">
        <v>687</v>
      </c>
      <c r="I253" s="75">
        <v>103</v>
      </c>
      <c r="J253" s="154">
        <v>684</v>
      </c>
      <c r="K253" s="154">
        <v>98</v>
      </c>
      <c r="L253" s="155">
        <v>688</v>
      </c>
      <c r="M253" s="83">
        <v>29526.799999999999</v>
      </c>
      <c r="N253" s="83">
        <v>28544.9</v>
      </c>
      <c r="O253" s="83">
        <v>28912.2</v>
      </c>
      <c r="P253" s="83">
        <v>27870.2</v>
      </c>
      <c r="Q253" s="83">
        <v>28432.5</v>
      </c>
      <c r="R253" s="83">
        <v>28106.799999999999</v>
      </c>
      <c r="S253" s="83">
        <v>28869.1</v>
      </c>
      <c r="T253" s="83">
        <v>27857.3</v>
      </c>
      <c r="U253" s="83">
        <v>28646.7</v>
      </c>
      <c r="V253" s="83">
        <v>28320.1</v>
      </c>
      <c r="X253" s="27">
        <f>Table25[[#This Row],[HDC1]]/Table25[[#This Row],[HCC1]]</f>
        <v>0.96674546513675719</v>
      </c>
      <c r="Y253" s="27">
        <f>Table25[[#This Row],[HDC2]]/Table25[[#This Row],[HCC2]]</f>
        <v>0.96395985085880698</v>
      </c>
      <c r="Z253" s="27">
        <f>Table25[[#This Row],[HDC3]]/Table25[[#This Row],[HCC3]]</f>
        <v>0.98854479908555348</v>
      </c>
      <c r="AA253" s="27">
        <f>Table25[[#This Row],[HDC4]]/Table25[[#This Row],[HCC4]]</f>
        <v>0.96495214606620927</v>
      </c>
      <c r="AB253" s="27">
        <f>Table25[[#This Row],[HDC5]]/Table25[[#This Row],[HCC5]]</f>
        <v>0.98859903584007924</v>
      </c>
      <c r="AF253">
        <f>SUM(Table25[[#This Row],[CC1]:[DC1]])</f>
        <v>783</v>
      </c>
      <c r="AG253">
        <f>SUM(Table25[[#This Row],[CC2]:[DC2]])</f>
        <v>782</v>
      </c>
      <c r="AH253">
        <f>SUM(Table25[[#This Row],[CC3]:[DC3]])</f>
        <v>785</v>
      </c>
      <c r="AI253">
        <f>SUM(Table25[[#This Row],[CC4]:[DC4]])</f>
        <v>787</v>
      </c>
      <c r="AJ253">
        <f>SUM(Table25[[#This Row],[CC5]:[DC5]])</f>
        <v>786</v>
      </c>
    </row>
    <row r="254" spans="1:36" ht="15">
      <c r="A254" t="s">
        <v>42</v>
      </c>
      <c r="B254" s="85" t="s">
        <v>659</v>
      </c>
      <c r="C254" s="126">
        <v>100</v>
      </c>
      <c r="D254" s="75">
        <v>653</v>
      </c>
      <c r="E254" s="75">
        <v>103</v>
      </c>
      <c r="F254" s="75">
        <v>653</v>
      </c>
      <c r="G254" s="75">
        <v>102</v>
      </c>
      <c r="H254" s="75">
        <v>652</v>
      </c>
      <c r="I254" s="75">
        <v>103</v>
      </c>
      <c r="J254" s="154">
        <v>651</v>
      </c>
      <c r="K254" s="154">
        <v>101</v>
      </c>
      <c r="L254" s="155">
        <v>657</v>
      </c>
      <c r="M254" s="83">
        <v>29260.5</v>
      </c>
      <c r="N254" s="83">
        <v>27604.799999999999</v>
      </c>
      <c r="O254" s="83">
        <v>28746.1</v>
      </c>
      <c r="P254" s="83">
        <v>27084</v>
      </c>
      <c r="Q254" s="83">
        <v>27843.7</v>
      </c>
      <c r="R254" s="83">
        <v>26284.6</v>
      </c>
      <c r="S254" s="83">
        <v>27130.1</v>
      </c>
      <c r="T254" s="83">
        <v>25627.8</v>
      </c>
      <c r="U254" s="83">
        <v>26789.599999999999</v>
      </c>
      <c r="V254" s="83">
        <v>25294.9</v>
      </c>
      <c r="X254" s="27">
        <f>Table25[[#This Row],[HDC1]]/Table25[[#This Row],[HCC1]]</f>
        <v>0.9434151842928179</v>
      </c>
      <c r="Y254" s="27">
        <f>Table25[[#This Row],[HDC2]]/Table25[[#This Row],[HCC2]]</f>
        <v>0.94217998267591085</v>
      </c>
      <c r="Z254" s="27">
        <f>Table25[[#This Row],[HDC3]]/Table25[[#This Row],[HCC3]]</f>
        <v>0.9440052866537133</v>
      </c>
      <c r="AA254" s="27">
        <f>Table25[[#This Row],[HDC4]]/Table25[[#This Row],[HCC4]]</f>
        <v>0.94462607952053257</v>
      </c>
      <c r="AB254" s="27">
        <f>Table25[[#This Row],[HDC5]]/Table25[[#This Row],[HCC5]]</f>
        <v>0.94420596052199368</v>
      </c>
      <c r="AF254">
        <f>SUM(Table25[[#This Row],[CC1]:[DC1]])</f>
        <v>753</v>
      </c>
      <c r="AG254">
        <f>SUM(Table25[[#This Row],[CC2]:[DC2]])</f>
        <v>756</v>
      </c>
      <c r="AH254">
        <f>SUM(Table25[[#This Row],[CC3]:[DC3]])</f>
        <v>754</v>
      </c>
      <c r="AI254">
        <f>SUM(Table25[[#This Row],[CC4]:[DC4]])</f>
        <v>754</v>
      </c>
      <c r="AJ254">
        <f>SUM(Table25[[#This Row],[CC5]:[DC5]])</f>
        <v>758</v>
      </c>
    </row>
    <row r="255" spans="1:36" ht="15">
      <c r="A255" t="s">
        <v>43</v>
      </c>
      <c r="B255" s="85" t="s">
        <v>660</v>
      </c>
      <c r="C255" s="126">
        <v>101</v>
      </c>
      <c r="D255" s="75">
        <v>653</v>
      </c>
      <c r="E255" s="75">
        <v>100</v>
      </c>
      <c r="F255" s="75">
        <v>656</v>
      </c>
      <c r="G255" s="75">
        <v>100</v>
      </c>
      <c r="H255" s="75">
        <v>650</v>
      </c>
      <c r="I255" s="75">
        <v>100</v>
      </c>
      <c r="J255" s="154">
        <v>654</v>
      </c>
      <c r="K255" s="154">
        <v>100</v>
      </c>
      <c r="L255" s="155">
        <v>651</v>
      </c>
      <c r="M255" s="83">
        <v>27057</v>
      </c>
      <c r="N255" s="83">
        <v>25670.5</v>
      </c>
      <c r="O255" s="83">
        <v>27380</v>
      </c>
      <c r="P255" s="83">
        <v>26060.6</v>
      </c>
      <c r="Q255" s="83">
        <v>27093.5</v>
      </c>
      <c r="R255" s="83">
        <v>25734.9</v>
      </c>
      <c r="S255" s="83">
        <v>26251.200000000001</v>
      </c>
      <c r="T255" s="83">
        <v>25480.799999999999</v>
      </c>
      <c r="U255" s="83">
        <v>26775.5</v>
      </c>
      <c r="V255" s="83">
        <v>25369.599999999999</v>
      </c>
      <c r="X255" s="27">
        <f>Table25[[#This Row],[HDC1]]/Table25[[#This Row],[HCC1]]</f>
        <v>0.94875632923088293</v>
      </c>
      <c r="Y255" s="27">
        <f>Table25[[#This Row],[HDC2]]/Table25[[#This Row],[HCC2]]</f>
        <v>0.95181154127100065</v>
      </c>
      <c r="Z255" s="27">
        <f>Table25[[#This Row],[HDC3]]/Table25[[#This Row],[HCC3]]</f>
        <v>0.94985513130455645</v>
      </c>
      <c r="AA255" s="27">
        <f>Table25[[#This Row],[HDC4]]/Table25[[#This Row],[HCC4]]</f>
        <v>0.97065277015907836</v>
      </c>
      <c r="AB255" s="27">
        <f>Table25[[#This Row],[HDC5]]/Table25[[#This Row],[HCC5]]</f>
        <v>0.94749304401411738</v>
      </c>
      <c r="AF255">
        <f>SUM(Table25[[#This Row],[CC1]:[DC1]])</f>
        <v>754</v>
      </c>
      <c r="AG255">
        <f>SUM(Table25[[#This Row],[CC2]:[DC2]])</f>
        <v>756</v>
      </c>
      <c r="AH255">
        <f>SUM(Table25[[#This Row],[CC3]:[DC3]])</f>
        <v>750</v>
      </c>
      <c r="AI255">
        <f>SUM(Table25[[#This Row],[CC4]:[DC4]])</f>
        <v>754</v>
      </c>
      <c r="AJ255">
        <f>SUM(Table25[[#This Row],[CC5]:[DC5]])</f>
        <v>751</v>
      </c>
    </row>
    <row r="256" spans="1:36" ht="15">
      <c r="A256" t="s">
        <v>44</v>
      </c>
      <c r="B256" s="85" t="s">
        <v>661</v>
      </c>
      <c r="C256" s="126">
        <v>100</v>
      </c>
      <c r="D256" s="75">
        <v>656</v>
      </c>
      <c r="E256" s="75">
        <v>101</v>
      </c>
      <c r="F256" s="75">
        <v>655</v>
      </c>
      <c r="G256" s="75">
        <v>102</v>
      </c>
      <c r="H256" s="75">
        <v>651</v>
      </c>
      <c r="I256" s="75">
        <v>102</v>
      </c>
      <c r="J256" s="154">
        <v>653</v>
      </c>
      <c r="K256" s="154">
        <v>104</v>
      </c>
      <c r="L256" s="155">
        <v>650</v>
      </c>
      <c r="M256" s="83">
        <v>27865.3</v>
      </c>
      <c r="N256" s="83">
        <v>26420.9</v>
      </c>
      <c r="O256" s="83">
        <v>28331.3</v>
      </c>
      <c r="P256" s="83">
        <v>26907.5</v>
      </c>
      <c r="Q256" s="83">
        <v>28117.8</v>
      </c>
      <c r="R256" s="83">
        <v>26610.400000000001</v>
      </c>
      <c r="S256" s="83">
        <v>28434.1</v>
      </c>
      <c r="T256" s="83">
        <v>26855.8</v>
      </c>
      <c r="U256" s="83">
        <v>28162.9</v>
      </c>
      <c r="V256" s="83">
        <v>26731.9</v>
      </c>
      <c r="X256" s="27">
        <f>Table25[[#This Row],[HDC1]]/Table25[[#This Row],[HCC1]]</f>
        <v>0.94816492196387625</v>
      </c>
      <c r="Y256" s="27">
        <f>Table25[[#This Row],[HDC2]]/Table25[[#This Row],[HCC2]]</f>
        <v>0.94974462873217957</v>
      </c>
      <c r="Z256" s="27">
        <f>Table25[[#This Row],[HDC3]]/Table25[[#This Row],[HCC3]]</f>
        <v>0.94638983135238186</v>
      </c>
      <c r="AA256" s="27">
        <f>Table25[[#This Row],[HDC4]]/Table25[[#This Row],[HCC4]]</f>
        <v>0.94449270418265396</v>
      </c>
      <c r="AB256" s="27">
        <f>Table25[[#This Row],[HDC5]]/Table25[[#This Row],[HCC5]]</f>
        <v>0.94918847135770823</v>
      </c>
      <c r="AF256">
        <f>SUM(Table25[[#This Row],[CC1]:[DC1]])</f>
        <v>756</v>
      </c>
      <c r="AG256">
        <f>SUM(Table25[[#This Row],[CC2]:[DC2]])</f>
        <v>756</v>
      </c>
      <c r="AH256">
        <f>SUM(Table25[[#This Row],[CC3]:[DC3]])</f>
        <v>753</v>
      </c>
      <c r="AI256">
        <f>SUM(Table25[[#This Row],[CC4]:[DC4]])</f>
        <v>755</v>
      </c>
      <c r="AJ256">
        <f>SUM(Table25[[#This Row],[CC5]:[DC5]])</f>
        <v>754</v>
      </c>
    </row>
    <row r="257" spans="1:36" ht="15">
      <c r="A257" t="s">
        <v>45</v>
      </c>
      <c r="B257" s="85" t="s">
        <v>662</v>
      </c>
      <c r="C257" s="126">
        <v>100</v>
      </c>
      <c r="D257" s="75">
        <v>655</v>
      </c>
      <c r="E257" s="75">
        <v>102</v>
      </c>
      <c r="F257" s="75">
        <v>648</v>
      </c>
      <c r="G257" s="75">
        <v>104</v>
      </c>
      <c r="H257" s="75">
        <v>648</v>
      </c>
      <c r="I257" s="75">
        <v>102</v>
      </c>
      <c r="J257" s="154">
        <v>648</v>
      </c>
      <c r="K257" s="154">
        <v>101</v>
      </c>
      <c r="L257" s="155">
        <v>649</v>
      </c>
      <c r="M257" s="83">
        <v>28338.3</v>
      </c>
      <c r="N257" s="83">
        <v>26890.6</v>
      </c>
      <c r="O257" s="83">
        <v>27969.5</v>
      </c>
      <c r="P257" s="83">
        <v>26515.7</v>
      </c>
      <c r="Q257" s="83">
        <v>27888.5</v>
      </c>
      <c r="R257" s="83">
        <v>26598.400000000001</v>
      </c>
      <c r="S257" s="83">
        <v>27531.599999999999</v>
      </c>
      <c r="T257" s="83">
        <v>26126.6</v>
      </c>
      <c r="U257" s="83">
        <v>27227.599999999999</v>
      </c>
      <c r="V257" s="83">
        <v>25787.9</v>
      </c>
      <c r="X257" s="27">
        <f>Table25[[#This Row],[HDC1]]/Table25[[#This Row],[HCC1]]</f>
        <v>0.94891366101706875</v>
      </c>
      <c r="Y257" s="27">
        <f>Table25[[#This Row],[HDC2]]/Table25[[#This Row],[HCC2]]</f>
        <v>0.94802195248395571</v>
      </c>
      <c r="Z257" s="27">
        <f>Table25[[#This Row],[HDC3]]/Table25[[#This Row],[HCC3]]</f>
        <v>0.95374078921419225</v>
      </c>
      <c r="AA257" s="27">
        <f>Table25[[#This Row],[HDC4]]/Table25[[#This Row],[HCC4]]</f>
        <v>0.94896773162475123</v>
      </c>
      <c r="AB257" s="27">
        <f>Table25[[#This Row],[HDC5]]/Table25[[#This Row],[HCC5]]</f>
        <v>0.94712350702963177</v>
      </c>
      <c r="AF257">
        <f>SUM(Table25[[#This Row],[CC1]:[DC1]])</f>
        <v>755</v>
      </c>
      <c r="AG257">
        <f>SUM(Table25[[#This Row],[CC2]:[DC2]])</f>
        <v>750</v>
      </c>
      <c r="AH257">
        <f>SUM(Table25[[#This Row],[CC3]:[DC3]])</f>
        <v>752</v>
      </c>
      <c r="AI257">
        <f>SUM(Table25[[#This Row],[CC4]:[DC4]])</f>
        <v>750</v>
      </c>
      <c r="AJ257">
        <f>SUM(Table25[[#This Row],[CC5]:[DC5]])</f>
        <v>750</v>
      </c>
    </row>
    <row r="258" spans="1:36" ht="15">
      <c r="A258" t="s">
        <v>46</v>
      </c>
      <c r="B258" s="85" t="s">
        <v>663</v>
      </c>
      <c r="C258" s="126">
        <v>101</v>
      </c>
      <c r="D258" s="75">
        <v>651</v>
      </c>
      <c r="E258" s="75">
        <v>104</v>
      </c>
      <c r="F258" s="75">
        <v>648</v>
      </c>
      <c r="G258" s="75">
        <v>100</v>
      </c>
      <c r="H258" s="75">
        <v>653</v>
      </c>
      <c r="I258" s="75">
        <v>108</v>
      </c>
      <c r="J258" s="154">
        <v>645</v>
      </c>
      <c r="K258" s="154">
        <v>105</v>
      </c>
      <c r="L258" s="155">
        <v>649</v>
      </c>
      <c r="M258" s="83">
        <v>30158.5</v>
      </c>
      <c r="N258" s="83">
        <v>28376.2</v>
      </c>
      <c r="O258" s="83">
        <v>30110.799999999999</v>
      </c>
      <c r="P258" s="83">
        <v>28459.9</v>
      </c>
      <c r="Q258" s="83">
        <v>14307.9</v>
      </c>
      <c r="R258" s="83">
        <v>13498</v>
      </c>
      <c r="S258" s="83">
        <v>29565.599999999999</v>
      </c>
      <c r="T258" s="83">
        <v>28081.599999999999</v>
      </c>
      <c r="U258" s="83">
        <v>30141.7</v>
      </c>
      <c r="V258" s="83">
        <v>28483.599999999999</v>
      </c>
      <c r="X258" s="27">
        <f>Table25[[#This Row],[HDC1]]/Table25[[#This Row],[HCC1]]</f>
        <v>0.94090223320125344</v>
      </c>
      <c r="Y258" s="27">
        <f>Table25[[#This Row],[HDC2]]/Table25[[#This Row],[HCC2]]</f>
        <v>0.94517249624719379</v>
      </c>
      <c r="Z258" s="27">
        <f>Table25[[#This Row],[HDC3]]/Table25[[#This Row],[HCC3]]</f>
        <v>0.94339490770832901</v>
      </c>
      <c r="AA258" s="27">
        <f>Table25[[#This Row],[HDC4]]/Table25[[#This Row],[HCC4]]</f>
        <v>0.94980653191546938</v>
      </c>
      <c r="AB258" s="27">
        <f>Table25[[#This Row],[HDC5]]/Table25[[#This Row],[HCC5]]</f>
        <v>0.94498983136319448</v>
      </c>
      <c r="AF258">
        <f>SUM(Table25[[#This Row],[CC1]:[DC1]])</f>
        <v>752</v>
      </c>
      <c r="AG258">
        <f>SUM(Table25[[#This Row],[CC2]:[DC2]])</f>
        <v>752</v>
      </c>
      <c r="AH258">
        <f>SUM(Table25[[#This Row],[CC3]:[DC3]])</f>
        <v>753</v>
      </c>
      <c r="AI258">
        <f>SUM(Table25[[#This Row],[CC4]:[DC4]])</f>
        <v>753</v>
      </c>
      <c r="AJ258">
        <f>SUM(Table25[[#This Row],[CC5]:[DC5]])</f>
        <v>754</v>
      </c>
    </row>
    <row r="259" spans="1:36" ht="15">
      <c r="A259" t="s">
        <v>47</v>
      </c>
      <c r="B259" s="85" t="s">
        <v>664</v>
      </c>
      <c r="C259" s="126">
        <v>101</v>
      </c>
      <c r="D259" s="75">
        <v>656</v>
      </c>
      <c r="E259" s="75">
        <v>100.6</v>
      </c>
      <c r="F259" s="75">
        <v>655.5</v>
      </c>
      <c r="G259" s="75">
        <v>101.3</v>
      </c>
      <c r="H259" s="75">
        <v>655.20000000000005</v>
      </c>
      <c r="I259" s="75">
        <v>110.4</v>
      </c>
      <c r="J259" s="154">
        <v>645.79999999999995</v>
      </c>
      <c r="K259" s="154">
        <v>104.5</v>
      </c>
      <c r="L259" s="155">
        <v>645.6</v>
      </c>
      <c r="M259" s="83">
        <v>30116.400000000001</v>
      </c>
      <c r="N259" s="83">
        <v>28441.7</v>
      </c>
      <c r="O259" s="83">
        <v>30300.1</v>
      </c>
      <c r="P259" s="83">
        <v>28668.1</v>
      </c>
      <c r="Q259" s="83">
        <v>29901.5</v>
      </c>
      <c r="R259" s="83">
        <v>28252.3</v>
      </c>
      <c r="S259" s="83">
        <v>28882.5</v>
      </c>
      <c r="T259" s="83">
        <v>27874.3</v>
      </c>
      <c r="U259" s="83">
        <v>29908.7</v>
      </c>
      <c r="V259" s="83">
        <v>28371</v>
      </c>
      <c r="X259" s="27">
        <f>Table25[[#This Row],[HDC1]]/Table25[[#This Row],[HCC1]]</f>
        <v>0.94439242406130874</v>
      </c>
      <c r="Y259" s="27">
        <f>Table25[[#This Row],[HDC2]]/Table25[[#This Row],[HCC2]]</f>
        <v>0.94613879162114978</v>
      </c>
      <c r="Z259" s="27">
        <f>Table25[[#This Row],[HDC3]]/Table25[[#This Row],[HCC3]]</f>
        <v>0.94484557630888077</v>
      </c>
      <c r="AA259" s="27">
        <f>Table25[[#This Row],[HDC4]]/Table25[[#This Row],[HCC4]]</f>
        <v>0.96509304942439189</v>
      </c>
      <c r="AB259" s="27">
        <f>Table25[[#This Row],[HDC5]]/Table25[[#This Row],[HCC5]]</f>
        <v>0.94858686602894804</v>
      </c>
      <c r="AF259">
        <f>SUM(Table25[[#This Row],[CC1]:[DC1]])</f>
        <v>757</v>
      </c>
      <c r="AG259">
        <f>SUM(Table25[[#This Row],[CC2]:[DC2]])</f>
        <v>756.1</v>
      </c>
      <c r="AH259">
        <f>SUM(Table25[[#This Row],[CC3]:[DC3]])</f>
        <v>756.5</v>
      </c>
      <c r="AI259">
        <f>SUM(Table25[[#This Row],[CC4]:[DC4]])</f>
        <v>756.19999999999993</v>
      </c>
      <c r="AJ259">
        <f>SUM(Table25[[#This Row],[CC5]:[DC5]])</f>
        <v>750.1</v>
      </c>
    </row>
    <row r="260" spans="1:36" ht="15">
      <c r="A260" t="s">
        <v>48</v>
      </c>
      <c r="B260" s="85" t="s">
        <v>665</v>
      </c>
      <c r="C260" s="126">
        <v>103</v>
      </c>
      <c r="D260" s="75">
        <v>657</v>
      </c>
      <c r="E260" s="75">
        <v>101</v>
      </c>
      <c r="F260" s="75">
        <v>656</v>
      </c>
      <c r="G260" s="75">
        <v>102</v>
      </c>
      <c r="H260" s="75">
        <v>654</v>
      </c>
      <c r="I260" s="75">
        <v>103</v>
      </c>
      <c r="J260" s="154">
        <v>651</v>
      </c>
      <c r="K260" s="154">
        <v>104</v>
      </c>
      <c r="L260" s="155">
        <v>652</v>
      </c>
      <c r="M260" s="83">
        <v>29606</v>
      </c>
      <c r="N260" s="83">
        <v>27985.3</v>
      </c>
      <c r="O260" s="83">
        <v>29505.9</v>
      </c>
      <c r="P260" s="83">
        <v>27869</v>
      </c>
      <c r="Q260" s="83">
        <v>28467.1</v>
      </c>
      <c r="R260" s="83">
        <v>27637.200000000001</v>
      </c>
      <c r="S260" s="83">
        <v>28812.6</v>
      </c>
      <c r="T260" s="83">
        <v>27564.3</v>
      </c>
      <c r="U260" s="83">
        <v>29754.7</v>
      </c>
      <c r="V260" s="83">
        <v>28122</v>
      </c>
      <c r="X260" s="27">
        <f>Table25[[#This Row],[HDC1]]/Table25[[#This Row],[HCC1]]</f>
        <v>0.94525771803012903</v>
      </c>
      <c r="Y260" s="27">
        <f>Table25[[#This Row],[HDC2]]/Table25[[#This Row],[HCC2]]</f>
        <v>0.9445229598148166</v>
      </c>
      <c r="Z260" s="27">
        <f>Table25[[#This Row],[HDC3]]/Table25[[#This Row],[HCC3]]</f>
        <v>0.97084704799575661</v>
      </c>
      <c r="AA260" s="27">
        <f>Table25[[#This Row],[HDC4]]/Table25[[#This Row],[HCC4]]</f>
        <v>0.95667520459798838</v>
      </c>
      <c r="AB260" s="27">
        <f>Table25[[#This Row],[HDC5]]/Table25[[#This Row],[HCC5]]</f>
        <v>0.94512799658541335</v>
      </c>
      <c r="AF260">
        <f>SUM(Table25[[#This Row],[CC1]:[DC1]])</f>
        <v>760</v>
      </c>
      <c r="AG260">
        <f>SUM(Table25[[#This Row],[CC2]:[DC2]])</f>
        <v>757</v>
      </c>
      <c r="AH260">
        <f>SUM(Table25[[#This Row],[CC3]:[DC3]])</f>
        <v>756</v>
      </c>
      <c r="AI260">
        <f>SUM(Table25[[#This Row],[CC4]:[DC4]])</f>
        <v>754</v>
      </c>
      <c r="AJ260">
        <f>SUM(Table25[[#This Row],[CC5]:[DC5]])</f>
        <v>756</v>
      </c>
    </row>
    <row r="261" spans="1:36" ht="15">
      <c r="A261" t="s">
        <v>49</v>
      </c>
      <c r="B261" s="85" t="s">
        <v>666</v>
      </c>
      <c r="C261" s="126">
        <v>103</v>
      </c>
      <c r="D261" s="75">
        <v>648</v>
      </c>
      <c r="E261" s="75">
        <v>102</v>
      </c>
      <c r="F261" s="75">
        <v>647</v>
      </c>
      <c r="G261" s="75">
        <v>101</v>
      </c>
      <c r="H261" s="75">
        <v>652</v>
      </c>
      <c r="I261" s="75">
        <v>102</v>
      </c>
      <c r="J261" s="154">
        <v>647</v>
      </c>
      <c r="K261" s="154">
        <v>103</v>
      </c>
      <c r="L261" s="155">
        <v>648</v>
      </c>
      <c r="M261" s="83">
        <v>30360</v>
      </c>
      <c r="N261" s="83">
        <v>28920</v>
      </c>
      <c r="O261" s="83">
        <v>29902.1</v>
      </c>
      <c r="P261" s="83">
        <v>28377.7</v>
      </c>
      <c r="Q261" s="83">
        <v>30065.1</v>
      </c>
      <c r="R261" s="83">
        <v>28448.6</v>
      </c>
      <c r="S261" s="83">
        <v>28666.400000000001</v>
      </c>
      <c r="T261" s="83">
        <v>27658.799999999999</v>
      </c>
      <c r="U261" s="83">
        <v>29892.7</v>
      </c>
      <c r="V261" s="83">
        <v>28316.400000000001</v>
      </c>
      <c r="X261" s="27">
        <f>Table25[[#This Row],[HDC1]]/Table25[[#This Row],[HCC1]]</f>
        <v>0.95256916996047436</v>
      </c>
      <c r="Y261" s="27">
        <f>Table25[[#This Row],[HDC2]]/Table25[[#This Row],[HCC2]]</f>
        <v>0.94902030292186845</v>
      </c>
      <c r="Z261" s="27">
        <f>Table25[[#This Row],[HDC3]]/Table25[[#This Row],[HCC3]]</f>
        <v>0.94623334031817619</v>
      </c>
      <c r="AA261" s="27">
        <f>Table25[[#This Row],[HDC4]]/Table25[[#This Row],[HCC4]]</f>
        <v>0.96485083582172848</v>
      </c>
      <c r="AB261" s="27">
        <f>Table25[[#This Row],[HDC5]]/Table25[[#This Row],[HCC5]]</f>
        <v>0.94726806210211856</v>
      </c>
      <c r="AF261">
        <f>SUM(Table25[[#This Row],[CC1]:[DC1]])</f>
        <v>751</v>
      </c>
      <c r="AG261">
        <f>SUM(Table25[[#This Row],[CC2]:[DC2]])</f>
        <v>749</v>
      </c>
      <c r="AH261">
        <f>SUM(Table25[[#This Row],[CC3]:[DC3]])</f>
        <v>753</v>
      </c>
      <c r="AI261">
        <f>SUM(Table25[[#This Row],[CC4]:[DC4]])</f>
        <v>749</v>
      </c>
      <c r="AJ261">
        <f>SUM(Table25[[#This Row],[CC5]:[DC5]])</f>
        <v>751</v>
      </c>
    </row>
    <row r="262" spans="1:36" ht="15">
      <c r="A262" t="s">
        <v>50</v>
      </c>
      <c r="B262" s="85" t="s">
        <v>667</v>
      </c>
      <c r="C262" s="126">
        <v>99</v>
      </c>
      <c r="D262" s="75">
        <v>655</v>
      </c>
      <c r="E262" s="75">
        <v>101</v>
      </c>
      <c r="F262" s="75">
        <v>654</v>
      </c>
      <c r="G262" s="75">
        <v>100</v>
      </c>
      <c r="H262" s="75">
        <v>655</v>
      </c>
      <c r="I262" s="75">
        <v>102</v>
      </c>
      <c r="J262" s="154">
        <v>652</v>
      </c>
      <c r="K262" s="154">
        <v>102</v>
      </c>
      <c r="L262" s="155">
        <v>652</v>
      </c>
      <c r="M262" s="83">
        <v>32433.1</v>
      </c>
      <c r="N262" s="83">
        <v>30732.9</v>
      </c>
      <c r="O262" s="83">
        <v>32073.3</v>
      </c>
      <c r="P262" s="83">
        <v>30399.200000000001</v>
      </c>
      <c r="Q262" s="83">
        <v>32263.1</v>
      </c>
      <c r="R262" s="83">
        <v>30545.5</v>
      </c>
      <c r="S262" s="83">
        <v>31647.5</v>
      </c>
      <c r="T262" s="83">
        <v>30081.8</v>
      </c>
      <c r="U262" s="83">
        <v>30920.1</v>
      </c>
      <c r="V262" s="83">
        <v>29693.599999999999</v>
      </c>
      <c r="X262" s="27">
        <f>Table25[[#This Row],[HDC1]]/Table25[[#This Row],[HCC1]]</f>
        <v>0.94757824568110982</v>
      </c>
      <c r="Y262" s="27">
        <f>Table25[[#This Row],[HDC2]]/Table25[[#This Row],[HCC2]]</f>
        <v>0.94780393660770801</v>
      </c>
      <c r="Z262" s="27">
        <f>Table25[[#This Row],[HDC3]]/Table25[[#This Row],[HCC3]]</f>
        <v>0.94676271034091586</v>
      </c>
      <c r="AA262" s="27">
        <f>Table25[[#This Row],[HDC4]]/Table25[[#This Row],[HCC4]]</f>
        <v>0.95052689785923061</v>
      </c>
      <c r="AB262" s="27">
        <f>Table25[[#This Row],[HDC5]]/Table25[[#This Row],[HCC5]]</f>
        <v>0.96033324601149417</v>
      </c>
      <c r="AF262">
        <f>SUM(Table25[[#This Row],[CC1]:[DC1]])</f>
        <v>754</v>
      </c>
      <c r="AG262">
        <f>SUM(Table25[[#This Row],[CC2]:[DC2]])</f>
        <v>755</v>
      </c>
      <c r="AH262">
        <f>SUM(Table25[[#This Row],[CC3]:[DC3]])</f>
        <v>755</v>
      </c>
      <c r="AI262">
        <f>SUM(Table25[[#This Row],[CC4]:[DC4]])</f>
        <v>754</v>
      </c>
      <c r="AJ262">
        <f>SUM(Table25[[#This Row],[CC5]:[DC5]])</f>
        <v>754</v>
      </c>
    </row>
    <row r="263" spans="1:36" ht="15">
      <c r="A263" t="s">
        <v>51</v>
      </c>
      <c r="B263" s="85" t="s">
        <v>668</v>
      </c>
      <c r="C263" s="126">
        <v>99</v>
      </c>
      <c r="D263" s="75">
        <v>656</v>
      </c>
      <c r="E263" s="75">
        <v>99</v>
      </c>
      <c r="F263" s="75">
        <v>654</v>
      </c>
      <c r="G263" s="75">
        <v>101</v>
      </c>
      <c r="H263" s="75">
        <v>659</v>
      </c>
      <c r="I263" s="75">
        <v>102</v>
      </c>
      <c r="J263" s="154">
        <v>653</v>
      </c>
      <c r="K263" s="154">
        <v>101</v>
      </c>
      <c r="L263" s="155">
        <v>656</v>
      </c>
      <c r="M263" s="83">
        <v>31473.8</v>
      </c>
      <c r="N263" s="83">
        <v>29830.2</v>
      </c>
      <c r="O263" s="83">
        <v>31466</v>
      </c>
      <c r="P263" s="83">
        <v>29768.1</v>
      </c>
      <c r="Q263" s="83">
        <v>30588.799999999999</v>
      </c>
      <c r="R263" s="83">
        <v>29029.599999999999</v>
      </c>
      <c r="S263" s="83">
        <v>31345</v>
      </c>
      <c r="T263" s="83">
        <v>29709.7</v>
      </c>
      <c r="U263" s="83">
        <v>31204.3</v>
      </c>
      <c r="V263" s="83">
        <v>29682.3</v>
      </c>
      <c r="X263" s="27">
        <f>Table25[[#This Row],[HDC1]]/Table25[[#This Row],[HCC1]]</f>
        <v>0.94777878743589916</v>
      </c>
      <c r="Y263" s="27">
        <f>Table25[[#This Row],[HDC2]]/Table25[[#This Row],[HCC2]]</f>
        <v>0.94604017034259191</v>
      </c>
      <c r="Z263" s="27">
        <f>Table25[[#This Row],[HDC3]]/Table25[[#This Row],[HCC3]]</f>
        <v>0.94902709488440207</v>
      </c>
      <c r="AA263" s="27">
        <f>Table25[[#This Row],[HDC4]]/Table25[[#This Row],[HCC4]]</f>
        <v>0.94782899984048496</v>
      </c>
      <c r="AB263" s="27">
        <f>Table25[[#This Row],[HDC5]]/Table25[[#This Row],[HCC5]]</f>
        <v>0.95122467095881014</v>
      </c>
      <c r="AF263">
        <f>SUM(Table25[[#This Row],[CC1]:[DC1]])</f>
        <v>755</v>
      </c>
      <c r="AG263">
        <f>SUM(Table25[[#This Row],[CC2]:[DC2]])</f>
        <v>753</v>
      </c>
      <c r="AH263">
        <f>SUM(Table25[[#This Row],[CC3]:[DC3]])</f>
        <v>760</v>
      </c>
      <c r="AI263">
        <f>SUM(Table25[[#This Row],[CC4]:[DC4]])</f>
        <v>755</v>
      </c>
      <c r="AJ263">
        <f>SUM(Table25[[#This Row],[CC5]:[DC5]])</f>
        <v>757</v>
      </c>
    </row>
    <row r="264" spans="1:36" ht="15">
      <c r="A264" t="s">
        <v>52</v>
      </c>
      <c r="B264" s="85" t="s">
        <v>669</v>
      </c>
      <c r="C264" s="126">
        <v>102</v>
      </c>
      <c r="D264" s="75">
        <v>654</v>
      </c>
      <c r="E264" s="75">
        <v>101</v>
      </c>
      <c r="F264" s="75">
        <v>655</v>
      </c>
      <c r="G264" s="75">
        <v>99</v>
      </c>
      <c r="H264" s="75">
        <v>657</v>
      </c>
      <c r="I264" s="75">
        <v>101</v>
      </c>
      <c r="J264" s="154">
        <v>653</v>
      </c>
      <c r="K264" s="154">
        <v>101</v>
      </c>
      <c r="L264" s="155">
        <v>657</v>
      </c>
      <c r="M264" s="83">
        <v>30266</v>
      </c>
      <c r="N264" s="83">
        <v>29125.200000000001</v>
      </c>
      <c r="O264" s="83">
        <v>31558.5</v>
      </c>
      <c r="P264" s="83">
        <v>29841.5</v>
      </c>
      <c r="Q264" s="83">
        <v>31500.5</v>
      </c>
      <c r="R264" s="83">
        <v>29800.9</v>
      </c>
      <c r="S264" s="83">
        <v>30921.200000000001</v>
      </c>
      <c r="T264" s="83">
        <v>29276.3</v>
      </c>
      <c r="U264" s="83">
        <v>31668</v>
      </c>
      <c r="V264" s="83">
        <v>29982.7</v>
      </c>
      <c r="X264" s="27">
        <f>Table25[[#This Row],[HDC1]]/Table25[[#This Row],[HCC1]]</f>
        <v>0.96230753981365236</v>
      </c>
      <c r="Y264" s="27">
        <f>Table25[[#This Row],[HDC2]]/Table25[[#This Row],[HCC2]]</f>
        <v>0.94559310486873582</v>
      </c>
      <c r="Z264" s="27">
        <f>Table25[[#This Row],[HDC3]]/Table25[[#This Row],[HCC3]]</f>
        <v>0.94604530086824024</v>
      </c>
      <c r="AA264" s="27">
        <f>Table25[[#This Row],[HDC4]]/Table25[[#This Row],[HCC4]]</f>
        <v>0.94680348757486765</v>
      </c>
      <c r="AB264" s="27">
        <f>Table25[[#This Row],[HDC5]]/Table25[[#This Row],[HCC5]]</f>
        <v>0.94678224074775796</v>
      </c>
      <c r="AF264">
        <f>SUM(Table25[[#This Row],[CC1]:[DC1]])</f>
        <v>756</v>
      </c>
      <c r="AG264">
        <f>SUM(Table25[[#This Row],[CC2]:[DC2]])</f>
        <v>756</v>
      </c>
      <c r="AH264">
        <f>SUM(Table25[[#This Row],[CC3]:[DC3]])</f>
        <v>756</v>
      </c>
      <c r="AI264">
        <f>SUM(Table25[[#This Row],[CC4]:[DC4]])</f>
        <v>754</v>
      </c>
      <c r="AJ264">
        <f>SUM(Table25[[#This Row],[CC5]:[DC5]])</f>
        <v>758</v>
      </c>
    </row>
    <row r="265" spans="1:36" ht="15">
      <c r="A265" t="s">
        <v>53</v>
      </c>
      <c r="B265" s="85" t="s">
        <v>670</v>
      </c>
      <c r="C265" s="126">
        <v>98</v>
      </c>
      <c r="D265" s="75">
        <v>652</v>
      </c>
      <c r="E265" s="75">
        <v>95</v>
      </c>
      <c r="F265" s="75">
        <v>657</v>
      </c>
      <c r="G265" s="75">
        <v>100</v>
      </c>
      <c r="H265" s="75">
        <v>655</v>
      </c>
      <c r="I265" s="75">
        <v>101</v>
      </c>
      <c r="J265" s="154">
        <v>653</v>
      </c>
      <c r="K265" s="154">
        <v>98</v>
      </c>
      <c r="L265" s="155">
        <v>654</v>
      </c>
      <c r="M265" s="83">
        <v>30751.7</v>
      </c>
      <c r="N265" s="83">
        <v>29062.799999999999</v>
      </c>
      <c r="O265" s="83">
        <v>30029.599999999999</v>
      </c>
      <c r="P265" s="83">
        <v>29060.6</v>
      </c>
      <c r="Q265" s="83">
        <v>31121.200000000001</v>
      </c>
      <c r="R265" s="83">
        <v>29427.9</v>
      </c>
      <c r="S265" s="83">
        <v>28349</v>
      </c>
      <c r="T265" s="83">
        <v>27890.6</v>
      </c>
      <c r="U265" s="83">
        <v>31265.200000000001</v>
      </c>
      <c r="V265" s="83">
        <v>29569</v>
      </c>
      <c r="X265" s="27">
        <f>Table25[[#This Row],[HDC1]]/Table25[[#This Row],[HCC1]]</f>
        <v>0.94507945902177759</v>
      </c>
      <c r="Y265" s="27">
        <f>Table25[[#This Row],[HDC2]]/Table25[[#This Row],[HCC2]]</f>
        <v>0.96773183791991901</v>
      </c>
      <c r="Z265" s="27">
        <f>Table25[[#This Row],[HDC3]]/Table25[[#This Row],[HCC3]]</f>
        <v>0.94559014433890731</v>
      </c>
      <c r="AA265" s="27">
        <f>Table25[[#This Row],[HDC4]]/Table25[[#This Row],[HCC4]]</f>
        <v>0.98383011746446081</v>
      </c>
      <c r="AB265" s="27">
        <f>Table25[[#This Row],[HDC5]]/Table25[[#This Row],[HCC5]]</f>
        <v>0.94574798817854988</v>
      </c>
      <c r="AF265">
        <f>SUM(Table25[[#This Row],[CC1]:[DC1]])</f>
        <v>750</v>
      </c>
      <c r="AG265">
        <f>SUM(Table25[[#This Row],[CC2]:[DC2]])</f>
        <v>752</v>
      </c>
      <c r="AH265">
        <f>SUM(Table25[[#This Row],[CC3]:[DC3]])</f>
        <v>755</v>
      </c>
      <c r="AI265">
        <f>SUM(Table25[[#This Row],[CC4]:[DC4]])</f>
        <v>754</v>
      </c>
      <c r="AJ265">
        <f>SUM(Table25[[#This Row],[CC5]:[DC5]])</f>
        <v>752</v>
      </c>
    </row>
    <row r="266" spans="1:36" ht="15">
      <c r="A266" t="s">
        <v>54</v>
      </c>
      <c r="B266" s="85" t="s">
        <v>671</v>
      </c>
      <c r="C266" s="126">
        <v>99</v>
      </c>
      <c r="D266" s="75">
        <v>658</v>
      </c>
      <c r="E266" s="75">
        <v>103</v>
      </c>
      <c r="F266" s="75">
        <v>656</v>
      </c>
      <c r="G266" s="75">
        <v>103</v>
      </c>
      <c r="H266" s="75">
        <v>643</v>
      </c>
      <c r="I266" s="75">
        <v>105</v>
      </c>
      <c r="J266" s="154">
        <v>643</v>
      </c>
      <c r="K266" s="154">
        <v>106</v>
      </c>
      <c r="L266" s="155">
        <v>648</v>
      </c>
      <c r="M266" s="83">
        <v>25932.400000000001</v>
      </c>
      <c r="N266" s="83">
        <v>24368.3</v>
      </c>
      <c r="O266" s="83">
        <v>25729.7</v>
      </c>
      <c r="P266" s="83">
        <v>24246.3</v>
      </c>
      <c r="Q266" s="83">
        <v>24958.5</v>
      </c>
      <c r="R266" s="83">
        <v>23509.4</v>
      </c>
      <c r="S266" s="83">
        <v>24655.7</v>
      </c>
      <c r="T266" s="83">
        <v>23160</v>
      </c>
      <c r="U266" s="83">
        <v>25095.3</v>
      </c>
      <c r="V266" s="83">
        <v>23584.400000000001</v>
      </c>
      <c r="X266" s="27">
        <f>Table25[[#This Row],[HDC1]]/Table25[[#This Row],[HCC1]]</f>
        <v>0.93968548996621981</v>
      </c>
      <c r="Y266" s="27">
        <f>Table25[[#This Row],[HDC2]]/Table25[[#This Row],[HCC2]]</f>
        <v>0.94234678212338263</v>
      </c>
      <c r="Z266" s="27">
        <f>Table25[[#This Row],[HDC3]]/Table25[[#This Row],[HCC3]]</f>
        <v>0.94193961976881624</v>
      </c>
      <c r="AA266" s="27">
        <f>Table25[[#This Row],[HDC4]]/Table25[[#This Row],[HCC4]]</f>
        <v>0.93933654286838331</v>
      </c>
      <c r="AB266" s="27">
        <f>Table25[[#This Row],[HDC5]]/Table25[[#This Row],[HCC5]]</f>
        <v>0.9397935071507415</v>
      </c>
      <c r="AF266">
        <f>SUM(Table25[[#This Row],[CC1]:[DC1]])</f>
        <v>757</v>
      </c>
      <c r="AG266">
        <f>SUM(Table25[[#This Row],[CC2]:[DC2]])</f>
        <v>759</v>
      </c>
      <c r="AH266">
        <f>SUM(Table25[[#This Row],[CC3]:[DC3]])</f>
        <v>746</v>
      </c>
      <c r="AI266">
        <f>SUM(Table25[[#This Row],[CC4]:[DC4]])</f>
        <v>748</v>
      </c>
      <c r="AJ266">
        <f>SUM(Table25[[#This Row],[CC5]:[DC5]])</f>
        <v>754</v>
      </c>
    </row>
    <row r="267" spans="1:36" ht="15">
      <c r="A267" t="s">
        <v>55</v>
      </c>
      <c r="B267" s="85" t="s">
        <v>672</v>
      </c>
      <c r="C267" s="126">
        <v>98</v>
      </c>
      <c r="D267" s="75">
        <v>647</v>
      </c>
      <c r="E267" s="75">
        <v>99</v>
      </c>
      <c r="F267" s="75">
        <v>654</v>
      </c>
      <c r="G267" s="75">
        <v>101</v>
      </c>
      <c r="H267" s="75">
        <v>655</v>
      </c>
      <c r="I267" s="75">
        <v>100</v>
      </c>
      <c r="J267" s="154">
        <v>656</v>
      </c>
      <c r="K267" s="154">
        <v>101</v>
      </c>
      <c r="L267" s="155">
        <v>642</v>
      </c>
      <c r="M267" s="83">
        <v>25262.7</v>
      </c>
      <c r="N267" s="83">
        <v>23844.2</v>
      </c>
      <c r="O267" s="83">
        <v>25072.3</v>
      </c>
      <c r="P267" s="83">
        <v>23509.5</v>
      </c>
      <c r="Q267" s="83">
        <v>24215</v>
      </c>
      <c r="R267" s="83">
        <v>23586.1</v>
      </c>
      <c r="S267" s="83">
        <v>24996.9</v>
      </c>
      <c r="T267" s="83">
        <v>23608.1</v>
      </c>
      <c r="U267" s="83">
        <v>25142.9</v>
      </c>
      <c r="V267" s="83">
        <v>23623.200000000001</v>
      </c>
      <c r="X267" s="27">
        <f>Table25[[#This Row],[HDC1]]/Table25[[#This Row],[HCC1]]</f>
        <v>0.94385002394835071</v>
      </c>
      <c r="Y267" s="27">
        <f>Table25[[#This Row],[HDC2]]/Table25[[#This Row],[HCC2]]</f>
        <v>0.93766826338229847</v>
      </c>
      <c r="Z267" s="27">
        <f>Table25[[#This Row],[HDC3]]/Table25[[#This Row],[HCC3]]</f>
        <v>0.97402849473466857</v>
      </c>
      <c r="AA267" s="27">
        <f>Table25[[#This Row],[HDC4]]/Table25[[#This Row],[HCC4]]</f>
        <v>0.9444411106977264</v>
      </c>
      <c r="AB267" s="27">
        <f>Table25[[#This Row],[HDC5]]/Table25[[#This Row],[HCC5]]</f>
        <v>0.9395574893906431</v>
      </c>
      <c r="AF267">
        <f>SUM(Table25[[#This Row],[CC1]:[DC1]])</f>
        <v>745</v>
      </c>
      <c r="AG267">
        <f>SUM(Table25[[#This Row],[CC2]:[DC2]])</f>
        <v>753</v>
      </c>
      <c r="AH267">
        <f>SUM(Table25[[#This Row],[CC3]:[DC3]])</f>
        <v>756</v>
      </c>
      <c r="AI267">
        <f>SUM(Table25[[#This Row],[CC4]:[DC4]])</f>
        <v>756</v>
      </c>
      <c r="AJ267">
        <f>SUM(Table25[[#This Row],[CC5]:[DC5]])</f>
        <v>743</v>
      </c>
    </row>
    <row r="268" spans="1:36" ht="15">
      <c r="A268" t="s">
        <v>56</v>
      </c>
      <c r="B268" s="85" t="s">
        <v>673</v>
      </c>
      <c r="C268" s="126">
        <v>97</v>
      </c>
      <c r="D268" s="75">
        <v>656</v>
      </c>
      <c r="E268" s="75">
        <v>97</v>
      </c>
      <c r="F268" s="75">
        <v>655</v>
      </c>
      <c r="G268" s="75">
        <v>101</v>
      </c>
      <c r="H268" s="75">
        <v>654</v>
      </c>
      <c r="I268" s="75">
        <v>99</v>
      </c>
      <c r="J268" s="154">
        <v>655</v>
      </c>
      <c r="K268" s="154">
        <v>99</v>
      </c>
      <c r="L268" s="155">
        <v>652</v>
      </c>
      <c r="M268" s="83">
        <v>21598.1</v>
      </c>
      <c r="N268" s="83">
        <v>20415.400000000001</v>
      </c>
      <c r="O268" s="83">
        <v>21493.3</v>
      </c>
      <c r="P268" s="83">
        <v>20308.599999999999</v>
      </c>
      <c r="Q268" s="83">
        <v>21317.8</v>
      </c>
      <c r="R268" s="83">
        <v>20142</v>
      </c>
      <c r="S268" s="83">
        <v>21660.7</v>
      </c>
      <c r="T268" s="83">
        <v>20325.400000000001</v>
      </c>
      <c r="U268" s="83">
        <v>21484.6</v>
      </c>
      <c r="V268" s="83">
        <v>20306.3</v>
      </c>
      <c r="X268" s="27">
        <f>Table25[[#This Row],[HDC1]]/Table25[[#This Row],[HCC1]]</f>
        <v>0.94524055356721204</v>
      </c>
      <c r="Y268" s="27">
        <f>Table25[[#This Row],[HDC2]]/Table25[[#This Row],[HCC2]]</f>
        <v>0.94488049764345161</v>
      </c>
      <c r="Z268" s="27">
        <f>Table25[[#This Row],[HDC3]]/Table25[[#This Row],[HCC3]]</f>
        <v>0.94484421469382396</v>
      </c>
      <c r="AA268" s="27">
        <f>Table25[[#This Row],[HDC4]]/Table25[[#This Row],[HCC4]]</f>
        <v>0.93835379281371334</v>
      </c>
      <c r="AB268" s="27">
        <f>Table25[[#This Row],[HDC5]]/Table25[[#This Row],[HCC5]]</f>
        <v>0.94515606527466189</v>
      </c>
      <c r="AF268">
        <f>SUM(Table25[[#This Row],[CC1]:[DC1]])</f>
        <v>753</v>
      </c>
      <c r="AG268">
        <f>SUM(Table25[[#This Row],[CC2]:[DC2]])</f>
        <v>752</v>
      </c>
      <c r="AH268">
        <f>SUM(Table25[[#This Row],[CC3]:[DC3]])</f>
        <v>755</v>
      </c>
      <c r="AI268">
        <f>SUM(Table25[[#This Row],[CC4]:[DC4]])</f>
        <v>754</v>
      </c>
      <c r="AJ268">
        <f>SUM(Table25[[#This Row],[CC5]:[DC5]])</f>
        <v>751</v>
      </c>
    </row>
    <row r="269" spans="1:36" ht="15">
      <c r="A269" t="s">
        <v>57</v>
      </c>
      <c r="B269" s="85" t="s">
        <v>674</v>
      </c>
      <c r="C269" s="126">
        <v>99</v>
      </c>
      <c r="D269" s="75">
        <v>655</v>
      </c>
      <c r="E269" s="75">
        <v>100</v>
      </c>
      <c r="F269" s="75">
        <v>651</v>
      </c>
      <c r="G269" s="75">
        <v>100</v>
      </c>
      <c r="H269" s="75">
        <v>640</v>
      </c>
      <c r="I269" s="75">
        <v>100</v>
      </c>
      <c r="J269" s="154">
        <v>645</v>
      </c>
      <c r="K269" s="154">
        <v>101</v>
      </c>
      <c r="L269" s="155">
        <v>652</v>
      </c>
      <c r="M269" s="83">
        <v>23834.6</v>
      </c>
      <c r="N269" s="83">
        <v>22601.3</v>
      </c>
      <c r="O269" s="83">
        <v>24608.1</v>
      </c>
      <c r="P269" s="83">
        <v>23195.4</v>
      </c>
      <c r="Q269" s="83">
        <v>24097.1</v>
      </c>
      <c r="R269" s="83">
        <v>22835.8</v>
      </c>
      <c r="S269" s="83">
        <v>24048.6</v>
      </c>
      <c r="T269" s="83">
        <v>22764.1</v>
      </c>
      <c r="U269" s="83">
        <v>24652.799999999999</v>
      </c>
      <c r="V269" s="83">
        <v>23305.200000000001</v>
      </c>
      <c r="X269" s="27">
        <f>Table25[[#This Row],[HDC1]]/Table25[[#This Row],[HCC1]]</f>
        <v>0.94825589688939615</v>
      </c>
      <c r="Y269" s="27">
        <f>Table25[[#This Row],[HDC2]]/Table25[[#This Row],[HCC2]]</f>
        <v>0.94259207334170469</v>
      </c>
      <c r="Z269" s="27">
        <f>Table25[[#This Row],[HDC3]]/Table25[[#This Row],[HCC3]]</f>
        <v>0.94765760195210214</v>
      </c>
      <c r="AA269" s="27">
        <f>Table25[[#This Row],[HDC4]]/Table25[[#This Row],[HCC4]]</f>
        <v>0.94658732732882578</v>
      </c>
      <c r="AB269" s="27">
        <f>Table25[[#This Row],[HDC5]]/Table25[[#This Row],[HCC5]]</f>
        <v>0.94533683800623058</v>
      </c>
      <c r="AF269">
        <f>SUM(Table25[[#This Row],[CC1]:[DC1]])</f>
        <v>754</v>
      </c>
      <c r="AG269">
        <f>SUM(Table25[[#This Row],[CC2]:[DC2]])</f>
        <v>751</v>
      </c>
      <c r="AH269">
        <f>SUM(Table25[[#This Row],[CC3]:[DC3]])</f>
        <v>740</v>
      </c>
      <c r="AI269">
        <f>SUM(Table25[[#This Row],[CC4]:[DC4]])</f>
        <v>745</v>
      </c>
      <c r="AJ269">
        <f>SUM(Table25[[#This Row],[CC5]:[DC5]])</f>
        <v>753</v>
      </c>
    </row>
    <row r="270" spans="1:36" ht="15">
      <c r="A270" t="s">
        <v>58</v>
      </c>
      <c r="B270" s="85" t="s">
        <v>675</v>
      </c>
      <c r="C270" s="126">
        <v>101</v>
      </c>
      <c r="D270" s="75">
        <v>652</v>
      </c>
      <c r="E270" s="75">
        <v>99</v>
      </c>
      <c r="F270" s="75">
        <v>653</v>
      </c>
      <c r="G270" s="75">
        <v>101</v>
      </c>
      <c r="H270" s="75">
        <v>651</v>
      </c>
      <c r="I270" s="75">
        <v>103</v>
      </c>
      <c r="J270" s="154">
        <v>653</v>
      </c>
      <c r="K270" s="154">
        <v>101</v>
      </c>
      <c r="L270" s="155">
        <v>651</v>
      </c>
      <c r="M270" s="83">
        <v>15436.2</v>
      </c>
      <c r="N270" s="83">
        <v>14266.3</v>
      </c>
      <c r="O270" s="83">
        <v>15339</v>
      </c>
      <c r="P270" s="83">
        <v>14157.2</v>
      </c>
      <c r="Q270" s="83">
        <v>15219.5</v>
      </c>
      <c r="R270" s="83">
        <v>14052.1</v>
      </c>
      <c r="S270" s="83">
        <v>15176.5</v>
      </c>
      <c r="T270" s="83">
        <v>14019.3</v>
      </c>
      <c r="U270" s="83">
        <v>15335.6</v>
      </c>
      <c r="V270" s="83">
        <v>14169.8</v>
      </c>
      <c r="X270" s="27">
        <f>Table25[[#This Row],[HDC1]]/Table25[[#This Row],[HCC1]]</f>
        <v>0.92421062178515434</v>
      </c>
      <c r="Y270" s="27">
        <f>Table25[[#This Row],[HDC2]]/Table25[[#This Row],[HCC2]]</f>
        <v>0.92295456027120415</v>
      </c>
      <c r="Z270" s="27">
        <f>Table25[[#This Row],[HDC3]]/Table25[[#This Row],[HCC3]]</f>
        <v>0.92329577187161205</v>
      </c>
      <c r="AA270" s="27">
        <f>Table25[[#This Row],[HDC4]]/Table25[[#This Row],[HCC4]]</f>
        <v>0.92375053536717944</v>
      </c>
      <c r="AB270" s="27">
        <f>Table25[[#This Row],[HDC5]]/Table25[[#This Row],[HCC5]]</f>
        <v>0.92398080283784134</v>
      </c>
      <c r="AF270">
        <f>SUM(Table25[[#This Row],[CC1]:[DC1]])</f>
        <v>753</v>
      </c>
      <c r="AG270">
        <f>SUM(Table25[[#This Row],[CC2]:[DC2]])</f>
        <v>752</v>
      </c>
      <c r="AH270">
        <f>SUM(Table25[[#This Row],[CC3]:[DC3]])</f>
        <v>752</v>
      </c>
      <c r="AI270">
        <f>SUM(Table25[[#This Row],[CC4]:[DC4]])</f>
        <v>756</v>
      </c>
      <c r="AJ270">
        <f>SUM(Table25[[#This Row],[CC5]:[DC5]])</f>
        <v>752</v>
      </c>
    </row>
    <row r="271" spans="1:36" ht="15">
      <c r="A271" t="s">
        <v>59</v>
      </c>
      <c r="B271" s="85" t="s">
        <v>676</v>
      </c>
      <c r="C271" s="126">
        <v>99</v>
      </c>
      <c r="D271" s="75">
        <v>656</v>
      </c>
      <c r="E271" s="75">
        <v>98</v>
      </c>
      <c r="F271" s="75">
        <v>652</v>
      </c>
      <c r="G271" s="75">
        <v>113</v>
      </c>
      <c r="H271" s="75">
        <v>646</v>
      </c>
      <c r="I271" s="75">
        <v>99</v>
      </c>
      <c r="J271" s="154">
        <v>642</v>
      </c>
      <c r="K271" s="154">
        <v>102</v>
      </c>
      <c r="L271" s="155">
        <v>649</v>
      </c>
      <c r="M271" s="83">
        <v>15819.1</v>
      </c>
      <c r="N271" s="83">
        <v>15454.3</v>
      </c>
      <c r="O271" s="83">
        <v>17341.599999999999</v>
      </c>
      <c r="P271" s="83">
        <v>16107</v>
      </c>
      <c r="Q271" s="83">
        <v>17218.900000000001</v>
      </c>
      <c r="R271" s="83">
        <v>16030.3</v>
      </c>
      <c r="S271" s="83">
        <v>17376.599999999999</v>
      </c>
      <c r="T271" s="83">
        <v>16133.1</v>
      </c>
      <c r="U271" s="83">
        <v>17273.099999999999</v>
      </c>
      <c r="V271" s="83">
        <v>16056.6</v>
      </c>
      <c r="X271" s="27">
        <f>Table25[[#This Row],[HDC1]]/Table25[[#This Row],[HCC1]]</f>
        <v>0.97693926961710842</v>
      </c>
      <c r="Y271" s="27">
        <f>Table25[[#This Row],[HDC2]]/Table25[[#This Row],[HCC2]]</f>
        <v>0.9288070304931495</v>
      </c>
      <c r="Z271" s="27">
        <f>Table25[[#This Row],[HDC3]]/Table25[[#This Row],[HCC3]]</f>
        <v>0.93097120025088698</v>
      </c>
      <c r="AA271" s="27">
        <f>Table25[[#This Row],[HDC4]]/Table25[[#This Row],[HCC4]]</f>
        <v>0.92843824453575508</v>
      </c>
      <c r="AB271" s="27">
        <f>Table25[[#This Row],[HDC5]]/Table25[[#This Row],[HCC5]]</f>
        <v>0.92957257238133295</v>
      </c>
      <c r="AF271">
        <f>SUM(Table25[[#This Row],[CC1]:[DC1]])</f>
        <v>755</v>
      </c>
      <c r="AG271">
        <f>SUM(Table25[[#This Row],[CC2]:[DC2]])</f>
        <v>750</v>
      </c>
      <c r="AH271">
        <f>SUM(Table25[[#This Row],[CC3]:[DC3]])</f>
        <v>759</v>
      </c>
      <c r="AI271">
        <f>SUM(Table25[[#This Row],[CC4]:[DC4]])</f>
        <v>741</v>
      </c>
      <c r="AJ271">
        <f>SUM(Table25[[#This Row],[CC5]:[DC5]])</f>
        <v>751</v>
      </c>
    </row>
    <row r="272" spans="1:36" ht="15">
      <c r="A272" t="s">
        <v>60</v>
      </c>
      <c r="B272" s="85" t="s">
        <v>677</v>
      </c>
      <c r="C272" s="126">
        <v>101</v>
      </c>
      <c r="D272" s="75">
        <v>655</v>
      </c>
      <c r="E272" s="75">
        <v>101</v>
      </c>
      <c r="F272" s="75">
        <v>655</v>
      </c>
      <c r="G272" s="75">
        <v>100</v>
      </c>
      <c r="H272" s="75">
        <v>656</v>
      </c>
      <c r="I272" s="75">
        <v>101</v>
      </c>
      <c r="J272" s="154">
        <v>653</v>
      </c>
      <c r="K272" s="154">
        <v>103</v>
      </c>
      <c r="L272" s="155">
        <v>653</v>
      </c>
      <c r="M272" s="83">
        <v>16073</v>
      </c>
      <c r="N272" s="83">
        <v>14879.3</v>
      </c>
      <c r="O272" s="83">
        <v>12376.7</v>
      </c>
      <c r="P272" s="83">
        <v>12170.6</v>
      </c>
      <c r="Q272" s="83">
        <v>16020.8</v>
      </c>
      <c r="R272" s="83">
        <v>14841.4</v>
      </c>
      <c r="S272" s="83">
        <v>15950.9</v>
      </c>
      <c r="T272" s="83">
        <v>14776.6</v>
      </c>
      <c r="U272" s="83">
        <v>15933.2</v>
      </c>
      <c r="V272" s="83">
        <v>14769.8</v>
      </c>
      <c r="X272" s="27">
        <f>Table25[[#This Row],[HDC1]]/Table25[[#This Row],[HCC1]]</f>
        <v>0.92573259503515204</v>
      </c>
      <c r="Y272" s="27">
        <f>Table25[[#This Row],[HDC2]]/Table25[[#This Row],[HCC2]]</f>
        <v>0.98334774212835407</v>
      </c>
      <c r="Z272" s="27">
        <f>Table25[[#This Row],[HDC3]]/Table25[[#This Row],[HCC3]]</f>
        <v>0.92638320183761114</v>
      </c>
      <c r="AA272" s="27">
        <f>Table25[[#This Row],[HDC4]]/Table25[[#This Row],[HCC4]]</f>
        <v>0.92638032963657224</v>
      </c>
      <c r="AB272" s="27">
        <f>Table25[[#This Row],[HDC5]]/Table25[[#This Row],[HCC5]]</f>
        <v>0.92698265257449841</v>
      </c>
      <c r="AF272">
        <f>SUM(Table25[[#This Row],[CC1]:[DC1]])</f>
        <v>756</v>
      </c>
      <c r="AG272">
        <f>SUM(Table25[[#This Row],[CC2]:[DC2]])</f>
        <v>756</v>
      </c>
      <c r="AH272">
        <f>SUM(Table25[[#This Row],[CC3]:[DC3]])</f>
        <v>756</v>
      </c>
      <c r="AI272">
        <f>SUM(Table25[[#This Row],[CC4]:[DC4]])</f>
        <v>754</v>
      </c>
      <c r="AJ272">
        <f>SUM(Table25[[#This Row],[CC5]:[DC5]])</f>
        <v>756</v>
      </c>
    </row>
    <row r="273" spans="1:36" ht="15">
      <c r="A273" t="s">
        <v>61</v>
      </c>
      <c r="B273" s="85" t="s">
        <v>678</v>
      </c>
      <c r="C273" s="126">
        <v>98</v>
      </c>
      <c r="D273" s="75">
        <v>650</v>
      </c>
      <c r="E273" s="75">
        <v>100</v>
      </c>
      <c r="F273" s="75">
        <v>648</v>
      </c>
      <c r="G273" s="75">
        <v>104</v>
      </c>
      <c r="H273" s="75">
        <v>647</v>
      </c>
      <c r="I273" s="75">
        <v>109</v>
      </c>
      <c r="J273" s="154">
        <v>645</v>
      </c>
      <c r="K273" s="154">
        <v>102</v>
      </c>
      <c r="L273" s="155">
        <v>645</v>
      </c>
      <c r="M273" s="83">
        <v>22181.3</v>
      </c>
      <c r="N273" s="83">
        <v>20713.599999999999</v>
      </c>
      <c r="O273" s="83">
        <v>21980.1</v>
      </c>
      <c r="P273" s="83">
        <v>20576.900000000001</v>
      </c>
      <c r="Q273" s="83">
        <v>21862.3</v>
      </c>
      <c r="R273" s="83">
        <v>20454.8</v>
      </c>
      <c r="S273" s="83">
        <v>21863.4</v>
      </c>
      <c r="T273" s="83">
        <v>20466.900000000001</v>
      </c>
      <c r="U273" s="83">
        <v>21906.6</v>
      </c>
      <c r="V273" s="83">
        <v>20519.5</v>
      </c>
      <c r="X273" s="27">
        <f>Table25[[#This Row],[HDC1]]/Table25[[#This Row],[HCC1]]</f>
        <v>0.93383165098528942</v>
      </c>
      <c r="Y273" s="27">
        <f>Table25[[#This Row],[HDC2]]/Table25[[#This Row],[HCC2]]</f>
        <v>0.93616043603077337</v>
      </c>
      <c r="Z273" s="27">
        <f>Table25[[#This Row],[HDC3]]/Table25[[#This Row],[HCC3]]</f>
        <v>0.9356197655324463</v>
      </c>
      <c r="AA273" s="27">
        <f>Table25[[#This Row],[HDC4]]/Table25[[#This Row],[HCC4]]</f>
        <v>0.93612612859847966</v>
      </c>
      <c r="AB273" s="27">
        <f>Table25[[#This Row],[HDC5]]/Table25[[#This Row],[HCC5]]</f>
        <v>0.93668118283987478</v>
      </c>
      <c r="AF273">
        <f>SUM(Table25[[#This Row],[CC1]:[DC1]])</f>
        <v>748</v>
      </c>
      <c r="AG273">
        <f>SUM(Table25[[#This Row],[CC2]:[DC2]])</f>
        <v>748</v>
      </c>
      <c r="AH273">
        <f>SUM(Table25[[#This Row],[CC3]:[DC3]])</f>
        <v>751</v>
      </c>
      <c r="AI273">
        <f>SUM(Table25[[#This Row],[CC4]:[DC4]])</f>
        <v>754</v>
      </c>
      <c r="AJ273">
        <f>SUM(Table25[[#This Row],[CC5]:[DC5]])</f>
        <v>747</v>
      </c>
    </row>
    <row r="274" spans="1:36" ht="15">
      <c r="A274" t="s">
        <v>62</v>
      </c>
      <c r="B274" s="85" t="s">
        <v>679</v>
      </c>
      <c r="C274" s="126">
        <v>101</v>
      </c>
      <c r="D274" s="75">
        <v>656</v>
      </c>
      <c r="E274" s="75">
        <v>102</v>
      </c>
      <c r="F274" s="75">
        <v>654</v>
      </c>
      <c r="G274" s="75">
        <v>102</v>
      </c>
      <c r="H274" s="75">
        <v>653</v>
      </c>
      <c r="I274" s="75">
        <v>104</v>
      </c>
      <c r="J274" s="154">
        <v>649</v>
      </c>
      <c r="K274" s="154">
        <v>102</v>
      </c>
      <c r="L274" s="155">
        <v>649</v>
      </c>
      <c r="M274" s="83">
        <v>27856.9</v>
      </c>
      <c r="N274" s="83">
        <v>26255.3</v>
      </c>
      <c r="O274" s="83">
        <v>27754.400000000001</v>
      </c>
      <c r="P274" s="83">
        <v>26240.6</v>
      </c>
      <c r="Q274" s="83">
        <v>27641.5</v>
      </c>
      <c r="R274" s="83">
        <v>26099.599999999999</v>
      </c>
      <c r="S274" s="83">
        <v>26818.9</v>
      </c>
      <c r="T274" s="83">
        <v>26011.9</v>
      </c>
      <c r="U274" s="83">
        <v>27691.7</v>
      </c>
      <c r="V274" s="83">
        <v>26133.200000000001</v>
      </c>
      <c r="X274" s="27">
        <f>Table25[[#This Row],[HDC1]]/Table25[[#This Row],[HCC1]]</f>
        <v>0.9425061654383653</v>
      </c>
      <c r="Y274" s="27">
        <f>Table25[[#This Row],[HDC2]]/Table25[[#This Row],[HCC2]]</f>
        <v>0.94545729686103819</v>
      </c>
      <c r="Z274" s="27">
        <f>Table25[[#This Row],[HDC3]]/Table25[[#This Row],[HCC3]]</f>
        <v>0.94421793318018188</v>
      </c>
      <c r="AA274" s="27">
        <f>Table25[[#This Row],[HDC4]]/Table25[[#This Row],[HCC4]]</f>
        <v>0.96990928039554192</v>
      </c>
      <c r="AB274" s="27">
        <f>Table25[[#This Row],[HDC5]]/Table25[[#This Row],[HCC5]]</f>
        <v>0.94371959829118468</v>
      </c>
      <c r="AF274">
        <f>SUM(Table25[[#This Row],[CC1]:[DC1]])</f>
        <v>757</v>
      </c>
      <c r="AG274">
        <f>SUM(Table25[[#This Row],[CC2]:[DC2]])</f>
        <v>756</v>
      </c>
      <c r="AH274">
        <f>SUM(Table25[[#This Row],[CC3]:[DC3]])</f>
        <v>755</v>
      </c>
      <c r="AI274">
        <f>SUM(Table25[[#This Row],[CC4]:[DC4]])</f>
        <v>753</v>
      </c>
      <c r="AJ274">
        <f>SUM(Table25[[#This Row],[CC5]:[DC5]])</f>
        <v>751</v>
      </c>
    </row>
    <row r="275" spans="1:36" ht="15">
      <c r="A275" t="s">
        <v>63</v>
      </c>
      <c r="B275" s="85" t="s">
        <v>680</v>
      </c>
      <c r="C275" s="126">
        <v>104</v>
      </c>
      <c r="D275" s="75">
        <v>651</v>
      </c>
      <c r="E275" s="75">
        <v>101</v>
      </c>
      <c r="F275" s="75">
        <v>649</v>
      </c>
      <c r="G275" s="75">
        <v>101</v>
      </c>
      <c r="H275" s="75">
        <v>651</v>
      </c>
      <c r="I275" s="75">
        <v>100</v>
      </c>
      <c r="J275" s="154">
        <v>652</v>
      </c>
      <c r="K275" s="154">
        <v>102</v>
      </c>
      <c r="L275" s="155">
        <v>644</v>
      </c>
      <c r="M275" s="83">
        <v>24960.7</v>
      </c>
      <c r="N275" s="83">
        <v>24944</v>
      </c>
      <c r="O275" s="83">
        <v>28527.7</v>
      </c>
      <c r="P275" s="83">
        <v>26912.2</v>
      </c>
      <c r="Q275" s="83">
        <v>28459.200000000001</v>
      </c>
      <c r="R275" s="83">
        <v>26812.5</v>
      </c>
      <c r="S275" s="83">
        <v>28524.6</v>
      </c>
      <c r="T275" s="83">
        <v>26890</v>
      </c>
      <c r="U275" s="83">
        <v>28483.200000000001</v>
      </c>
      <c r="V275" s="83">
        <v>26908.3</v>
      </c>
      <c r="X275" s="27">
        <f>Table25[[#This Row],[HDC1]]/Table25[[#This Row],[HCC1]]</f>
        <v>0.99933094825064994</v>
      </c>
      <c r="Y275" s="27">
        <f>Table25[[#This Row],[HDC2]]/Table25[[#This Row],[HCC2]]</f>
        <v>0.94337082905386693</v>
      </c>
      <c r="Z275" s="27">
        <f>Table25[[#This Row],[HDC3]]/Table25[[#This Row],[HCC3]]</f>
        <v>0.94213821892393323</v>
      </c>
      <c r="AA275" s="27">
        <f>Table25[[#This Row],[HDC4]]/Table25[[#This Row],[HCC4]]</f>
        <v>0.94269507723158263</v>
      </c>
      <c r="AB275" s="27">
        <f>Table25[[#This Row],[HDC5]]/Table25[[#This Row],[HCC5]]</f>
        <v>0.94470775755533076</v>
      </c>
      <c r="AF275">
        <f>SUM(Table25[[#This Row],[CC1]:[DC1]])</f>
        <v>755</v>
      </c>
      <c r="AG275">
        <f>SUM(Table25[[#This Row],[CC2]:[DC2]])</f>
        <v>750</v>
      </c>
      <c r="AH275">
        <f>SUM(Table25[[#This Row],[CC3]:[DC3]])</f>
        <v>752</v>
      </c>
      <c r="AI275">
        <f>SUM(Table25[[#This Row],[CC4]:[DC4]])</f>
        <v>752</v>
      </c>
      <c r="AJ275">
        <f>SUM(Table25[[#This Row],[CC5]:[DC5]])</f>
        <v>746</v>
      </c>
    </row>
    <row r="276" spans="1:36" ht="15">
      <c r="A276" t="s">
        <v>64</v>
      </c>
      <c r="B276" s="85" t="s">
        <v>681</v>
      </c>
      <c r="C276" s="126">
        <v>99</v>
      </c>
      <c r="D276" s="75">
        <v>659</v>
      </c>
      <c r="E276" s="75">
        <v>100</v>
      </c>
      <c r="F276" s="75">
        <v>664</v>
      </c>
      <c r="G276" s="75">
        <v>105</v>
      </c>
      <c r="H276" s="75">
        <v>650</v>
      </c>
      <c r="I276" s="75">
        <v>103</v>
      </c>
      <c r="J276" s="154">
        <v>658</v>
      </c>
      <c r="K276" s="154">
        <v>109</v>
      </c>
      <c r="L276" s="155">
        <v>647</v>
      </c>
      <c r="M276" s="83">
        <v>22454.799999999999</v>
      </c>
      <c r="N276" s="83">
        <v>21538</v>
      </c>
      <c r="O276" s="83">
        <v>22276.7</v>
      </c>
      <c r="P276" s="83">
        <v>21351.200000000001</v>
      </c>
      <c r="Q276" s="83">
        <v>22847.3</v>
      </c>
      <c r="R276" s="83">
        <v>21393.7</v>
      </c>
      <c r="S276" s="83">
        <v>22272.3</v>
      </c>
      <c r="T276" s="83">
        <v>21407</v>
      </c>
      <c r="U276" s="83">
        <v>22922.799999999999</v>
      </c>
      <c r="V276" s="83">
        <v>21504.7</v>
      </c>
      <c r="X276" s="27">
        <f>Table25[[#This Row],[HDC1]]/Table25[[#This Row],[HCC1]]</f>
        <v>0.95917131303774694</v>
      </c>
      <c r="Y276" s="27">
        <f>Table25[[#This Row],[HDC2]]/Table25[[#This Row],[HCC2]]</f>
        <v>0.95845434916302685</v>
      </c>
      <c r="Z276" s="27">
        <f>Table25[[#This Row],[HDC3]]/Table25[[#This Row],[HCC3]]</f>
        <v>0.93637760260512193</v>
      </c>
      <c r="AA276" s="27">
        <f>Table25[[#This Row],[HDC4]]/Table25[[#This Row],[HCC4]]</f>
        <v>0.96114905061444034</v>
      </c>
      <c r="AB276" s="27">
        <f>Table25[[#This Row],[HDC5]]/Table25[[#This Row],[HCC5]]</f>
        <v>0.93813582982881683</v>
      </c>
      <c r="AF276">
        <f>SUM(Table25[[#This Row],[CC1]:[DC1]])</f>
        <v>758</v>
      </c>
      <c r="AG276">
        <f>SUM(Table25[[#This Row],[CC2]:[DC2]])</f>
        <v>764</v>
      </c>
      <c r="AH276">
        <f>SUM(Table25[[#This Row],[CC3]:[DC3]])</f>
        <v>755</v>
      </c>
      <c r="AI276">
        <f>SUM(Table25[[#This Row],[CC4]:[DC4]])</f>
        <v>761</v>
      </c>
      <c r="AJ276">
        <f>SUM(Table25[[#This Row],[CC5]:[DC5]])</f>
        <v>756</v>
      </c>
    </row>
    <row r="277" spans="1:36" ht="15">
      <c r="A277" t="s">
        <v>65</v>
      </c>
      <c r="B277" s="85" t="s">
        <v>682</v>
      </c>
      <c r="C277" s="126">
        <v>99</v>
      </c>
      <c r="D277" s="75">
        <v>652</v>
      </c>
      <c r="E277" s="75">
        <v>101</v>
      </c>
      <c r="F277" s="75">
        <v>650</v>
      </c>
      <c r="G277" s="75">
        <v>103</v>
      </c>
      <c r="H277" s="75">
        <v>646</v>
      </c>
      <c r="I277" s="75">
        <v>106</v>
      </c>
      <c r="J277" s="154">
        <v>642</v>
      </c>
      <c r="K277" s="154">
        <v>104</v>
      </c>
      <c r="L277" s="155">
        <v>646</v>
      </c>
      <c r="M277" s="83">
        <v>21248.799999999999</v>
      </c>
      <c r="N277" s="83">
        <v>20543.2</v>
      </c>
      <c r="O277" s="83">
        <v>21463.7</v>
      </c>
      <c r="P277" s="83">
        <v>20168.2</v>
      </c>
      <c r="Q277" s="83">
        <v>21306.7</v>
      </c>
      <c r="R277" s="83">
        <v>20047.2</v>
      </c>
      <c r="S277" s="83">
        <v>20518.400000000001</v>
      </c>
      <c r="T277" s="83">
        <v>20059.099999999999</v>
      </c>
      <c r="U277" s="83">
        <v>20722.3</v>
      </c>
      <c r="V277" s="83">
        <v>20221.3</v>
      </c>
      <c r="X277" s="27">
        <f>Table25[[#This Row],[HDC1]]/Table25[[#This Row],[HCC1]]</f>
        <v>0.96679341892248039</v>
      </c>
      <c r="Y277" s="27">
        <f>Table25[[#This Row],[HDC2]]/Table25[[#This Row],[HCC2]]</f>
        <v>0.9396422797560533</v>
      </c>
      <c r="Z277" s="27">
        <f>Table25[[#This Row],[HDC3]]/Table25[[#This Row],[HCC3]]</f>
        <v>0.94088713878732977</v>
      </c>
      <c r="AA277" s="27">
        <f>Table25[[#This Row],[HDC4]]/Table25[[#This Row],[HCC4]]</f>
        <v>0.97761521366188386</v>
      </c>
      <c r="AB277" s="27">
        <f>Table25[[#This Row],[HDC5]]/Table25[[#This Row],[HCC5]]</f>
        <v>0.97582314704448836</v>
      </c>
      <c r="AF277">
        <f>SUM(Table25[[#This Row],[CC1]:[DC1]])</f>
        <v>751</v>
      </c>
      <c r="AG277">
        <f>SUM(Table25[[#This Row],[CC2]:[DC2]])</f>
        <v>751</v>
      </c>
      <c r="AH277">
        <f>SUM(Table25[[#This Row],[CC3]:[DC3]])</f>
        <v>749</v>
      </c>
      <c r="AI277">
        <f>SUM(Table25[[#This Row],[CC4]:[DC4]])</f>
        <v>748</v>
      </c>
      <c r="AJ277">
        <f>SUM(Table25[[#This Row],[CC5]:[DC5]])</f>
        <v>750</v>
      </c>
    </row>
    <row r="278" spans="1:36" ht="15">
      <c r="A278" t="s">
        <v>66</v>
      </c>
      <c r="B278" s="85" t="s">
        <v>683</v>
      </c>
      <c r="C278" s="126">
        <v>98</v>
      </c>
      <c r="D278" s="75">
        <v>652</v>
      </c>
      <c r="E278" s="75">
        <v>102</v>
      </c>
      <c r="F278" s="75">
        <v>650</v>
      </c>
      <c r="G278" s="75">
        <v>101</v>
      </c>
      <c r="H278" s="75">
        <v>649</v>
      </c>
      <c r="I278" s="75">
        <v>106</v>
      </c>
      <c r="J278" s="154">
        <v>643</v>
      </c>
      <c r="K278" s="154">
        <v>101</v>
      </c>
      <c r="L278" s="155">
        <v>649</v>
      </c>
      <c r="M278" s="83">
        <v>30015</v>
      </c>
      <c r="N278" s="83">
        <v>29302</v>
      </c>
      <c r="O278" s="83">
        <v>30286.9</v>
      </c>
      <c r="P278" s="83">
        <v>28724.1</v>
      </c>
      <c r="Q278" s="83">
        <v>30224.1</v>
      </c>
      <c r="R278" s="83">
        <v>28640.1</v>
      </c>
      <c r="S278" s="83">
        <v>30177.4</v>
      </c>
      <c r="T278" s="83">
        <v>28544.2</v>
      </c>
      <c r="U278" s="83">
        <v>30416.1</v>
      </c>
      <c r="V278" s="83">
        <v>28904.6</v>
      </c>
      <c r="X278" s="27">
        <f>Table25[[#This Row],[HDC1]]/Table25[[#This Row],[HCC1]]</f>
        <v>0.97624521072796933</v>
      </c>
      <c r="Y278" s="27">
        <f>Table25[[#This Row],[HDC2]]/Table25[[#This Row],[HCC2]]</f>
        <v>0.94840013339100393</v>
      </c>
      <c r="Z278" s="27">
        <f>Table25[[#This Row],[HDC3]]/Table25[[#This Row],[HCC3]]</f>
        <v>0.94759149155806133</v>
      </c>
      <c r="AA278" s="27">
        <f>Table25[[#This Row],[HDC4]]/Table25[[#This Row],[HCC4]]</f>
        <v>0.94588002942599425</v>
      </c>
      <c r="AB278" s="27">
        <f>Table25[[#This Row],[HDC5]]/Table25[[#This Row],[HCC5]]</f>
        <v>0.950305923507616</v>
      </c>
      <c r="AF278">
        <f>SUM(Table25[[#This Row],[CC1]:[DC1]])</f>
        <v>750</v>
      </c>
      <c r="AG278">
        <f>SUM(Table25[[#This Row],[CC2]:[DC2]])</f>
        <v>752</v>
      </c>
      <c r="AH278">
        <f>SUM(Table25[[#This Row],[CC3]:[DC3]])</f>
        <v>750</v>
      </c>
      <c r="AI278">
        <f>SUM(Table25[[#This Row],[CC4]:[DC4]])</f>
        <v>749</v>
      </c>
      <c r="AJ278">
        <f>SUM(Table25[[#This Row],[CC5]:[DC5]])</f>
        <v>750</v>
      </c>
    </row>
    <row r="279" spans="1:36" ht="15">
      <c r="A279" t="s">
        <v>67</v>
      </c>
      <c r="B279" s="85" t="s">
        <v>684</v>
      </c>
      <c r="C279" s="126">
        <v>102</v>
      </c>
      <c r="D279" s="75">
        <v>651</v>
      </c>
      <c r="E279" s="75">
        <v>101</v>
      </c>
      <c r="F279" s="75">
        <v>650</v>
      </c>
      <c r="G279" s="75">
        <v>99</v>
      </c>
      <c r="H279" s="75">
        <v>652</v>
      </c>
      <c r="I279" s="75">
        <v>102</v>
      </c>
      <c r="J279" s="154">
        <v>646</v>
      </c>
      <c r="K279" s="154">
        <v>102</v>
      </c>
      <c r="L279" s="155">
        <v>651</v>
      </c>
      <c r="M279" s="83">
        <v>30982.7</v>
      </c>
      <c r="N279" s="83">
        <v>29387.3</v>
      </c>
      <c r="O279" s="83">
        <v>30489.8</v>
      </c>
      <c r="P279" s="83">
        <v>28788.400000000001</v>
      </c>
      <c r="Q279" s="83">
        <v>30910.400000000001</v>
      </c>
      <c r="R279" s="83">
        <v>29193.599999999999</v>
      </c>
      <c r="S279" s="83">
        <v>30229.5</v>
      </c>
      <c r="T279" s="83">
        <v>28675.1</v>
      </c>
      <c r="U279" s="83">
        <v>30629.4</v>
      </c>
      <c r="V279" s="83">
        <v>28965.9</v>
      </c>
      <c r="X279" s="27">
        <f>Table25[[#This Row],[HDC1]]/Table25[[#This Row],[HCC1]]</f>
        <v>0.94850674731382345</v>
      </c>
      <c r="Y279" s="27">
        <f>Table25[[#This Row],[HDC2]]/Table25[[#This Row],[HCC2]]</f>
        <v>0.94419773170043764</v>
      </c>
      <c r="Z279" s="27">
        <f>Table25[[#This Row],[HDC3]]/Table25[[#This Row],[HCC3]]</f>
        <v>0.94445882292044092</v>
      </c>
      <c r="AA279" s="27">
        <f>Table25[[#This Row],[HDC4]]/Table25[[#This Row],[HCC4]]</f>
        <v>0.9485800294414396</v>
      </c>
      <c r="AB279" s="27">
        <f>Table25[[#This Row],[HDC5]]/Table25[[#This Row],[HCC5]]</f>
        <v>0.9456894356402672</v>
      </c>
      <c r="AF279">
        <f>SUM(Table25[[#This Row],[CC1]:[DC1]])</f>
        <v>753</v>
      </c>
      <c r="AG279">
        <f>SUM(Table25[[#This Row],[CC2]:[DC2]])</f>
        <v>751</v>
      </c>
      <c r="AH279">
        <f>SUM(Table25[[#This Row],[CC3]:[DC3]])</f>
        <v>751</v>
      </c>
      <c r="AI279">
        <f>SUM(Table25[[#This Row],[CC4]:[DC4]])</f>
        <v>748</v>
      </c>
      <c r="AJ279">
        <f>SUM(Table25[[#This Row],[CC5]:[DC5]])</f>
        <v>753</v>
      </c>
    </row>
    <row r="280" spans="1:36" ht="15">
      <c r="A280" t="s">
        <v>68</v>
      </c>
      <c r="B280" s="85" t="s">
        <v>685</v>
      </c>
      <c r="C280" s="126">
        <v>102</v>
      </c>
      <c r="D280" s="75">
        <v>649</v>
      </c>
      <c r="E280" s="75">
        <v>101</v>
      </c>
      <c r="F280" s="75">
        <v>653</v>
      </c>
      <c r="G280" s="75">
        <v>101</v>
      </c>
      <c r="H280" s="75">
        <v>657</v>
      </c>
      <c r="I280" s="75">
        <v>99</v>
      </c>
      <c r="J280" s="154">
        <v>653</v>
      </c>
      <c r="K280" s="154">
        <v>100</v>
      </c>
      <c r="L280" s="155">
        <v>655</v>
      </c>
      <c r="M280" s="83">
        <v>30317.200000000001</v>
      </c>
      <c r="N280" s="83">
        <v>28637.1</v>
      </c>
      <c r="O280" s="83">
        <v>29599</v>
      </c>
      <c r="P280" s="83">
        <v>28778.1</v>
      </c>
      <c r="Q280" s="83">
        <v>30253</v>
      </c>
      <c r="R280" s="83">
        <v>28704</v>
      </c>
      <c r="S280" s="83">
        <v>30754.3</v>
      </c>
      <c r="T280" s="83">
        <v>29088.2</v>
      </c>
      <c r="U280" s="83">
        <v>30503.9</v>
      </c>
      <c r="V280" s="83">
        <v>28905.9</v>
      </c>
      <c r="X280" s="27">
        <f>Table25[[#This Row],[HDC1]]/Table25[[#This Row],[HCC1]]</f>
        <v>0.94458261317008163</v>
      </c>
      <c r="Y280" s="27">
        <f>Table25[[#This Row],[HDC2]]/Table25[[#This Row],[HCC2]]</f>
        <v>0.97226595493090973</v>
      </c>
      <c r="Z280" s="27">
        <f>Table25[[#This Row],[HDC3]]/Table25[[#This Row],[HCC3]]</f>
        <v>0.94879846626780817</v>
      </c>
      <c r="AA280" s="27">
        <f>Table25[[#This Row],[HDC4]]/Table25[[#This Row],[HCC4]]</f>
        <v>0.94582546180534111</v>
      </c>
      <c r="AB280" s="27">
        <f>Table25[[#This Row],[HDC5]]/Table25[[#This Row],[HCC5]]</f>
        <v>0.94761325600988722</v>
      </c>
      <c r="AF280">
        <f>SUM(Table25[[#This Row],[CC1]:[DC1]])</f>
        <v>751</v>
      </c>
      <c r="AG280">
        <f>SUM(Table25[[#This Row],[CC2]:[DC2]])</f>
        <v>754</v>
      </c>
      <c r="AH280">
        <f>SUM(Table25[[#This Row],[CC3]:[DC3]])</f>
        <v>758</v>
      </c>
      <c r="AI280">
        <f>SUM(Table25[[#This Row],[CC4]:[DC4]])</f>
        <v>752</v>
      </c>
      <c r="AJ280">
        <f>SUM(Table25[[#This Row],[CC5]:[DC5]])</f>
        <v>755</v>
      </c>
    </row>
    <row r="281" spans="1:36" ht="15">
      <c r="A281" t="s">
        <v>69</v>
      </c>
      <c r="B281" s="85" t="s">
        <v>686</v>
      </c>
      <c r="C281" s="126">
        <v>100</v>
      </c>
      <c r="D281" s="75">
        <v>656</v>
      </c>
      <c r="E281" s="75">
        <v>106</v>
      </c>
      <c r="F281" s="75">
        <v>651</v>
      </c>
      <c r="G281" s="75">
        <v>101</v>
      </c>
      <c r="H281" s="75">
        <v>649</v>
      </c>
      <c r="I281" s="75">
        <v>101</v>
      </c>
      <c r="J281" s="154">
        <v>655</v>
      </c>
      <c r="K281" s="154">
        <v>108</v>
      </c>
      <c r="L281" s="155">
        <v>648</v>
      </c>
      <c r="M281" s="83">
        <v>29863.4</v>
      </c>
      <c r="N281" s="83">
        <v>29046.6</v>
      </c>
      <c r="O281" s="83">
        <v>29460</v>
      </c>
      <c r="P281" s="83">
        <v>28001.7</v>
      </c>
      <c r="Q281" s="83">
        <v>29078.7</v>
      </c>
      <c r="R281" s="83">
        <v>28240</v>
      </c>
      <c r="S281" s="83">
        <v>29576.3</v>
      </c>
      <c r="T281" s="83">
        <v>28776.7</v>
      </c>
      <c r="U281" s="83">
        <v>29301.8</v>
      </c>
      <c r="V281" s="83">
        <v>27733.1</v>
      </c>
      <c r="X281" s="27">
        <f>Table25[[#This Row],[HDC1]]/Table25[[#This Row],[HCC1]]</f>
        <v>0.97264879417614858</v>
      </c>
      <c r="Y281" s="27">
        <f>Table25[[#This Row],[HDC2]]/Table25[[#This Row],[HCC2]]</f>
        <v>0.95049898167006108</v>
      </c>
      <c r="Z281" s="27">
        <f>Table25[[#This Row],[HDC3]]/Table25[[#This Row],[HCC3]]</f>
        <v>0.97115758269798858</v>
      </c>
      <c r="AA281" s="27">
        <f>Table25[[#This Row],[HDC4]]/Table25[[#This Row],[HCC4]]</f>
        <v>0.97296484009155981</v>
      </c>
      <c r="AB281" s="27">
        <f>Table25[[#This Row],[HDC5]]/Table25[[#This Row],[HCC5]]</f>
        <v>0.94646403975182414</v>
      </c>
      <c r="AF281">
        <f>SUM(Table25[[#This Row],[CC1]:[DC1]])</f>
        <v>756</v>
      </c>
      <c r="AG281">
        <f>SUM(Table25[[#This Row],[CC2]:[DC2]])</f>
        <v>757</v>
      </c>
      <c r="AH281">
        <f>SUM(Table25[[#This Row],[CC3]:[DC3]])</f>
        <v>750</v>
      </c>
      <c r="AI281">
        <f>SUM(Table25[[#This Row],[CC4]:[DC4]])</f>
        <v>756</v>
      </c>
      <c r="AJ281">
        <f>SUM(Table25[[#This Row],[CC5]:[DC5]])</f>
        <v>756</v>
      </c>
    </row>
    <row r="282" spans="1:36" ht="15">
      <c r="A282" t="s">
        <v>70</v>
      </c>
      <c r="B282" s="85" t="s">
        <v>687</v>
      </c>
      <c r="C282" s="126">
        <v>102</v>
      </c>
      <c r="D282" s="75">
        <v>652</v>
      </c>
      <c r="E282" s="75">
        <v>99</v>
      </c>
      <c r="F282" s="75">
        <v>654</v>
      </c>
      <c r="G282" s="75">
        <v>99</v>
      </c>
      <c r="H282" s="75">
        <v>658</v>
      </c>
      <c r="I282" s="75">
        <v>99</v>
      </c>
      <c r="J282" s="154">
        <v>657</v>
      </c>
      <c r="K282" s="154">
        <v>99</v>
      </c>
      <c r="L282" s="155">
        <v>655</v>
      </c>
      <c r="M282" s="83">
        <v>30498.9</v>
      </c>
      <c r="N282" s="83">
        <v>28873.4</v>
      </c>
      <c r="O282" s="83">
        <v>30898.9</v>
      </c>
      <c r="P282" s="83">
        <v>29259.7</v>
      </c>
      <c r="Q282" s="83">
        <v>30459.9</v>
      </c>
      <c r="R282" s="83">
        <v>28865.200000000001</v>
      </c>
      <c r="S282" s="83">
        <v>30535</v>
      </c>
      <c r="T282" s="83">
        <v>29095.9</v>
      </c>
      <c r="U282" s="83">
        <v>30493.7</v>
      </c>
      <c r="V282" s="83">
        <v>28846.1</v>
      </c>
      <c r="X282" s="27">
        <f>Table25[[#This Row],[HDC1]]/Table25[[#This Row],[HCC1]]</f>
        <v>0.94670299584575179</v>
      </c>
      <c r="Y282" s="27">
        <f>Table25[[#This Row],[HDC2]]/Table25[[#This Row],[HCC2]]</f>
        <v>0.94694956778396644</v>
      </c>
      <c r="Z282" s="27">
        <f>Table25[[#This Row],[HDC3]]/Table25[[#This Row],[HCC3]]</f>
        <v>0.94764592135890136</v>
      </c>
      <c r="AA282" s="27">
        <f>Table25[[#This Row],[HDC4]]/Table25[[#This Row],[HCC4]]</f>
        <v>0.95287047650237433</v>
      </c>
      <c r="AB282" s="27">
        <f>Table25[[#This Row],[HDC5]]/Table25[[#This Row],[HCC5]]</f>
        <v>0.94596916740179116</v>
      </c>
      <c r="AF282">
        <f>SUM(Table25[[#This Row],[CC1]:[DC1]])</f>
        <v>754</v>
      </c>
      <c r="AG282">
        <f>SUM(Table25[[#This Row],[CC2]:[DC2]])</f>
        <v>753</v>
      </c>
      <c r="AH282">
        <f>SUM(Table25[[#This Row],[CC3]:[DC3]])</f>
        <v>757</v>
      </c>
      <c r="AI282">
        <f>SUM(Table25[[#This Row],[CC4]:[DC4]])</f>
        <v>756</v>
      </c>
      <c r="AJ282">
        <f>SUM(Table25[[#This Row],[CC5]:[DC5]])</f>
        <v>754</v>
      </c>
    </row>
    <row r="283" spans="1:36" ht="15">
      <c r="A283" t="s">
        <v>71</v>
      </c>
      <c r="B283" s="85" t="s">
        <v>688</v>
      </c>
      <c r="C283" s="126">
        <v>100</v>
      </c>
      <c r="D283" s="75">
        <v>651</v>
      </c>
      <c r="E283" s="75">
        <v>99</v>
      </c>
      <c r="F283" s="75">
        <v>653</v>
      </c>
      <c r="G283" s="75">
        <v>99</v>
      </c>
      <c r="H283" s="75">
        <v>655</v>
      </c>
      <c r="I283" s="75">
        <v>99</v>
      </c>
      <c r="J283" s="154">
        <v>659</v>
      </c>
      <c r="K283" s="154">
        <v>101</v>
      </c>
      <c r="L283" s="155">
        <v>652</v>
      </c>
      <c r="M283" s="83">
        <v>29620.5</v>
      </c>
      <c r="N283" s="83">
        <v>28673.7</v>
      </c>
      <c r="O283" s="83">
        <v>29644</v>
      </c>
      <c r="P283" s="83">
        <v>28850.2</v>
      </c>
      <c r="Q283" s="83">
        <v>30654</v>
      </c>
      <c r="R283" s="83">
        <v>29045.8</v>
      </c>
      <c r="S283" s="83">
        <v>14914</v>
      </c>
      <c r="T283" s="83">
        <v>14094.5</v>
      </c>
      <c r="U283" s="83">
        <v>30139.599999999999</v>
      </c>
      <c r="V283" s="83">
        <v>28647.4</v>
      </c>
      <c r="X283" s="27">
        <f>Table25[[#This Row],[HDC1]]/Table25[[#This Row],[HCC1]]</f>
        <v>0.96803565098495981</v>
      </c>
      <c r="Y283" s="27">
        <f>Table25[[#This Row],[HDC2]]/Table25[[#This Row],[HCC2]]</f>
        <v>0.97322223721495082</v>
      </c>
      <c r="Z283" s="27">
        <f>Table25[[#This Row],[HDC3]]/Table25[[#This Row],[HCC3]]</f>
        <v>0.9475370261629803</v>
      </c>
      <c r="AA283" s="27">
        <f>Table25[[#This Row],[HDC4]]/Table25[[#This Row],[HCC4]]</f>
        <v>0.94505162934155829</v>
      </c>
      <c r="AB283" s="27">
        <f>Table25[[#This Row],[HDC5]]/Table25[[#This Row],[HCC5]]</f>
        <v>0.95049038474299608</v>
      </c>
      <c r="AF283">
        <f>SUM(Table25[[#This Row],[CC1]:[DC1]])</f>
        <v>751</v>
      </c>
      <c r="AG283">
        <f>SUM(Table25[[#This Row],[CC2]:[DC2]])</f>
        <v>752</v>
      </c>
      <c r="AH283">
        <f>SUM(Table25[[#This Row],[CC3]:[DC3]])</f>
        <v>754</v>
      </c>
      <c r="AI283">
        <f>SUM(Table25[[#This Row],[CC4]:[DC4]])</f>
        <v>758</v>
      </c>
      <c r="AJ283">
        <f>SUM(Table25[[#This Row],[CC5]:[DC5]])</f>
        <v>753</v>
      </c>
    </row>
    <row r="284" spans="1:36" ht="15">
      <c r="A284" t="s">
        <v>72</v>
      </c>
      <c r="B284" s="85" t="s">
        <v>689</v>
      </c>
      <c r="C284" s="126">
        <v>100</v>
      </c>
      <c r="D284" s="75">
        <v>655</v>
      </c>
      <c r="E284" s="75">
        <v>101</v>
      </c>
      <c r="F284" s="75">
        <v>652</v>
      </c>
      <c r="G284" s="75">
        <v>99</v>
      </c>
      <c r="H284" s="75">
        <v>657</v>
      </c>
      <c r="I284" s="75">
        <v>100</v>
      </c>
      <c r="J284" s="154">
        <v>656</v>
      </c>
      <c r="K284" s="154">
        <v>101</v>
      </c>
      <c r="L284" s="155">
        <v>655</v>
      </c>
      <c r="M284" s="83">
        <v>30742.1</v>
      </c>
      <c r="N284" s="83">
        <v>29156.1</v>
      </c>
      <c r="O284" s="83">
        <v>30742.6</v>
      </c>
      <c r="P284" s="83">
        <v>29093.3</v>
      </c>
      <c r="Q284" s="83">
        <v>30677</v>
      </c>
      <c r="R284" s="83">
        <v>29087.7</v>
      </c>
      <c r="S284" s="83">
        <v>30558.2</v>
      </c>
      <c r="T284" s="83">
        <v>29013.1</v>
      </c>
      <c r="U284" s="83">
        <v>30654.5</v>
      </c>
      <c r="V284" s="83">
        <v>29081</v>
      </c>
      <c r="X284" s="27">
        <f>Table25[[#This Row],[HDC1]]/Table25[[#This Row],[HCC1]]</f>
        <v>0.94840951008551788</v>
      </c>
      <c r="Y284" s="27">
        <f>Table25[[#This Row],[HDC2]]/Table25[[#This Row],[HCC2]]</f>
        <v>0.94635131706491971</v>
      </c>
      <c r="Z284" s="27">
        <f>Table25[[#This Row],[HDC3]]/Table25[[#This Row],[HCC3]]</f>
        <v>0.94819245688952636</v>
      </c>
      <c r="AA284" s="27">
        <f>Table25[[#This Row],[HDC4]]/Table25[[#This Row],[HCC4]]</f>
        <v>0.94943746686650388</v>
      </c>
      <c r="AB284" s="27">
        <f>Table25[[#This Row],[HDC5]]/Table25[[#This Row],[HCC5]]</f>
        <v>0.94866985271330473</v>
      </c>
      <c r="AF284">
        <f>SUM(Table25[[#This Row],[CC1]:[DC1]])</f>
        <v>755</v>
      </c>
      <c r="AG284">
        <f>SUM(Table25[[#This Row],[CC2]:[DC2]])</f>
        <v>753</v>
      </c>
      <c r="AH284">
        <f>SUM(Table25[[#This Row],[CC3]:[DC3]])</f>
        <v>756</v>
      </c>
      <c r="AI284">
        <f>SUM(Table25[[#This Row],[CC4]:[DC4]])</f>
        <v>756</v>
      </c>
      <c r="AJ284">
        <f>SUM(Table25[[#This Row],[CC5]:[DC5]])</f>
        <v>756</v>
      </c>
    </row>
    <row r="285" spans="1:36" ht="15">
      <c r="A285" t="s">
        <v>73</v>
      </c>
      <c r="B285" s="85" t="s">
        <v>690</v>
      </c>
      <c r="C285" s="126">
        <v>99</v>
      </c>
      <c r="D285" s="75">
        <v>655</v>
      </c>
      <c r="E285" s="75">
        <v>98</v>
      </c>
      <c r="F285" s="75">
        <v>658</v>
      </c>
      <c r="G285" s="75">
        <v>101</v>
      </c>
      <c r="H285" s="75">
        <v>652</v>
      </c>
      <c r="I285" s="75">
        <v>101</v>
      </c>
      <c r="J285" s="154">
        <v>651</v>
      </c>
      <c r="K285" s="154">
        <v>100</v>
      </c>
      <c r="L285" s="155">
        <v>653</v>
      </c>
      <c r="M285" s="83">
        <v>30914.1</v>
      </c>
      <c r="N285" s="83">
        <v>29241.9</v>
      </c>
      <c r="O285" s="83">
        <v>30616.2</v>
      </c>
      <c r="P285" s="83">
        <v>29056.7</v>
      </c>
      <c r="Q285" s="83">
        <v>30367.7</v>
      </c>
      <c r="R285" s="83">
        <v>28825.9</v>
      </c>
      <c r="S285" s="83">
        <v>30586.5</v>
      </c>
      <c r="T285" s="83">
        <v>29023</v>
      </c>
      <c r="U285" s="83">
        <v>30825.200000000001</v>
      </c>
      <c r="V285" s="83">
        <v>29204.1</v>
      </c>
      <c r="X285" s="27">
        <f>Table25[[#This Row],[HDC1]]/Table25[[#This Row],[HCC1]]</f>
        <v>0.94590817782177072</v>
      </c>
      <c r="Y285" s="27">
        <f>Table25[[#This Row],[HDC2]]/Table25[[#This Row],[HCC2]]</f>
        <v>0.94906291440479229</v>
      </c>
      <c r="Z285" s="27">
        <f>Table25[[#This Row],[HDC3]]/Table25[[#This Row],[HCC3]]</f>
        <v>0.94922895049674494</v>
      </c>
      <c r="AA285" s="27">
        <f>Table25[[#This Row],[HDC4]]/Table25[[#This Row],[HCC4]]</f>
        <v>0.94888267699802198</v>
      </c>
      <c r="AB285" s="27">
        <f>Table25[[#This Row],[HDC5]]/Table25[[#This Row],[HCC5]]</f>
        <v>0.94740991137121566</v>
      </c>
      <c r="AF285">
        <f>SUM(Table25[[#This Row],[CC1]:[DC1]])</f>
        <v>754</v>
      </c>
      <c r="AG285">
        <f>SUM(Table25[[#This Row],[CC2]:[DC2]])</f>
        <v>756</v>
      </c>
      <c r="AH285">
        <f>SUM(Table25[[#This Row],[CC3]:[DC3]])</f>
        <v>753</v>
      </c>
      <c r="AI285">
        <f>SUM(Table25[[#This Row],[CC4]:[DC4]])</f>
        <v>752</v>
      </c>
      <c r="AJ285">
        <f>SUM(Table25[[#This Row],[CC5]:[DC5]])</f>
        <v>753</v>
      </c>
    </row>
    <row r="286" spans="1:36" ht="15">
      <c r="A286" t="s">
        <v>74</v>
      </c>
      <c r="B286" s="85" t="s">
        <v>691</v>
      </c>
      <c r="C286" s="126">
        <v>101</v>
      </c>
      <c r="D286" s="75">
        <v>654</v>
      </c>
      <c r="E286" s="75">
        <v>99</v>
      </c>
      <c r="F286" s="75">
        <v>655</v>
      </c>
      <c r="G286" s="75">
        <v>99</v>
      </c>
      <c r="H286" s="75">
        <v>659</v>
      </c>
      <c r="I286" s="75">
        <v>103</v>
      </c>
      <c r="J286" s="154">
        <v>653</v>
      </c>
      <c r="K286" s="154">
        <v>103</v>
      </c>
      <c r="L286" s="155">
        <v>653</v>
      </c>
      <c r="M286" s="83">
        <v>26068</v>
      </c>
      <c r="N286" s="83">
        <v>24555.4</v>
      </c>
      <c r="O286" s="83">
        <v>26008.6</v>
      </c>
      <c r="P286" s="83">
        <v>24486.400000000001</v>
      </c>
      <c r="Q286" s="83">
        <v>25349</v>
      </c>
      <c r="R286" s="83">
        <v>23856.6</v>
      </c>
      <c r="S286" s="83">
        <v>25751</v>
      </c>
      <c r="T286" s="83">
        <v>24226.9</v>
      </c>
      <c r="U286" s="83">
        <v>25039.4</v>
      </c>
      <c r="V286" s="83">
        <v>24277.599999999999</v>
      </c>
      <c r="X286" s="27">
        <f>Table25[[#This Row],[HDC1]]/Table25[[#This Row],[HCC1]]</f>
        <v>0.94197483504680068</v>
      </c>
      <c r="Y286" s="27">
        <f>Table25[[#This Row],[HDC2]]/Table25[[#This Row],[HCC2]]</f>
        <v>0.94147320501680221</v>
      </c>
      <c r="Z286" s="27">
        <f>Table25[[#This Row],[HDC3]]/Table25[[#This Row],[HCC3]]</f>
        <v>0.9411258826778176</v>
      </c>
      <c r="AA286" s="27">
        <f>Table25[[#This Row],[HDC4]]/Table25[[#This Row],[HCC4]]</f>
        <v>0.94081394897285553</v>
      </c>
      <c r="AB286" s="27">
        <f>Table25[[#This Row],[HDC5]]/Table25[[#This Row],[HCC5]]</f>
        <v>0.96957594830547045</v>
      </c>
      <c r="AF286">
        <f>SUM(Table25[[#This Row],[CC1]:[DC1]])</f>
        <v>755</v>
      </c>
      <c r="AG286">
        <f>SUM(Table25[[#This Row],[CC2]:[DC2]])</f>
        <v>754</v>
      </c>
      <c r="AH286">
        <f>SUM(Table25[[#This Row],[CC3]:[DC3]])</f>
        <v>758</v>
      </c>
      <c r="AI286">
        <f>SUM(Table25[[#This Row],[CC4]:[DC4]])</f>
        <v>756</v>
      </c>
      <c r="AJ286">
        <f>SUM(Table25[[#This Row],[CC5]:[DC5]])</f>
        <v>756</v>
      </c>
    </row>
    <row r="287" spans="1:36" ht="15">
      <c r="A287" t="s">
        <v>75</v>
      </c>
      <c r="B287" s="85" t="s">
        <v>692</v>
      </c>
      <c r="C287" s="126">
        <v>101</v>
      </c>
      <c r="D287" s="75">
        <v>658</v>
      </c>
      <c r="E287" s="75">
        <v>99</v>
      </c>
      <c r="F287" s="75">
        <v>658</v>
      </c>
      <c r="G287" s="75">
        <v>99</v>
      </c>
      <c r="H287" s="75">
        <v>658</v>
      </c>
      <c r="I287" s="75">
        <v>99</v>
      </c>
      <c r="J287" s="154">
        <v>658</v>
      </c>
      <c r="K287" s="154">
        <v>104</v>
      </c>
      <c r="L287" s="155">
        <v>652</v>
      </c>
      <c r="M287" s="83">
        <v>29488</v>
      </c>
      <c r="N287" s="83">
        <v>27816.6</v>
      </c>
      <c r="O287" s="83">
        <v>29473.9</v>
      </c>
      <c r="P287" s="83">
        <v>27803</v>
      </c>
      <c r="Q287" s="83">
        <v>27315.1</v>
      </c>
      <c r="R287" s="83">
        <v>25870.5</v>
      </c>
      <c r="S287" s="83">
        <v>28983.200000000001</v>
      </c>
      <c r="T287" s="83">
        <v>27364.3</v>
      </c>
      <c r="U287" s="83">
        <v>26569.8</v>
      </c>
      <c r="V287" s="83">
        <v>25793.9</v>
      </c>
      <c r="X287" s="27">
        <f>Table25[[#This Row],[HDC1]]/Table25[[#This Row],[HCC1]]</f>
        <v>0.94331931633206723</v>
      </c>
      <c r="Y287" s="27">
        <f>Table25[[#This Row],[HDC2]]/Table25[[#This Row],[HCC2]]</f>
        <v>0.94330916505789864</v>
      </c>
      <c r="Z287" s="27">
        <f>Table25[[#This Row],[HDC3]]/Table25[[#This Row],[HCC3]]</f>
        <v>0.94711350132344385</v>
      </c>
      <c r="AA287" s="27">
        <f>Table25[[#This Row],[HDC4]]/Table25[[#This Row],[HCC4]]</f>
        <v>0.94414350382290424</v>
      </c>
      <c r="AB287" s="27">
        <f>Table25[[#This Row],[HDC5]]/Table25[[#This Row],[HCC5]]</f>
        <v>0.97079767254552174</v>
      </c>
      <c r="AF287">
        <f>SUM(Table25[[#This Row],[CC1]:[DC1]])</f>
        <v>759</v>
      </c>
      <c r="AG287">
        <f>SUM(Table25[[#This Row],[CC2]:[DC2]])</f>
        <v>757</v>
      </c>
      <c r="AH287">
        <f>SUM(Table25[[#This Row],[CC3]:[DC3]])</f>
        <v>757</v>
      </c>
      <c r="AI287">
        <f>SUM(Table25[[#This Row],[CC4]:[DC4]])</f>
        <v>757</v>
      </c>
      <c r="AJ287">
        <f>SUM(Table25[[#This Row],[CC5]:[DC5]])</f>
        <v>756</v>
      </c>
    </row>
    <row r="288" spans="1:36" ht="15">
      <c r="A288" t="s">
        <v>76</v>
      </c>
      <c r="B288" s="85" t="s">
        <v>693</v>
      </c>
      <c r="C288" s="126">
        <v>100</v>
      </c>
      <c r="D288" s="75">
        <v>661</v>
      </c>
      <c r="E288" s="75">
        <v>101</v>
      </c>
      <c r="F288" s="75">
        <v>657</v>
      </c>
      <c r="G288" s="75">
        <v>101</v>
      </c>
      <c r="H288" s="75">
        <v>658</v>
      </c>
      <c r="I288" s="75">
        <v>101</v>
      </c>
      <c r="J288" s="154">
        <v>660</v>
      </c>
      <c r="K288" s="154">
        <v>101</v>
      </c>
      <c r="L288" s="155">
        <v>658</v>
      </c>
      <c r="M288" s="83">
        <v>27545.3</v>
      </c>
      <c r="N288" s="83">
        <v>25925.5</v>
      </c>
      <c r="O288" s="83">
        <v>27433.3</v>
      </c>
      <c r="P288" s="83">
        <v>25767.599999999999</v>
      </c>
      <c r="Q288" s="83">
        <v>27355.1</v>
      </c>
      <c r="R288" s="83">
        <v>25751.599999999999</v>
      </c>
      <c r="S288" s="83">
        <v>27273.5</v>
      </c>
      <c r="T288" s="83">
        <v>25656</v>
      </c>
      <c r="U288" s="83">
        <v>26869.5</v>
      </c>
      <c r="V288" s="83">
        <v>25300.7</v>
      </c>
      <c r="X288" s="27">
        <f>Table25[[#This Row],[HDC1]]/Table25[[#This Row],[HCC1]]</f>
        <v>0.9411950496091892</v>
      </c>
      <c r="Y288" s="27">
        <f>Table25[[#This Row],[HDC2]]/Table25[[#This Row],[HCC2]]</f>
        <v>0.93928182172760843</v>
      </c>
      <c r="Z288" s="27">
        <f>Table25[[#This Row],[HDC3]]/Table25[[#This Row],[HCC3]]</f>
        <v>0.9413820457611195</v>
      </c>
      <c r="AA288" s="27">
        <f>Table25[[#This Row],[HDC4]]/Table25[[#This Row],[HCC4]]</f>
        <v>0.94069334702183438</v>
      </c>
      <c r="AB288" s="27">
        <f>Table25[[#This Row],[HDC5]]/Table25[[#This Row],[HCC5]]</f>
        <v>0.94161409776884575</v>
      </c>
      <c r="AF288">
        <f>SUM(Table25[[#This Row],[CC1]:[DC1]])</f>
        <v>761</v>
      </c>
      <c r="AG288">
        <f>SUM(Table25[[#This Row],[CC2]:[DC2]])</f>
        <v>758</v>
      </c>
      <c r="AH288">
        <f>SUM(Table25[[#This Row],[CC3]:[DC3]])</f>
        <v>759</v>
      </c>
      <c r="AI288">
        <f>SUM(Table25[[#This Row],[CC4]:[DC4]])</f>
        <v>761</v>
      </c>
      <c r="AJ288">
        <f>SUM(Table25[[#This Row],[CC5]:[DC5]])</f>
        <v>759</v>
      </c>
    </row>
    <row r="289" spans="1:36" ht="15.75" thickBot="1">
      <c r="A289" t="s">
        <v>77</v>
      </c>
      <c r="B289" s="85" t="s">
        <v>694</v>
      </c>
      <c r="C289" s="127">
        <v>102</v>
      </c>
      <c r="D289" s="128">
        <v>653</v>
      </c>
      <c r="E289" s="128">
        <v>102</v>
      </c>
      <c r="F289" s="128">
        <v>655</v>
      </c>
      <c r="G289" s="128">
        <v>98</v>
      </c>
      <c r="H289" s="128">
        <v>660</v>
      </c>
      <c r="I289" s="128">
        <v>100</v>
      </c>
      <c r="J289" s="156">
        <v>657</v>
      </c>
      <c r="K289" s="156">
        <v>103</v>
      </c>
      <c r="L289" s="157">
        <v>651</v>
      </c>
      <c r="M289" s="83">
        <v>26577.1</v>
      </c>
      <c r="N289" s="83">
        <v>25033.8</v>
      </c>
      <c r="O289" s="83">
        <v>26364.400000000001</v>
      </c>
      <c r="P289" s="83">
        <v>24859.200000000001</v>
      </c>
      <c r="Q289" s="83">
        <v>26553.7</v>
      </c>
      <c r="R289" s="83">
        <v>25034</v>
      </c>
      <c r="S289" s="83">
        <v>26499.4</v>
      </c>
      <c r="T289" s="83">
        <v>24949.5</v>
      </c>
      <c r="U289" s="83">
        <v>25861.9</v>
      </c>
      <c r="V289" s="83">
        <v>24398</v>
      </c>
      <c r="X289" s="27">
        <f>Table25[[#This Row],[HDC1]]/Table25[[#This Row],[HCC1]]</f>
        <v>0.94193121145647951</v>
      </c>
      <c r="Y289" s="27">
        <f>Table25[[#This Row],[HDC2]]/Table25[[#This Row],[HCC2]]</f>
        <v>0.94290786059989984</v>
      </c>
      <c r="Z289" s="27">
        <f>Table25[[#This Row],[HDC3]]/Table25[[#This Row],[HCC3]]</f>
        <v>0.94276880434741672</v>
      </c>
      <c r="AA289" s="27">
        <f>Table25[[#This Row],[HDC4]]/Table25[[#This Row],[HCC4]]</f>
        <v>0.94151188328792346</v>
      </c>
      <c r="AB289" s="27">
        <f>Table25[[#This Row],[HDC5]]/Table25[[#This Row],[HCC5]]</f>
        <v>0.94339549685057933</v>
      </c>
      <c r="AF289">
        <f>SUM(Table25[[#This Row],[CC1]:[DC1]])</f>
        <v>755</v>
      </c>
      <c r="AG289">
        <f>SUM(Table25[[#This Row],[CC2]:[DC2]])</f>
        <v>757</v>
      </c>
      <c r="AH289">
        <f>SUM(Table25[[#This Row],[CC3]:[DC3]])</f>
        <v>758</v>
      </c>
      <c r="AI289">
        <f>SUM(Table25[[#This Row],[CC4]:[DC4]])</f>
        <v>757</v>
      </c>
      <c r="AJ289">
        <f>SUM(Table25[[#This Row],[CC5]:[DC5]])</f>
        <v>754</v>
      </c>
    </row>
    <row r="290" spans="1:36">
      <c r="C290" s="75"/>
      <c r="D290" s="75"/>
      <c r="E290" s="75"/>
      <c r="F290" s="75"/>
      <c r="G290" s="75"/>
      <c r="H290" s="75"/>
      <c r="I290" s="75"/>
      <c r="J290" s="83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</row>
  </sheetData>
  <phoneticPr fontId="12" type="noConversion"/>
  <conditionalFormatting sqref="AF6:AJ289">
    <cfRule type="top10" dxfId="27" priority="2" bottom="1" rank="3"/>
    <cfRule type="top10" dxfId="26" priority="3" rank="3"/>
  </conditionalFormatting>
  <conditionalFormatting sqref="X6:AB289">
    <cfRule type="cellIs" dxfId="25" priority="1" operator="notBetween">
      <formula>0.9</formula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CapCsv">
                <anchor>
                  <from>
                    <xdr:col>30</xdr:col>
                    <xdr:colOff>552450</xdr:colOff>
                    <xdr:row>1</xdr:row>
                    <xdr:rowOff>0</xdr:rowOff>
                  </from>
                  <to>
                    <xdr:col>32</xdr:col>
                    <xdr:colOff>85725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1E6E-4230-42BC-A560-1B66722298D0}">
  <sheetPr codeName="Sheet4"/>
  <dimension ref="A1:J162"/>
  <sheetViews>
    <sheetView workbookViewId="0">
      <pane ySplit="1" topLeftCell="A2" activePane="bottomLeft" state="frozen"/>
      <selection pane="bottomLeft" activeCell="B18" sqref="B18"/>
    </sheetView>
  </sheetViews>
  <sheetFormatPr defaultRowHeight="13.5"/>
  <cols>
    <col min="1" max="1" width="12.125" bestFit="1" customWidth="1"/>
    <col min="2" max="2" width="8.75" bestFit="1" customWidth="1"/>
    <col min="5" max="5" width="12.875" customWidth="1"/>
    <col min="6" max="6" width="18.5" bestFit="1" customWidth="1"/>
    <col min="7" max="7" width="13.625" bestFit="1" customWidth="1"/>
    <col min="13" max="13" width="11.875" bestFit="1" customWidth="1"/>
  </cols>
  <sheetData>
    <row r="1" spans="1:10">
      <c r="A1" t="s">
        <v>0</v>
      </c>
      <c r="B1" t="s">
        <v>78</v>
      </c>
      <c r="C1" t="s">
        <v>709</v>
      </c>
      <c r="E1" t="s">
        <v>38</v>
      </c>
      <c r="F1" s="47" t="s">
        <v>80</v>
      </c>
      <c r="I1" t="s">
        <v>27</v>
      </c>
      <c r="J1" s="122" t="s">
        <v>298</v>
      </c>
    </row>
    <row r="2" spans="1:10">
      <c r="A2">
        <v>0</v>
      </c>
      <c r="B2" s="32">
        <v>1</v>
      </c>
      <c r="C2" t="str">
        <f>"0x"&amp;REPT("0",4-LEN(DEC2HEX(Table14[[#This Row],[Register]])))&amp;DEC2HEX(Table14[[#This Row],[Register]])</f>
        <v>0x0000</v>
      </c>
      <c r="E2">
        <v>16</v>
      </c>
      <c r="F2" t="s">
        <v>81</v>
      </c>
      <c r="H2" t="s">
        <v>710</v>
      </c>
      <c r="I2" s="88">
        <f>SUM(B2:B97)</f>
        <v>2</v>
      </c>
    </row>
    <row r="3" spans="1:10">
      <c r="A3">
        <v>1</v>
      </c>
      <c r="B3" s="32">
        <v>0</v>
      </c>
      <c r="C3" t="str">
        <f>"0x"&amp;REPT("0",4-LEN(DEC2HEX(Table14[[#This Row],[Register]])))&amp;DEC2HEX(Table14[[#This Row],[Register]])</f>
        <v>0x0001</v>
      </c>
      <c r="E3">
        <v>17</v>
      </c>
      <c r="F3" t="s">
        <v>81</v>
      </c>
    </row>
    <row r="4" spans="1:10">
      <c r="A4">
        <v>2</v>
      </c>
      <c r="B4" s="32">
        <v>0</v>
      </c>
      <c r="C4" t="str">
        <f>"0x"&amp;REPT("0",4-LEN(DEC2HEX(Table14[[#This Row],[Register]])))&amp;DEC2HEX(Table14[[#This Row],[Register]])</f>
        <v>0x0002</v>
      </c>
      <c r="E4">
        <v>770</v>
      </c>
      <c r="F4" t="s">
        <v>82</v>
      </c>
    </row>
    <row r="5" spans="1:10">
      <c r="A5">
        <v>3</v>
      </c>
      <c r="B5" s="32">
        <v>0</v>
      </c>
      <c r="C5" t="str">
        <f>"0x"&amp;REPT("0",4-LEN(DEC2HEX(Table14[[#This Row],[Register]])))&amp;DEC2HEX(Table14[[#This Row],[Register]])</f>
        <v>0x0003</v>
      </c>
      <c r="E5">
        <v>32</v>
      </c>
      <c r="F5" t="s">
        <v>719</v>
      </c>
    </row>
    <row r="6" spans="1:10">
      <c r="A6">
        <v>4</v>
      </c>
      <c r="B6" s="32">
        <v>0</v>
      </c>
      <c r="C6" t="str">
        <f>"0x"&amp;REPT("0",4-LEN(DEC2HEX(Table14[[#This Row],[Register]])))&amp;DEC2HEX(Table14[[#This Row],[Register]])</f>
        <v>0x0004</v>
      </c>
      <c r="E6">
        <v>33</v>
      </c>
      <c r="F6" t="s">
        <v>83</v>
      </c>
    </row>
    <row r="7" spans="1:10">
      <c r="A7">
        <v>5</v>
      </c>
      <c r="B7" s="32">
        <v>0</v>
      </c>
      <c r="C7" t="str">
        <f>"0x"&amp;REPT("0",4-LEN(DEC2HEX(Table14[[#This Row],[Register]])))&amp;DEC2HEX(Table14[[#This Row],[Register]])</f>
        <v>0x0005</v>
      </c>
      <c r="E7">
        <v>34</v>
      </c>
      <c r="F7" t="s">
        <v>84</v>
      </c>
    </row>
    <row r="8" spans="1:10">
      <c r="A8">
        <v>6</v>
      </c>
      <c r="B8" s="32">
        <v>0</v>
      </c>
      <c r="C8" t="str">
        <f>"0x"&amp;REPT("0",4-LEN(DEC2HEX(Table14[[#This Row],[Register]])))&amp;DEC2HEX(Table14[[#This Row],[Register]])</f>
        <v>0x0006</v>
      </c>
      <c r="E8">
        <v>36</v>
      </c>
      <c r="F8" t="s">
        <v>85</v>
      </c>
    </row>
    <row r="9" spans="1:10">
      <c r="A9">
        <v>7</v>
      </c>
      <c r="B9" s="32">
        <v>0</v>
      </c>
      <c r="C9" t="str">
        <f>"0x"&amp;REPT("0",4-LEN(DEC2HEX(Table14[[#This Row],[Register]])))&amp;DEC2HEX(Table14[[#This Row],[Register]])</f>
        <v>0x0007</v>
      </c>
      <c r="E9">
        <v>37</v>
      </c>
      <c r="F9" t="s">
        <v>701</v>
      </c>
    </row>
    <row r="10" spans="1:10">
      <c r="A10">
        <v>8</v>
      </c>
      <c r="B10" s="32">
        <v>0</v>
      </c>
      <c r="C10" t="str">
        <f>"0x"&amp;REPT("0",4-LEN(DEC2HEX(Table14[[#This Row],[Register]])))&amp;DEC2HEX(Table14[[#This Row],[Register]])</f>
        <v>0x0008</v>
      </c>
      <c r="E10">
        <v>38</v>
      </c>
      <c r="F10" t="s">
        <v>86</v>
      </c>
    </row>
    <row r="11" spans="1:10">
      <c r="A11">
        <v>9</v>
      </c>
      <c r="B11" s="32">
        <v>0</v>
      </c>
      <c r="C11" t="str">
        <f>"0x"&amp;REPT("0",4-LEN(DEC2HEX(Table14[[#This Row],[Register]])))&amp;DEC2HEX(Table14[[#This Row],[Register]])</f>
        <v>0x0009</v>
      </c>
      <c r="E11">
        <v>896</v>
      </c>
      <c r="F11" t="s">
        <v>87</v>
      </c>
    </row>
    <row r="12" spans="1:10">
      <c r="A12">
        <v>10</v>
      </c>
      <c r="B12" s="32">
        <v>0</v>
      </c>
      <c r="C12" t="str">
        <f>"0x"&amp;REPT("0",4-LEN(DEC2HEX(Table14[[#This Row],[Register]])))&amp;DEC2HEX(Table14[[#This Row],[Register]])</f>
        <v>0x000A</v>
      </c>
      <c r="E12">
        <v>897</v>
      </c>
      <c r="F12" t="s">
        <v>88</v>
      </c>
    </row>
    <row r="13" spans="1:10">
      <c r="A13">
        <v>11</v>
      </c>
      <c r="B13" s="32">
        <v>0</v>
      </c>
      <c r="C13" t="str">
        <f>"0x"&amp;REPT("0",4-LEN(DEC2HEX(Table14[[#This Row],[Register]])))&amp;DEC2HEX(Table14[[#This Row],[Register]])</f>
        <v>0x000B</v>
      </c>
      <c r="E13">
        <v>898</v>
      </c>
      <c r="F13" t="s">
        <v>89</v>
      </c>
    </row>
    <row r="14" spans="1:10">
      <c r="A14">
        <v>12</v>
      </c>
      <c r="B14" s="32">
        <v>0</v>
      </c>
      <c r="C14" t="str">
        <f>"0x"&amp;REPT("0",4-LEN(DEC2HEX(Table14[[#This Row],[Register]])))&amp;DEC2HEX(Table14[[#This Row],[Register]])</f>
        <v>0x000C</v>
      </c>
      <c r="E14">
        <v>907</v>
      </c>
      <c r="F14" t="s">
        <v>90</v>
      </c>
    </row>
    <row r="15" spans="1:10">
      <c r="A15">
        <v>13</v>
      </c>
      <c r="B15" s="32">
        <v>0</v>
      </c>
      <c r="C15" t="str">
        <f>"0x"&amp;REPT("0",4-LEN(DEC2HEX(Table14[[#This Row],[Register]])))&amp;DEC2HEX(Table14[[#This Row],[Register]])</f>
        <v>0x000D</v>
      </c>
      <c r="E15">
        <v>908</v>
      </c>
      <c r="F15" t="s">
        <v>91</v>
      </c>
    </row>
    <row r="16" spans="1:10">
      <c r="A16">
        <v>14</v>
      </c>
      <c r="B16" s="32">
        <v>0</v>
      </c>
      <c r="C16" t="str">
        <f>"0x"&amp;REPT("0",4-LEN(DEC2HEX(Table14[[#This Row],[Register]])))&amp;DEC2HEX(Table14[[#This Row],[Register]])</f>
        <v>0x000E</v>
      </c>
      <c r="E16">
        <v>1057</v>
      </c>
      <c r="F16" t="s">
        <v>96</v>
      </c>
    </row>
    <row r="17" spans="1:10">
      <c r="A17">
        <v>15</v>
      </c>
      <c r="B17" s="32">
        <v>0</v>
      </c>
      <c r="C17" t="str">
        <f>"0x"&amp;REPT("0",4-LEN(DEC2HEX(Table14[[#This Row],[Register]])))&amp;DEC2HEX(Table14[[#This Row],[Register]])</f>
        <v>0x000F</v>
      </c>
      <c r="E17">
        <v>1058</v>
      </c>
      <c r="F17" t="s">
        <v>92</v>
      </c>
    </row>
    <row r="18" spans="1:10">
      <c r="A18">
        <f t="shared" ref="A18:A33" si="0">A2+1024</f>
        <v>1024</v>
      </c>
      <c r="B18" s="32">
        <v>1</v>
      </c>
      <c r="C18" t="str">
        <f>"0x"&amp;REPT("0",4-LEN(DEC2HEX(Table14[[#This Row],[Register]])))&amp;DEC2HEX(Table14[[#This Row],[Register]])</f>
        <v>0x0400</v>
      </c>
      <c r="E18">
        <v>1059</v>
      </c>
      <c r="F18" t="s">
        <v>93</v>
      </c>
      <c r="H18" t="s">
        <v>726</v>
      </c>
      <c r="J18" t="s">
        <v>727</v>
      </c>
    </row>
    <row r="19" spans="1:10">
      <c r="A19">
        <f t="shared" si="0"/>
        <v>1025</v>
      </c>
      <c r="B19" s="32">
        <v>0</v>
      </c>
      <c r="C19" t="str">
        <f>"0x"&amp;REPT("0",4-LEN(DEC2HEX(Table14[[#This Row],[Register]])))&amp;DEC2HEX(Table14[[#This Row],[Register]])</f>
        <v>0x0401</v>
      </c>
      <c r="E19">
        <v>1067</v>
      </c>
      <c r="F19" t="s">
        <v>94</v>
      </c>
    </row>
    <row r="20" spans="1:10">
      <c r="A20">
        <f t="shared" si="0"/>
        <v>1026</v>
      </c>
      <c r="B20" s="32">
        <v>0</v>
      </c>
      <c r="C20" t="str">
        <f>"0x"&amp;REPT("0",4-LEN(DEC2HEX(Table14[[#This Row],[Register]])))&amp;DEC2HEX(Table14[[#This Row],[Register]])</f>
        <v>0x0402</v>
      </c>
      <c r="E20">
        <v>1068</v>
      </c>
      <c r="F20" t="s">
        <v>95</v>
      </c>
    </row>
    <row r="21" spans="1:10">
      <c r="A21">
        <f t="shared" si="0"/>
        <v>1027</v>
      </c>
      <c r="B21" s="32">
        <v>0</v>
      </c>
      <c r="C21" t="str">
        <f>"0x"&amp;REPT("0",4-LEN(DEC2HEX(Table14[[#This Row],[Register]])))&amp;DEC2HEX(Table14[[#This Row],[Register]])</f>
        <v>0x0403</v>
      </c>
      <c r="E21">
        <f>E16+1024</f>
        <v>2081</v>
      </c>
      <c r="F21" t="s">
        <v>98</v>
      </c>
    </row>
    <row r="22" spans="1:10">
      <c r="A22">
        <f t="shared" si="0"/>
        <v>1028</v>
      </c>
      <c r="B22" s="32">
        <v>0</v>
      </c>
      <c r="C22" t="str">
        <f>"0x"&amp;REPT("0",4-LEN(DEC2HEX(Table14[[#This Row],[Register]])))&amp;DEC2HEX(Table14[[#This Row],[Register]])</f>
        <v>0x0404</v>
      </c>
      <c r="E22">
        <f t="shared" ref="E22:E40" si="1">E17+1024</f>
        <v>2082</v>
      </c>
      <c r="F22" t="s">
        <v>99</v>
      </c>
    </row>
    <row r="23" spans="1:10">
      <c r="A23">
        <f t="shared" si="0"/>
        <v>1029</v>
      </c>
      <c r="B23" s="32">
        <v>0</v>
      </c>
      <c r="C23" t="str">
        <f>"0x"&amp;REPT("0",4-LEN(DEC2HEX(Table14[[#This Row],[Register]])))&amp;DEC2HEX(Table14[[#This Row],[Register]])</f>
        <v>0x0405</v>
      </c>
      <c r="E23">
        <f t="shared" si="1"/>
        <v>2083</v>
      </c>
      <c r="F23" t="s">
        <v>100</v>
      </c>
    </row>
    <row r="24" spans="1:10">
      <c r="A24">
        <f t="shared" si="0"/>
        <v>1030</v>
      </c>
      <c r="B24" s="32">
        <v>0</v>
      </c>
      <c r="C24" t="str">
        <f>"0x"&amp;REPT("0",4-LEN(DEC2HEX(Table14[[#This Row],[Register]])))&amp;DEC2HEX(Table14[[#This Row],[Register]])</f>
        <v>0x0406</v>
      </c>
      <c r="E24">
        <f t="shared" si="1"/>
        <v>2091</v>
      </c>
      <c r="F24" t="s">
        <v>101</v>
      </c>
    </row>
    <row r="25" spans="1:10">
      <c r="A25">
        <f t="shared" si="0"/>
        <v>1031</v>
      </c>
      <c r="B25" s="32">
        <v>0</v>
      </c>
      <c r="C25" t="str">
        <f>"0x"&amp;REPT("0",4-LEN(DEC2HEX(Table14[[#This Row],[Register]])))&amp;DEC2HEX(Table14[[#This Row],[Register]])</f>
        <v>0x0407</v>
      </c>
      <c r="E25">
        <f t="shared" si="1"/>
        <v>2092</v>
      </c>
      <c r="F25" t="s">
        <v>102</v>
      </c>
    </row>
    <row r="26" spans="1:10">
      <c r="A26">
        <f t="shared" si="0"/>
        <v>1032</v>
      </c>
      <c r="B26" s="32">
        <v>0</v>
      </c>
      <c r="C26" t="str">
        <f>"0x"&amp;REPT("0",4-LEN(DEC2HEX(Table14[[#This Row],[Register]])))&amp;DEC2HEX(Table14[[#This Row],[Register]])</f>
        <v>0x0408</v>
      </c>
      <c r="E26">
        <f>E21+1024</f>
        <v>3105</v>
      </c>
      <c r="F26" t="s">
        <v>103</v>
      </c>
    </row>
    <row r="27" spans="1:10">
      <c r="A27">
        <f t="shared" si="0"/>
        <v>1033</v>
      </c>
      <c r="B27" s="32">
        <v>0</v>
      </c>
      <c r="C27" t="str">
        <f>"0x"&amp;REPT("0",4-LEN(DEC2HEX(Table14[[#This Row],[Register]])))&amp;DEC2HEX(Table14[[#This Row],[Register]])</f>
        <v>0x0409</v>
      </c>
      <c r="E27">
        <f t="shared" si="1"/>
        <v>3106</v>
      </c>
      <c r="F27" t="s">
        <v>104</v>
      </c>
    </row>
    <row r="28" spans="1:10">
      <c r="A28">
        <f t="shared" si="0"/>
        <v>1034</v>
      </c>
      <c r="B28" s="32">
        <v>0</v>
      </c>
      <c r="C28" t="str">
        <f>"0x"&amp;REPT("0",4-LEN(DEC2HEX(Table14[[#This Row],[Register]])))&amp;DEC2HEX(Table14[[#This Row],[Register]])</f>
        <v>0x040A</v>
      </c>
      <c r="E28">
        <f t="shared" si="1"/>
        <v>3107</v>
      </c>
      <c r="F28" t="s">
        <v>105</v>
      </c>
    </row>
    <row r="29" spans="1:10">
      <c r="A29">
        <f t="shared" si="0"/>
        <v>1035</v>
      </c>
      <c r="B29" s="32">
        <v>0</v>
      </c>
      <c r="C29" t="str">
        <f>"0x"&amp;REPT("0",4-LEN(DEC2HEX(Table14[[#This Row],[Register]])))&amp;DEC2HEX(Table14[[#This Row],[Register]])</f>
        <v>0x040B</v>
      </c>
      <c r="E29">
        <f t="shared" si="1"/>
        <v>3115</v>
      </c>
      <c r="F29" t="s">
        <v>106</v>
      </c>
    </row>
    <row r="30" spans="1:10">
      <c r="A30">
        <f t="shared" si="0"/>
        <v>1036</v>
      </c>
      <c r="B30" s="32">
        <v>0</v>
      </c>
      <c r="C30" t="str">
        <f>"0x"&amp;REPT("0",4-LEN(DEC2HEX(Table14[[#This Row],[Register]])))&amp;DEC2HEX(Table14[[#This Row],[Register]])</f>
        <v>0x040C</v>
      </c>
      <c r="E30">
        <f t="shared" si="1"/>
        <v>3116</v>
      </c>
      <c r="F30" t="s">
        <v>107</v>
      </c>
    </row>
    <row r="31" spans="1:10">
      <c r="A31">
        <f t="shared" si="0"/>
        <v>1037</v>
      </c>
      <c r="B31" s="32">
        <v>0</v>
      </c>
      <c r="C31" t="str">
        <f>"0x"&amp;REPT("0",4-LEN(DEC2HEX(Table14[[#This Row],[Register]])))&amp;DEC2HEX(Table14[[#This Row],[Register]])</f>
        <v>0x040D</v>
      </c>
      <c r="E31">
        <f>E26+1024</f>
        <v>4129</v>
      </c>
      <c r="F31" t="s">
        <v>108</v>
      </c>
    </row>
    <row r="32" spans="1:10">
      <c r="A32">
        <f t="shared" si="0"/>
        <v>1038</v>
      </c>
      <c r="B32" s="32">
        <v>0</v>
      </c>
      <c r="C32" t="str">
        <f>"0x"&amp;REPT("0",4-LEN(DEC2HEX(Table14[[#This Row],[Register]])))&amp;DEC2HEX(Table14[[#This Row],[Register]])</f>
        <v>0x040E</v>
      </c>
      <c r="E32">
        <f t="shared" si="1"/>
        <v>4130</v>
      </c>
      <c r="F32" t="s">
        <v>109</v>
      </c>
    </row>
    <row r="33" spans="1:10">
      <c r="A33">
        <f t="shared" si="0"/>
        <v>1039</v>
      </c>
      <c r="B33" s="32">
        <v>0</v>
      </c>
      <c r="C33" t="str">
        <f>"0x"&amp;REPT("0",4-LEN(DEC2HEX(Table14[[#This Row],[Register]])))&amp;DEC2HEX(Table14[[#This Row],[Register]])</f>
        <v>0x040F</v>
      </c>
      <c r="E33">
        <f t="shared" si="1"/>
        <v>4131</v>
      </c>
      <c r="F33" t="s">
        <v>110</v>
      </c>
    </row>
    <row r="34" spans="1:10">
      <c r="A34">
        <f>A18+1024</f>
        <v>2048</v>
      </c>
      <c r="B34" s="32">
        <v>0</v>
      </c>
      <c r="C34" t="str">
        <f>"0x"&amp;REPT("0",4-LEN(DEC2HEX(Table14[[#This Row],[Register]])))&amp;DEC2HEX(Table14[[#This Row],[Register]])</f>
        <v>0x0800</v>
      </c>
      <c r="E34">
        <f t="shared" si="1"/>
        <v>4139</v>
      </c>
      <c r="F34" t="s">
        <v>111</v>
      </c>
    </row>
    <row r="35" spans="1:10">
      <c r="A35">
        <f t="shared" ref="A35:A97" si="2">A19+1024</f>
        <v>2049</v>
      </c>
      <c r="B35" s="32">
        <v>0</v>
      </c>
      <c r="C35" t="str">
        <f>"0x"&amp;REPT("0",4-LEN(DEC2HEX(Table14[[#This Row],[Register]])))&amp;DEC2HEX(Table14[[#This Row],[Register]])</f>
        <v>0x0801</v>
      </c>
      <c r="E35">
        <f t="shared" si="1"/>
        <v>4140</v>
      </c>
      <c r="F35" t="s">
        <v>112</v>
      </c>
    </row>
    <row r="36" spans="1:10">
      <c r="A36">
        <f t="shared" si="2"/>
        <v>2050</v>
      </c>
      <c r="B36" s="32">
        <v>0</v>
      </c>
      <c r="C36" t="str">
        <f>"0x"&amp;REPT("0",4-LEN(DEC2HEX(Table14[[#This Row],[Register]])))&amp;DEC2HEX(Table14[[#This Row],[Register]])</f>
        <v>0x0802</v>
      </c>
      <c r="E36">
        <f>E31+1024</f>
        <v>5153</v>
      </c>
      <c r="F36" t="s">
        <v>113</v>
      </c>
    </row>
    <row r="37" spans="1:10">
      <c r="A37">
        <f t="shared" si="2"/>
        <v>2051</v>
      </c>
      <c r="B37" s="32">
        <v>0</v>
      </c>
      <c r="C37" t="str">
        <f>"0x"&amp;REPT("0",4-LEN(DEC2HEX(Table14[[#This Row],[Register]])))&amp;DEC2HEX(Table14[[#This Row],[Register]])</f>
        <v>0x0803</v>
      </c>
      <c r="E37">
        <f t="shared" si="1"/>
        <v>5154</v>
      </c>
      <c r="F37" t="s">
        <v>114</v>
      </c>
    </row>
    <row r="38" spans="1:10">
      <c r="A38">
        <f t="shared" si="2"/>
        <v>2052</v>
      </c>
      <c r="B38" s="32">
        <v>0</v>
      </c>
      <c r="C38" t="str">
        <f>"0x"&amp;REPT("0",4-LEN(DEC2HEX(Table14[[#This Row],[Register]])))&amp;DEC2HEX(Table14[[#This Row],[Register]])</f>
        <v>0x0804</v>
      </c>
      <c r="E38">
        <f t="shared" si="1"/>
        <v>5155</v>
      </c>
      <c r="F38" t="s">
        <v>115</v>
      </c>
    </row>
    <row r="39" spans="1:10">
      <c r="A39">
        <f t="shared" si="2"/>
        <v>2053</v>
      </c>
      <c r="B39" s="32">
        <v>0</v>
      </c>
      <c r="C39" t="str">
        <f>"0x"&amp;REPT("0",4-LEN(DEC2HEX(Table14[[#This Row],[Register]])))&amp;DEC2HEX(Table14[[#This Row],[Register]])</f>
        <v>0x0805</v>
      </c>
      <c r="E39">
        <f t="shared" si="1"/>
        <v>5163</v>
      </c>
      <c r="F39" t="s">
        <v>116</v>
      </c>
    </row>
    <row r="40" spans="1:10">
      <c r="A40">
        <f t="shared" si="2"/>
        <v>2054</v>
      </c>
      <c r="B40" s="32">
        <v>0</v>
      </c>
      <c r="C40" t="str">
        <f>"0x"&amp;REPT("0",4-LEN(DEC2HEX(Table14[[#This Row],[Register]])))&amp;DEC2HEX(Table14[[#This Row],[Register]])</f>
        <v>0x0806</v>
      </c>
      <c r="E40">
        <f t="shared" si="1"/>
        <v>5164</v>
      </c>
      <c r="F40" t="s">
        <v>117</v>
      </c>
    </row>
    <row r="41" spans="1:10">
      <c r="A41">
        <f t="shared" si="2"/>
        <v>2055</v>
      </c>
      <c r="B41" s="32">
        <v>0</v>
      </c>
      <c r="C41" t="str">
        <f>"0x"&amp;REPT("0",4-LEN(DEC2HEX(Table14[[#This Row],[Register]])))&amp;DEC2HEX(Table14[[#This Row],[Register]])</f>
        <v>0x0807</v>
      </c>
      <c r="E41">
        <v>279</v>
      </c>
      <c r="F41" t="s">
        <v>97</v>
      </c>
      <c r="G41" t="str">
        <f>DEC2HEX(Table14[[#This Row],[Value]]*10)</f>
        <v>0</v>
      </c>
    </row>
    <row r="42" spans="1:10">
      <c r="A42">
        <f t="shared" si="2"/>
        <v>2056</v>
      </c>
      <c r="B42" s="32">
        <v>0</v>
      </c>
      <c r="C42" t="str">
        <f>"0x"&amp;REPT("0",4-LEN(DEC2HEX(Table14[[#This Row],[Register]])))&amp;DEC2HEX(Table14[[#This Row],[Register]])</f>
        <v>0x0808</v>
      </c>
      <c r="E42">
        <v>5</v>
      </c>
      <c r="F42" t="s">
        <v>398</v>
      </c>
    </row>
    <row r="43" spans="1:10">
      <c r="A43">
        <f t="shared" si="2"/>
        <v>2057</v>
      </c>
      <c r="B43" s="32">
        <v>0</v>
      </c>
      <c r="C43" t="str">
        <f>"0x"&amp;REPT("0",4-LEN(DEC2HEX(Table14[[#This Row],[Register]])))&amp;DEC2HEX(Table14[[#This Row],[Register]])</f>
        <v>0x0809</v>
      </c>
      <c r="E43">
        <v>1078</v>
      </c>
      <c r="F43" t="s">
        <v>695</v>
      </c>
      <c r="G43">
        <f t="shared" ref="G43:G48" si="3">E43+1024</f>
        <v>2102</v>
      </c>
      <c r="H43">
        <f t="shared" ref="H43:J48" si="4">G43+1024</f>
        <v>3126</v>
      </c>
      <c r="I43">
        <f t="shared" si="4"/>
        <v>4150</v>
      </c>
      <c r="J43">
        <f t="shared" si="4"/>
        <v>5174</v>
      </c>
    </row>
    <row r="44" spans="1:10">
      <c r="A44">
        <f t="shared" si="2"/>
        <v>2058</v>
      </c>
      <c r="B44" s="32">
        <v>0</v>
      </c>
      <c r="C44" t="str">
        <f>"0x"&amp;REPT("0",4-LEN(DEC2HEX(Table14[[#This Row],[Register]])))&amp;DEC2HEX(Table14[[#This Row],[Register]])</f>
        <v>0x080A</v>
      </c>
      <c r="E44">
        <v>1079</v>
      </c>
      <c r="F44" t="s">
        <v>696</v>
      </c>
      <c r="G44">
        <f t="shared" si="3"/>
        <v>2103</v>
      </c>
      <c r="H44">
        <f t="shared" si="4"/>
        <v>3127</v>
      </c>
      <c r="I44">
        <f t="shared" si="4"/>
        <v>4151</v>
      </c>
      <c r="J44">
        <f t="shared" si="4"/>
        <v>5175</v>
      </c>
    </row>
    <row r="45" spans="1:10">
      <c r="A45">
        <f t="shared" si="2"/>
        <v>2059</v>
      </c>
      <c r="B45" s="32">
        <v>0</v>
      </c>
      <c r="C45" t="str">
        <f>"0x"&amp;REPT("0",4-LEN(DEC2HEX(Table14[[#This Row],[Register]])))&amp;DEC2HEX(Table14[[#This Row],[Register]])</f>
        <v>0x080B</v>
      </c>
      <c r="E45">
        <v>1108</v>
      </c>
      <c r="F45" t="s">
        <v>697</v>
      </c>
      <c r="G45">
        <f t="shared" si="3"/>
        <v>2132</v>
      </c>
      <c r="H45">
        <f t="shared" si="4"/>
        <v>3156</v>
      </c>
      <c r="I45">
        <f t="shared" si="4"/>
        <v>4180</v>
      </c>
      <c r="J45">
        <f t="shared" si="4"/>
        <v>5204</v>
      </c>
    </row>
    <row r="46" spans="1:10">
      <c r="A46">
        <f t="shared" si="2"/>
        <v>2060</v>
      </c>
      <c r="B46" s="32">
        <v>0</v>
      </c>
      <c r="C46" t="str">
        <f>"0x"&amp;REPT("0",4-LEN(DEC2HEX(Table14[[#This Row],[Register]])))&amp;DEC2HEX(Table14[[#This Row],[Register]])</f>
        <v>0x080C</v>
      </c>
      <c r="E46">
        <v>1109</v>
      </c>
      <c r="F46" t="s">
        <v>698</v>
      </c>
      <c r="G46">
        <f t="shared" si="3"/>
        <v>2133</v>
      </c>
      <c r="H46">
        <f t="shared" si="4"/>
        <v>3157</v>
      </c>
      <c r="I46">
        <f t="shared" si="4"/>
        <v>4181</v>
      </c>
      <c r="J46">
        <f t="shared" si="4"/>
        <v>5205</v>
      </c>
    </row>
    <row r="47" spans="1:10">
      <c r="A47">
        <f t="shared" si="2"/>
        <v>2061</v>
      </c>
      <c r="B47" s="32">
        <v>0</v>
      </c>
      <c r="C47" t="str">
        <f>"0x"&amp;REPT("0",4-LEN(DEC2HEX(Table14[[#This Row],[Register]])))&amp;DEC2HEX(Table14[[#This Row],[Register]])</f>
        <v>0x080D</v>
      </c>
      <c r="E47">
        <v>1110</v>
      </c>
      <c r="F47" t="s">
        <v>699</v>
      </c>
      <c r="G47">
        <f t="shared" si="3"/>
        <v>2134</v>
      </c>
      <c r="H47">
        <f t="shared" si="4"/>
        <v>3158</v>
      </c>
      <c r="I47">
        <f t="shared" si="4"/>
        <v>4182</v>
      </c>
      <c r="J47">
        <f t="shared" si="4"/>
        <v>5206</v>
      </c>
    </row>
    <row r="48" spans="1:10">
      <c r="A48">
        <f t="shared" si="2"/>
        <v>2062</v>
      </c>
      <c r="B48" s="32">
        <v>0</v>
      </c>
      <c r="C48" t="str">
        <f>"0x"&amp;REPT("0",4-LEN(DEC2HEX(Table14[[#This Row],[Register]])))&amp;DEC2HEX(Table14[[#This Row],[Register]])</f>
        <v>0x080E</v>
      </c>
      <c r="E48">
        <v>1111</v>
      </c>
      <c r="F48" t="s">
        <v>700</v>
      </c>
      <c r="G48">
        <f t="shared" si="3"/>
        <v>2135</v>
      </c>
      <c r="H48">
        <f t="shared" si="4"/>
        <v>3159</v>
      </c>
      <c r="I48">
        <f t="shared" si="4"/>
        <v>4183</v>
      </c>
      <c r="J48">
        <f t="shared" si="4"/>
        <v>5207</v>
      </c>
    </row>
    <row r="49" spans="1:6">
      <c r="A49">
        <f t="shared" si="2"/>
        <v>2063</v>
      </c>
      <c r="B49" s="32">
        <v>0</v>
      </c>
      <c r="C49" t="str">
        <f>"0x"&amp;REPT("0",4-LEN(DEC2HEX(Table14[[#This Row],[Register]])))&amp;DEC2HEX(Table14[[#This Row],[Register]])</f>
        <v>0x080F</v>
      </c>
      <c r="E49">
        <v>772</v>
      </c>
      <c r="F49" t="s">
        <v>720</v>
      </c>
    </row>
    <row r="50" spans="1:6">
      <c r="A50">
        <f t="shared" si="2"/>
        <v>3072</v>
      </c>
      <c r="B50" s="32">
        <v>0</v>
      </c>
      <c r="C50" t="str">
        <f>"0x"&amp;REPT("0",4-LEN(DEC2HEX(Table14[[#This Row],[Register]])))&amp;DEC2HEX(Table14[[#This Row],[Register]])</f>
        <v>0x0C00</v>
      </c>
      <c r="F50" t="s">
        <v>728</v>
      </c>
    </row>
    <row r="51" spans="1:6">
      <c r="A51">
        <f t="shared" si="2"/>
        <v>3073</v>
      </c>
      <c r="B51" s="32">
        <v>0</v>
      </c>
      <c r="C51" t="str">
        <f>"0x"&amp;REPT("0",4-LEN(DEC2HEX(Table14[[#This Row],[Register]])))&amp;DEC2HEX(Table14[[#This Row],[Register]])</f>
        <v>0x0C01</v>
      </c>
    </row>
    <row r="52" spans="1:6">
      <c r="A52">
        <f t="shared" si="2"/>
        <v>3074</v>
      </c>
      <c r="B52" s="32">
        <v>0</v>
      </c>
      <c r="C52" t="str">
        <f>"0x"&amp;REPT("0",4-LEN(DEC2HEX(Table14[[#This Row],[Register]])))&amp;DEC2HEX(Table14[[#This Row],[Register]])</f>
        <v>0x0C02</v>
      </c>
    </row>
    <row r="53" spans="1:6">
      <c r="A53">
        <f t="shared" si="2"/>
        <v>3075</v>
      </c>
      <c r="B53" s="32">
        <v>0</v>
      </c>
      <c r="C53" t="str">
        <f>"0x"&amp;REPT("0",4-LEN(DEC2HEX(Table14[[#This Row],[Register]])))&amp;DEC2HEX(Table14[[#This Row],[Register]])</f>
        <v>0x0C03</v>
      </c>
    </row>
    <row r="54" spans="1:6">
      <c r="A54">
        <f t="shared" si="2"/>
        <v>3076</v>
      </c>
      <c r="B54" s="32">
        <v>0</v>
      </c>
      <c r="C54" t="str">
        <f>"0x"&amp;REPT("0",4-LEN(DEC2HEX(Table14[[#This Row],[Register]])))&amp;DEC2HEX(Table14[[#This Row],[Register]])</f>
        <v>0x0C04</v>
      </c>
    </row>
    <row r="55" spans="1:6">
      <c r="A55">
        <f t="shared" si="2"/>
        <v>3077</v>
      </c>
      <c r="B55" s="32">
        <v>0</v>
      </c>
      <c r="C55" t="str">
        <f>"0x"&amp;REPT("0",4-LEN(DEC2HEX(Table14[[#This Row],[Register]])))&amp;DEC2HEX(Table14[[#This Row],[Register]])</f>
        <v>0x0C05</v>
      </c>
    </row>
    <row r="56" spans="1:6">
      <c r="A56">
        <f t="shared" si="2"/>
        <v>3078</v>
      </c>
      <c r="B56" s="32">
        <v>0</v>
      </c>
      <c r="C56" t="str">
        <f>"0x"&amp;REPT("0",4-LEN(DEC2HEX(Table14[[#This Row],[Register]])))&amp;DEC2HEX(Table14[[#This Row],[Register]])</f>
        <v>0x0C06</v>
      </c>
    </row>
    <row r="57" spans="1:6">
      <c r="A57">
        <f t="shared" si="2"/>
        <v>3079</v>
      </c>
      <c r="B57" s="32">
        <v>0</v>
      </c>
      <c r="C57" t="str">
        <f>"0x"&amp;REPT("0",4-LEN(DEC2HEX(Table14[[#This Row],[Register]])))&amp;DEC2HEX(Table14[[#This Row],[Register]])</f>
        <v>0x0C07</v>
      </c>
    </row>
    <row r="58" spans="1:6">
      <c r="A58">
        <f t="shared" si="2"/>
        <v>3080</v>
      </c>
      <c r="B58" s="32">
        <v>0</v>
      </c>
      <c r="C58" t="str">
        <f>"0x"&amp;REPT("0",4-LEN(DEC2HEX(Table14[[#This Row],[Register]])))&amp;DEC2HEX(Table14[[#This Row],[Register]])</f>
        <v>0x0C08</v>
      </c>
    </row>
    <row r="59" spans="1:6">
      <c r="A59">
        <f t="shared" si="2"/>
        <v>3081</v>
      </c>
      <c r="B59" s="32">
        <v>0</v>
      </c>
      <c r="C59" t="str">
        <f>"0x"&amp;REPT("0",4-LEN(DEC2HEX(Table14[[#This Row],[Register]])))&amp;DEC2HEX(Table14[[#This Row],[Register]])</f>
        <v>0x0C09</v>
      </c>
    </row>
    <row r="60" spans="1:6">
      <c r="A60">
        <f t="shared" si="2"/>
        <v>3082</v>
      </c>
      <c r="B60" s="32">
        <v>0</v>
      </c>
      <c r="C60" t="str">
        <f>"0x"&amp;REPT("0",4-LEN(DEC2HEX(Table14[[#This Row],[Register]])))&amp;DEC2HEX(Table14[[#This Row],[Register]])</f>
        <v>0x0C0A</v>
      </c>
    </row>
    <row r="61" spans="1:6">
      <c r="A61">
        <f t="shared" si="2"/>
        <v>3083</v>
      </c>
      <c r="B61" s="32">
        <v>0</v>
      </c>
      <c r="C61" t="str">
        <f>"0x"&amp;REPT("0",4-LEN(DEC2HEX(Table14[[#This Row],[Register]])))&amp;DEC2HEX(Table14[[#This Row],[Register]])</f>
        <v>0x0C0B</v>
      </c>
    </row>
    <row r="62" spans="1:6">
      <c r="A62">
        <f t="shared" si="2"/>
        <v>3084</v>
      </c>
      <c r="B62" s="32">
        <v>0</v>
      </c>
      <c r="C62" t="str">
        <f>"0x"&amp;REPT("0",4-LEN(DEC2HEX(Table14[[#This Row],[Register]])))&amp;DEC2HEX(Table14[[#This Row],[Register]])</f>
        <v>0x0C0C</v>
      </c>
    </row>
    <row r="63" spans="1:6">
      <c r="A63">
        <f t="shared" si="2"/>
        <v>3085</v>
      </c>
      <c r="B63" s="32">
        <v>0</v>
      </c>
      <c r="C63" t="str">
        <f>"0x"&amp;REPT("0",4-LEN(DEC2HEX(Table14[[#This Row],[Register]])))&amp;DEC2HEX(Table14[[#This Row],[Register]])</f>
        <v>0x0C0D</v>
      </c>
    </row>
    <row r="64" spans="1:6">
      <c r="A64">
        <f t="shared" si="2"/>
        <v>3086</v>
      </c>
      <c r="B64" s="32">
        <v>0</v>
      </c>
      <c r="C64" t="str">
        <f>"0x"&amp;REPT("0",4-LEN(DEC2HEX(Table14[[#This Row],[Register]])))&amp;DEC2HEX(Table14[[#This Row],[Register]])</f>
        <v>0x0C0E</v>
      </c>
    </row>
    <row r="65" spans="1:6">
      <c r="A65">
        <f t="shared" si="2"/>
        <v>3087</v>
      </c>
      <c r="B65" s="32">
        <v>0</v>
      </c>
      <c r="C65" t="str">
        <f>"0x"&amp;REPT("0",4-LEN(DEC2HEX(Table14[[#This Row],[Register]])))&amp;DEC2HEX(Table14[[#This Row],[Register]])</f>
        <v>0x0C0F</v>
      </c>
    </row>
    <row r="66" spans="1:6">
      <c r="A66">
        <f t="shared" si="2"/>
        <v>4096</v>
      </c>
      <c r="B66" s="32">
        <v>0</v>
      </c>
      <c r="C66" t="str">
        <f>"0x"&amp;REPT("0",4-LEN(DEC2HEX(Table14[[#This Row],[Register]])))&amp;DEC2HEX(Table14[[#This Row],[Register]])</f>
        <v>0x1000</v>
      </c>
      <c r="F66" t="s">
        <v>729</v>
      </c>
    </row>
    <row r="67" spans="1:6">
      <c r="A67">
        <f t="shared" si="2"/>
        <v>4097</v>
      </c>
      <c r="B67" s="32">
        <v>0</v>
      </c>
      <c r="C67" t="str">
        <f>"0x"&amp;REPT("0",4-LEN(DEC2HEX(Table14[[#This Row],[Register]])))&amp;DEC2HEX(Table14[[#This Row],[Register]])</f>
        <v>0x1001</v>
      </c>
    </row>
    <row r="68" spans="1:6">
      <c r="A68">
        <f t="shared" si="2"/>
        <v>4098</v>
      </c>
      <c r="B68" s="32">
        <v>0</v>
      </c>
      <c r="C68" t="str">
        <f>"0x"&amp;REPT("0",4-LEN(DEC2HEX(Table14[[#This Row],[Register]])))&amp;DEC2HEX(Table14[[#This Row],[Register]])</f>
        <v>0x1002</v>
      </c>
    </row>
    <row r="69" spans="1:6">
      <c r="A69">
        <f t="shared" si="2"/>
        <v>4099</v>
      </c>
      <c r="B69" s="32">
        <v>0</v>
      </c>
      <c r="C69" t="str">
        <f>"0x"&amp;REPT("0",4-LEN(DEC2HEX(Table14[[#This Row],[Register]])))&amp;DEC2HEX(Table14[[#This Row],[Register]])</f>
        <v>0x1003</v>
      </c>
    </row>
    <row r="70" spans="1:6">
      <c r="A70">
        <f t="shared" si="2"/>
        <v>4100</v>
      </c>
      <c r="B70" s="32">
        <v>0</v>
      </c>
      <c r="C70" t="str">
        <f>"0x"&amp;REPT("0",4-LEN(DEC2HEX(Table14[[#This Row],[Register]])))&amp;DEC2HEX(Table14[[#This Row],[Register]])</f>
        <v>0x1004</v>
      </c>
    </row>
    <row r="71" spans="1:6">
      <c r="A71">
        <f t="shared" si="2"/>
        <v>4101</v>
      </c>
      <c r="B71" s="32">
        <v>0</v>
      </c>
      <c r="C71" t="str">
        <f>"0x"&amp;REPT("0",4-LEN(DEC2HEX(Table14[[#This Row],[Register]])))&amp;DEC2HEX(Table14[[#This Row],[Register]])</f>
        <v>0x1005</v>
      </c>
    </row>
    <row r="72" spans="1:6">
      <c r="A72">
        <f t="shared" si="2"/>
        <v>4102</v>
      </c>
      <c r="B72" s="32">
        <v>0</v>
      </c>
      <c r="C72" t="str">
        <f>"0x"&amp;REPT("0",4-LEN(DEC2HEX(Table14[[#This Row],[Register]])))&amp;DEC2HEX(Table14[[#This Row],[Register]])</f>
        <v>0x1006</v>
      </c>
    </row>
    <row r="73" spans="1:6">
      <c r="A73">
        <f t="shared" si="2"/>
        <v>4103</v>
      </c>
      <c r="B73" s="32">
        <v>0</v>
      </c>
      <c r="C73" t="str">
        <f>"0x"&amp;REPT("0",4-LEN(DEC2HEX(Table14[[#This Row],[Register]])))&amp;DEC2HEX(Table14[[#This Row],[Register]])</f>
        <v>0x1007</v>
      </c>
    </row>
    <row r="74" spans="1:6">
      <c r="A74">
        <f t="shared" si="2"/>
        <v>4104</v>
      </c>
      <c r="B74" s="32">
        <v>0</v>
      </c>
      <c r="C74" t="str">
        <f>"0x"&amp;REPT("0",4-LEN(DEC2HEX(Table14[[#This Row],[Register]])))&amp;DEC2HEX(Table14[[#This Row],[Register]])</f>
        <v>0x1008</v>
      </c>
    </row>
    <row r="75" spans="1:6">
      <c r="A75">
        <f t="shared" si="2"/>
        <v>4105</v>
      </c>
      <c r="B75" s="32">
        <v>0</v>
      </c>
      <c r="C75" t="str">
        <f>"0x"&amp;REPT("0",4-LEN(DEC2HEX(Table14[[#This Row],[Register]])))&amp;DEC2HEX(Table14[[#This Row],[Register]])</f>
        <v>0x1009</v>
      </c>
    </row>
    <row r="76" spans="1:6">
      <c r="A76">
        <f t="shared" si="2"/>
        <v>4106</v>
      </c>
      <c r="B76" s="32">
        <v>0</v>
      </c>
      <c r="C76" t="str">
        <f>"0x"&amp;REPT("0",4-LEN(DEC2HEX(Table14[[#This Row],[Register]])))&amp;DEC2HEX(Table14[[#This Row],[Register]])</f>
        <v>0x100A</v>
      </c>
    </row>
    <row r="77" spans="1:6">
      <c r="A77">
        <f t="shared" si="2"/>
        <v>4107</v>
      </c>
      <c r="B77" s="32">
        <v>0</v>
      </c>
      <c r="C77" t="str">
        <f>"0x"&amp;REPT("0",4-LEN(DEC2HEX(Table14[[#This Row],[Register]])))&amp;DEC2HEX(Table14[[#This Row],[Register]])</f>
        <v>0x100B</v>
      </c>
    </row>
    <row r="78" spans="1:6">
      <c r="A78">
        <f t="shared" si="2"/>
        <v>4108</v>
      </c>
      <c r="B78" s="32">
        <v>0</v>
      </c>
      <c r="C78" t="str">
        <f>"0x"&amp;REPT("0",4-LEN(DEC2HEX(Table14[[#This Row],[Register]])))&amp;DEC2HEX(Table14[[#This Row],[Register]])</f>
        <v>0x100C</v>
      </c>
    </row>
    <row r="79" spans="1:6">
      <c r="A79">
        <f t="shared" si="2"/>
        <v>4109</v>
      </c>
      <c r="B79" s="32">
        <v>0</v>
      </c>
      <c r="C79" t="str">
        <f>"0x"&amp;REPT("0",4-LEN(DEC2HEX(Table14[[#This Row],[Register]])))&amp;DEC2HEX(Table14[[#This Row],[Register]])</f>
        <v>0x100D</v>
      </c>
    </row>
    <row r="80" spans="1:6">
      <c r="A80">
        <f t="shared" si="2"/>
        <v>4110</v>
      </c>
      <c r="B80" s="32">
        <v>0</v>
      </c>
      <c r="C80" t="str">
        <f>"0x"&amp;REPT("0",4-LEN(DEC2HEX(Table14[[#This Row],[Register]])))&amp;DEC2HEX(Table14[[#This Row],[Register]])</f>
        <v>0x100E</v>
      </c>
    </row>
    <row r="81" spans="1:6">
      <c r="A81">
        <f t="shared" si="2"/>
        <v>4111</v>
      </c>
      <c r="B81" s="32">
        <v>0</v>
      </c>
      <c r="C81" t="str">
        <f>"0x"&amp;REPT("0",4-LEN(DEC2HEX(Table14[[#This Row],[Register]])))&amp;DEC2HEX(Table14[[#This Row],[Register]])</f>
        <v>0x100F</v>
      </c>
    </row>
    <row r="82" spans="1:6">
      <c r="A82">
        <f t="shared" si="2"/>
        <v>5120</v>
      </c>
      <c r="B82" s="32">
        <v>0</v>
      </c>
      <c r="C82" t="str">
        <f>"0x"&amp;REPT("0",4-LEN(DEC2HEX(Table14[[#This Row],[Register]])))&amp;DEC2HEX(Table14[[#This Row],[Register]])</f>
        <v>0x1400</v>
      </c>
      <c r="F82" t="s">
        <v>730</v>
      </c>
    </row>
    <row r="83" spans="1:6">
      <c r="A83">
        <f t="shared" si="2"/>
        <v>5121</v>
      </c>
      <c r="B83" s="32">
        <v>0</v>
      </c>
      <c r="C83" t="str">
        <f>"0x"&amp;REPT("0",4-LEN(DEC2HEX(Table14[[#This Row],[Register]])))&amp;DEC2HEX(Table14[[#This Row],[Register]])</f>
        <v>0x1401</v>
      </c>
    </row>
    <row r="84" spans="1:6">
      <c r="A84">
        <f t="shared" si="2"/>
        <v>5122</v>
      </c>
      <c r="B84" s="32">
        <v>0</v>
      </c>
      <c r="C84" t="str">
        <f>"0x"&amp;REPT("0",4-LEN(DEC2HEX(Table14[[#This Row],[Register]])))&amp;DEC2HEX(Table14[[#This Row],[Register]])</f>
        <v>0x1402</v>
      </c>
    </row>
    <row r="85" spans="1:6">
      <c r="A85">
        <f t="shared" si="2"/>
        <v>5123</v>
      </c>
      <c r="B85" s="32">
        <v>0</v>
      </c>
      <c r="C85" t="str">
        <f>"0x"&amp;REPT("0",4-LEN(DEC2HEX(Table14[[#This Row],[Register]])))&amp;DEC2HEX(Table14[[#This Row],[Register]])</f>
        <v>0x1403</v>
      </c>
    </row>
    <row r="86" spans="1:6">
      <c r="A86">
        <f t="shared" si="2"/>
        <v>5124</v>
      </c>
      <c r="B86" s="32">
        <v>0</v>
      </c>
      <c r="C86" t="str">
        <f>"0x"&amp;REPT("0",4-LEN(DEC2HEX(Table14[[#This Row],[Register]])))&amp;DEC2HEX(Table14[[#This Row],[Register]])</f>
        <v>0x1404</v>
      </c>
    </row>
    <row r="87" spans="1:6">
      <c r="A87">
        <f t="shared" si="2"/>
        <v>5125</v>
      </c>
      <c r="B87" s="32">
        <v>0</v>
      </c>
      <c r="C87" t="str">
        <f>"0x"&amp;REPT("0",4-LEN(DEC2HEX(Table14[[#This Row],[Register]])))&amp;DEC2HEX(Table14[[#This Row],[Register]])</f>
        <v>0x1405</v>
      </c>
    </row>
    <row r="88" spans="1:6">
      <c r="A88">
        <f t="shared" si="2"/>
        <v>5126</v>
      </c>
      <c r="B88" s="32">
        <v>0</v>
      </c>
      <c r="C88" t="str">
        <f>"0x"&amp;REPT("0",4-LEN(DEC2HEX(Table14[[#This Row],[Register]])))&amp;DEC2HEX(Table14[[#This Row],[Register]])</f>
        <v>0x1406</v>
      </c>
    </row>
    <row r="89" spans="1:6">
      <c r="A89">
        <f t="shared" si="2"/>
        <v>5127</v>
      </c>
      <c r="B89" s="32">
        <v>0</v>
      </c>
      <c r="C89" t="str">
        <f>"0x"&amp;REPT("0",4-LEN(DEC2HEX(Table14[[#This Row],[Register]])))&amp;DEC2HEX(Table14[[#This Row],[Register]])</f>
        <v>0x1407</v>
      </c>
    </row>
    <row r="90" spans="1:6">
      <c r="A90">
        <f t="shared" si="2"/>
        <v>5128</v>
      </c>
      <c r="B90" s="32">
        <v>0</v>
      </c>
      <c r="C90" t="str">
        <f>"0x"&amp;REPT("0",4-LEN(DEC2HEX(Table14[[#This Row],[Register]])))&amp;DEC2HEX(Table14[[#This Row],[Register]])</f>
        <v>0x1408</v>
      </c>
    </row>
    <row r="91" spans="1:6">
      <c r="A91">
        <f t="shared" si="2"/>
        <v>5129</v>
      </c>
      <c r="B91" s="32">
        <v>0</v>
      </c>
      <c r="C91" t="str">
        <f>"0x"&amp;REPT("0",4-LEN(DEC2HEX(Table14[[#This Row],[Register]])))&amp;DEC2HEX(Table14[[#This Row],[Register]])</f>
        <v>0x1409</v>
      </c>
    </row>
    <row r="92" spans="1:6">
      <c r="A92">
        <f t="shared" si="2"/>
        <v>5130</v>
      </c>
      <c r="B92" s="32">
        <v>0</v>
      </c>
      <c r="C92" t="str">
        <f>"0x"&amp;REPT("0",4-LEN(DEC2HEX(Table14[[#This Row],[Register]])))&amp;DEC2HEX(Table14[[#This Row],[Register]])</f>
        <v>0x140A</v>
      </c>
    </row>
    <row r="93" spans="1:6">
      <c r="A93">
        <f t="shared" si="2"/>
        <v>5131</v>
      </c>
      <c r="B93" s="32">
        <v>0</v>
      </c>
      <c r="C93" t="str">
        <f>"0x"&amp;REPT("0",4-LEN(DEC2HEX(Table14[[#This Row],[Register]])))&amp;DEC2HEX(Table14[[#This Row],[Register]])</f>
        <v>0x140B</v>
      </c>
    </row>
    <row r="94" spans="1:6">
      <c r="A94">
        <f t="shared" si="2"/>
        <v>5132</v>
      </c>
      <c r="B94" s="32">
        <v>0</v>
      </c>
      <c r="C94" t="str">
        <f>"0x"&amp;REPT("0",4-LEN(DEC2HEX(Table14[[#This Row],[Register]])))&amp;DEC2HEX(Table14[[#This Row],[Register]])</f>
        <v>0x140C</v>
      </c>
    </row>
    <row r="95" spans="1:6">
      <c r="A95">
        <f t="shared" si="2"/>
        <v>5133</v>
      </c>
      <c r="B95" s="32">
        <v>0</v>
      </c>
      <c r="C95" t="str">
        <f>"0x"&amp;REPT("0",4-LEN(DEC2HEX(Table14[[#This Row],[Register]])))&amp;DEC2HEX(Table14[[#This Row],[Register]])</f>
        <v>0x140D</v>
      </c>
    </row>
    <row r="96" spans="1:6">
      <c r="A96">
        <f t="shared" si="2"/>
        <v>5134</v>
      </c>
      <c r="B96" s="32">
        <v>0</v>
      </c>
      <c r="C96" t="str">
        <f>"0x"&amp;REPT("0",4-LEN(DEC2HEX(Table14[[#This Row],[Register]])))&amp;DEC2HEX(Table14[[#This Row],[Register]])</f>
        <v>0x140E</v>
      </c>
    </row>
    <row r="97" spans="1:8">
      <c r="A97">
        <f t="shared" si="2"/>
        <v>5135</v>
      </c>
      <c r="B97" s="32">
        <v>0</v>
      </c>
      <c r="C97" t="str">
        <f>"0x"&amp;REPT("0",4-LEN(DEC2HEX(Table14[[#This Row],[Register]])))&amp;DEC2HEX(Table14[[#This Row],[Register]])</f>
        <v>0x140F</v>
      </c>
    </row>
    <row r="98" spans="1:8">
      <c r="A98">
        <v>772</v>
      </c>
      <c r="B98" s="32"/>
      <c r="C98" t="str">
        <f>"0x"&amp;REPT("0",4-LEN(DEC2HEX(Table14[[#This Row],[Register]])))&amp;DEC2HEX(Table14[[#This Row],[Register]])</f>
        <v>0x0304</v>
      </c>
      <c r="F98" t="s">
        <v>720</v>
      </c>
    </row>
    <row r="99" spans="1:8">
      <c r="A99">
        <v>256</v>
      </c>
      <c r="B99" s="32"/>
      <c r="C99" t="str">
        <f>"0x"&amp;REPT("0",4-LEN(DEC2HEX(Table14[[#This Row],[Register]])))&amp;DEC2HEX(Table14[[#This Row],[Register]])</f>
        <v>0x0100</v>
      </c>
      <c r="F99" t="str">
        <f>DEC2HEX(Table14[[#This Row],[Value]])</f>
        <v>0</v>
      </c>
      <c r="G99" t="e">
        <f>CHAR(HEX2DEC(LEFT(F99,2)))&amp;CHAR(HEX2DEC(RIGHT(F99,2)))</f>
        <v>#VALUE!</v>
      </c>
    </row>
    <row r="100" spans="1:8">
      <c r="A100">
        <v>257</v>
      </c>
      <c r="B100" s="32"/>
      <c r="C100" t="str">
        <f>"0x"&amp;REPT("0",4-LEN(DEC2HEX(Table14[[#This Row],[Register]])))&amp;DEC2HEX(Table14[[#This Row],[Register]])</f>
        <v>0x0101</v>
      </c>
      <c r="F100" t="str">
        <f>DEC2HEX(Table14[[#This Row],[Value]])</f>
        <v>0</v>
      </c>
      <c r="G100" t="e">
        <f t="shared" ref="G100:G105" si="5">CHAR(HEX2DEC(LEFT(F100,2)))&amp;CHAR(HEX2DEC(RIGHT(F100,2)))</f>
        <v>#VALUE!</v>
      </c>
    </row>
    <row r="101" spans="1:8">
      <c r="A101">
        <v>258</v>
      </c>
      <c r="B101" s="32"/>
      <c r="C101" t="str">
        <f>"0x"&amp;REPT("0",4-LEN(DEC2HEX(Table14[[#This Row],[Register]])))&amp;DEC2HEX(Table14[[#This Row],[Register]])</f>
        <v>0x0102</v>
      </c>
      <c r="F101" t="str">
        <f>DEC2HEX(Table14[[#This Row],[Value]])</f>
        <v>0</v>
      </c>
      <c r="G101" t="e">
        <f t="shared" si="5"/>
        <v>#VALUE!</v>
      </c>
    </row>
    <row r="102" spans="1:8">
      <c r="A102">
        <v>259</v>
      </c>
      <c r="B102" s="32"/>
      <c r="C102" t="str">
        <f>"0x"&amp;REPT("0",4-LEN(DEC2HEX(Table14[[#This Row],[Register]])))&amp;DEC2HEX(Table14[[#This Row],[Register]])</f>
        <v>0x0103</v>
      </c>
      <c r="F102" t="str">
        <f>DEC2HEX(Table14[[#This Row],[Value]])</f>
        <v>0</v>
      </c>
      <c r="G102" t="e">
        <f t="shared" si="5"/>
        <v>#VALUE!</v>
      </c>
    </row>
    <row r="103" spans="1:8">
      <c r="A103">
        <v>260</v>
      </c>
      <c r="B103" s="32"/>
      <c r="C103" t="str">
        <f>"0x"&amp;REPT("0",4-LEN(DEC2HEX(Table14[[#This Row],[Register]])))&amp;DEC2HEX(Table14[[#This Row],[Register]])</f>
        <v>0x0104</v>
      </c>
      <c r="F103" t="str">
        <f>DEC2HEX(Table14[[#This Row],[Value]])</f>
        <v>0</v>
      </c>
      <c r="G103" t="e">
        <f t="shared" si="5"/>
        <v>#VALUE!</v>
      </c>
    </row>
    <row r="104" spans="1:8">
      <c r="A104">
        <v>261</v>
      </c>
      <c r="B104" s="32"/>
      <c r="C104" t="str">
        <f>"0x"&amp;REPT("0",4-LEN(DEC2HEX(Table14[[#This Row],[Register]])))&amp;DEC2HEX(Table14[[#This Row],[Register]])</f>
        <v>0x0105</v>
      </c>
      <c r="F104" t="str">
        <f>DEC2HEX(Table14[[#This Row],[Value]])</f>
        <v>0</v>
      </c>
      <c r="G104" t="e">
        <f t="shared" si="5"/>
        <v>#VALUE!</v>
      </c>
    </row>
    <row r="105" spans="1:8">
      <c r="A105">
        <v>262</v>
      </c>
      <c r="B105" s="32"/>
      <c r="C105" t="str">
        <f>"0x"&amp;REPT("0",4-LEN(DEC2HEX(Table14[[#This Row],[Register]])))&amp;DEC2HEX(Table14[[#This Row],[Register]])</f>
        <v>0x0106</v>
      </c>
      <c r="F105" t="str">
        <f>DEC2HEX(Table14[[#This Row],[Value]])</f>
        <v>0</v>
      </c>
      <c r="G105" t="e">
        <f t="shared" si="5"/>
        <v>#VALUE!</v>
      </c>
    </row>
    <row r="106" spans="1:8">
      <c r="A106">
        <v>263</v>
      </c>
      <c r="B106" s="32"/>
      <c r="C106" t="str">
        <f>"0x"&amp;REPT("0",4-LEN(DEC2HEX(Table14[[#This Row],[Register]])))&amp;DEC2HEX(Table14[[#This Row],[Register]])</f>
        <v>0x0107</v>
      </c>
      <c r="E106" t="s">
        <v>713</v>
      </c>
      <c r="F106" t="str">
        <f>DEC2HEX(Table14[[#This Row],[Value]])</f>
        <v>0</v>
      </c>
      <c r="G106" t="e">
        <f>CHAR(HEX2DEC(LEFT(F106,2)))&amp;CHAR(HEX2DEC(RIGHT(F106,2)))</f>
        <v>#VALUE!</v>
      </c>
      <c r="H106" t="e">
        <f>_xlfn.CONCAT(G99:G106)</f>
        <v>#VALUE!</v>
      </c>
    </row>
    <row r="107" spans="1:8">
      <c r="A107">
        <v>272</v>
      </c>
      <c r="B107" s="32"/>
      <c r="C107" t="str">
        <f>"0x"&amp;REPT("0",4-LEN(DEC2HEX(Table14[[#This Row],[Register]])))&amp;DEC2HEX(Table14[[#This Row],[Register]])</f>
        <v>0x0110</v>
      </c>
      <c r="F107" t="str">
        <f>DEC2HEX(Table14[[#This Row],[Value]])</f>
        <v>0</v>
      </c>
      <c r="G107" t="e">
        <f t="shared" ref="G107:G162" si="6">CHAR(HEX2DEC(LEFT(F107,2)))&amp;CHAR(HEX2DEC(RIGHT(F107,2)))</f>
        <v>#VALUE!</v>
      </c>
    </row>
    <row r="108" spans="1:8">
      <c r="A108">
        <v>273</v>
      </c>
      <c r="B108" s="32"/>
      <c r="C108" t="str">
        <f>"0x"&amp;REPT("0",4-LEN(DEC2HEX(Table14[[#This Row],[Register]])))&amp;DEC2HEX(Table14[[#This Row],[Register]])</f>
        <v>0x0111</v>
      </c>
      <c r="F108" t="str">
        <f>DEC2HEX(Table14[[#This Row],[Value]])</f>
        <v>0</v>
      </c>
      <c r="G108" t="e">
        <f t="shared" si="6"/>
        <v>#VALUE!</v>
      </c>
    </row>
    <row r="109" spans="1:8">
      <c r="A109">
        <v>274</v>
      </c>
      <c r="B109" s="32"/>
      <c r="C109" t="str">
        <f>"0x"&amp;REPT("0",4-LEN(DEC2HEX(Table14[[#This Row],[Register]])))&amp;DEC2HEX(Table14[[#This Row],[Register]])</f>
        <v>0x0112</v>
      </c>
      <c r="F109" t="str">
        <f>DEC2HEX(Table14[[#This Row],[Value]])</f>
        <v>0</v>
      </c>
      <c r="G109" t="e">
        <f t="shared" si="6"/>
        <v>#VALUE!</v>
      </c>
    </row>
    <row r="110" spans="1:8">
      <c r="A110">
        <v>275</v>
      </c>
      <c r="B110" s="32"/>
      <c r="C110" t="str">
        <f>"0x"&amp;REPT("0",4-LEN(DEC2HEX(Table14[[#This Row],[Register]])))&amp;DEC2HEX(Table14[[#This Row],[Register]])</f>
        <v>0x0113</v>
      </c>
      <c r="F110" t="str">
        <f>DEC2HEX(Table14[[#This Row],[Value]])</f>
        <v>0</v>
      </c>
      <c r="G110" t="e">
        <f t="shared" si="6"/>
        <v>#VALUE!</v>
      </c>
    </row>
    <row r="111" spans="1:8">
      <c r="A111">
        <v>276</v>
      </c>
      <c r="B111" s="32"/>
      <c r="C111" t="str">
        <f>"0x"&amp;REPT("0",4-LEN(DEC2HEX(Table14[[#This Row],[Register]])))&amp;DEC2HEX(Table14[[#This Row],[Register]])</f>
        <v>0x0114</v>
      </c>
      <c r="F111" t="str">
        <f>DEC2HEX(Table14[[#This Row],[Value]])</f>
        <v>0</v>
      </c>
      <c r="G111" t="e">
        <f t="shared" si="6"/>
        <v>#VALUE!</v>
      </c>
    </row>
    <row r="112" spans="1:8">
      <c r="A112">
        <v>277</v>
      </c>
      <c r="B112" s="32"/>
      <c r="C112" t="str">
        <f>"0x"&amp;REPT("0",4-LEN(DEC2HEX(Table14[[#This Row],[Register]])))&amp;DEC2HEX(Table14[[#This Row],[Register]])</f>
        <v>0x0115</v>
      </c>
      <c r="F112" t="str">
        <f>DEC2HEX(Table14[[#This Row],[Value]])</f>
        <v>0</v>
      </c>
      <c r="G112" t="e">
        <f t="shared" si="6"/>
        <v>#VALUE!</v>
      </c>
    </row>
    <row r="113" spans="1:8">
      <c r="A113">
        <v>278</v>
      </c>
      <c r="B113" s="32"/>
      <c r="C113" t="str">
        <f>"0x"&amp;REPT("0",4-LEN(DEC2HEX(Table14[[#This Row],[Register]])))&amp;DEC2HEX(Table14[[#This Row],[Register]])</f>
        <v>0x0116</v>
      </c>
      <c r="F113" t="str">
        <f>DEC2HEX(Table14[[#This Row],[Value]])</f>
        <v>0</v>
      </c>
      <c r="G113" t="e">
        <f t="shared" si="6"/>
        <v>#VALUE!</v>
      </c>
    </row>
    <row r="114" spans="1:8">
      <c r="A114">
        <v>279</v>
      </c>
      <c r="B114" s="32"/>
      <c r="C114" t="str">
        <f>"0x"&amp;REPT("0",4-LEN(DEC2HEX(Table14[[#This Row],[Register]])))&amp;DEC2HEX(Table14[[#This Row],[Register]])</f>
        <v>0x0117</v>
      </c>
      <c r="E114" t="s">
        <v>714</v>
      </c>
      <c r="F114" t="str">
        <f>DEC2HEX(Table14[[#This Row],[Value]])</f>
        <v>0</v>
      </c>
      <c r="G114" t="e">
        <f t="shared" si="6"/>
        <v>#VALUE!</v>
      </c>
      <c r="H114" t="e">
        <f>_xlfn.CONCAT(G107:G114)</f>
        <v>#VALUE!</v>
      </c>
    </row>
    <row r="115" spans="1:8">
      <c r="A115">
        <v>1984</v>
      </c>
      <c r="B115" s="32"/>
      <c r="C115" t="str">
        <f>"0x"&amp;REPT("0",4-LEN(DEC2HEX(Table14[[#This Row],[Register]])))&amp;DEC2HEX(Table14[[#This Row],[Register]])</f>
        <v>0x07C0</v>
      </c>
      <c r="F115" t="str">
        <f>DEC2HEX(Table14[[#This Row],[Value]])</f>
        <v>0</v>
      </c>
      <c r="G115" t="e">
        <f t="shared" si="6"/>
        <v>#VALUE!</v>
      </c>
    </row>
    <row r="116" spans="1:8">
      <c r="A116">
        <v>1985</v>
      </c>
      <c r="B116" s="32"/>
      <c r="C116" t="str">
        <f>"0x"&amp;REPT("0",4-LEN(DEC2HEX(Table14[[#This Row],[Register]])))&amp;DEC2HEX(Table14[[#This Row],[Register]])</f>
        <v>0x07C1</v>
      </c>
      <c r="F116" t="str">
        <f>DEC2HEX(Table14[[#This Row],[Value]])</f>
        <v>0</v>
      </c>
      <c r="G116" t="e">
        <f t="shared" si="6"/>
        <v>#VALUE!</v>
      </c>
    </row>
    <row r="117" spans="1:8">
      <c r="A117">
        <v>1986</v>
      </c>
      <c r="B117" s="32"/>
      <c r="C117" t="str">
        <f>"0x"&amp;REPT("0",4-LEN(DEC2HEX(Table14[[#This Row],[Register]])))&amp;DEC2HEX(Table14[[#This Row],[Register]])</f>
        <v>0x07C2</v>
      </c>
      <c r="F117" t="str">
        <f>DEC2HEX(Table14[[#This Row],[Value]])</f>
        <v>0</v>
      </c>
      <c r="G117" t="e">
        <f t="shared" si="6"/>
        <v>#VALUE!</v>
      </c>
    </row>
    <row r="118" spans="1:8">
      <c r="A118">
        <v>1987</v>
      </c>
      <c r="B118" s="32"/>
      <c r="C118" t="str">
        <f>"0x"&amp;REPT("0",4-LEN(DEC2HEX(Table14[[#This Row],[Register]])))&amp;DEC2HEX(Table14[[#This Row],[Register]])</f>
        <v>0x07C3</v>
      </c>
      <c r="F118" t="str">
        <f>DEC2HEX(Table14[[#This Row],[Value]])</f>
        <v>0</v>
      </c>
      <c r="G118" t="e">
        <f t="shared" si="6"/>
        <v>#VALUE!</v>
      </c>
    </row>
    <row r="119" spans="1:8">
      <c r="A119">
        <v>1988</v>
      </c>
      <c r="B119" s="32"/>
      <c r="C119" t="str">
        <f>"0x"&amp;REPT("0",4-LEN(DEC2HEX(Table14[[#This Row],[Register]])))&amp;DEC2HEX(Table14[[#This Row],[Register]])</f>
        <v>0x07C4</v>
      </c>
      <c r="F119" t="str">
        <f>DEC2HEX(Table14[[#This Row],[Value]])</f>
        <v>0</v>
      </c>
      <c r="G119" t="e">
        <f t="shared" si="6"/>
        <v>#VALUE!</v>
      </c>
    </row>
    <row r="120" spans="1:8">
      <c r="A120">
        <v>1989</v>
      </c>
      <c r="B120" s="32"/>
      <c r="C120" t="str">
        <f>"0x"&amp;REPT("0",4-LEN(DEC2HEX(Table14[[#This Row],[Register]])))&amp;DEC2HEX(Table14[[#This Row],[Register]])</f>
        <v>0x07C5</v>
      </c>
      <c r="F120" t="str">
        <f>DEC2HEX(Table14[[#This Row],[Value]])</f>
        <v>0</v>
      </c>
      <c r="G120" t="e">
        <f t="shared" si="6"/>
        <v>#VALUE!</v>
      </c>
    </row>
    <row r="121" spans="1:8">
      <c r="A121">
        <v>1990</v>
      </c>
      <c r="B121" s="32"/>
      <c r="C121" t="str">
        <f>"0x"&amp;REPT("0",4-LEN(DEC2HEX(Table14[[#This Row],[Register]])))&amp;DEC2HEX(Table14[[#This Row],[Register]])</f>
        <v>0x07C6</v>
      </c>
      <c r="F121" t="str">
        <f>DEC2HEX(Table14[[#This Row],[Value]])</f>
        <v>0</v>
      </c>
      <c r="G121" t="e">
        <f t="shared" si="6"/>
        <v>#VALUE!</v>
      </c>
    </row>
    <row r="122" spans="1:8">
      <c r="A122">
        <v>1991</v>
      </c>
      <c r="B122" s="32"/>
      <c r="C122" t="str">
        <f>"0x"&amp;REPT("0",4-LEN(DEC2HEX(Table14[[#This Row],[Register]])))&amp;DEC2HEX(Table14[[#This Row],[Register]])</f>
        <v>0x07C7</v>
      </c>
      <c r="E122" t="s">
        <v>721</v>
      </c>
      <c r="F122" t="str">
        <f>DEC2HEX(Table14[[#This Row],[Value]])</f>
        <v>0</v>
      </c>
      <c r="G122" t="e">
        <f t="shared" si="6"/>
        <v>#VALUE!</v>
      </c>
      <c r="H122" t="e">
        <f>_xlfn.CONCAT(G115:G122)</f>
        <v>#VALUE!</v>
      </c>
    </row>
    <row r="123" spans="1:8">
      <c r="A123">
        <f>A115+1024</f>
        <v>3008</v>
      </c>
      <c r="B123" s="32"/>
      <c r="C123" t="str">
        <f>"0x"&amp;REPT("0",4-LEN(DEC2HEX(Table14[[#This Row],[Register]])))&amp;DEC2HEX(Table14[[#This Row],[Register]])</f>
        <v>0x0BC0</v>
      </c>
      <c r="F123" t="str">
        <f>DEC2HEX(Table14[[#This Row],[Value]])</f>
        <v>0</v>
      </c>
      <c r="G123" t="e">
        <f t="shared" si="6"/>
        <v>#VALUE!</v>
      </c>
    </row>
    <row r="124" spans="1:8">
      <c r="A124">
        <f t="shared" ref="A124:A129" si="7">A116+1024</f>
        <v>3009</v>
      </c>
      <c r="B124" s="32"/>
      <c r="C124" t="str">
        <f>"0x"&amp;REPT("0",4-LEN(DEC2HEX(Table14[[#This Row],[Register]])))&amp;DEC2HEX(Table14[[#This Row],[Register]])</f>
        <v>0x0BC1</v>
      </c>
      <c r="F124" t="str">
        <f>DEC2HEX(Table14[[#This Row],[Value]])</f>
        <v>0</v>
      </c>
      <c r="G124" t="e">
        <f t="shared" si="6"/>
        <v>#VALUE!</v>
      </c>
    </row>
    <row r="125" spans="1:8">
      <c r="A125">
        <f t="shared" si="7"/>
        <v>3010</v>
      </c>
      <c r="B125" s="32"/>
      <c r="C125" t="str">
        <f>"0x"&amp;REPT("0",4-LEN(DEC2HEX(Table14[[#This Row],[Register]])))&amp;DEC2HEX(Table14[[#This Row],[Register]])</f>
        <v>0x0BC2</v>
      </c>
      <c r="F125" t="str">
        <f>DEC2HEX(Table14[[#This Row],[Value]])</f>
        <v>0</v>
      </c>
      <c r="G125" t="e">
        <f t="shared" si="6"/>
        <v>#VALUE!</v>
      </c>
    </row>
    <row r="126" spans="1:8">
      <c r="A126">
        <f t="shared" si="7"/>
        <v>3011</v>
      </c>
      <c r="B126" s="32"/>
      <c r="C126" t="str">
        <f>"0x"&amp;REPT("0",4-LEN(DEC2HEX(Table14[[#This Row],[Register]])))&amp;DEC2HEX(Table14[[#This Row],[Register]])</f>
        <v>0x0BC3</v>
      </c>
      <c r="F126" t="str">
        <f>DEC2HEX(Table14[[#This Row],[Value]])</f>
        <v>0</v>
      </c>
      <c r="G126" t="e">
        <f t="shared" si="6"/>
        <v>#VALUE!</v>
      </c>
    </row>
    <row r="127" spans="1:8">
      <c r="A127">
        <f t="shared" si="7"/>
        <v>3012</v>
      </c>
      <c r="B127" s="32"/>
      <c r="C127" t="str">
        <f>"0x"&amp;REPT("0",4-LEN(DEC2HEX(Table14[[#This Row],[Register]])))&amp;DEC2HEX(Table14[[#This Row],[Register]])</f>
        <v>0x0BC4</v>
      </c>
      <c r="F127" t="str">
        <f>DEC2HEX(Table14[[#This Row],[Value]])</f>
        <v>0</v>
      </c>
      <c r="G127" t="e">
        <f t="shared" si="6"/>
        <v>#VALUE!</v>
      </c>
    </row>
    <row r="128" spans="1:8">
      <c r="A128">
        <f t="shared" si="7"/>
        <v>3013</v>
      </c>
      <c r="B128" s="32"/>
      <c r="C128" t="str">
        <f>"0x"&amp;REPT("0",4-LEN(DEC2HEX(Table14[[#This Row],[Register]])))&amp;DEC2HEX(Table14[[#This Row],[Register]])</f>
        <v>0x0BC5</v>
      </c>
      <c r="F128" t="str">
        <f>DEC2HEX(Table14[[#This Row],[Value]])</f>
        <v>0</v>
      </c>
      <c r="G128" t="e">
        <f t="shared" si="6"/>
        <v>#VALUE!</v>
      </c>
    </row>
    <row r="129" spans="1:8">
      <c r="A129">
        <f t="shared" si="7"/>
        <v>3014</v>
      </c>
      <c r="B129" s="32"/>
      <c r="C129" t="str">
        <f>"0x"&amp;REPT("0",4-LEN(DEC2HEX(Table14[[#This Row],[Register]])))&amp;DEC2HEX(Table14[[#This Row],[Register]])</f>
        <v>0x0BC6</v>
      </c>
      <c r="F129" t="str">
        <f>DEC2HEX(Table14[[#This Row],[Value]])</f>
        <v>0</v>
      </c>
      <c r="G129" t="e">
        <f t="shared" si="6"/>
        <v>#VALUE!</v>
      </c>
    </row>
    <row r="130" spans="1:8">
      <c r="A130">
        <f>A122+1024</f>
        <v>3015</v>
      </c>
      <c r="B130" s="32"/>
      <c r="C130" t="str">
        <f>"0x"&amp;REPT("0",4-LEN(DEC2HEX(Table14[[#This Row],[Register]])))&amp;DEC2HEX(Table14[[#This Row],[Register]])</f>
        <v>0x0BC7</v>
      </c>
      <c r="E130" t="s">
        <v>725</v>
      </c>
      <c r="F130" t="str">
        <f>DEC2HEX(Table14[[#This Row],[Value]])</f>
        <v>0</v>
      </c>
      <c r="G130" t="e">
        <f t="shared" si="6"/>
        <v>#VALUE!</v>
      </c>
      <c r="H130" t="e">
        <f>_xlfn.CONCAT(G123:G130)</f>
        <v>#VALUE!</v>
      </c>
    </row>
    <row r="131" spans="1:8">
      <c r="A131">
        <f t="shared" ref="A131:A154" si="8">A123+1024</f>
        <v>4032</v>
      </c>
      <c r="B131" s="32"/>
      <c r="C131" t="str">
        <f>"0x"&amp;REPT("0",4-LEN(DEC2HEX(Table14[[#This Row],[Register]])))&amp;DEC2HEX(Table14[[#This Row],[Register]])</f>
        <v>0x0FC0</v>
      </c>
      <c r="F131" t="str">
        <f>DEC2HEX(Table14[[#This Row],[Value]])</f>
        <v>0</v>
      </c>
      <c r="G131" t="e">
        <f t="shared" si="6"/>
        <v>#VALUE!</v>
      </c>
    </row>
    <row r="132" spans="1:8">
      <c r="A132">
        <f t="shared" si="8"/>
        <v>4033</v>
      </c>
      <c r="B132" s="32"/>
      <c r="C132" t="str">
        <f>"0x"&amp;REPT("0",4-LEN(DEC2HEX(Table14[[#This Row],[Register]])))&amp;DEC2HEX(Table14[[#This Row],[Register]])</f>
        <v>0x0FC1</v>
      </c>
      <c r="F132" t="str">
        <f>DEC2HEX(Table14[[#This Row],[Value]])</f>
        <v>0</v>
      </c>
      <c r="G132" t="e">
        <f t="shared" si="6"/>
        <v>#VALUE!</v>
      </c>
    </row>
    <row r="133" spans="1:8">
      <c r="A133">
        <f t="shared" si="8"/>
        <v>4034</v>
      </c>
      <c r="B133" s="32"/>
      <c r="C133" t="str">
        <f>"0x"&amp;REPT("0",4-LEN(DEC2HEX(Table14[[#This Row],[Register]])))&amp;DEC2HEX(Table14[[#This Row],[Register]])</f>
        <v>0x0FC2</v>
      </c>
      <c r="F133" t="str">
        <f>DEC2HEX(Table14[[#This Row],[Value]])</f>
        <v>0</v>
      </c>
      <c r="G133" t="e">
        <f t="shared" si="6"/>
        <v>#VALUE!</v>
      </c>
    </row>
    <row r="134" spans="1:8">
      <c r="A134">
        <f t="shared" si="8"/>
        <v>4035</v>
      </c>
      <c r="B134" s="32"/>
      <c r="C134" t="str">
        <f>"0x"&amp;REPT("0",4-LEN(DEC2HEX(Table14[[#This Row],[Register]])))&amp;DEC2HEX(Table14[[#This Row],[Register]])</f>
        <v>0x0FC3</v>
      </c>
      <c r="F134" t="str">
        <f>DEC2HEX(Table14[[#This Row],[Value]])</f>
        <v>0</v>
      </c>
      <c r="G134" t="e">
        <f t="shared" si="6"/>
        <v>#VALUE!</v>
      </c>
    </row>
    <row r="135" spans="1:8">
      <c r="A135">
        <f t="shared" si="8"/>
        <v>4036</v>
      </c>
      <c r="B135" s="32"/>
      <c r="C135" t="str">
        <f>"0x"&amp;REPT("0",4-LEN(DEC2HEX(Table14[[#This Row],[Register]])))&amp;DEC2HEX(Table14[[#This Row],[Register]])</f>
        <v>0x0FC4</v>
      </c>
      <c r="F135" t="str">
        <f>DEC2HEX(Table14[[#This Row],[Value]])</f>
        <v>0</v>
      </c>
      <c r="G135" t="e">
        <f t="shared" si="6"/>
        <v>#VALUE!</v>
      </c>
    </row>
    <row r="136" spans="1:8">
      <c r="A136">
        <f t="shared" si="8"/>
        <v>4037</v>
      </c>
      <c r="B136" s="32"/>
      <c r="C136" t="str">
        <f>"0x"&amp;REPT("0",4-LEN(DEC2HEX(Table14[[#This Row],[Register]])))&amp;DEC2HEX(Table14[[#This Row],[Register]])</f>
        <v>0x0FC5</v>
      </c>
      <c r="F136" t="str">
        <f>DEC2HEX(Table14[[#This Row],[Value]])</f>
        <v>0</v>
      </c>
      <c r="G136" t="e">
        <f t="shared" si="6"/>
        <v>#VALUE!</v>
      </c>
    </row>
    <row r="137" spans="1:8">
      <c r="A137">
        <f t="shared" si="8"/>
        <v>4038</v>
      </c>
      <c r="B137" s="32"/>
      <c r="C137" t="str">
        <f>"0x"&amp;REPT("0",4-LEN(DEC2HEX(Table14[[#This Row],[Register]])))&amp;DEC2HEX(Table14[[#This Row],[Register]])</f>
        <v>0x0FC6</v>
      </c>
      <c r="F137" t="str">
        <f>DEC2HEX(Table14[[#This Row],[Value]])</f>
        <v>0</v>
      </c>
      <c r="G137" t="e">
        <f t="shared" si="6"/>
        <v>#VALUE!</v>
      </c>
    </row>
    <row r="138" spans="1:8">
      <c r="A138">
        <f t="shared" si="8"/>
        <v>4039</v>
      </c>
      <c r="B138" s="32"/>
      <c r="C138" t="str">
        <f>"0x"&amp;REPT("0",4-LEN(DEC2HEX(Table14[[#This Row],[Register]])))&amp;DEC2HEX(Table14[[#This Row],[Register]])</f>
        <v>0x0FC7</v>
      </c>
      <c r="E138" t="s">
        <v>724</v>
      </c>
      <c r="F138" t="str">
        <f>DEC2HEX(Table14[[#This Row],[Value]])</f>
        <v>0</v>
      </c>
      <c r="G138" t="e">
        <f t="shared" si="6"/>
        <v>#VALUE!</v>
      </c>
      <c r="H138" t="e">
        <f>_xlfn.CONCAT(G131:G138)</f>
        <v>#VALUE!</v>
      </c>
    </row>
    <row r="139" spans="1:8">
      <c r="A139">
        <f>A131+1024</f>
        <v>5056</v>
      </c>
      <c r="B139" s="32"/>
      <c r="C139" t="str">
        <f>"0x"&amp;REPT("0",4-LEN(DEC2HEX(Table14[[#This Row],[Register]])))&amp;DEC2HEX(Table14[[#This Row],[Register]])</f>
        <v>0x13C0</v>
      </c>
      <c r="F139" t="str">
        <f>DEC2HEX(Table14[[#This Row],[Value]])</f>
        <v>0</v>
      </c>
      <c r="G139" t="e">
        <f t="shared" si="6"/>
        <v>#VALUE!</v>
      </c>
    </row>
    <row r="140" spans="1:8">
      <c r="A140">
        <f t="shared" si="8"/>
        <v>5057</v>
      </c>
      <c r="B140" s="32"/>
      <c r="C140" t="str">
        <f>"0x"&amp;REPT("0",4-LEN(DEC2HEX(Table14[[#This Row],[Register]])))&amp;DEC2HEX(Table14[[#This Row],[Register]])</f>
        <v>0x13C1</v>
      </c>
      <c r="F140" t="str">
        <f>DEC2HEX(Table14[[#This Row],[Value]])</f>
        <v>0</v>
      </c>
      <c r="G140" t="e">
        <f t="shared" si="6"/>
        <v>#VALUE!</v>
      </c>
    </row>
    <row r="141" spans="1:8">
      <c r="A141">
        <f t="shared" si="8"/>
        <v>5058</v>
      </c>
      <c r="B141" s="32"/>
      <c r="C141" t="str">
        <f>"0x"&amp;REPT("0",4-LEN(DEC2HEX(Table14[[#This Row],[Register]])))&amp;DEC2HEX(Table14[[#This Row],[Register]])</f>
        <v>0x13C2</v>
      </c>
      <c r="F141" t="str">
        <f>DEC2HEX(Table14[[#This Row],[Value]])</f>
        <v>0</v>
      </c>
      <c r="G141" t="e">
        <f t="shared" si="6"/>
        <v>#VALUE!</v>
      </c>
    </row>
    <row r="142" spans="1:8">
      <c r="A142">
        <f t="shared" si="8"/>
        <v>5059</v>
      </c>
      <c r="B142" s="32"/>
      <c r="C142" t="str">
        <f>"0x"&amp;REPT("0",4-LEN(DEC2HEX(Table14[[#This Row],[Register]])))&amp;DEC2HEX(Table14[[#This Row],[Register]])</f>
        <v>0x13C3</v>
      </c>
      <c r="F142" t="str">
        <f>DEC2HEX(Table14[[#This Row],[Value]])</f>
        <v>0</v>
      </c>
      <c r="G142" t="e">
        <f t="shared" si="6"/>
        <v>#VALUE!</v>
      </c>
    </row>
    <row r="143" spans="1:8">
      <c r="A143">
        <f t="shared" si="8"/>
        <v>5060</v>
      </c>
      <c r="B143" s="32"/>
      <c r="C143" t="str">
        <f>"0x"&amp;REPT("0",4-LEN(DEC2HEX(Table14[[#This Row],[Register]])))&amp;DEC2HEX(Table14[[#This Row],[Register]])</f>
        <v>0x13C4</v>
      </c>
      <c r="F143" t="str">
        <f>DEC2HEX(Table14[[#This Row],[Value]])</f>
        <v>0</v>
      </c>
      <c r="G143" t="e">
        <f t="shared" si="6"/>
        <v>#VALUE!</v>
      </c>
    </row>
    <row r="144" spans="1:8">
      <c r="A144">
        <f t="shared" si="8"/>
        <v>5061</v>
      </c>
      <c r="B144" s="32"/>
      <c r="C144" t="str">
        <f>"0x"&amp;REPT("0",4-LEN(DEC2HEX(Table14[[#This Row],[Register]])))&amp;DEC2HEX(Table14[[#This Row],[Register]])</f>
        <v>0x13C5</v>
      </c>
      <c r="F144" t="str">
        <f>DEC2HEX(Table14[[#This Row],[Value]])</f>
        <v>0</v>
      </c>
      <c r="G144" t="e">
        <f t="shared" si="6"/>
        <v>#VALUE!</v>
      </c>
    </row>
    <row r="145" spans="1:8">
      <c r="A145">
        <f t="shared" si="8"/>
        <v>5062</v>
      </c>
      <c r="B145" s="32"/>
      <c r="C145" t="str">
        <f>"0x"&amp;REPT("0",4-LEN(DEC2HEX(Table14[[#This Row],[Register]])))&amp;DEC2HEX(Table14[[#This Row],[Register]])</f>
        <v>0x13C6</v>
      </c>
      <c r="F145" t="str">
        <f>DEC2HEX(Table14[[#This Row],[Value]])</f>
        <v>0</v>
      </c>
      <c r="G145" t="e">
        <f t="shared" si="6"/>
        <v>#VALUE!</v>
      </c>
    </row>
    <row r="146" spans="1:8">
      <c r="A146">
        <f t="shared" si="8"/>
        <v>5063</v>
      </c>
      <c r="B146" s="32"/>
      <c r="C146" t="str">
        <f>"0x"&amp;REPT("0",4-LEN(DEC2HEX(Table14[[#This Row],[Register]])))&amp;DEC2HEX(Table14[[#This Row],[Register]])</f>
        <v>0x13C7</v>
      </c>
      <c r="E146" t="s">
        <v>723</v>
      </c>
      <c r="F146" t="str">
        <f>DEC2HEX(Table14[[#This Row],[Value]])</f>
        <v>0</v>
      </c>
      <c r="G146" t="e">
        <f t="shared" si="6"/>
        <v>#VALUE!</v>
      </c>
      <c r="H146" t="e">
        <f>_xlfn.CONCAT(G139:G146)</f>
        <v>#VALUE!</v>
      </c>
    </row>
    <row r="147" spans="1:8">
      <c r="A147">
        <f t="shared" si="8"/>
        <v>6080</v>
      </c>
      <c r="B147" s="32"/>
      <c r="C147" t="str">
        <f>"0x"&amp;REPT("0",4-LEN(DEC2HEX(Table14[[#This Row],[Register]])))&amp;DEC2HEX(Table14[[#This Row],[Register]])</f>
        <v>0x17C0</v>
      </c>
      <c r="F147" t="str">
        <f>DEC2HEX(Table14[[#This Row],[Value]])</f>
        <v>0</v>
      </c>
      <c r="G147" t="e">
        <f t="shared" si="6"/>
        <v>#VALUE!</v>
      </c>
    </row>
    <row r="148" spans="1:8">
      <c r="A148">
        <f t="shared" si="8"/>
        <v>6081</v>
      </c>
      <c r="B148" s="32"/>
      <c r="C148" t="str">
        <f>"0x"&amp;REPT("0",4-LEN(DEC2HEX(Table14[[#This Row],[Register]])))&amp;DEC2HEX(Table14[[#This Row],[Register]])</f>
        <v>0x17C1</v>
      </c>
      <c r="F148" t="str">
        <f>DEC2HEX(Table14[[#This Row],[Value]])</f>
        <v>0</v>
      </c>
      <c r="G148" t="e">
        <f t="shared" si="6"/>
        <v>#VALUE!</v>
      </c>
    </row>
    <row r="149" spans="1:8">
      <c r="A149">
        <f t="shared" si="8"/>
        <v>6082</v>
      </c>
      <c r="B149" s="32"/>
      <c r="C149" t="str">
        <f>"0x"&amp;REPT("0",4-LEN(DEC2HEX(Table14[[#This Row],[Register]])))&amp;DEC2HEX(Table14[[#This Row],[Register]])</f>
        <v>0x17C2</v>
      </c>
      <c r="F149" t="str">
        <f>DEC2HEX(Table14[[#This Row],[Value]])</f>
        <v>0</v>
      </c>
      <c r="G149" t="e">
        <f t="shared" si="6"/>
        <v>#VALUE!</v>
      </c>
    </row>
    <row r="150" spans="1:8">
      <c r="A150">
        <f t="shared" si="8"/>
        <v>6083</v>
      </c>
      <c r="B150" s="32"/>
      <c r="C150" t="str">
        <f>"0x"&amp;REPT("0",4-LEN(DEC2HEX(Table14[[#This Row],[Register]])))&amp;DEC2HEX(Table14[[#This Row],[Register]])</f>
        <v>0x17C3</v>
      </c>
      <c r="F150" t="str">
        <f>DEC2HEX(Table14[[#This Row],[Value]])</f>
        <v>0</v>
      </c>
      <c r="G150" t="e">
        <f t="shared" si="6"/>
        <v>#VALUE!</v>
      </c>
    </row>
    <row r="151" spans="1:8">
      <c r="A151">
        <f t="shared" si="8"/>
        <v>6084</v>
      </c>
      <c r="B151" s="32"/>
      <c r="C151" t="str">
        <f>"0x"&amp;REPT("0",4-LEN(DEC2HEX(Table14[[#This Row],[Register]])))&amp;DEC2HEX(Table14[[#This Row],[Register]])</f>
        <v>0x17C4</v>
      </c>
      <c r="F151" t="str">
        <f>DEC2HEX(Table14[[#This Row],[Value]])</f>
        <v>0</v>
      </c>
      <c r="G151" t="e">
        <f t="shared" si="6"/>
        <v>#VALUE!</v>
      </c>
    </row>
    <row r="152" spans="1:8">
      <c r="A152">
        <f t="shared" si="8"/>
        <v>6085</v>
      </c>
      <c r="B152" s="32"/>
      <c r="C152" t="str">
        <f>"0x"&amp;REPT("0",4-LEN(DEC2HEX(Table14[[#This Row],[Register]])))&amp;DEC2HEX(Table14[[#This Row],[Register]])</f>
        <v>0x17C5</v>
      </c>
      <c r="F152" t="str">
        <f>DEC2HEX(Table14[[#This Row],[Value]])</f>
        <v>0</v>
      </c>
      <c r="G152" t="e">
        <f t="shared" si="6"/>
        <v>#VALUE!</v>
      </c>
    </row>
    <row r="153" spans="1:8">
      <c r="A153">
        <f t="shared" si="8"/>
        <v>6086</v>
      </c>
      <c r="B153" s="32"/>
      <c r="C153" t="str">
        <f>"0x"&amp;REPT("0",4-LEN(DEC2HEX(Table14[[#This Row],[Register]])))&amp;DEC2HEX(Table14[[#This Row],[Register]])</f>
        <v>0x17C6</v>
      </c>
      <c r="F153" t="str">
        <f>DEC2HEX(Table14[[#This Row],[Value]])</f>
        <v>0</v>
      </c>
      <c r="G153" t="e">
        <f t="shared" si="6"/>
        <v>#VALUE!</v>
      </c>
    </row>
    <row r="154" spans="1:8">
      <c r="A154">
        <f t="shared" si="8"/>
        <v>6087</v>
      </c>
      <c r="B154" s="32"/>
      <c r="C154" t="str">
        <f>"0x"&amp;REPT("0",4-LEN(DEC2HEX(Table14[[#This Row],[Register]])))&amp;DEC2HEX(Table14[[#This Row],[Register]])</f>
        <v>0x17C7</v>
      </c>
      <c r="E154" s="91" t="s">
        <v>722</v>
      </c>
      <c r="F154" t="str">
        <f>DEC2HEX(Table14[[#This Row],[Value]])</f>
        <v>0</v>
      </c>
      <c r="G154" t="e">
        <f t="shared" si="6"/>
        <v>#VALUE!</v>
      </c>
      <c r="H154" t="e">
        <f>_xlfn.CONCAT(G147:G154)</f>
        <v>#VALUE!</v>
      </c>
    </row>
    <row r="155" spans="1:8">
      <c r="A155">
        <v>288</v>
      </c>
      <c r="B155" s="32"/>
      <c r="C155" t="str">
        <f>"0x"&amp;REPT("0",4-LEN(DEC2HEX(Table14[[#This Row],[Register]])))&amp;DEC2HEX(Table14[[#This Row],[Register]])</f>
        <v>0x0120</v>
      </c>
      <c r="F155" t="str">
        <f>DEC2HEX(Table14[[#This Row],[Value]])</f>
        <v>0</v>
      </c>
      <c r="G155" t="e">
        <f t="shared" si="6"/>
        <v>#VALUE!</v>
      </c>
    </row>
    <row r="156" spans="1:8">
      <c r="A156">
        <v>289</v>
      </c>
      <c r="B156" s="32"/>
      <c r="C156" t="str">
        <f>"0x"&amp;REPT("0",4-LEN(DEC2HEX(Table14[[#This Row],[Register]])))&amp;DEC2HEX(Table14[[#This Row],[Register]])</f>
        <v>0x0121</v>
      </c>
      <c r="F156" t="str">
        <f>DEC2HEX(Table14[[#This Row],[Value]])</f>
        <v>0</v>
      </c>
      <c r="G156" t="e">
        <f t="shared" si="6"/>
        <v>#VALUE!</v>
      </c>
    </row>
    <row r="157" spans="1:8">
      <c r="A157">
        <v>290</v>
      </c>
      <c r="B157" s="32"/>
      <c r="C157" t="str">
        <f>"0x"&amp;REPT("0",4-LEN(DEC2HEX(Table14[[#This Row],[Register]])))&amp;DEC2HEX(Table14[[#This Row],[Register]])</f>
        <v>0x0122</v>
      </c>
      <c r="F157" t="str">
        <f>DEC2HEX(Table14[[#This Row],[Value]])</f>
        <v>0</v>
      </c>
      <c r="G157" t="e">
        <f t="shared" si="6"/>
        <v>#VALUE!</v>
      </c>
    </row>
    <row r="158" spans="1:8">
      <c r="A158">
        <v>291</v>
      </c>
      <c r="B158" s="32"/>
      <c r="C158" t="str">
        <f>"0x"&amp;REPT("0",4-LEN(DEC2HEX(Table14[[#This Row],[Register]])))&amp;DEC2HEX(Table14[[#This Row],[Register]])</f>
        <v>0x0123</v>
      </c>
      <c r="F158" t="str">
        <f>DEC2HEX(Table14[[#This Row],[Value]])</f>
        <v>0</v>
      </c>
      <c r="G158" t="e">
        <f t="shared" si="6"/>
        <v>#VALUE!</v>
      </c>
    </row>
    <row r="159" spans="1:8">
      <c r="A159">
        <v>292</v>
      </c>
      <c r="B159" s="32"/>
      <c r="C159" t="str">
        <f>"0x"&amp;REPT("0",4-LEN(DEC2HEX(Table14[[#This Row],[Register]])))&amp;DEC2HEX(Table14[[#This Row],[Register]])</f>
        <v>0x0124</v>
      </c>
      <c r="F159" t="str">
        <f>DEC2HEX(Table14[[#This Row],[Value]])</f>
        <v>0</v>
      </c>
      <c r="G159" t="e">
        <f t="shared" si="6"/>
        <v>#VALUE!</v>
      </c>
    </row>
    <row r="160" spans="1:8">
      <c r="A160">
        <v>293</v>
      </c>
      <c r="B160" s="32"/>
      <c r="C160" t="str">
        <f>"0x"&amp;REPT("0",4-LEN(DEC2HEX(Table14[[#This Row],[Register]])))&amp;DEC2HEX(Table14[[#This Row],[Register]])</f>
        <v>0x0125</v>
      </c>
      <c r="F160" t="str">
        <f>DEC2HEX(Table14[[#This Row],[Value]])</f>
        <v>0</v>
      </c>
      <c r="G160" t="e">
        <f t="shared" si="6"/>
        <v>#VALUE!</v>
      </c>
    </row>
    <row r="161" spans="1:8">
      <c r="A161">
        <v>294</v>
      </c>
      <c r="B161" s="32"/>
      <c r="C161" t="str">
        <f>"0x"&amp;REPT("0",4-LEN(DEC2HEX(Table14[[#This Row],[Register]])))&amp;DEC2HEX(Table14[[#This Row],[Register]])</f>
        <v>0x0126</v>
      </c>
      <c r="F161" t="str">
        <f>DEC2HEX(Table14[[#This Row],[Value]])</f>
        <v>0</v>
      </c>
      <c r="G161" t="e">
        <f t="shared" si="6"/>
        <v>#VALUE!</v>
      </c>
    </row>
    <row r="162" spans="1:8">
      <c r="A162">
        <v>295</v>
      </c>
      <c r="B162" s="32"/>
      <c r="C162" t="str">
        <f>"0x"&amp;REPT("0",4-LEN(DEC2HEX(Table14[[#This Row],[Register]])))&amp;DEC2HEX(Table14[[#This Row],[Register]])</f>
        <v>0x0127</v>
      </c>
      <c r="E162" t="s">
        <v>731</v>
      </c>
      <c r="F162" t="str">
        <f>DEC2HEX(Table14[[#This Row],[Value]])</f>
        <v>0</v>
      </c>
      <c r="G162" t="e">
        <f t="shared" si="6"/>
        <v>#VALUE!</v>
      </c>
      <c r="H162" t="e">
        <f>_xlfn.CONCAT(G155:G162)</f>
        <v>#VALUE!</v>
      </c>
    </row>
  </sheetData>
  <phoneticPr fontId="12" type="noConversion"/>
  <conditionalFormatting sqref="B2:B162">
    <cfRule type="cellIs" dxfId="2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adSbmuWarning">
                <anchor moveWithCells="1" sizeWithCells="1">
                  <from>
                    <xdr:col>6</xdr:col>
                    <xdr:colOff>723900</xdr:colOff>
                    <xdr:row>3</xdr:row>
                    <xdr:rowOff>133350</xdr:rowOff>
                  </from>
                  <to>
                    <xdr:col>8</xdr:col>
                    <xdr:colOff>161925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Overview</vt:lpstr>
      <vt:lpstr>HotComm</vt:lpstr>
      <vt:lpstr>ReadBCI-BMS</vt:lpstr>
      <vt:lpstr>ReadBCI-PCS</vt:lpstr>
      <vt:lpstr>ReadETH</vt:lpstr>
      <vt:lpstr>CalibrateH</vt:lpstr>
      <vt:lpstr>CalibrateL</vt:lpstr>
      <vt:lpstr>ReadSOC</vt:lpstr>
      <vt:lpstr>ReadCap</vt:lpstr>
      <vt:lpstr>ReadTest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2025-02-11T08:59:21Z</dcterms:modified>
</cp:coreProperties>
</file>