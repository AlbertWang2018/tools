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12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wnload\00-CATL\KBESS\HotCommissionTool\"/>
    </mc:Choice>
  </mc:AlternateContent>
  <xr:revisionPtr revIDLastSave="0" documentId="13_ncr:1_{C628278F-88D0-4C65-B3D0-29EA661797A3}" xr6:coauthVersionLast="47" xr6:coauthVersionMax="47" xr10:uidLastSave="{00000000-0000-0000-0000-000000000000}"/>
  <bookViews>
    <workbookView xWindow="-120" yWindow="-120" windowWidth="29040" windowHeight="15720" xr2:uid="{69402E6D-338B-4842-BCA5-C578EAE77A3E}"/>
  </bookViews>
  <sheets>
    <sheet name="HotComm" sheetId="1" r:id="rId1"/>
    <sheet name="ReadETH" sheetId="2" r:id="rId2"/>
    <sheet name="OnlineTest" sheetId="3" r:id="rId3"/>
    <sheet name="ReadTest" sheetId="4" r:id="rId4"/>
    <sheet name="ReadSOC" sheetId="5" r:id="rId5"/>
  </sheets>
  <functionGroups builtInGroupCount="19"/>
  <definedNames>
    <definedName name="_xlnm._FilterDatabase" localSheetId="4" hidden="1">ReadSOC!$A$1:$S$290</definedName>
    <definedName name="_xleta.MID" hidden="1" xlm="1">#NAME?</definedName>
    <definedName name="_xleta.MOD" hidden="1" xlm="1">#NAME?</definedName>
    <definedName name="_xleta.RIGH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 a="1"/>
  <c r="B2" i="4" s="1"/>
  <c r="B3" i="4" a="1"/>
  <c r="B3" i="4" s="1"/>
  <c r="B4" i="4" a="1"/>
  <c r="B4" i="4" s="1"/>
  <c r="B5" i="4" a="1"/>
  <c r="B5" i="4" s="1"/>
  <c r="B6" i="4" a="1"/>
  <c r="B6" i="4" s="1"/>
  <c r="B7" i="4" a="1"/>
  <c r="B7" i="4" s="1"/>
  <c r="B8" i="4" a="1"/>
  <c r="B8" i="4" s="1"/>
  <c r="B9" i="4" a="1"/>
  <c r="B9" i="4" s="1"/>
  <c r="B10" i="4" a="1"/>
  <c r="B10" i="4" s="1"/>
  <c r="B11" i="4" a="1"/>
  <c r="B11" i="4" s="1"/>
  <c r="B12" i="4" a="1"/>
  <c r="B12" i="4" s="1"/>
  <c r="B13" i="4" a="1"/>
  <c r="B13" i="4" s="1"/>
  <c r="B14" i="4" a="1"/>
  <c r="B14" i="4" s="1"/>
  <c r="B15" i="4" a="1"/>
  <c r="B15" i="4" s="1"/>
  <c r="B16" i="4" a="1"/>
  <c r="B16" i="4" s="1"/>
  <c r="B17" i="4" a="1"/>
  <c r="B17" i="4" s="1"/>
  <c r="B18" i="4" a="1"/>
  <c r="B18" i="4" s="1"/>
  <c r="B19" i="4" a="1"/>
  <c r="B19" i="4" s="1"/>
  <c r="B20" i="4" a="1"/>
  <c r="B20" i="4" s="1"/>
  <c r="B21" i="4" a="1"/>
  <c r="B21" i="4" s="1"/>
  <c r="B22" i="4" a="1"/>
  <c r="B22" i="4" s="1"/>
  <c r="B23" i="4" a="1"/>
  <c r="B23" i="4" s="1"/>
  <c r="B24" i="4" a="1"/>
  <c r="B24" i="4" s="1"/>
  <c r="B25" i="4" a="1"/>
  <c r="B25" i="4" s="1"/>
  <c r="B26" i="4" a="1"/>
  <c r="B26" i="4" s="1"/>
  <c r="B27" i="4" a="1"/>
  <c r="B27" i="4" s="1"/>
  <c r="B28" i="4" a="1"/>
  <c r="B28" i="4" s="1"/>
  <c r="B29" i="4" a="1"/>
  <c r="B29" i="4" s="1"/>
  <c r="B30" i="4" a="1"/>
  <c r="B30" i="4" s="1"/>
  <c r="B31" i="4" a="1"/>
  <c r="B31" i="4" s="1"/>
  <c r="B32" i="4" a="1"/>
  <c r="B32" i="4" s="1"/>
  <c r="B33" i="4" a="1"/>
  <c r="B33" i="4" s="1"/>
  <c r="B34" i="4" a="1"/>
  <c r="B34" i="4" s="1"/>
  <c r="B35" i="4" a="1"/>
  <c r="B35" i="4" s="1"/>
  <c r="B36" i="4" a="1"/>
  <c r="B36" i="4" s="1"/>
  <c r="B37" i="4" a="1"/>
  <c r="B37" i="4" s="1"/>
  <c r="B38" i="4" a="1"/>
  <c r="B38" i="4" s="1"/>
  <c r="B39" i="4" a="1"/>
  <c r="B39" i="4" s="1"/>
  <c r="B40" i="4" a="1"/>
  <c r="B40" i="4" s="1"/>
  <c r="B41" i="4" a="1"/>
  <c r="B41" i="4" s="1"/>
  <c r="G41" i="4" s="1"/>
  <c r="B42" i="4" a="1"/>
  <c r="B42" i="4" s="1"/>
  <c r="Z4" i="5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0" i="5"/>
  <c r="Z21" i="5"/>
  <c r="Z22" i="5"/>
  <c r="Z23" i="5"/>
  <c r="Z24" i="5"/>
  <c r="Z25" i="5"/>
  <c r="Z26" i="5"/>
  <c r="Z27" i="5"/>
  <c r="Z28" i="5"/>
  <c r="Z29" i="5"/>
  <c r="Z30" i="5"/>
  <c r="Z31" i="5"/>
  <c r="Z32" i="5"/>
  <c r="Z33" i="5"/>
  <c r="Z34" i="5"/>
  <c r="Z35" i="5"/>
  <c r="Z36" i="5"/>
  <c r="Z37" i="5"/>
  <c r="Z38" i="5"/>
  <c r="Z39" i="5"/>
  <c r="Z40" i="5"/>
  <c r="Z41" i="5"/>
  <c r="Z42" i="5"/>
  <c r="Z43" i="5"/>
  <c r="Z44" i="5"/>
  <c r="Z45" i="5"/>
  <c r="Z46" i="5"/>
  <c r="Z47" i="5"/>
  <c r="Z48" i="5"/>
  <c r="Z49" i="5"/>
  <c r="Z50" i="5"/>
  <c r="Z51" i="5"/>
  <c r="Z52" i="5"/>
  <c r="Z53" i="5"/>
  <c r="Z54" i="5"/>
  <c r="Z55" i="5"/>
  <c r="Z56" i="5"/>
  <c r="Z57" i="5"/>
  <c r="Z58" i="5"/>
  <c r="Z59" i="5"/>
  <c r="Z60" i="5"/>
  <c r="Z61" i="5"/>
  <c r="Z62" i="5"/>
  <c r="Z63" i="5"/>
  <c r="Z64" i="5"/>
  <c r="Z65" i="5"/>
  <c r="Z66" i="5"/>
  <c r="Z67" i="5"/>
  <c r="Z68" i="5"/>
  <c r="Z69" i="5"/>
  <c r="Z70" i="5"/>
  <c r="Z71" i="5"/>
  <c r="Z72" i="5"/>
  <c r="Z73" i="5"/>
  <c r="Z74" i="5"/>
  <c r="Z75" i="5"/>
  <c r="Z76" i="5"/>
  <c r="Z77" i="5"/>
  <c r="Z78" i="5"/>
  <c r="Z79" i="5"/>
  <c r="Z80" i="5"/>
  <c r="Z81" i="5"/>
  <c r="Z82" i="5"/>
  <c r="Z83" i="5"/>
  <c r="Z84" i="5"/>
  <c r="Z85" i="5"/>
  <c r="Z86" i="5"/>
  <c r="Z87" i="5"/>
  <c r="Z88" i="5"/>
  <c r="Z89" i="5"/>
  <c r="Z90" i="5"/>
  <c r="Z91" i="5"/>
  <c r="Z92" i="5"/>
  <c r="Z93" i="5"/>
  <c r="Z94" i="5"/>
  <c r="Z95" i="5"/>
  <c r="Z96" i="5"/>
  <c r="Z97" i="5"/>
  <c r="Z98" i="5"/>
  <c r="Z99" i="5"/>
  <c r="Z100" i="5"/>
  <c r="Z101" i="5"/>
  <c r="Z102" i="5"/>
  <c r="Z103" i="5"/>
  <c r="Z104" i="5"/>
  <c r="Z105" i="5"/>
  <c r="Z106" i="5"/>
  <c r="Z107" i="5"/>
  <c r="Z108" i="5"/>
  <c r="Z109" i="5"/>
  <c r="Z110" i="5"/>
  <c r="Z111" i="5"/>
  <c r="Z112" i="5"/>
  <c r="Z113" i="5"/>
  <c r="Z114" i="5"/>
  <c r="Z115" i="5"/>
  <c r="Z116" i="5"/>
  <c r="Z117" i="5"/>
  <c r="Z118" i="5"/>
  <c r="Z119" i="5"/>
  <c r="Z120" i="5"/>
  <c r="Z121" i="5"/>
  <c r="Z122" i="5"/>
  <c r="Z123" i="5"/>
  <c r="Z124" i="5"/>
  <c r="Z125" i="5"/>
  <c r="Z126" i="5"/>
  <c r="Z127" i="5"/>
  <c r="Z128" i="5"/>
  <c r="Z129" i="5"/>
  <c r="Z130" i="5"/>
  <c r="Z131" i="5"/>
  <c r="Z132" i="5"/>
  <c r="Z133" i="5"/>
  <c r="Z134" i="5"/>
  <c r="Z135" i="5"/>
  <c r="Z136" i="5"/>
  <c r="Z137" i="5"/>
  <c r="Z138" i="5"/>
  <c r="Z139" i="5"/>
  <c r="Z140" i="5"/>
  <c r="Z141" i="5"/>
  <c r="Z142" i="5"/>
  <c r="Z143" i="5"/>
  <c r="Z144" i="5"/>
  <c r="Z145" i="5"/>
  <c r="Z146" i="5"/>
  <c r="Z147" i="5"/>
  <c r="Z148" i="5"/>
  <c r="Z149" i="5"/>
  <c r="Z150" i="5"/>
  <c r="Z151" i="5"/>
  <c r="Z152" i="5"/>
  <c r="Z153" i="5"/>
  <c r="Z154" i="5"/>
  <c r="Z155" i="5"/>
  <c r="Z156" i="5"/>
  <c r="Z157" i="5"/>
  <c r="Z158" i="5"/>
  <c r="Z159" i="5"/>
  <c r="Z160" i="5"/>
  <c r="Z161" i="5"/>
  <c r="Z162" i="5"/>
  <c r="Z163" i="5"/>
  <c r="Z164" i="5"/>
  <c r="Z165" i="5"/>
  <c r="Z166" i="5"/>
  <c r="Z167" i="5"/>
  <c r="Z168" i="5"/>
  <c r="Z169" i="5"/>
  <c r="Z170" i="5"/>
  <c r="Z171" i="5"/>
  <c r="Z172" i="5"/>
  <c r="Z173" i="5"/>
  <c r="Z174" i="5"/>
  <c r="Z175" i="5"/>
  <c r="Z176" i="5"/>
  <c r="Z177" i="5"/>
  <c r="Z178" i="5"/>
  <c r="Z179" i="5"/>
  <c r="Z180" i="5"/>
  <c r="Z181" i="5"/>
  <c r="Z182" i="5"/>
  <c r="Z183" i="5"/>
  <c r="Z184" i="5"/>
  <c r="Z185" i="5"/>
  <c r="Z186" i="5"/>
  <c r="Z187" i="5"/>
  <c r="Z188" i="5"/>
  <c r="Z189" i="5"/>
  <c r="Z190" i="5"/>
  <c r="Z191" i="5"/>
  <c r="Z192" i="5"/>
  <c r="Z193" i="5"/>
  <c r="Z194" i="5"/>
  <c r="Z195" i="5"/>
  <c r="Z196" i="5"/>
  <c r="Z197" i="5"/>
  <c r="Z198" i="5"/>
  <c r="Z199" i="5"/>
  <c r="Z200" i="5"/>
  <c r="Z201" i="5"/>
  <c r="Z202" i="5"/>
  <c r="Z203" i="5"/>
  <c r="Z204" i="5"/>
  <c r="Z205" i="5"/>
  <c r="Z206" i="5"/>
  <c r="Z207" i="5"/>
  <c r="Z208" i="5"/>
  <c r="Z209" i="5"/>
  <c r="Z210" i="5"/>
  <c r="Z211" i="5"/>
  <c r="Z212" i="5"/>
  <c r="Z213" i="5"/>
  <c r="Z214" i="5"/>
  <c r="Z215" i="5"/>
  <c r="Z216" i="5"/>
  <c r="Z217" i="5"/>
  <c r="Z218" i="5"/>
  <c r="Z219" i="5"/>
  <c r="Z220" i="5"/>
  <c r="Z221" i="5"/>
  <c r="Z222" i="5"/>
  <c r="Z223" i="5"/>
  <c r="Z224" i="5"/>
  <c r="Z225" i="5"/>
  <c r="Z226" i="5"/>
  <c r="Z227" i="5"/>
  <c r="Z228" i="5"/>
  <c r="Z229" i="5"/>
  <c r="Z230" i="5"/>
  <c r="Z231" i="5"/>
  <c r="Z232" i="5"/>
  <c r="Z233" i="5"/>
  <c r="Z234" i="5"/>
  <c r="Z235" i="5"/>
  <c r="Z236" i="5"/>
  <c r="Z237" i="5"/>
  <c r="Z238" i="5"/>
  <c r="Z239" i="5"/>
  <c r="Z240" i="5"/>
  <c r="Z241" i="5"/>
  <c r="Z242" i="5"/>
  <c r="Z243" i="5"/>
  <c r="Z244" i="5"/>
  <c r="Z245" i="5"/>
  <c r="Z246" i="5"/>
  <c r="Z247" i="5"/>
  <c r="Z248" i="5"/>
  <c r="Z249" i="5"/>
  <c r="Z250" i="5"/>
  <c r="Z251" i="5"/>
  <c r="Z252" i="5"/>
  <c r="Z253" i="5"/>
  <c r="Z254" i="5"/>
  <c r="Z255" i="5"/>
  <c r="Z256" i="5"/>
  <c r="Z257" i="5"/>
  <c r="Z258" i="5"/>
  <c r="Z259" i="5"/>
  <c r="Z260" i="5"/>
  <c r="Z261" i="5"/>
  <c r="Z262" i="5"/>
  <c r="Z263" i="5"/>
  <c r="Z264" i="5"/>
  <c r="Z265" i="5"/>
  <c r="Z266" i="5"/>
  <c r="Z267" i="5"/>
  <c r="Z268" i="5"/>
  <c r="Z269" i="5"/>
  <c r="Z270" i="5"/>
  <c r="Z271" i="5"/>
  <c r="Z272" i="5"/>
  <c r="Z273" i="5"/>
  <c r="Z274" i="5"/>
  <c r="Z275" i="5"/>
  <c r="Z276" i="5"/>
  <c r="Z277" i="5"/>
  <c r="Z278" i="5"/>
  <c r="Z279" i="5"/>
  <c r="Z280" i="5"/>
  <c r="Z281" i="5"/>
  <c r="Z282" i="5"/>
  <c r="Z283" i="5"/>
  <c r="Z284" i="5"/>
  <c r="Z285" i="5"/>
  <c r="Z286" i="5"/>
  <c r="Z287" i="5"/>
  <c r="Z288" i="5"/>
  <c r="Z289" i="5"/>
  <c r="Z290" i="5"/>
  <c r="Z3" i="5"/>
  <c r="R3" i="3"/>
  <c r="R4" i="3" s="1"/>
  <c r="R5" i="3" s="1"/>
  <c r="R6" i="3" s="1"/>
  <c r="R7" i="3" s="1"/>
  <c r="R8" i="3" s="1"/>
  <c r="R9" i="3" s="1"/>
  <c r="R10" i="3" s="1"/>
  <c r="R11" i="3" s="1"/>
  <c r="R12" i="3" s="1"/>
  <c r="R13" i="3" s="1"/>
  <c r="R14" i="3" s="1"/>
  <c r="R15" i="3" s="1"/>
  <c r="R16" i="3" s="1"/>
  <c r="R17" i="3" s="1"/>
  <c r="R18" i="3" s="1"/>
  <c r="R19" i="3" s="1"/>
  <c r="S3" i="3"/>
  <c r="S4" i="3" s="1"/>
  <c r="S5" i="3" s="1"/>
  <c r="S6" i="3" s="1"/>
  <c r="S7" i="3" s="1"/>
  <c r="S8" i="3" s="1"/>
  <c r="S9" i="3" s="1"/>
  <c r="S10" i="3" s="1"/>
  <c r="S11" i="3" s="1"/>
  <c r="S12" i="3" s="1"/>
  <c r="S13" i="3" s="1"/>
  <c r="S14" i="3" s="1"/>
  <c r="S15" i="3" s="1"/>
  <c r="S16" i="3" s="1"/>
  <c r="S17" i="3" s="1"/>
  <c r="S18" i="3" s="1"/>
  <c r="S19" i="3" s="1"/>
  <c r="T3" i="3"/>
  <c r="T4" i="3" s="1"/>
  <c r="T5" i="3" s="1"/>
  <c r="T6" i="3" s="1"/>
  <c r="T7" i="3" s="1"/>
  <c r="T8" i="3" s="1"/>
  <c r="T9" i="3" s="1"/>
  <c r="T10" i="3" s="1"/>
  <c r="T11" i="3" s="1"/>
  <c r="T12" i="3" s="1"/>
  <c r="T13" i="3" s="1"/>
  <c r="T14" i="3" s="1"/>
  <c r="T15" i="3" s="1"/>
  <c r="T16" i="3" s="1"/>
  <c r="T17" i="3" s="1"/>
  <c r="T18" i="3" s="1"/>
  <c r="T19" i="3" s="1"/>
  <c r="M3" i="3"/>
  <c r="M4" i="3" s="1"/>
  <c r="M5" i="3" s="1"/>
  <c r="M6" i="3" s="1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N3" i="3"/>
  <c r="N4" i="3" s="1"/>
  <c r="N5" i="3" s="1"/>
  <c r="N6" i="3" s="1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O3" i="3"/>
  <c r="O4" i="3" s="1"/>
  <c r="O5" i="3" s="1"/>
  <c r="O6" i="3" s="1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L4" i="3"/>
  <c r="L5" i="3" s="1"/>
  <c r="L6" i="3" s="1"/>
  <c r="L7" i="3" s="1"/>
  <c r="L8" i="3" s="1"/>
  <c r="L9" i="3" s="1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Q3" i="3"/>
  <c r="Q4" i="3" s="1"/>
  <c r="Q5" i="3" s="1"/>
  <c r="Q6" i="3" s="1"/>
  <c r="Q7" i="3" s="1"/>
  <c r="Q8" i="3" s="1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L3" i="3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I3" i="3"/>
  <c r="I4" i="3" s="1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G3" i="3"/>
  <c r="G4" i="3" s="1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C3" i="3"/>
  <c r="C4" i="3" s="1"/>
  <c r="C5" i="3" s="1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D3" i="3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E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X34" i="5"/>
  <c r="W34" i="5"/>
  <c r="V34" i="5"/>
  <c r="U34" i="5"/>
  <c r="W2" i="5" a="1"/>
  <c r="U2" i="5" a="1"/>
  <c r="L2" i="5"/>
  <c r="M2" i="5" s="1"/>
  <c r="N2" i="5" s="1"/>
  <c r="O2" i="5" s="1"/>
  <c r="G2" i="5"/>
  <c r="H2" i="5" s="1"/>
  <c r="I2" i="5" s="1"/>
  <c r="J2" i="5" s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21" i="1"/>
  <c r="A2" i="2"/>
  <c r="E30" i="4"/>
  <c r="E35" i="4" s="1"/>
  <c r="E29" i="4"/>
  <c r="E34" i="4" s="1"/>
  <c r="E28" i="4"/>
  <c r="E33" i="4" s="1"/>
  <c r="E27" i="4"/>
  <c r="E32" i="4" s="1"/>
  <c r="E26" i="4"/>
  <c r="E31" i="4" s="1"/>
  <c r="E21" i="4"/>
  <c r="E22" i="4"/>
  <c r="E23" i="4"/>
  <c r="E24" i="4"/>
  <c r="E25" i="4"/>
  <c r="B2" i="1"/>
  <c r="E2" i="1" s="1"/>
  <c r="B3" i="1"/>
  <c r="E3" i="1" s="1"/>
  <c r="B4" i="1"/>
  <c r="E4" i="1" s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C20" i="2" s="1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E1" i="1"/>
  <c r="C18" i="2"/>
  <c r="C19" i="2"/>
  <c r="C21" i="2"/>
  <c r="C26" i="2"/>
  <c r="D1" i="1"/>
  <c r="S1" i="1"/>
  <c r="R1" i="1"/>
  <c r="K1" i="1"/>
  <c r="A4" i="1"/>
  <c r="A3" i="1"/>
  <c r="A2" i="1"/>
  <c r="V10" i="1"/>
  <c r="V11" i="1"/>
  <c r="V12" i="1"/>
  <c r="V9" i="1"/>
  <c r="H17" i="1" a="1"/>
  <c r="H17" i="1" s="1"/>
  <c r="G17" i="1" a="1"/>
  <c r="G17" i="1" s="1"/>
  <c r="F17" i="1" a="1"/>
  <c r="F17" i="1" s="1"/>
  <c r="E17" i="1" a="1"/>
  <c r="E17" i="1" s="1"/>
  <c r="O5" i="1"/>
  <c r="O6" i="1"/>
  <c r="O3" i="1"/>
  <c r="G31" i="1"/>
  <c r="G32" i="1"/>
  <c r="G33" i="1"/>
  <c r="G34" i="1"/>
  <c r="G35" i="1"/>
  <c r="G36" i="1"/>
  <c r="G37" i="1"/>
  <c r="G38" i="1"/>
  <c r="G39" i="1"/>
  <c r="G40" i="1"/>
  <c r="G25" i="1"/>
  <c r="G3" i="1"/>
  <c r="I3" i="1" s="1"/>
  <c r="G22" i="1"/>
  <c r="G23" i="1"/>
  <c r="G24" i="1"/>
  <c r="G26" i="1"/>
  <c r="G27" i="1"/>
  <c r="G28" i="1"/>
  <c r="G29" i="1"/>
  <c r="G30" i="1"/>
  <c r="G21" i="1"/>
  <c r="H11" i="1"/>
  <c r="H9" i="1"/>
  <c r="H6" i="1"/>
  <c r="O4" i="1"/>
  <c r="W2" i="5" l="1"/>
  <c r="U2" i="5"/>
  <c r="Q18" i="2"/>
  <c r="Q19" i="2"/>
  <c r="Q20" i="2"/>
  <c r="Q21" i="2"/>
  <c r="Q26" i="2"/>
  <c r="E40" i="4"/>
  <c r="E39" i="4"/>
  <c r="E38" i="4"/>
  <c r="E37" i="4"/>
  <c r="E36" i="4"/>
  <c r="Q4" i="2"/>
  <c r="C4" i="2"/>
  <c r="Q17" i="2"/>
  <c r="C17" i="2"/>
  <c r="Q22" i="2"/>
  <c r="C22" i="2"/>
  <c r="Q23" i="2"/>
  <c r="C23" i="2"/>
  <c r="Q25" i="2"/>
  <c r="C25" i="2"/>
  <c r="Q27" i="2"/>
  <c r="C27" i="2"/>
  <c r="Q34" i="2"/>
  <c r="C34" i="2"/>
  <c r="Q35" i="2"/>
  <c r="C35" i="2"/>
  <c r="Q3" i="2"/>
  <c r="C3" i="2"/>
  <c r="Q36" i="2"/>
  <c r="C36" i="2"/>
  <c r="Q37" i="2"/>
  <c r="C37" i="2"/>
  <c r="Q16" i="2"/>
  <c r="C16" i="2"/>
  <c r="Q13" i="2"/>
  <c r="C13" i="2"/>
  <c r="Q14" i="2"/>
  <c r="C14" i="2"/>
  <c r="Q15" i="2"/>
  <c r="C15" i="2"/>
  <c r="Q5" i="2"/>
  <c r="C5" i="2"/>
  <c r="Q6" i="2"/>
  <c r="C6" i="2"/>
  <c r="Q7" i="2"/>
  <c r="C7" i="2"/>
  <c r="Q8" i="2"/>
  <c r="C8" i="2"/>
  <c r="Q9" i="2"/>
  <c r="C9" i="2"/>
  <c r="Q10" i="2"/>
  <c r="C10" i="2"/>
  <c r="Q11" i="2"/>
  <c r="C11" i="2"/>
  <c r="Q12" i="2"/>
  <c r="C12" i="2"/>
  <c r="Q28" i="2"/>
  <c r="C28" i="2"/>
  <c r="Q29" i="2"/>
  <c r="C29" i="2"/>
  <c r="Q30" i="2"/>
  <c r="C30" i="2"/>
  <c r="Q31" i="2"/>
  <c r="C31" i="2"/>
  <c r="Q32" i="2"/>
  <c r="C32" i="2"/>
  <c r="Q33" i="2"/>
  <c r="C33" i="2"/>
  <c r="Q24" i="2"/>
  <c r="C24" i="2"/>
  <c r="Q2" i="2"/>
  <c r="C2" i="2"/>
  <c r="R2" i="1"/>
  <c r="S2" i="1"/>
  <c r="R3" i="1"/>
  <c r="S3" i="1"/>
  <c r="R4" i="1"/>
  <c r="S4" i="1"/>
  <c r="E18" i="1"/>
  <c r="P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<sst xmlns="http://schemas.openxmlformats.org/spreadsheetml/2006/main" count="908" uniqueCount="449">
  <si>
    <t>Register</t>
  </si>
  <si>
    <t>Data</t>
  </si>
  <si>
    <t>HeartBeat</t>
  </si>
  <si>
    <t>HV Relay On</t>
  </si>
  <si>
    <t>ClearAlarm</t>
  </si>
  <si>
    <t>0-255</t>
  </si>
  <si>
    <t>Volt</t>
  </si>
  <si>
    <t>Current</t>
  </si>
  <si>
    <t>Power(KW)</t>
  </si>
  <si>
    <t>SOC(%）</t>
  </si>
  <si>
    <t>Current(A)</t>
  </si>
  <si>
    <t>I</t>
  </si>
  <si>
    <t>KW</t>
  </si>
  <si>
    <t>IP Address:</t>
  </si>
  <si>
    <t>Racks</t>
  </si>
  <si>
    <t>0 then 1</t>
  </si>
  <si>
    <t>2 then 1</t>
  </si>
  <si>
    <t>Function</t>
  </si>
  <si>
    <t>SBMU 01</t>
  </si>
  <si>
    <t>SBMU 02</t>
  </si>
  <si>
    <t>SBMU 03</t>
  </si>
  <si>
    <t>SBMU 04</t>
  </si>
  <si>
    <t>SBMU 05</t>
  </si>
  <si>
    <t>SBMU 06</t>
  </si>
  <si>
    <t>SBMU 07</t>
  </si>
  <si>
    <t>SBMU 08</t>
  </si>
  <si>
    <t>SBMU 09</t>
  </si>
  <si>
    <t>SBMU 10</t>
  </si>
  <si>
    <t>Total(MW)</t>
  </si>
  <si>
    <t>Limit point</t>
  </si>
  <si>
    <t>I reading</t>
  </si>
  <si>
    <t>Hex</t>
  </si>
  <si>
    <t>Dec</t>
  </si>
  <si>
    <t>Group ID:</t>
  </si>
  <si>
    <t>Temp</t>
  </si>
  <si>
    <t>Power</t>
  </si>
  <si>
    <t>No.</t>
  </si>
  <si>
    <t>IP</t>
  </si>
  <si>
    <t>PI</t>
  </si>
  <si>
    <t>SBMU 11</t>
  </si>
  <si>
    <t>SBMU 12</t>
  </si>
  <si>
    <t>SBMU 13</t>
  </si>
  <si>
    <t>SBMU 14</t>
  </si>
  <si>
    <t>SBMU 15</t>
  </si>
  <si>
    <t>SBMU 16</t>
  </si>
  <si>
    <t>SBMU 17</t>
  </si>
  <si>
    <t>SBMU 18</t>
  </si>
  <si>
    <t>SBMU 19</t>
  </si>
  <si>
    <t>SBMU 20</t>
  </si>
  <si>
    <t>D</t>
  </si>
  <si>
    <t>C</t>
  </si>
  <si>
    <t>B</t>
  </si>
  <si>
    <t>A</t>
  </si>
  <si>
    <t>Flag</t>
  </si>
  <si>
    <t>Std</t>
  </si>
  <si>
    <t>Max</t>
  </si>
  <si>
    <t>Min</t>
  </si>
  <si>
    <t>Med</t>
  </si>
  <si>
    <t>REG</t>
  </si>
  <si>
    <t>36,37</t>
  </si>
  <si>
    <t>16,17</t>
  </si>
  <si>
    <t>气溶胶</t>
  </si>
  <si>
    <t>E-stop+气溶胶</t>
  </si>
  <si>
    <t>Reg 16 冷机</t>
  </si>
  <si>
    <t>Reg 17消防</t>
  </si>
  <si>
    <t>IMM set</t>
  </si>
  <si>
    <t>10.238.8.16</t>
  </si>
  <si>
    <t>10.238.8.17</t>
  </si>
  <si>
    <t>10.238.8.18</t>
  </si>
  <si>
    <t>10.238.8.19</t>
  </si>
  <si>
    <t>10.238.8.26</t>
  </si>
  <si>
    <t>10.238.8.27</t>
  </si>
  <si>
    <t>10.238.8.28</t>
  </si>
  <si>
    <t>10.238.8.29</t>
  </si>
  <si>
    <t>10.238.8.36</t>
  </si>
  <si>
    <t>10.238.8.37</t>
  </si>
  <si>
    <t>10.238.8.38</t>
  </si>
  <si>
    <t>10.238.8.39</t>
  </si>
  <si>
    <t>10.238.8.46</t>
  </si>
  <si>
    <t>10.238.8.47</t>
  </si>
  <si>
    <t>10.238.8.48</t>
  </si>
  <si>
    <t>10.238.8.49</t>
  </si>
  <si>
    <t>10.238.8.56</t>
  </si>
  <si>
    <t>10.238.8.57</t>
  </si>
  <si>
    <t>10.238.8.58</t>
  </si>
  <si>
    <t>10.238.8.59</t>
  </si>
  <si>
    <t>10.238.8.66</t>
  </si>
  <si>
    <t>10.238.8.67</t>
  </si>
  <si>
    <t>10.238.8.68</t>
  </si>
  <si>
    <t>10.238.8.69</t>
  </si>
  <si>
    <t>10.238.8.76</t>
  </si>
  <si>
    <t>10.238.8.77</t>
  </si>
  <si>
    <t>10.238.8.78</t>
  </si>
  <si>
    <t>10.238.8.79</t>
  </si>
  <si>
    <t>10.238.8.86</t>
  </si>
  <si>
    <t>10.238.8.87</t>
  </si>
  <si>
    <t>10.238.8.88</t>
  </si>
  <si>
    <t>10.238.8.89</t>
  </si>
  <si>
    <t>10.238.8.96</t>
  </si>
  <si>
    <t>10.238.8.97</t>
  </si>
  <si>
    <t>10.238.8.98</t>
  </si>
  <si>
    <t>10.238.8.99</t>
  </si>
  <si>
    <t>Value</t>
  </si>
  <si>
    <t>PG</t>
  </si>
  <si>
    <t>Connect fail_x000D_</t>
  </si>
  <si>
    <t>说明</t>
  </si>
  <si>
    <t>告警</t>
  </si>
  <si>
    <t>状态</t>
  </si>
  <si>
    <t>relay输出电压</t>
  </si>
  <si>
    <t>电流</t>
  </si>
  <si>
    <t>SOC</t>
  </si>
  <si>
    <t>最大单体电压</t>
  </si>
  <si>
    <t>最小</t>
  </si>
  <si>
    <t>平均</t>
  </si>
  <si>
    <t>心跳包</t>
  </si>
  <si>
    <t>HV relay控制</t>
  </si>
  <si>
    <t>AuxPowerLost</t>
  </si>
  <si>
    <t>IMM状态控制</t>
  </si>
  <si>
    <t>告警清除</t>
  </si>
  <si>
    <t>SBMU01电流</t>
  </si>
  <si>
    <t>SBMU01 SOC</t>
  </si>
  <si>
    <t>SBMU01 充电限流点</t>
  </si>
  <si>
    <t>SBMU01 放电限流点</t>
  </si>
  <si>
    <t>SBMU01电压</t>
  </si>
  <si>
    <t>ETH版本</t>
  </si>
  <si>
    <t>SBMU02电压</t>
  </si>
  <si>
    <t>SBMU02电流</t>
  </si>
  <si>
    <t>SBMU02 SOC</t>
  </si>
  <si>
    <t>SBMU02 充电限流点</t>
  </si>
  <si>
    <t>SBMU02 放电限流点</t>
  </si>
  <si>
    <t>SBMU03电压</t>
  </si>
  <si>
    <t>SBMU03电流</t>
  </si>
  <si>
    <t>SBMU03 SOC</t>
  </si>
  <si>
    <t>SBMU03 充电限流点</t>
  </si>
  <si>
    <t>SBMU03 放电限流点</t>
  </si>
  <si>
    <t>SBMU04电压</t>
  </si>
  <si>
    <t>SBMU04电流</t>
  </si>
  <si>
    <t>SBMU04 SOC</t>
  </si>
  <si>
    <t>SBMU04 充电限流点</t>
  </si>
  <si>
    <t>SBMU04 放电限流点</t>
  </si>
  <si>
    <t>SBMU05电压</t>
  </si>
  <si>
    <t>SBMU05电流</t>
  </si>
  <si>
    <t>SBMU05 SOC</t>
  </si>
  <si>
    <t>SBMU05 充电限流点</t>
  </si>
  <si>
    <t>SBMU05 放电限流点</t>
  </si>
  <si>
    <t>before</t>
  </si>
  <si>
    <t>Delta</t>
  </si>
  <si>
    <t>10.238.7.86</t>
  </si>
  <si>
    <t>no</t>
  </si>
  <si>
    <t>soc</t>
  </si>
  <si>
    <t>volt</t>
  </si>
  <si>
    <t>soc-sbmu1</t>
  </si>
  <si>
    <t>soc-sbmu2</t>
  </si>
  <si>
    <t>soc-sbmu3</t>
  </si>
  <si>
    <t>soc-sbmu4</t>
  </si>
  <si>
    <t>soc-sbmu5</t>
  </si>
  <si>
    <t>volt-sbmu1</t>
  </si>
  <si>
    <t>volt-sbmu2</t>
  </si>
  <si>
    <t>volt-sbmu3</t>
  </si>
  <si>
    <t>volt-sbmu4</t>
  </si>
  <si>
    <t>volt-sbmu5</t>
  </si>
  <si>
    <t>10.238.5.36</t>
  </si>
  <si>
    <t>10.238.1.16</t>
  </si>
  <si>
    <t>10.238.1.17</t>
  </si>
  <si>
    <t>10.238.1.18</t>
  </si>
  <si>
    <t>10.238.1.19</t>
  </si>
  <si>
    <t>10.238.1.26</t>
  </si>
  <si>
    <t>10.238.1.27</t>
  </si>
  <si>
    <t>10.238.1.28</t>
  </si>
  <si>
    <t>10.238.1.29</t>
  </si>
  <si>
    <t>10.238.1.36</t>
  </si>
  <si>
    <t>10.238.1.37</t>
  </si>
  <si>
    <t>10.238.1.38</t>
  </si>
  <si>
    <t>10.238.1.39</t>
  </si>
  <si>
    <t>10.238.1.46</t>
  </si>
  <si>
    <t>10.238.1.47</t>
  </si>
  <si>
    <t>10.238.1.48</t>
  </si>
  <si>
    <t>10.238.1.49</t>
  </si>
  <si>
    <t>10.238.1.56</t>
  </si>
  <si>
    <t>10.238.1.57</t>
  </si>
  <si>
    <t>10.238.1.58</t>
  </si>
  <si>
    <t>10.238.1.59</t>
  </si>
  <si>
    <t>10.238.1.66</t>
  </si>
  <si>
    <t>10.238.1.67</t>
  </si>
  <si>
    <t>10.238.1.68</t>
  </si>
  <si>
    <t>10.238.1.69</t>
  </si>
  <si>
    <t>10.238.1.76</t>
  </si>
  <si>
    <t>10.238.1.77</t>
  </si>
  <si>
    <t>10.238.1.78</t>
  </si>
  <si>
    <t>10.238.1.79</t>
  </si>
  <si>
    <t>10.238.1.86</t>
  </si>
  <si>
    <t>10.238.1.87</t>
  </si>
  <si>
    <t>10.238.1.88</t>
  </si>
  <si>
    <t>10.238.1.89</t>
  </si>
  <si>
    <t>10.238.1.96</t>
  </si>
  <si>
    <t>10.238.1.97</t>
  </si>
  <si>
    <t>10.238.1.98</t>
  </si>
  <si>
    <t>10.238.1.99</t>
  </si>
  <si>
    <t>10.238.2.16</t>
  </si>
  <si>
    <t>10.238.2.17</t>
  </si>
  <si>
    <t>10.238.2.18</t>
  </si>
  <si>
    <t>10.238.2.19</t>
  </si>
  <si>
    <t>10.238.2.26</t>
  </si>
  <si>
    <t>10.238.2.27</t>
  </si>
  <si>
    <t>10.238.2.28</t>
  </si>
  <si>
    <t>10.238.2.29</t>
  </si>
  <si>
    <t>10.238.2.36</t>
  </si>
  <si>
    <t>10.238.2.37</t>
  </si>
  <si>
    <t>10.238.2.38</t>
  </si>
  <si>
    <t>10.238.2.39</t>
  </si>
  <si>
    <t>10.238.2.46</t>
  </si>
  <si>
    <t>10.238.2.47</t>
  </si>
  <si>
    <t>10.238.2.48</t>
  </si>
  <si>
    <t>10.238.2.49</t>
  </si>
  <si>
    <t>10.238.2.56</t>
  </si>
  <si>
    <t>10.238.2.57</t>
  </si>
  <si>
    <t>10.238.2.58</t>
  </si>
  <si>
    <t>10.238.2.59</t>
  </si>
  <si>
    <t>10.238.2.66</t>
  </si>
  <si>
    <t>10.238.2.67</t>
  </si>
  <si>
    <t>10.238.2.68</t>
  </si>
  <si>
    <t>10.238.2.69</t>
  </si>
  <si>
    <t>10.238.2.76</t>
  </si>
  <si>
    <t>10.238.2.77</t>
  </si>
  <si>
    <t>10.238.2.78</t>
  </si>
  <si>
    <t>10.238.2.79</t>
  </si>
  <si>
    <t>10.238.2.86</t>
  </si>
  <si>
    <t>10.238.2.87</t>
  </si>
  <si>
    <t>10.238.2.88</t>
  </si>
  <si>
    <t>10.238.2.89</t>
  </si>
  <si>
    <t>10.238.2.96</t>
  </si>
  <si>
    <t>10.238.2.97</t>
  </si>
  <si>
    <t>10.238.2.98</t>
  </si>
  <si>
    <t>10.238.2.99</t>
  </si>
  <si>
    <t>10.238.3.16</t>
  </si>
  <si>
    <t>10.238.3.17</t>
  </si>
  <si>
    <t>10.238.3.18</t>
  </si>
  <si>
    <t>10.238.3.19</t>
  </si>
  <si>
    <t>10.238.3.26</t>
  </si>
  <si>
    <t>10.238.3.27</t>
  </si>
  <si>
    <t>10.238.3.28</t>
  </si>
  <si>
    <t>10.238.3.29</t>
  </si>
  <si>
    <t>10.238.3.36</t>
  </si>
  <si>
    <t>10.238.3.37</t>
  </si>
  <si>
    <t>10.238.3.38</t>
  </si>
  <si>
    <t>10.238.3.39</t>
  </si>
  <si>
    <t>10.238.3.46</t>
  </si>
  <si>
    <t>10.238.3.47</t>
  </si>
  <si>
    <t>10.238.3.48</t>
  </si>
  <si>
    <t>10.238.3.49</t>
  </si>
  <si>
    <t>10.238.3.56</t>
  </si>
  <si>
    <t>10.238.3.57</t>
  </si>
  <si>
    <t>10.238.3.58</t>
  </si>
  <si>
    <t>10.238.3.59</t>
  </si>
  <si>
    <t>10.238.3.66</t>
  </si>
  <si>
    <t>10.238.3.67</t>
  </si>
  <si>
    <t>10.238.3.68</t>
  </si>
  <si>
    <t>10.238.3.69</t>
  </si>
  <si>
    <t>10.238.3.76</t>
  </si>
  <si>
    <t>10.238.3.77</t>
  </si>
  <si>
    <t>10.238.3.78</t>
  </si>
  <si>
    <t>10.238.3.79</t>
  </si>
  <si>
    <t>10.238.3.86</t>
  </si>
  <si>
    <t>10.238.3.87</t>
  </si>
  <si>
    <t>10.238.3.88</t>
  </si>
  <si>
    <t>10.238.3.89</t>
  </si>
  <si>
    <t>10.238.3.96</t>
  </si>
  <si>
    <t>10.238.3.97</t>
  </si>
  <si>
    <t>10.238.3.98</t>
  </si>
  <si>
    <t>10.238.3.99</t>
  </si>
  <si>
    <t>10.238.4.16</t>
  </si>
  <si>
    <t>10.238.4.17</t>
  </si>
  <si>
    <t>10.238.4.18</t>
  </si>
  <si>
    <t>10.238.4.19</t>
  </si>
  <si>
    <t>10.238.4.26</t>
  </si>
  <si>
    <t>10.238.4.27</t>
  </si>
  <si>
    <t>10.238.4.28</t>
  </si>
  <si>
    <t>10.238.4.29</t>
  </si>
  <si>
    <t>10.238.4.36</t>
  </si>
  <si>
    <t>10.238.4.37</t>
  </si>
  <si>
    <t>10.238.4.38</t>
  </si>
  <si>
    <t>10.238.4.39</t>
  </si>
  <si>
    <t>10.238.4.46</t>
  </si>
  <si>
    <t>10.238.4.47</t>
  </si>
  <si>
    <t>10.238.4.48</t>
  </si>
  <si>
    <t>10.238.4.49</t>
  </si>
  <si>
    <t>10.238.4.56</t>
  </si>
  <si>
    <t>10.238.4.57</t>
  </si>
  <si>
    <t>10.238.4.58</t>
  </si>
  <si>
    <t>10.238.4.59</t>
  </si>
  <si>
    <t>10.238.4.66</t>
  </si>
  <si>
    <t>10.238.4.67</t>
  </si>
  <si>
    <t>10.238.4.68</t>
  </si>
  <si>
    <t>10.238.4.69</t>
  </si>
  <si>
    <t>10.238.4.76</t>
  </si>
  <si>
    <t>10.238.4.77</t>
  </si>
  <si>
    <t>10.238.4.78</t>
  </si>
  <si>
    <t>10.238.4.79</t>
  </si>
  <si>
    <t>10.238.4.86</t>
  </si>
  <si>
    <t>10.238.4.87</t>
  </si>
  <si>
    <t>10.238.4.88</t>
  </si>
  <si>
    <t>10.238.4.89</t>
  </si>
  <si>
    <t>10.238.4.96</t>
  </si>
  <si>
    <t>10.238.4.97</t>
  </si>
  <si>
    <t>10.238.4.98</t>
  </si>
  <si>
    <t>10.238.4.99</t>
  </si>
  <si>
    <t>10.238.5.16</t>
  </si>
  <si>
    <t>10.238.5.17</t>
  </si>
  <si>
    <t>10.238.5.18</t>
  </si>
  <si>
    <t>10.238.5.19</t>
  </si>
  <si>
    <t>10.238.5.26</t>
  </si>
  <si>
    <t>10.238.5.27</t>
  </si>
  <si>
    <t>10.238.5.28</t>
  </si>
  <si>
    <t>10.238.5.29</t>
  </si>
  <si>
    <t>10.238.5.37</t>
  </si>
  <si>
    <t>10.238.5.38</t>
  </si>
  <si>
    <t>10.238.5.39</t>
  </si>
  <si>
    <t>10.238.5.46</t>
  </si>
  <si>
    <t>10.238.5.47</t>
  </si>
  <si>
    <t>10.238.5.48</t>
  </si>
  <si>
    <t>10.238.5.49</t>
  </si>
  <si>
    <t>10.238.5.56</t>
  </si>
  <si>
    <t>10.238.5.57</t>
  </si>
  <si>
    <t>10.238.5.58</t>
  </si>
  <si>
    <t>10.238.5.59</t>
  </si>
  <si>
    <t>10.238.5.66</t>
  </si>
  <si>
    <t>10.238.5.67</t>
  </si>
  <si>
    <t>10.238.5.68</t>
  </si>
  <si>
    <t>10.238.5.69</t>
  </si>
  <si>
    <t>10.238.5.76</t>
  </si>
  <si>
    <t>10.238.5.77</t>
  </si>
  <si>
    <t>10.238.5.78</t>
  </si>
  <si>
    <t>10.238.5.79</t>
  </si>
  <si>
    <t>10.238.5.86</t>
  </si>
  <si>
    <t>10.238.5.87</t>
  </si>
  <si>
    <t>10.238.5.88</t>
  </si>
  <si>
    <t>10.238.5.89</t>
  </si>
  <si>
    <t>10.238.5.96</t>
  </si>
  <si>
    <t>10.238.5.97</t>
  </si>
  <si>
    <t>10.238.5.98</t>
  </si>
  <si>
    <t>10.238.5.99</t>
  </si>
  <si>
    <t>10.238.6.16</t>
  </si>
  <si>
    <t>10.238.6.17</t>
  </si>
  <si>
    <t>10.238.6.18</t>
  </si>
  <si>
    <t>10.238.6.19</t>
  </si>
  <si>
    <t>10.238.6.26</t>
  </si>
  <si>
    <t>10.238.6.27</t>
  </si>
  <si>
    <t>10.238.6.28</t>
  </si>
  <si>
    <t>10.238.6.29</t>
  </si>
  <si>
    <t>10.238.6.36</t>
  </si>
  <si>
    <t>10.238.6.37</t>
  </si>
  <si>
    <t>10.238.6.38</t>
  </si>
  <si>
    <t>10.238.6.39</t>
  </si>
  <si>
    <t>10.238.6.46</t>
  </si>
  <si>
    <t>10.238.6.47</t>
  </si>
  <si>
    <t>10.238.6.48</t>
  </si>
  <si>
    <t>10.238.6.49</t>
  </si>
  <si>
    <t>10.238.6.56</t>
  </si>
  <si>
    <t>10.238.6.57</t>
  </si>
  <si>
    <t>10.238.6.58</t>
  </si>
  <si>
    <t>10.238.6.59</t>
  </si>
  <si>
    <t>10.238.6.66</t>
  </si>
  <si>
    <t>10.238.6.67</t>
  </si>
  <si>
    <t>10.238.6.68</t>
  </si>
  <si>
    <t>10.238.6.69</t>
  </si>
  <si>
    <t>10.238.6.76</t>
  </si>
  <si>
    <t>10.238.6.77</t>
  </si>
  <si>
    <t>10.238.6.78</t>
  </si>
  <si>
    <t>10.238.6.79</t>
  </si>
  <si>
    <t>10.238.6.86</t>
  </si>
  <si>
    <t>10.238.6.87</t>
  </si>
  <si>
    <t>10.238.6.88</t>
  </si>
  <si>
    <t>10.238.6.89</t>
  </si>
  <si>
    <t>10.238.6.96</t>
  </si>
  <si>
    <t>10.238.6.97</t>
  </si>
  <si>
    <t>10.238.6.98</t>
  </si>
  <si>
    <t>10.238.6.99</t>
  </si>
  <si>
    <t>10.238.7.16</t>
  </si>
  <si>
    <t>10.238.7.17</t>
  </si>
  <si>
    <t>10.238.7.18</t>
  </si>
  <si>
    <t>10.238.7.19</t>
  </si>
  <si>
    <t>10.238.7.26</t>
  </si>
  <si>
    <t>10.238.7.27</t>
  </si>
  <si>
    <t>10.238.7.28</t>
  </si>
  <si>
    <t>10.238.7.29</t>
  </si>
  <si>
    <t>10.238.7.36</t>
  </si>
  <si>
    <t>10.238.7.37</t>
  </si>
  <si>
    <t>10.238.7.38</t>
  </si>
  <si>
    <t>10.238.7.39</t>
  </si>
  <si>
    <t>10.238.7.46</t>
  </si>
  <si>
    <t>10.238.7.47</t>
  </si>
  <si>
    <t>10.238.7.48</t>
  </si>
  <si>
    <t>10.238.7.49</t>
  </si>
  <si>
    <t>10.238.7.56</t>
  </si>
  <si>
    <t>10.238.7.57</t>
  </si>
  <si>
    <t>10.238.7.58</t>
  </si>
  <si>
    <t>10.238.7.59</t>
  </si>
  <si>
    <t>10.238.7.66</t>
  </si>
  <si>
    <t>10.238.7.67</t>
  </si>
  <si>
    <t>10.238.7.68</t>
  </si>
  <si>
    <t>10.238.7.69</t>
  </si>
  <si>
    <t>10.238.7.76</t>
  </si>
  <si>
    <t>10.238.7.77</t>
  </si>
  <si>
    <t>10.238.7.78</t>
  </si>
  <si>
    <t>10.238.7.79</t>
  </si>
  <si>
    <t>10.238.7.87</t>
  </si>
  <si>
    <t>10.238.7.88</t>
  </si>
  <si>
    <t>10.238.7.89</t>
  </si>
  <si>
    <t>10.238.7.96</t>
  </si>
  <si>
    <t>10.238.7.97</t>
  </si>
  <si>
    <t>10.238.7.98</t>
  </si>
  <si>
    <t>10.238.7.99</t>
  </si>
  <si>
    <t>Fault</t>
  </si>
  <si>
    <t>Warning</t>
  </si>
  <si>
    <t>Normal</t>
  </si>
  <si>
    <t>MBMU-w1</t>
  </si>
  <si>
    <t>MBMU-w2</t>
  </si>
  <si>
    <t>SysSta</t>
  </si>
  <si>
    <t>IMMSta</t>
  </si>
  <si>
    <t>status</t>
  </si>
  <si>
    <t>warn1</t>
  </si>
  <si>
    <t>warn2</t>
  </si>
  <si>
    <t>IMM</t>
  </si>
  <si>
    <t>DiffVcell</t>
  </si>
  <si>
    <t>Max,Min Vcell</t>
  </si>
  <si>
    <t>bmu, FireSys Status</t>
  </si>
  <si>
    <t>Isotator Status</t>
  </si>
  <si>
    <t>1OK,4Warn,5Fault</t>
  </si>
  <si>
    <t>System Status</t>
  </si>
  <si>
    <t>0 enable, 2 disable</t>
  </si>
  <si>
    <t>Blank</t>
  </si>
  <si>
    <t>38c</t>
  </si>
  <si>
    <t>18D</t>
  </si>
  <si>
    <t>18C</t>
  </si>
  <si>
    <t>18B</t>
  </si>
  <si>
    <t>18A</t>
  </si>
  <si>
    <t>36D</t>
  </si>
  <si>
    <t>36C</t>
  </si>
  <si>
    <t>36B</t>
  </si>
  <si>
    <t>36A</t>
  </si>
  <si>
    <t>54D</t>
  </si>
  <si>
    <t>54C</t>
  </si>
  <si>
    <t>54B</t>
  </si>
  <si>
    <t>54A</t>
  </si>
  <si>
    <t>72D</t>
  </si>
  <si>
    <t>72C</t>
  </si>
  <si>
    <t>72B</t>
  </si>
  <si>
    <t>72A</t>
  </si>
  <si>
    <t>Isolator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</si>
</sst>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d/mm/yyyy\ h:mm:ss"/>
  </numFmts>
  <fonts count="19" x14ac:knownFonts="1">
    <font>
      <sz val="11"/>
      <color theme="1"/>
      <name val="Aptos Narrow"/>
      <family val="2"/>
      <charset val="134"/>
      <scheme val="minor"/>
    </font>
    <font>
      <sz val="9"/>
      <name val="Aptos Narrow"/>
      <family val="2"/>
      <charset val="134"/>
      <scheme val="minor"/>
    </font>
    <font>
      <sz val="11"/>
      <color rgb="FF000000"/>
      <name val="等线"/>
      <charset val="134"/>
    </font>
    <font>
      <sz val="11"/>
      <color rgb="FF000000"/>
      <name val="Aptos Narrow"/>
      <family val="2"/>
    </font>
    <font>
      <b/>
      <sz val="11"/>
      <color rgb="FFFF0000"/>
      <name val="等线"/>
      <charset val="134"/>
    </font>
    <font>
      <sz val="11"/>
      <color rgb="FF006100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20"/>
      <color theme="1"/>
      <name val="Arial"/>
      <family val="2"/>
    </font>
    <font>
      <b/>
      <sz val="12"/>
      <color theme="3"/>
      <name val="Aptos Narrow"/>
      <family val="2"/>
      <scheme val="minor"/>
    </font>
    <font>
      <b/>
      <sz val="14"/>
      <color theme="3"/>
      <name val="Aptos Narrow"/>
      <family val="2"/>
      <scheme val="minor"/>
    </font>
    <font>
      <b/>
      <sz val="11"/>
      <color theme="0"/>
      <name val="Aptos Narrow"/>
      <family val="2"/>
      <charset val="134"/>
      <scheme val="minor"/>
    </font>
    <font>
      <sz val="8"/>
      <name val="Aptos Narrow"/>
      <family val="2"/>
      <charset val="134"/>
      <scheme val="minor"/>
    </font>
    <font>
      <sz val="10"/>
      <color theme="1"/>
      <name val="Aptos Narrow"/>
      <family val="2"/>
      <charset val="134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</fills>
  <borders count="2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5" fillId="3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</cellStyleXfs>
  <cellXfs count="94">
    <xf numFmtId="0" fontId="0" fillId="0" borderId="0" xfId="0">
      <alignment vertical="center"/>
    </xf>
    <xf numFmtId="0" fontId="8" fillId="6" borderId="10" xfId="0" applyFont="1" applyFill="1" applyBorder="1">
      <alignment vertical="center"/>
    </xf>
    <xf numFmtId="0" fontId="8" fillId="6" borderId="11" xfId="0" applyFont="1" applyFill="1" applyBorder="1" applyAlignment="1">
      <alignment vertical="center" wrapText="1"/>
    </xf>
    <xf numFmtId="0" fontId="8" fillId="6" borderId="12" xfId="0" applyFont="1" applyFill="1" applyBorder="1">
      <alignment vertical="center"/>
    </xf>
    <xf numFmtId="0" fontId="9" fillId="7" borderId="10" xfId="0" applyFont="1" applyFill="1" applyBorder="1">
      <alignment vertical="center"/>
    </xf>
    <xf numFmtId="164" fontId="9" fillId="7" borderId="11" xfId="0" applyNumberFormat="1" applyFont="1" applyFill="1" applyBorder="1">
      <alignment vertical="center"/>
    </xf>
    <xf numFmtId="0" fontId="9" fillId="7" borderId="12" xfId="0" applyFont="1" applyFill="1" applyBorder="1">
      <alignment vertical="center"/>
    </xf>
    <xf numFmtId="0" fontId="9" fillId="0" borderId="10" xfId="0" applyFont="1" applyBorder="1">
      <alignment vertical="center"/>
    </xf>
    <xf numFmtId="164" fontId="9" fillId="0" borderId="11" xfId="0" applyNumberFormat="1" applyFont="1" applyBorder="1">
      <alignment vertical="center"/>
    </xf>
    <xf numFmtId="0" fontId="9" fillId="0" borderId="12" xfId="0" applyFont="1" applyBorder="1">
      <alignment vertical="center"/>
    </xf>
    <xf numFmtId="0" fontId="9" fillId="0" borderId="1" xfId="0" applyFont="1" applyBorder="1">
      <alignment vertical="center"/>
    </xf>
    <xf numFmtId="164" fontId="9" fillId="0" borderId="2" xfId="0" applyNumberFormat="1" applyFont="1" applyBorder="1">
      <alignment vertical="center"/>
    </xf>
    <xf numFmtId="0" fontId="9" fillId="0" borderId="3" xfId="0" applyFont="1" applyBorder="1">
      <alignment vertical="center"/>
    </xf>
    <xf numFmtId="0" fontId="8" fillId="8" borderId="4" xfId="0" applyFont="1" applyFill="1" applyBorder="1">
      <alignment vertical="center"/>
    </xf>
    <xf numFmtId="0" fontId="8" fillId="8" borderId="5" xfId="0" applyFont="1" applyFill="1" applyBorder="1">
      <alignment vertical="center"/>
    </xf>
    <xf numFmtId="0" fontId="8" fillId="8" borderId="6" xfId="0" applyFont="1" applyFill="1" applyBorder="1">
      <alignment vertical="center"/>
    </xf>
    <xf numFmtId="0" fontId="10" fillId="0" borderId="6" xfId="0" applyFont="1" applyBorder="1">
      <alignment vertical="center"/>
    </xf>
    <xf numFmtId="0" fontId="10" fillId="0" borderId="9" xfId="0" applyFont="1" applyBorder="1">
      <alignment vertical="center"/>
    </xf>
    <xf numFmtId="0" fontId="8" fillId="6" borderId="10" xfId="0" applyFont="1" applyFill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7" borderId="3" xfId="0" applyFont="1" applyFill="1" applyBorder="1" applyAlignment="1">
      <alignment horizontal="center" vertical="center"/>
    </xf>
    <xf numFmtId="0" fontId="8" fillId="6" borderId="11" xfId="0" applyFont="1" applyFill="1" applyBorder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3" fillId="5" borderId="0" xfId="2" applyFont="1" applyFill="1" applyBorder="1" applyAlignment="1">
      <alignment horizontal="right" vertical="center"/>
    </xf>
    <xf numFmtId="0" fontId="12" fillId="5" borderId="0" xfId="2" applyFont="1" applyFill="1" applyBorder="1" applyAlignment="1">
      <alignment vertical="center"/>
    </xf>
    <xf numFmtId="0" fontId="8" fillId="6" borderId="0" xfId="0" applyFont="1" applyFill="1">
      <alignment vertical="center"/>
    </xf>
    <xf numFmtId="165" fontId="0" fillId="0" borderId="0" xfId="0" applyNumberFormat="1">
      <alignment vertical="center"/>
    </xf>
    <xf numFmtId="0" fontId="9" fillId="10" borderId="11" xfId="0" applyFont="1" applyFill="1" applyBorder="1" applyAlignment="1">
      <alignment horizontal="center" vertical="center" wrapText="1"/>
    </xf>
    <xf numFmtId="0" fontId="9" fillId="11" borderId="2" xfId="0" applyFont="1" applyFill="1" applyBorder="1" applyAlignment="1">
      <alignment horizontal="center" vertical="center" wrapText="1"/>
    </xf>
    <xf numFmtId="0" fontId="5" fillId="9" borderId="0" xfId="1" applyFill="1" applyAlignment="1" applyProtection="1">
      <alignment vertical="center"/>
      <protection locked="0"/>
    </xf>
    <xf numFmtId="0" fontId="7" fillId="4" borderId="1" xfId="3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165" fontId="9" fillId="2" borderId="12" xfId="0" applyNumberFormat="1" applyFont="1" applyFill="1" applyBorder="1" applyAlignment="1">
      <alignment horizontal="center" vertical="center"/>
    </xf>
    <xf numFmtId="1" fontId="9" fillId="7" borderId="10" xfId="0" applyNumberFormat="1" applyFont="1" applyFill="1" applyBorder="1" applyAlignment="1">
      <alignment horizontal="center" vertical="center" wrapText="1"/>
    </xf>
    <xf numFmtId="1" fontId="9" fillId="0" borderId="1" xfId="0" applyNumberFormat="1" applyFont="1" applyBorder="1" applyAlignment="1">
      <alignment horizontal="center" vertical="center" wrapText="1"/>
    </xf>
    <xf numFmtId="1" fontId="9" fillId="7" borderId="12" xfId="0" applyNumberFormat="1" applyFont="1" applyFill="1" applyBorder="1">
      <alignment vertical="center"/>
    </xf>
    <xf numFmtId="1" fontId="9" fillId="0" borderId="12" xfId="0" applyNumberFormat="1" applyFont="1" applyBorder="1">
      <alignment vertical="center"/>
    </xf>
    <xf numFmtId="1" fontId="9" fillId="0" borderId="3" xfId="0" applyNumberFormat="1" applyFont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7" borderId="3" xfId="0" applyFill="1" applyBorder="1">
      <alignment vertical="center"/>
    </xf>
    <xf numFmtId="0" fontId="14" fillId="6" borderId="10" xfId="0" applyFont="1" applyFill="1" applyBorder="1">
      <alignment vertical="center"/>
    </xf>
    <xf numFmtId="0" fontId="14" fillId="6" borderId="11" xfId="0" applyFont="1" applyFill="1" applyBorder="1">
      <alignment vertical="center"/>
    </xf>
    <xf numFmtId="0" fontId="14" fillId="6" borderId="12" xfId="0" applyFont="1" applyFill="1" applyBorder="1">
      <alignment vertical="center"/>
    </xf>
    <xf numFmtId="0" fontId="14" fillId="6" borderId="0" xfId="0" applyFont="1" applyFill="1">
      <alignment vertical="center"/>
    </xf>
    <xf numFmtId="2" fontId="0" fillId="7" borderId="3" xfId="0" applyNumberFormat="1" applyFill="1" applyBorder="1">
      <alignment vertical="center"/>
    </xf>
    <xf numFmtId="0" fontId="0" fillId="9" borderId="0" xfId="0" applyFill="1">
      <alignment vertical="center"/>
    </xf>
    <xf numFmtId="0" fontId="16" fillId="0" borderId="0" xfId="0" applyFont="1">
      <alignment vertical="center"/>
    </xf>
    <xf numFmtId="0" fontId="9" fillId="9" borderId="0" xfId="0" applyFont="1" applyFill="1">
      <alignment vertical="center"/>
    </xf>
    <xf numFmtId="0" fontId="0" fillId="12" borderId="13" xfId="0" applyFill="1" applyBorder="1">
      <alignment vertical="center"/>
    </xf>
    <xf numFmtId="0" fontId="0" fillId="12" borderId="14" xfId="0" applyFill="1" applyBorder="1">
      <alignment vertical="center"/>
    </xf>
    <xf numFmtId="0" fontId="0" fillId="12" borderId="15" xfId="0" applyFill="1" applyBorder="1">
      <alignment vertical="center"/>
    </xf>
    <xf numFmtId="0" fontId="0" fillId="0" borderId="13" xfId="0" applyBorder="1">
      <alignment vertical="center"/>
    </xf>
    <xf numFmtId="0" fontId="0" fillId="0" borderId="15" xfId="0" applyBorder="1">
      <alignment vertical="center"/>
    </xf>
    <xf numFmtId="0" fontId="0" fillId="12" borderId="14" xfId="0" applyFill="1" applyBorder="1" applyAlignment="1">
      <alignment vertical="center" wrapText="1"/>
    </xf>
    <xf numFmtId="0" fontId="0" fillId="0" borderId="14" xfId="0" applyBorder="1" applyAlignment="1">
      <alignment vertical="center" wrapText="1"/>
    </xf>
    <xf numFmtId="0" fontId="0" fillId="13" borderId="0" xfId="0" applyFill="1">
      <alignment vertical="center"/>
    </xf>
    <xf numFmtId="164" fontId="0" fillId="0" borderId="0" xfId="0" applyNumberFormat="1">
      <alignment vertical="center"/>
    </xf>
    <xf numFmtId="0" fontId="18" fillId="0" borderId="0" xfId="0" applyFont="1" applyAlignment="1"/>
    <xf numFmtId="0" fontId="18" fillId="0" borderId="0" xfId="0" applyFont="1" applyAlignment="1">
      <alignment horizontal="center"/>
    </xf>
    <xf numFmtId="0" fontId="17" fillId="0" borderId="0" xfId="0" applyFont="1" applyAlignment="1"/>
    <xf numFmtId="0" fontId="17" fillId="0" borderId="0" xfId="0" quotePrefix="1" applyFont="1" applyAlignment="1"/>
    <xf numFmtId="0" fontId="18" fillId="14" borderId="0" xfId="0" applyFont="1" applyFill="1" applyAlignment="1">
      <alignment horizontal="center"/>
    </xf>
    <xf numFmtId="166" fontId="0" fillId="0" borderId="0" xfId="0" applyNumberFormat="1" applyAlignment="1">
      <alignment vertical="center" wrapText="1"/>
    </xf>
    <xf numFmtId="0" fontId="0" fillId="14" borderId="0" xfId="0" applyFill="1" applyAlignment="1">
      <alignment horizontal="center"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10" fillId="0" borderId="5" xfId="0" applyFont="1" applyBorder="1" applyAlignment="1">
      <alignment horizontal="left" vertical="center"/>
    </xf>
    <xf numFmtId="0" fontId="10" fillId="0" borderId="8" xfId="0" applyFont="1" applyBorder="1" applyAlignment="1">
      <alignment horizontal="left" vertical="center"/>
    </xf>
    <xf numFmtId="0" fontId="10" fillId="0" borderId="4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9" fillId="18" borderId="16" xfId="0" applyFont="1" applyFill="1" applyBorder="1" applyAlignment="1">
      <alignment horizontal="center" vertical="center"/>
    </xf>
    <xf numFmtId="0" fontId="9" fillId="18" borderId="17" xfId="0" applyFont="1" applyFill="1" applyBorder="1" applyAlignment="1">
      <alignment horizontal="center" vertical="center"/>
    </xf>
    <xf numFmtId="0" fontId="9" fillId="18" borderId="18" xfId="0" applyFont="1" applyFill="1" applyBorder="1" applyAlignment="1">
      <alignment horizontal="center" vertical="center"/>
    </xf>
    <xf numFmtId="0" fontId="9" fillId="17" borderId="0" xfId="0" applyFont="1" applyFill="1" applyAlignment="1">
      <alignment horizontal="center" vertical="center"/>
    </xf>
    <xf numFmtId="0" fontId="9" fillId="18" borderId="19" xfId="0" applyFont="1" applyFill="1" applyBorder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9" fillId="18" borderId="20" xfId="0" applyFont="1" applyFill="1" applyBorder="1" applyAlignment="1">
      <alignment horizontal="center" vertical="center"/>
    </xf>
    <xf numFmtId="0" fontId="9" fillId="15" borderId="19" xfId="0" applyFont="1" applyFill="1" applyBorder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9" fillId="15" borderId="20" xfId="0" applyFont="1" applyFill="1" applyBorder="1" applyAlignment="1">
      <alignment horizontal="center" vertical="center"/>
    </xf>
    <xf numFmtId="0" fontId="9" fillId="18" borderId="21" xfId="0" applyFont="1" applyFill="1" applyBorder="1" applyAlignment="1">
      <alignment horizontal="center" vertical="center"/>
    </xf>
    <xf numFmtId="0" fontId="9" fillId="18" borderId="22" xfId="0" applyFont="1" applyFill="1" applyBorder="1" applyAlignment="1">
      <alignment horizontal="center" vertical="center"/>
    </xf>
    <xf numFmtId="0" fontId="9" fillId="18" borderId="23" xfId="0" applyFont="1" applyFill="1" applyBorder="1" applyAlignment="1">
      <alignment horizontal="center" vertical="center"/>
    </xf>
    <xf numFmtId="0" fontId="9" fillId="18" borderId="0" xfId="0" applyFont="1" applyFill="1" applyBorder="1" applyAlignment="1">
      <alignment horizontal="center" vertical="center"/>
    </xf>
    <xf numFmtId="0" fontId="9" fillId="15" borderId="0" xfId="0" applyFont="1" applyFill="1" applyBorder="1" applyAlignment="1">
      <alignment horizontal="center" vertical="center"/>
    </xf>
    <xf numFmtId="0" fontId="9" fillId="15" borderId="21" xfId="0" applyFont="1" applyFill="1" applyBorder="1" applyAlignment="1">
      <alignment horizontal="center" vertical="center"/>
    </xf>
    <xf numFmtId="0" fontId="9" fillId="15" borderId="22" xfId="0" applyFont="1" applyFill="1" applyBorder="1" applyAlignment="1">
      <alignment horizontal="center" vertical="center"/>
    </xf>
    <xf numFmtId="0" fontId="9" fillId="15" borderId="23" xfId="0" applyFont="1" applyFill="1" applyBorder="1" applyAlignment="1">
      <alignment horizontal="center" vertical="center"/>
    </xf>
    <xf numFmtId="0" fontId="0" fillId="0" borderId="0" xfId="0" applyNumberFormat="1" applyAlignment="1">
      <alignment vertical="center" wrapText="1"/>
    </xf>
  </cellXfs>
  <cellStyles count="4">
    <cellStyle name="Good" xfId="1" builtinId="26"/>
    <cellStyle name="Heading 4" xfId="2" builtinId="19"/>
    <cellStyle name="Neutral" xfId="3" builtinId="28"/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SBMU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HotComm!$C$20</c:f>
              <c:strCache>
                <c:ptCount val="1"/>
                <c:pt idx="0">
                  <c:v>SOC(%）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HotComm!$A$21:$A$40</c:f>
              <c:strCache>
                <c:ptCount val="20"/>
                <c:pt idx="0">
                  <c:v>SBMU 01</c:v>
                </c:pt>
                <c:pt idx="1">
                  <c:v>SBMU 02</c:v>
                </c:pt>
                <c:pt idx="2">
                  <c:v>SBMU 03</c:v>
                </c:pt>
                <c:pt idx="3">
                  <c:v>SBMU 04</c:v>
                </c:pt>
                <c:pt idx="4">
                  <c:v>SBMU 05</c:v>
                </c:pt>
                <c:pt idx="5">
                  <c:v>SBMU 06</c:v>
                </c:pt>
                <c:pt idx="6">
                  <c:v>SBMU 07</c:v>
                </c:pt>
                <c:pt idx="7">
                  <c:v>SBMU 08</c:v>
                </c:pt>
                <c:pt idx="8">
                  <c:v>SBMU 09</c:v>
                </c:pt>
                <c:pt idx="9">
                  <c:v>SBMU 10</c:v>
                </c:pt>
                <c:pt idx="10">
                  <c:v>SBMU 11</c:v>
                </c:pt>
                <c:pt idx="11">
                  <c:v>SBMU 12</c:v>
                </c:pt>
                <c:pt idx="12">
                  <c:v>SBMU 13</c:v>
                </c:pt>
                <c:pt idx="13">
                  <c:v>SBMU 14</c:v>
                </c:pt>
                <c:pt idx="14">
                  <c:v>SBMU 15</c:v>
                </c:pt>
                <c:pt idx="15">
                  <c:v>SBMU 16</c:v>
                </c:pt>
                <c:pt idx="16">
                  <c:v>SBMU 17</c:v>
                </c:pt>
                <c:pt idx="17">
                  <c:v>SBMU 18</c:v>
                </c:pt>
                <c:pt idx="18">
                  <c:v>SBMU 19</c:v>
                </c:pt>
                <c:pt idx="19">
                  <c:v>SBMU 20</c:v>
                </c:pt>
              </c:strCache>
            </c:strRef>
          </c:cat>
          <c:val>
            <c:numRef>
              <c:f>HotComm!$C$21:$C$40</c:f>
              <c:numCache>
                <c:formatCode>0.0</c:formatCode>
                <c:ptCount val="20"/>
                <c:pt idx="0">
                  <c:v>5.7</c:v>
                </c:pt>
                <c:pt idx="1">
                  <c:v>2.8</c:v>
                </c:pt>
                <c:pt idx="2">
                  <c:v>52.1</c:v>
                </c:pt>
                <c:pt idx="3">
                  <c:v>51.7</c:v>
                </c:pt>
                <c:pt idx="4">
                  <c:v>51.8</c:v>
                </c:pt>
                <c:pt idx="5">
                  <c:v>51.3</c:v>
                </c:pt>
                <c:pt idx="6">
                  <c:v>2.8</c:v>
                </c:pt>
                <c:pt idx="7">
                  <c:v>52.3</c:v>
                </c:pt>
                <c:pt idx="8">
                  <c:v>51.9</c:v>
                </c:pt>
                <c:pt idx="9">
                  <c:v>52</c:v>
                </c:pt>
                <c:pt idx="10">
                  <c:v>1</c:v>
                </c:pt>
                <c:pt idx="11">
                  <c:v>48.5</c:v>
                </c:pt>
                <c:pt idx="12">
                  <c:v>48.4</c:v>
                </c:pt>
                <c:pt idx="13">
                  <c:v>48.5</c:v>
                </c:pt>
                <c:pt idx="14">
                  <c:v>1</c:v>
                </c:pt>
                <c:pt idx="15">
                  <c:v>79.900000000000006</c:v>
                </c:pt>
                <c:pt idx="16">
                  <c:v>72.5</c:v>
                </c:pt>
                <c:pt idx="17">
                  <c:v>72.599999999999994</c:v>
                </c:pt>
                <c:pt idx="18">
                  <c:v>77.2</c:v>
                </c:pt>
                <c:pt idx="19">
                  <c:v>72.400000000000006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3027311"/>
        <c:axId val="2134251407"/>
      </c:barChart>
      <c:lineChart>
        <c:grouping val="stacked"/>
        <c:varyColors val="0"/>
        <c:ser>
          <c:idx val="0"/>
          <c:order val="0"/>
          <c:tx>
            <c:strRef>
              <c:f>HotComm!$B$20</c:f>
              <c:strCache>
                <c:ptCount val="1"/>
                <c:pt idx="0">
                  <c:v>Current(A)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HotComm!$A$21:$A$40</c:f>
              <c:strCache>
                <c:ptCount val="20"/>
                <c:pt idx="0">
                  <c:v>SBMU 01</c:v>
                </c:pt>
                <c:pt idx="1">
                  <c:v>SBMU 02</c:v>
                </c:pt>
                <c:pt idx="2">
                  <c:v>SBMU 03</c:v>
                </c:pt>
                <c:pt idx="3">
                  <c:v>SBMU 04</c:v>
                </c:pt>
                <c:pt idx="4">
                  <c:v>SBMU 05</c:v>
                </c:pt>
                <c:pt idx="5">
                  <c:v>SBMU 06</c:v>
                </c:pt>
                <c:pt idx="6">
                  <c:v>SBMU 07</c:v>
                </c:pt>
                <c:pt idx="7">
                  <c:v>SBMU 08</c:v>
                </c:pt>
                <c:pt idx="8">
                  <c:v>SBMU 09</c:v>
                </c:pt>
                <c:pt idx="9">
                  <c:v>SBMU 10</c:v>
                </c:pt>
                <c:pt idx="10">
                  <c:v>SBMU 11</c:v>
                </c:pt>
                <c:pt idx="11">
                  <c:v>SBMU 12</c:v>
                </c:pt>
                <c:pt idx="12">
                  <c:v>SBMU 13</c:v>
                </c:pt>
                <c:pt idx="13">
                  <c:v>SBMU 14</c:v>
                </c:pt>
                <c:pt idx="14">
                  <c:v>SBMU 15</c:v>
                </c:pt>
                <c:pt idx="15">
                  <c:v>SBMU 16</c:v>
                </c:pt>
                <c:pt idx="16">
                  <c:v>SBMU 17</c:v>
                </c:pt>
                <c:pt idx="17">
                  <c:v>SBMU 18</c:v>
                </c:pt>
                <c:pt idx="18">
                  <c:v>SBMU 19</c:v>
                </c:pt>
                <c:pt idx="19">
                  <c:v>SBMU 20</c:v>
                </c:pt>
              </c:strCache>
            </c:strRef>
          </c:cat>
          <c:val>
            <c:numRef>
              <c:f>HotComm!$B$21:$B$40</c:f>
              <c:numCache>
                <c:formatCode>0.0</c:formatCode>
                <c:ptCount val="20"/>
                <c:pt idx="0">
                  <c:v>98.6</c:v>
                </c:pt>
                <c:pt idx="1">
                  <c:v>98.1</c:v>
                </c:pt>
                <c:pt idx="2">
                  <c:v>99.4</c:v>
                </c:pt>
                <c:pt idx="3">
                  <c:v>100.1</c:v>
                </c:pt>
                <c:pt idx="4">
                  <c:v>100.4</c:v>
                </c:pt>
                <c:pt idx="5">
                  <c:v>99.2</c:v>
                </c:pt>
                <c:pt idx="6">
                  <c:v>98.6</c:v>
                </c:pt>
                <c:pt idx="7">
                  <c:v>98.4</c:v>
                </c:pt>
                <c:pt idx="8">
                  <c:v>97.3</c:v>
                </c:pt>
                <c:pt idx="9">
                  <c:v>96.2</c:v>
                </c:pt>
                <c:pt idx="10">
                  <c:v>97.3</c:v>
                </c:pt>
                <c:pt idx="11">
                  <c:v>94.6</c:v>
                </c:pt>
                <c:pt idx="12">
                  <c:v>95.6</c:v>
                </c:pt>
                <c:pt idx="13">
                  <c:v>93.8</c:v>
                </c:pt>
                <c:pt idx="14">
                  <c:v>94.6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901087"/>
        <c:axId val="2137900127"/>
      </c:lineChart>
      <c:catAx>
        <c:axId val="2133027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251407"/>
        <c:crosses val="autoZero"/>
        <c:auto val="1"/>
        <c:lblAlgn val="ctr"/>
        <c:lblOffset val="100"/>
        <c:noMultiLvlLbl val="0"/>
      </c:catAx>
      <c:valAx>
        <c:axId val="2134251407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027311"/>
        <c:crosses val="autoZero"/>
        <c:crossBetween val="between"/>
      </c:valAx>
      <c:valAx>
        <c:axId val="2137900127"/>
        <c:scaling>
          <c:orientation val="minMax"/>
          <c:max val="200"/>
          <c:min val="-200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901087"/>
        <c:crosses val="max"/>
        <c:crossBetween val="between"/>
      </c:valAx>
      <c:catAx>
        <c:axId val="21379010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7900127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ReadSOC!$U$33:$X$33</c:f>
              <c:strCache>
                <c:ptCount val="4"/>
                <c:pt idx="0">
                  <c:v>Fault</c:v>
                </c:pt>
                <c:pt idx="1">
                  <c:v>Warning</c:v>
                </c:pt>
                <c:pt idx="2">
                  <c:v>Normal</c:v>
                </c:pt>
                <c:pt idx="3">
                  <c:v>Blank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98E-437C-9A54-9682D96212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98E-437C-9A54-9682D96212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98E-437C-9A54-9682D96212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710-4F72-81FD-52A6EA29EE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ReadSOC!$U$33:$X$33</c:f>
              <c:strCache>
                <c:ptCount val="4"/>
                <c:pt idx="0">
                  <c:v>Fault</c:v>
                </c:pt>
                <c:pt idx="1">
                  <c:v>Warning</c:v>
                </c:pt>
                <c:pt idx="2">
                  <c:v>Normal</c:v>
                </c:pt>
                <c:pt idx="3">
                  <c:v>Blank</c:v>
                </c:pt>
              </c:strCache>
            </c:strRef>
          </c:cat>
          <c:val>
            <c:numRef>
              <c:f>ReadSOC!$U$34:$X$34</c:f>
              <c:numCache>
                <c:formatCode>General</c:formatCode>
                <c:ptCount val="4"/>
                <c:pt idx="0">
                  <c:v>56</c:v>
                </c:pt>
                <c:pt idx="1">
                  <c:v>15</c:v>
                </c:pt>
                <c:pt idx="2">
                  <c:v>167</c:v>
                </c:pt>
                <c:pt idx="3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4-42B8-9E7C-8ED7AA881A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3</xdr:row>
          <xdr:rowOff>133350</xdr:rowOff>
        </xdr:from>
        <xdr:to>
          <xdr:col>5</xdr:col>
          <xdr:colOff>381000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Clear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6</xdr:row>
          <xdr:rowOff>15875</xdr:rowOff>
        </xdr:from>
        <xdr:to>
          <xdr:col>5</xdr:col>
          <xdr:colOff>381000</xdr:colOff>
          <xdr:row>7</xdr:row>
          <xdr:rowOff>120650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HV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8</xdr:row>
          <xdr:rowOff>88900</xdr:rowOff>
        </xdr:from>
        <xdr:to>
          <xdr:col>5</xdr:col>
          <xdr:colOff>381000</xdr:colOff>
          <xdr:row>9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HV 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10</xdr:row>
          <xdr:rowOff>152400</xdr:rowOff>
        </xdr:from>
        <xdr:to>
          <xdr:col>5</xdr:col>
          <xdr:colOff>381000</xdr:colOff>
          <xdr:row>12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Heart Beat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133350</xdr:colOff>
          <xdr:row>4</xdr:row>
          <xdr:rowOff>95250</xdr:rowOff>
        </xdr:from>
        <xdr:to>
          <xdr:col>16</xdr:col>
          <xdr:colOff>123825</xdr:colOff>
          <xdr:row>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MBMU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381000</xdr:colOff>
          <xdr:row>15</xdr:row>
          <xdr:rowOff>161925</xdr:rowOff>
        </xdr:from>
        <xdr:to>
          <xdr:col>3</xdr:col>
          <xdr:colOff>428625</xdr:colOff>
          <xdr:row>17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SBMU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309561</xdr:colOff>
      <xdr:row>17</xdr:row>
      <xdr:rowOff>171450</xdr:rowOff>
    </xdr:from>
    <xdr:to>
      <xdr:col>18</xdr:col>
      <xdr:colOff>438149</xdr:colOff>
      <xdr:row>35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C4682A-0394-D769-62EF-2D2C11FFEE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5</xdr:row>
          <xdr:rowOff>38100</xdr:rowOff>
        </xdr:from>
        <xdr:to>
          <xdr:col>18</xdr:col>
          <xdr:colOff>438150</xdr:colOff>
          <xdr:row>6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1</xdr:row>
          <xdr:rowOff>123825</xdr:rowOff>
        </xdr:from>
        <xdr:to>
          <xdr:col>5</xdr:col>
          <xdr:colOff>371475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161925</xdr:rowOff>
        </xdr:from>
        <xdr:to>
          <xdr:col>5</xdr:col>
          <xdr:colOff>381000</xdr:colOff>
          <xdr:row>8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CF ALL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1</xdr:row>
          <xdr:rowOff>38100</xdr:rowOff>
        </xdr:from>
        <xdr:to>
          <xdr:col>24</xdr:col>
          <xdr:colOff>323850</xdr:colOff>
          <xdr:row>3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171450</xdr:colOff>
          <xdr:row>1</xdr:row>
          <xdr:rowOff>28575</xdr:rowOff>
        </xdr:from>
        <xdr:to>
          <xdr:col>20</xdr:col>
          <xdr:colOff>381000</xdr:colOff>
          <xdr:row>3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SOC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9525</xdr:colOff>
      <xdr:row>16</xdr:row>
      <xdr:rowOff>0</xdr:rowOff>
    </xdr:from>
    <xdr:to>
      <xdr:col>24</xdr:col>
      <xdr:colOff>4762</xdr:colOff>
      <xdr:row>26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F48DB3-69E8-E1D5-CC28-4A7BAAC6CC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/>
    <v>2</v>
    <v>5</v>
    <v>5</v>
  </rv>
</rvData>
</file>

<file path=xl/richData/rdrichvaluestructure.xml><?xml version="1.0" encoding="utf-8"?>
<rvStructures xmlns="http://schemas.microsoft.com/office/spreadsheetml/2017/richdata" count="1">
  <s t="_error">
    <k n="argument" t="s"/>
    <k n="errorType" t="i"/>
    <k n="ptg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F01A80-F4C1-4B54-9E66-CB02343A45E2}" name="Table1" displayName="Table1" ref="A1:D37" totalsRowShown="0">
  <autoFilter ref="A1:D37" xr:uid="{6BF01A80-F4C1-4B54-9E66-CB02343A45E2}"/>
  <tableColumns count="4">
    <tableColumn id="1" xr3:uid="{4FD0E23D-23B1-41CE-899F-3286882EA83F}" name="IP">
      <calculatedColumnFormula>SUBSTITUTE(O2,".8.","."&amp;$K$1&amp;".")</calculatedColumnFormula>
    </tableColumn>
    <tableColumn id="2" xr3:uid="{5439F5C0-F0B2-48FB-AB6B-FB86820C3444}" name="Value" dataDxfId="6"/>
    <tableColumn id="4" xr3:uid="{A2B1FA6A-B545-420E-A549-FC37C36A5448}" name="PI" dataDxfId="5">
      <calculatedColumnFormula>MID(Table1[[#This Row],[IP]],LEN(Table1[[#This Row],[IP]])-1,1)+(--MID(Table1[[#This Row],[IP]],8,1)-1)*9</calculatedColumnFormula>
    </tableColumn>
    <tableColumn id="5" xr3:uid="{13F536C0-4C92-4BCE-B560-261020941708}" name="Flag" dataDxfId="4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07BBC6-7879-4002-BE85-18A8D635E7E4}" name="Table14" displayName="Table14" ref="A1:B42" totalsRowShown="0">
  <autoFilter ref="A1:B42" xr:uid="{6BF01A80-F4C1-4B54-9E66-CB02343A45E2}"/>
  <tableColumns count="2">
    <tableColumn id="1" xr3:uid="{FCD3BE6D-E329-4356-9875-78E237BAA940}" name="IP"/>
    <tableColumn id="2" xr3:uid="{518E3209-C8C1-4828-A9B2-E04B105710F3}" name="Value" dataDxfId="3">
      <calculatedColumnFormula array="1">IF(Table14[[#This Row],[IP]]&lt;&gt;"",ReadRegf(Table14[[#This Row],[IP]],E2),"")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9102D-F35C-4514-ADED-40EA91EBA57A}">
  <sheetPr codeName="Sheet1">
    <pageSetUpPr fitToPage="1"/>
  </sheetPr>
  <dimension ref="A1:V40"/>
  <sheetViews>
    <sheetView tabSelected="1" workbookViewId="0">
      <selection activeCell="J7" sqref="J7"/>
    </sheetView>
  </sheetViews>
  <sheetFormatPr defaultRowHeight="13.5" x14ac:dyDescent="0.15"/>
  <cols>
    <col min="1" max="1" width="10.5" bestFit="1" customWidth="1"/>
    <col min="2" max="2" width="10.125" bestFit="1" customWidth="1"/>
    <col min="3" max="3" width="11.125" bestFit="1" customWidth="1"/>
    <col min="4" max="4" width="10.125" bestFit="1" customWidth="1"/>
    <col min="7" max="7" width="8.625" bestFit="1" customWidth="1"/>
    <col min="11" max="11" width="20.125" bestFit="1" customWidth="1"/>
    <col min="14" max="14" width="11.5" customWidth="1"/>
    <col min="15" max="15" width="12.375" customWidth="1"/>
    <col min="16" max="16" width="11.875" bestFit="1" customWidth="1"/>
  </cols>
  <sheetData>
    <row r="1" spans="1:22" ht="25.5" x14ac:dyDescent="0.15">
      <c r="A1" s="28" t="s">
        <v>13</v>
      </c>
      <c r="B1" s="33" t="s">
        <v>393</v>
      </c>
      <c r="C1" s="27" t="s">
        <v>33</v>
      </c>
      <c r="D1" s="26">
        <f>(MID(B1,8,1)-1)*9+QUOTIENT(RIGHT(B1,2),10)</f>
        <v>59</v>
      </c>
      <c r="E1" t="str">
        <f>VLOOKUP(--RIGHT(B1,1),{9,"A";8,"B";7,"C";6,"D"},2,0)</f>
        <v>D</v>
      </c>
      <c r="K1" s="67">
        <f ca="1">NOW()</f>
        <v>45623.748013657409</v>
      </c>
      <c r="M1">
        <v>32</v>
      </c>
      <c r="N1">
        <v>33</v>
      </c>
      <c r="R1">
        <f t="shared" ref="R1:R4" si="0">(MID(B1,8,1)-1)*9+QUOTIENT(RIGHT(B1,2),10)</f>
        <v>59</v>
      </c>
      <c r="S1" t="str">
        <f>VLOOKUP(--RIGHT(B1,1),{9,"A";8,"B";7,"C";6,"D"},2,0)</f>
        <v>D</v>
      </c>
    </row>
    <row r="2" spans="1:22" ht="15" x14ac:dyDescent="0.15">
      <c r="A2" s="51" t="str">
        <f>REPLACE($B$1,LEN($B$1),1,"7")</f>
        <v>10.238.7.57</v>
      </c>
      <c r="B2" s="51" t="str">
        <f>REPLACE($B$1,LEN($B$1),1,"7")</f>
        <v>10.238.7.57</v>
      </c>
      <c r="E2" t="str">
        <f>VLOOKUP(--RIGHT(B2,1),{9,"A";8,"B";7,"C";6,"D"},2,0)</f>
        <v>C</v>
      </c>
      <c r="G2" s="18" t="s">
        <v>11</v>
      </c>
      <c r="H2" s="19" t="s">
        <v>14</v>
      </c>
      <c r="I2" s="20" t="s">
        <v>12</v>
      </c>
      <c r="M2" s="1" t="s">
        <v>6</v>
      </c>
      <c r="N2" s="23" t="s">
        <v>7</v>
      </c>
      <c r="O2" s="2" t="s">
        <v>8</v>
      </c>
      <c r="P2" s="3" t="s">
        <v>28</v>
      </c>
      <c r="R2">
        <f t="shared" si="0"/>
        <v>59</v>
      </c>
      <c r="S2" t="str">
        <f>VLOOKUP(--RIGHT(B2,1),{9,"A";8,"B";7,"C";6,"D"},2,0)</f>
        <v>C</v>
      </c>
    </row>
    <row r="3" spans="1:22" ht="15" x14ac:dyDescent="0.15">
      <c r="A3" s="51" t="str">
        <f>REPLACE($B$1,LEN($B$1),1,"8")</f>
        <v>10.238.7.58</v>
      </c>
      <c r="B3" s="51" t="str">
        <f>REPLACE($B$1,LEN($B$1),1,"8")</f>
        <v>10.238.7.58</v>
      </c>
      <c r="E3" t="str">
        <f>VLOOKUP(--RIGHT(B3,1),{9,"A";8,"B";7,"C";6,"D"},2,0)</f>
        <v>B</v>
      </c>
      <c r="G3" s="34">
        <f>INT(ABS(MAX(D21:D24))-ABS(MIN(B21:B24)))</f>
        <v>204</v>
      </c>
      <c r="H3" s="21">
        <v>9</v>
      </c>
      <c r="I3" s="22">
        <f>G3*H3*1.4</f>
        <v>2570.3999999999996</v>
      </c>
      <c r="M3" s="37">
        <v>0</v>
      </c>
      <c r="N3" s="31">
        <v>0</v>
      </c>
      <c r="O3" s="24">
        <f t="shared" ref="O3:O6" si="1">ABS(INT(M3*N3/1000))</f>
        <v>0</v>
      </c>
      <c r="P3" s="36">
        <f>SUM(O3:O6)/1000</f>
        <v>0</v>
      </c>
      <c r="R3">
        <f t="shared" si="0"/>
        <v>59</v>
      </c>
      <c r="S3" t="str">
        <f>VLOOKUP(--RIGHT(B3,1),{9,"A";8,"B";7,"C";6,"D"},2,0)</f>
        <v>B</v>
      </c>
    </row>
    <row r="4" spans="1:22" ht="14.25" x14ac:dyDescent="0.15">
      <c r="A4" s="51" t="str">
        <f>REPLACE($B$1,LEN($B$1),1,"9")</f>
        <v>10.238.7.59</v>
      </c>
      <c r="B4" s="51" t="str">
        <f>REPLACE($B$1,LEN($B$1),1,"9")</f>
        <v>10.238.7.59</v>
      </c>
      <c r="E4" t="str">
        <f>VLOOKUP(--RIGHT(B4,1),{9,"A";8,"B";7,"C";6,"D"},2,0)</f>
        <v>A</v>
      </c>
      <c r="M4" s="38">
        <v>0</v>
      </c>
      <c r="N4" s="32">
        <v>0</v>
      </c>
      <c r="O4" s="24">
        <f t="shared" si="1"/>
        <v>0</v>
      </c>
      <c r="P4" s="25"/>
      <c r="R4">
        <f t="shared" si="0"/>
        <v>59</v>
      </c>
      <c r="S4" t="str">
        <f>VLOOKUP(--RIGHT(B4,1),{9,"A";8,"B";7,"C";6,"D"},2,0)</f>
        <v>A</v>
      </c>
    </row>
    <row r="5" spans="1:22" ht="15" x14ac:dyDescent="0.15">
      <c r="G5" s="18" t="s">
        <v>30</v>
      </c>
      <c r="H5" s="19" t="s">
        <v>7</v>
      </c>
      <c r="M5" s="37">
        <v>0</v>
      </c>
      <c r="N5" s="31">
        <v>0</v>
      </c>
      <c r="O5" s="24">
        <f t="shared" si="1"/>
        <v>0</v>
      </c>
    </row>
    <row r="6" spans="1:22" ht="15" x14ac:dyDescent="0.15">
      <c r="A6" s="13" t="s">
        <v>0</v>
      </c>
      <c r="B6" s="14" t="s">
        <v>1</v>
      </c>
      <c r="C6" s="15" t="s">
        <v>17</v>
      </c>
      <c r="G6" s="34">
        <v>18031</v>
      </c>
      <c r="H6" s="21">
        <f>(G6-20000)/10</f>
        <v>-196.9</v>
      </c>
      <c r="M6" s="38">
        <v>0</v>
      </c>
      <c r="N6" s="32">
        <v>0</v>
      </c>
      <c r="O6" s="24">
        <f t="shared" si="1"/>
        <v>0</v>
      </c>
    </row>
    <row r="7" spans="1:22" ht="15" x14ac:dyDescent="0.15">
      <c r="A7" s="73">
        <v>896</v>
      </c>
      <c r="B7" s="71" t="s">
        <v>5</v>
      </c>
      <c r="C7" s="16" t="s">
        <v>2</v>
      </c>
    </row>
    <row r="8" spans="1:22" ht="15" x14ac:dyDescent="0.15">
      <c r="A8" s="73">
        <v>897</v>
      </c>
      <c r="B8" s="71" t="s">
        <v>16</v>
      </c>
      <c r="C8" s="16" t="s">
        <v>3</v>
      </c>
      <c r="G8" s="18" t="s">
        <v>31</v>
      </c>
      <c r="H8" s="19" t="s">
        <v>32</v>
      </c>
      <c r="L8" s="19">
        <v>36</v>
      </c>
      <c r="M8" s="19">
        <v>37</v>
      </c>
      <c r="N8" s="19">
        <v>770</v>
      </c>
      <c r="O8" s="19">
        <v>16</v>
      </c>
      <c r="P8" s="19">
        <v>17</v>
      </c>
      <c r="Q8" s="19">
        <v>907</v>
      </c>
      <c r="R8" s="19">
        <v>34</v>
      </c>
      <c r="V8" t="s">
        <v>423</v>
      </c>
    </row>
    <row r="9" spans="1:22" ht="15" x14ac:dyDescent="0.15">
      <c r="A9" s="73">
        <v>907</v>
      </c>
      <c r="B9" s="71" t="s">
        <v>429</v>
      </c>
      <c r="C9" s="16" t="s">
        <v>65</v>
      </c>
      <c r="G9" s="34" t="s">
        <v>431</v>
      </c>
      <c r="H9" s="21">
        <f>HEX2DEC(G9)</f>
        <v>908</v>
      </c>
      <c r="L9" s="21">
        <v>3240</v>
      </c>
      <c r="M9" s="21">
        <v>3224</v>
      </c>
      <c r="N9" s="21">
        <v>4</v>
      </c>
      <c r="O9" s="21">
        <v>0</v>
      </c>
      <c r="P9">
        <v>0</v>
      </c>
      <c r="Q9">
        <v>2</v>
      </c>
      <c r="R9">
        <v>60</v>
      </c>
      <c r="V9">
        <f>CLEAN(L9)*1-CLEAN(M9)*1</f>
        <v>16</v>
      </c>
    </row>
    <row r="10" spans="1:22" ht="15" x14ac:dyDescent="0.15">
      <c r="A10" s="73">
        <v>908</v>
      </c>
      <c r="B10" s="71" t="s">
        <v>15</v>
      </c>
      <c r="C10" s="16" t="s">
        <v>4</v>
      </c>
      <c r="G10" s="19" t="s">
        <v>32</v>
      </c>
      <c r="H10" s="18" t="s">
        <v>31</v>
      </c>
      <c r="L10" s="21">
        <v>3237</v>
      </c>
      <c r="M10" s="21">
        <v>3222</v>
      </c>
      <c r="N10" s="21">
        <v>4</v>
      </c>
      <c r="O10" s="21">
        <v>0</v>
      </c>
      <c r="P10">
        <v>0</v>
      </c>
      <c r="Q10">
        <v>2</v>
      </c>
      <c r="R10">
        <v>62</v>
      </c>
      <c r="V10">
        <f>CLEAN(L10)*1-CLEAN(M10)*1</f>
        <v>15</v>
      </c>
    </row>
    <row r="11" spans="1:22" ht="15" x14ac:dyDescent="0.15">
      <c r="A11" s="74" t="s">
        <v>59</v>
      </c>
      <c r="B11" s="72"/>
      <c r="C11" s="17" t="s">
        <v>424</v>
      </c>
      <c r="G11" s="34">
        <v>1057</v>
      </c>
      <c r="H11" s="21" t="str">
        <f>DEC2HEX(G11)</f>
        <v>421</v>
      </c>
      <c r="L11" s="21">
        <v>3238</v>
      </c>
      <c r="M11" s="21">
        <v>3225</v>
      </c>
      <c r="N11" s="21">
        <v>4</v>
      </c>
      <c r="O11" s="21">
        <v>0</v>
      </c>
      <c r="P11">
        <v>0</v>
      </c>
      <c r="Q11">
        <v>2</v>
      </c>
      <c r="R11">
        <v>19</v>
      </c>
      <c r="V11">
        <f>CLEAN(L11)*1-CLEAN(M11)*1</f>
        <v>13</v>
      </c>
    </row>
    <row r="12" spans="1:22" ht="15" x14ac:dyDescent="0.15">
      <c r="A12" s="74" t="s">
        <v>60</v>
      </c>
      <c r="B12" s="72"/>
      <c r="C12" s="17" t="s">
        <v>425</v>
      </c>
      <c r="L12" s="21">
        <v>3329</v>
      </c>
      <c r="M12" s="21">
        <v>3325</v>
      </c>
      <c r="N12" s="21">
        <v>1</v>
      </c>
      <c r="O12" s="21">
        <v>0</v>
      </c>
      <c r="P12">
        <v>0</v>
      </c>
      <c r="Q12">
        <v>2</v>
      </c>
      <c r="R12">
        <v>782</v>
      </c>
      <c r="V12">
        <f>CLEAN(L12)*1-CLEAN(M12)*1</f>
        <v>4</v>
      </c>
    </row>
    <row r="13" spans="1:22" ht="15" x14ac:dyDescent="0.15">
      <c r="A13" s="74">
        <v>5</v>
      </c>
      <c r="B13" s="72"/>
      <c r="C13" s="17" t="s">
        <v>426</v>
      </c>
      <c r="L13" t="s">
        <v>55</v>
      </c>
      <c r="M13" t="s">
        <v>56</v>
      </c>
      <c r="N13" t="s">
        <v>419</v>
      </c>
      <c r="O13" t="s">
        <v>420</v>
      </c>
      <c r="P13" t="s">
        <v>421</v>
      </c>
      <c r="Q13" t="s">
        <v>422</v>
      </c>
      <c r="R13" t="s">
        <v>110</v>
      </c>
    </row>
    <row r="14" spans="1:22" ht="15" x14ac:dyDescent="0.15">
      <c r="A14" s="74">
        <v>770</v>
      </c>
      <c r="B14" s="72" t="s">
        <v>427</v>
      </c>
      <c r="C14" s="17" t="s">
        <v>428</v>
      </c>
    </row>
    <row r="15" spans="1:22" x14ac:dyDescent="0.15">
      <c r="G15" s="30"/>
    </row>
    <row r="16" spans="1:22" x14ac:dyDescent="0.15">
      <c r="E16" s="45" t="s">
        <v>55</v>
      </c>
      <c r="F16" s="46" t="s">
        <v>56</v>
      </c>
      <c r="G16" s="47" t="s">
        <v>57</v>
      </c>
      <c r="H16" s="48" t="s">
        <v>54</v>
      </c>
    </row>
    <row r="17" spans="1:9" x14ac:dyDescent="0.15">
      <c r="E17" s="42" cm="1">
        <f t="array" ref="E17">MAX(IF(ABS(B21:B40)&gt;1,B21:B40))</f>
        <v>100.4</v>
      </c>
      <c r="F17" s="43" cm="1">
        <f t="array" ref="F17">MIN(IF(ABS(B21:B40)&gt;1,B21:B40))</f>
        <v>93.8</v>
      </c>
      <c r="G17" s="44" cm="1">
        <f t="array" ref="G17">MEDIAN(IF(ABS(B21:B40)&gt;1,B21:B40))</f>
        <v>98.1</v>
      </c>
      <c r="H17" s="49" cm="1">
        <f t="array" ref="H17">_xlfn.STDEV.P(IF(ABS(B21:B40)&gt;1,B21:B40))</f>
        <v>2.0189766384648125</v>
      </c>
    </row>
    <row r="18" spans="1:9" ht="14.25" x14ac:dyDescent="0.15">
      <c r="E18" s="52">
        <f>E17-F17</f>
        <v>6.6000000000000085</v>
      </c>
    </row>
    <row r="20" spans="1:9" ht="15" x14ac:dyDescent="0.15">
      <c r="A20" s="1" t="s">
        <v>36</v>
      </c>
      <c r="B20" s="2" t="s">
        <v>10</v>
      </c>
      <c r="C20" s="2" t="s">
        <v>9</v>
      </c>
      <c r="D20" s="3" t="s">
        <v>29</v>
      </c>
      <c r="E20" s="3" t="s">
        <v>6</v>
      </c>
      <c r="F20" s="29" t="s">
        <v>34</v>
      </c>
      <c r="G20" s="29" t="s">
        <v>35</v>
      </c>
      <c r="H20" s="29" t="s">
        <v>145</v>
      </c>
      <c r="I20" s="29" t="s">
        <v>146</v>
      </c>
    </row>
    <row r="21" spans="1:9" ht="14.25" x14ac:dyDescent="0.15">
      <c r="A21" s="4" t="s">
        <v>18</v>
      </c>
      <c r="B21" s="5">
        <v>98.6</v>
      </c>
      <c r="C21" s="5">
        <v>5.7</v>
      </c>
      <c r="D21" s="39">
        <v>-303.5</v>
      </c>
      <c r="E21" s="39">
        <v>1341.9</v>
      </c>
      <c r="F21" s="6">
        <v>24</v>
      </c>
      <c r="G21" s="6">
        <f>INT(E21*B21/1000)</f>
        <v>132</v>
      </c>
      <c r="H21">
        <v>24.6</v>
      </c>
      <c r="I21" s="61">
        <f>C21-H21</f>
        <v>-18.900000000000002</v>
      </c>
    </row>
    <row r="22" spans="1:9" ht="14.25" x14ac:dyDescent="0.15">
      <c r="A22" s="7" t="s">
        <v>19</v>
      </c>
      <c r="B22" s="8">
        <v>98.1</v>
      </c>
      <c r="C22" s="8">
        <v>2.8</v>
      </c>
      <c r="D22" s="40">
        <v>-303.7</v>
      </c>
      <c r="E22" s="40">
        <v>1341.1</v>
      </c>
      <c r="F22" s="9">
        <v>23</v>
      </c>
      <c r="G22" s="6">
        <f t="shared" ref="G22:G40" si="2">INT(E22*B22/1000)</f>
        <v>131</v>
      </c>
      <c r="H22">
        <v>21.7</v>
      </c>
      <c r="I22" s="61">
        <f t="shared" ref="I22:I40" si="3">C22-H22</f>
        <v>-18.899999999999999</v>
      </c>
    </row>
    <row r="23" spans="1:9" ht="14.25" x14ac:dyDescent="0.15">
      <c r="A23" s="4" t="s">
        <v>20</v>
      </c>
      <c r="B23" s="5">
        <v>99.4</v>
      </c>
      <c r="C23" s="5">
        <v>52.1</v>
      </c>
      <c r="D23" s="39">
        <v>-303.39999999999998</v>
      </c>
      <c r="E23" s="39">
        <v>1342.4</v>
      </c>
      <c r="F23" s="6">
        <v>23</v>
      </c>
      <c r="G23" s="6">
        <f t="shared" si="2"/>
        <v>133</v>
      </c>
      <c r="H23">
        <v>21.8</v>
      </c>
      <c r="I23" s="61">
        <f t="shared" si="3"/>
        <v>30.3</v>
      </c>
    </row>
    <row r="24" spans="1:9" ht="14.25" x14ac:dyDescent="0.15">
      <c r="A24" s="7" t="s">
        <v>21</v>
      </c>
      <c r="B24" s="8">
        <v>100.1</v>
      </c>
      <c r="C24" s="8">
        <v>51.7</v>
      </c>
      <c r="D24" s="40">
        <v>-302.8</v>
      </c>
      <c r="E24" s="40">
        <v>1345</v>
      </c>
      <c r="F24" s="9">
        <v>24</v>
      </c>
      <c r="G24" s="6">
        <f t="shared" si="2"/>
        <v>134</v>
      </c>
      <c r="H24">
        <v>21.8</v>
      </c>
      <c r="I24" s="61">
        <f t="shared" si="3"/>
        <v>29.900000000000002</v>
      </c>
    </row>
    <row r="25" spans="1:9" ht="14.25" x14ac:dyDescent="0.15">
      <c r="A25" s="4" t="s">
        <v>22</v>
      </c>
      <c r="B25" s="5">
        <v>100.4</v>
      </c>
      <c r="C25" s="5">
        <v>51.8</v>
      </c>
      <c r="D25" s="39">
        <v>-303.39999999999998</v>
      </c>
      <c r="E25" s="39">
        <v>1342.2</v>
      </c>
      <c r="F25" s="6">
        <v>24</v>
      </c>
      <c r="G25" s="6">
        <f t="shared" si="2"/>
        <v>134</v>
      </c>
      <c r="H25">
        <v>24.6</v>
      </c>
      <c r="I25" s="61">
        <f t="shared" si="3"/>
        <v>27.199999999999996</v>
      </c>
    </row>
    <row r="26" spans="1:9" ht="14.25" x14ac:dyDescent="0.15">
      <c r="A26" s="7" t="s">
        <v>23</v>
      </c>
      <c r="B26" s="8">
        <v>99.2</v>
      </c>
      <c r="C26" s="8">
        <v>51.3</v>
      </c>
      <c r="D26" s="40">
        <v>-303.7</v>
      </c>
      <c r="E26" s="40">
        <v>1340.8</v>
      </c>
      <c r="F26" s="9">
        <v>22</v>
      </c>
      <c r="G26" s="6">
        <f t="shared" si="2"/>
        <v>133</v>
      </c>
      <c r="H26">
        <v>21.5</v>
      </c>
      <c r="I26" s="61">
        <f t="shared" si="3"/>
        <v>29.799999999999997</v>
      </c>
    </row>
    <row r="27" spans="1:9" ht="14.25" x14ac:dyDescent="0.15">
      <c r="A27" s="4" t="s">
        <v>24</v>
      </c>
      <c r="B27" s="5">
        <v>98.6</v>
      </c>
      <c r="C27" s="5">
        <v>2.8</v>
      </c>
      <c r="D27" s="39">
        <v>-303.8</v>
      </c>
      <c r="E27" s="39">
        <v>1340.5</v>
      </c>
      <c r="F27" s="6">
        <v>22</v>
      </c>
      <c r="G27" s="6">
        <f t="shared" si="2"/>
        <v>132</v>
      </c>
      <c r="H27">
        <v>21.4</v>
      </c>
      <c r="I27" s="61">
        <f t="shared" si="3"/>
        <v>-18.599999999999998</v>
      </c>
    </row>
    <row r="28" spans="1:9" ht="14.25" x14ac:dyDescent="0.15">
      <c r="A28" s="7" t="s">
        <v>25</v>
      </c>
      <c r="B28" s="8">
        <v>98.4</v>
      </c>
      <c r="C28" s="8">
        <v>52.3</v>
      </c>
      <c r="D28" s="40">
        <v>-300.7</v>
      </c>
      <c r="E28" s="40">
        <v>1342.5</v>
      </c>
      <c r="F28" s="9">
        <v>22</v>
      </c>
      <c r="G28" s="6">
        <f t="shared" si="2"/>
        <v>132</v>
      </c>
      <c r="H28">
        <v>21.4</v>
      </c>
      <c r="I28" s="61">
        <f t="shared" si="3"/>
        <v>30.9</v>
      </c>
    </row>
    <row r="29" spans="1:9" ht="14.25" x14ac:dyDescent="0.15">
      <c r="A29" s="4" t="s">
        <v>26</v>
      </c>
      <c r="B29" s="5">
        <v>97.3</v>
      </c>
      <c r="C29" s="5">
        <v>51.9</v>
      </c>
      <c r="D29" s="39">
        <v>-301.10000000000002</v>
      </c>
      <c r="E29" s="39">
        <v>1341.7</v>
      </c>
      <c r="F29" s="6">
        <v>22</v>
      </c>
      <c r="G29" s="6">
        <f t="shared" si="2"/>
        <v>130</v>
      </c>
      <c r="H29">
        <v>21.2</v>
      </c>
      <c r="I29" s="61">
        <f t="shared" si="3"/>
        <v>30.7</v>
      </c>
    </row>
    <row r="30" spans="1:9" ht="14.25" x14ac:dyDescent="0.15">
      <c r="A30" s="10" t="s">
        <v>27</v>
      </c>
      <c r="B30" s="11">
        <v>96.2</v>
      </c>
      <c r="C30" s="11">
        <v>52</v>
      </c>
      <c r="D30" s="41">
        <v>-301.10000000000002</v>
      </c>
      <c r="E30" s="41">
        <v>1342.6</v>
      </c>
      <c r="F30" s="12">
        <v>22</v>
      </c>
      <c r="G30" s="6">
        <f t="shared" si="2"/>
        <v>129</v>
      </c>
      <c r="H30">
        <v>21.3</v>
      </c>
      <c r="I30" s="61">
        <f t="shared" si="3"/>
        <v>30.7</v>
      </c>
    </row>
    <row r="31" spans="1:9" ht="14.25" x14ac:dyDescent="0.15">
      <c r="A31" s="4" t="s">
        <v>39</v>
      </c>
      <c r="B31" s="5">
        <v>97.3</v>
      </c>
      <c r="C31" s="5">
        <v>1</v>
      </c>
      <c r="D31" s="39">
        <v>-303.3</v>
      </c>
      <c r="E31" s="39">
        <v>1342.7</v>
      </c>
      <c r="F31" s="6">
        <v>22</v>
      </c>
      <c r="G31" s="6">
        <f t="shared" si="2"/>
        <v>130</v>
      </c>
      <c r="H31">
        <v>20.399999999999999</v>
      </c>
      <c r="I31" s="61">
        <f t="shared" si="3"/>
        <v>-19.399999999999999</v>
      </c>
    </row>
    <row r="32" spans="1:9" ht="14.25" x14ac:dyDescent="0.15">
      <c r="A32" s="10" t="s">
        <v>40</v>
      </c>
      <c r="B32" s="11">
        <v>94.6</v>
      </c>
      <c r="C32" s="11">
        <v>48.5</v>
      </c>
      <c r="D32" s="41">
        <v>-300.8</v>
      </c>
      <c r="E32" s="41">
        <v>1343.4</v>
      </c>
      <c r="F32" s="12">
        <v>22</v>
      </c>
      <c r="G32" s="6">
        <f t="shared" si="2"/>
        <v>127</v>
      </c>
      <c r="H32">
        <v>21.9</v>
      </c>
      <c r="I32" s="61">
        <f t="shared" si="3"/>
        <v>26.6</v>
      </c>
    </row>
    <row r="33" spans="1:9" ht="14.25" x14ac:dyDescent="0.15">
      <c r="A33" s="4" t="s">
        <v>41</v>
      </c>
      <c r="B33" s="5">
        <v>95.6</v>
      </c>
      <c r="C33" s="5">
        <v>48.4</v>
      </c>
      <c r="D33" s="39">
        <v>-301.5</v>
      </c>
      <c r="E33" s="39">
        <v>1342.7</v>
      </c>
      <c r="F33" s="6">
        <v>21</v>
      </c>
      <c r="G33" s="6">
        <f t="shared" si="2"/>
        <v>128</v>
      </c>
      <c r="H33">
        <v>20.399999999999999</v>
      </c>
      <c r="I33" s="61">
        <f t="shared" si="3"/>
        <v>28</v>
      </c>
    </row>
    <row r="34" spans="1:9" ht="14.25" x14ac:dyDescent="0.15">
      <c r="A34" s="10" t="s">
        <v>42</v>
      </c>
      <c r="B34" s="11">
        <v>93.8</v>
      </c>
      <c r="C34" s="11">
        <v>48.5</v>
      </c>
      <c r="D34" s="41">
        <v>-301.39999999999998</v>
      </c>
      <c r="E34" s="41">
        <v>1343.3</v>
      </c>
      <c r="F34" s="12">
        <v>21</v>
      </c>
      <c r="G34" s="6">
        <f t="shared" si="2"/>
        <v>126</v>
      </c>
      <c r="H34">
        <v>21.4</v>
      </c>
      <c r="I34" s="61">
        <f t="shared" si="3"/>
        <v>27.1</v>
      </c>
    </row>
    <row r="35" spans="1:9" ht="14.25" x14ac:dyDescent="0.15">
      <c r="A35" s="4" t="s">
        <v>43</v>
      </c>
      <c r="B35" s="5">
        <v>94.6</v>
      </c>
      <c r="C35" s="5">
        <v>1</v>
      </c>
      <c r="D35" s="39">
        <v>-303.2</v>
      </c>
      <c r="E35" s="39">
        <v>1343.2</v>
      </c>
      <c r="F35" s="6">
        <v>21</v>
      </c>
      <c r="G35" s="6">
        <f t="shared" si="2"/>
        <v>127</v>
      </c>
      <c r="H35">
        <v>21.3</v>
      </c>
      <c r="I35" s="61">
        <f t="shared" si="3"/>
        <v>-20.3</v>
      </c>
    </row>
    <row r="36" spans="1:9" ht="14.25" x14ac:dyDescent="0.15">
      <c r="A36" s="10" t="s">
        <v>44</v>
      </c>
      <c r="B36" s="11">
        <v>0</v>
      </c>
      <c r="C36" s="11">
        <v>79.900000000000006</v>
      </c>
      <c r="D36" s="41">
        <v>-282.5</v>
      </c>
      <c r="E36" s="41">
        <v>1382.9</v>
      </c>
      <c r="F36" s="12">
        <v>23</v>
      </c>
      <c r="G36" s="6">
        <f t="shared" si="2"/>
        <v>0</v>
      </c>
      <c r="H36">
        <v>22.7</v>
      </c>
      <c r="I36" s="61">
        <f t="shared" si="3"/>
        <v>57.2</v>
      </c>
    </row>
    <row r="37" spans="1:9" ht="14.25" x14ac:dyDescent="0.15">
      <c r="A37" s="4" t="s">
        <v>45</v>
      </c>
      <c r="B37" s="5">
        <v>0</v>
      </c>
      <c r="C37" s="5">
        <v>72.5</v>
      </c>
      <c r="D37" s="39">
        <v>-294.60000000000002</v>
      </c>
      <c r="E37" s="39">
        <v>1382.3</v>
      </c>
      <c r="F37" s="6">
        <v>21</v>
      </c>
      <c r="G37" s="6">
        <f t="shared" si="2"/>
        <v>0</v>
      </c>
      <c r="H37">
        <v>22.2</v>
      </c>
      <c r="I37" s="61">
        <f t="shared" si="3"/>
        <v>50.3</v>
      </c>
    </row>
    <row r="38" spans="1:9" ht="14.25" x14ac:dyDescent="0.15">
      <c r="A38" s="10" t="s">
        <v>46</v>
      </c>
      <c r="B38" s="11">
        <v>0</v>
      </c>
      <c r="C38" s="11">
        <v>72.599999999999994</v>
      </c>
      <c r="D38" s="41">
        <v>-294.5</v>
      </c>
      <c r="E38" s="41">
        <v>1382.6</v>
      </c>
      <c r="F38" s="12">
        <v>21</v>
      </c>
      <c r="G38" s="6">
        <f t="shared" si="2"/>
        <v>0</v>
      </c>
      <c r="H38">
        <v>22.2</v>
      </c>
      <c r="I38" s="61">
        <f t="shared" si="3"/>
        <v>50.399999999999991</v>
      </c>
    </row>
    <row r="39" spans="1:9" ht="14.25" x14ac:dyDescent="0.15">
      <c r="A39" s="4" t="s">
        <v>47</v>
      </c>
      <c r="B39" s="5">
        <v>0</v>
      </c>
      <c r="C39" s="5">
        <v>77.2</v>
      </c>
      <c r="D39" s="39">
        <v>-290.8</v>
      </c>
      <c r="E39" s="39">
        <v>1382.7</v>
      </c>
      <c r="F39" s="6">
        <v>21</v>
      </c>
      <c r="G39" s="6">
        <f t="shared" si="2"/>
        <v>0</v>
      </c>
      <c r="H39">
        <v>23</v>
      </c>
      <c r="I39" s="61">
        <f t="shared" si="3"/>
        <v>54.2</v>
      </c>
    </row>
    <row r="40" spans="1:9" ht="14.25" x14ac:dyDescent="0.15">
      <c r="A40" s="10" t="s">
        <v>48</v>
      </c>
      <c r="B40" s="11">
        <v>0</v>
      </c>
      <c r="C40" s="11">
        <v>72.400000000000006</v>
      </c>
      <c r="D40" s="41">
        <v>-294.7</v>
      </c>
      <c r="E40" s="41">
        <v>1381.8</v>
      </c>
      <c r="F40" s="12">
        <v>21</v>
      </c>
      <c r="G40" s="6">
        <f t="shared" si="2"/>
        <v>0</v>
      </c>
      <c r="H40">
        <v>23</v>
      </c>
      <c r="I40" s="61">
        <f t="shared" si="3"/>
        <v>49.400000000000006</v>
      </c>
    </row>
  </sheetData>
  <phoneticPr fontId="1" type="noConversion"/>
  <conditionalFormatting sqref="B21:B40">
    <cfRule type="expression" dxfId="2" priority="2">
      <formula>AND(ABS(B21)&gt;100,ABS(B21)&gt;ABS(D21*0.9))</formula>
    </cfRule>
    <cfRule type="expression" dxfId="1" priority="3">
      <formula>AND(ABS(B21)&gt;100,ABS(B21)&gt;ABS(D21*0.8))</formula>
    </cfRule>
  </conditionalFormatting>
  <conditionalFormatting sqref="E21:E40">
    <cfRule type="top10" dxfId="0" priority="1" percent="1" bottom="1" rank="1"/>
  </conditionalFormatting>
  <dataValidations count="1">
    <dataValidation type="list" allowBlank="1" showInputMessage="1" sqref="B1" xr:uid="{2D57F4C9-69DB-46B3-9C06-1E496882296A}">
      <formula1>$B$1:$B$4</formula1>
    </dataValidation>
  </dataValidations>
  <pageMargins left="0.7" right="0.7" top="0.75" bottom="0.75" header="0.3" footer="0.3"/>
  <pageSetup paperSize="9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F">
                <anchor>
                  <from>
                    <xdr:col>4</xdr:col>
                    <xdr:colOff>171450</xdr:colOff>
                    <xdr:row>3</xdr:row>
                    <xdr:rowOff>133350</xdr:rowOff>
                  </from>
                  <to>
                    <xdr:col>5</xdr:col>
                    <xdr:colOff>381000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Von">
                <anchor>
                  <from>
                    <xdr:col>4</xdr:col>
                    <xdr:colOff>171450</xdr:colOff>
                    <xdr:row>6</xdr:row>
                    <xdr:rowOff>19050</xdr:rowOff>
                  </from>
                  <to>
                    <xdr:col>5</xdr:col>
                    <xdr:colOff>381000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Voff">
                <anchor>
                  <from>
                    <xdr:col>4</xdr:col>
                    <xdr:colOff>171450</xdr:colOff>
                    <xdr:row>8</xdr:row>
                    <xdr:rowOff>85725</xdr:rowOff>
                  </from>
                  <to>
                    <xdr:col>5</xdr:col>
                    <xdr:colOff>381000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HB">
                <anchor>
                  <from>
                    <xdr:col>4</xdr:col>
                    <xdr:colOff>171450</xdr:colOff>
                    <xdr:row>10</xdr:row>
                    <xdr:rowOff>152400</xdr:rowOff>
                  </from>
                  <to>
                    <xdr:col>5</xdr:col>
                    <xdr:colOff>381000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adMBMU">
                <anchor>
                  <from>
                    <xdr:col>15</xdr:col>
                    <xdr:colOff>133350</xdr:colOff>
                    <xdr:row>4</xdr:row>
                    <xdr:rowOff>95250</xdr:rowOff>
                  </from>
                  <to>
                    <xdr:col>16</xdr:col>
                    <xdr:colOff>123825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adSBMU">
                <anchor>
                  <from>
                    <xdr:col>2</xdr:col>
                    <xdr:colOff>381000</xdr:colOff>
                    <xdr:row>15</xdr:row>
                    <xdr:rowOff>161925</xdr:rowOff>
                  </from>
                  <to>
                    <xdr:col>3</xdr:col>
                    <xdr:colOff>428625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adRegister">
                <anchor moveWithCells="1">
                  <from>
                    <xdr:col>17</xdr:col>
                    <xdr:colOff>228600</xdr:colOff>
                    <xdr:row>5</xdr:row>
                    <xdr:rowOff>38100</xdr:rowOff>
                  </from>
                  <to>
                    <xdr:col>18</xdr:col>
                    <xdr:colOff>438150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5C43E-92F1-4F17-9335-1A9CA0A805AA}">
  <sheetPr codeName="Sheet2"/>
  <dimension ref="A1:T37"/>
  <sheetViews>
    <sheetView workbookViewId="0">
      <pane ySplit="1" topLeftCell="A2" activePane="bottomLeft" state="frozen"/>
      <selection pane="bottomLeft" activeCell="A2" sqref="A2"/>
    </sheetView>
  </sheetViews>
  <sheetFormatPr defaultRowHeight="13.5" x14ac:dyDescent="0.15"/>
  <cols>
    <col min="1" max="1" width="13.5" customWidth="1"/>
    <col min="2" max="2" width="17.125" bestFit="1" customWidth="1"/>
    <col min="9" max="9" width="13.625" bestFit="1" customWidth="1"/>
    <col min="15" max="15" width="11.875" bestFit="1" customWidth="1"/>
  </cols>
  <sheetData>
    <row r="1" spans="1:20" x14ac:dyDescent="0.15">
      <c r="A1" t="s">
        <v>37</v>
      </c>
      <c r="B1" t="s">
        <v>102</v>
      </c>
      <c r="C1" t="s">
        <v>38</v>
      </c>
      <c r="D1" t="s">
        <v>53</v>
      </c>
      <c r="G1" t="s">
        <v>58</v>
      </c>
      <c r="H1" s="50">
        <v>907</v>
      </c>
      <c r="J1" t="s">
        <v>103</v>
      </c>
      <c r="K1" s="60">
        <v>8</v>
      </c>
    </row>
    <row r="2" spans="1:20" x14ac:dyDescent="0.15">
      <c r="A2" t="str">
        <f>SUBSTITUTE(O2,".8.","."&amp;$K$1&amp;".")</f>
        <v>10.238.8.16</v>
      </c>
      <c r="C2">
        <f>MID(Table1[[#This Row],[IP]],LEN(Table1[[#This Row],[IP]])-1,1)+(--MID(Table1[[#This Row],[IP]],8,1)-1)*9</f>
        <v>64</v>
      </c>
      <c r="D2" t="s">
        <v>49</v>
      </c>
      <c r="O2" s="53" t="s">
        <v>66</v>
      </c>
      <c r="P2" s="58">
        <v>33</v>
      </c>
      <c r="Q2" s="54">
        <f>MID(Table1[[#This Row],[IP]],LEN(Table1[[#This Row],[IP]])-1,1)+(--MID(O2,8,1)-1)*9</f>
        <v>64</v>
      </c>
      <c r="R2" s="55" t="s">
        <v>49</v>
      </c>
      <c r="T2">
        <v>1</v>
      </c>
    </row>
    <row r="3" spans="1:20" x14ac:dyDescent="0.15">
      <c r="A3" t="str">
        <f t="shared" ref="A3:A37" si="0">SUBSTITUTE(O3,".8.","."&amp;$K$1&amp;".")</f>
        <v>10.238.8.17</v>
      </c>
      <c r="B3">
        <v>9</v>
      </c>
      <c r="C3">
        <f>MID(Table1[[#This Row],[IP]],LEN(Table1[[#This Row],[IP]])-1,1)+(--MID(Table1[[#This Row],[IP]],8,1)-1)*9</f>
        <v>64</v>
      </c>
      <c r="D3" t="s">
        <v>50</v>
      </c>
      <c r="O3" s="56" t="s">
        <v>67</v>
      </c>
      <c r="P3" s="59">
        <v>32</v>
      </c>
      <c r="Q3" s="54">
        <f>MID(Table1[[#This Row],[IP]],LEN(Table1[[#This Row],[IP]])-1,1)+(--MID(O3,8,1)-1)*9</f>
        <v>64</v>
      </c>
      <c r="R3" s="57" t="s">
        <v>50</v>
      </c>
      <c r="T3">
        <v>2</v>
      </c>
    </row>
    <row r="4" spans="1:20" x14ac:dyDescent="0.15">
      <c r="A4" t="str">
        <f t="shared" si="0"/>
        <v>10.238.8.18</v>
      </c>
      <c r="B4">
        <v>9</v>
      </c>
      <c r="C4">
        <f>MID(Table1[[#This Row],[IP]],LEN(Table1[[#This Row],[IP]])-1,1)+(--MID(Table1[[#This Row],[IP]],8,1)-1)*9</f>
        <v>64</v>
      </c>
      <c r="D4" t="s">
        <v>51</v>
      </c>
      <c r="O4" s="53" t="s">
        <v>68</v>
      </c>
      <c r="P4" s="58">
        <v>32</v>
      </c>
      <c r="Q4" s="54">
        <f>MID(Table1[[#This Row],[IP]],LEN(Table1[[#This Row],[IP]])-1,1)+(--MID(O4,8,1)-1)*9</f>
        <v>64</v>
      </c>
      <c r="R4" s="55" t="s">
        <v>51</v>
      </c>
      <c r="T4">
        <v>3</v>
      </c>
    </row>
    <row r="5" spans="1:20" x14ac:dyDescent="0.15">
      <c r="A5" t="str">
        <f t="shared" si="0"/>
        <v>10.238.8.19</v>
      </c>
      <c r="B5">
        <v>9</v>
      </c>
      <c r="C5">
        <f>MID(Table1[[#This Row],[IP]],LEN(Table1[[#This Row],[IP]])-1,1)+(--MID(Table1[[#This Row],[IP]],8,1)-1)*9</f>
        <v>64</v>
      </c>
      <c r="D5" t="s">
        <v>52</v>
      </c>
      <c r="O5" s="56" t="s">
        <v>69</v>
      </c>
      <c r="P5" s="59">
        <v>32</v>
      </c>
      <c r="Q5" s="54">
        <f>MID(Table1[[#This Row],[IP]],LEN(Table1[[#This Row],[IP]])-1,1)+(--MID(O5,8,1)-1)*9</f>
        <v>64</v>
      </c>
      <c r="R5" s="57" t="s">
        <v>52</v>
      </c>
      <c r="T5">
        <v>4</v>
      </c>
    </row>
    <row r="6" spans="1:20" x14ac:dyDescent="0.15">
      <c r="A6" t="str">
        <f t="shared" si="0"/>
        <v>10.238.8.26</v>
      </c>
      <c r="B6">
        <v>2</v>
      </c>
      <c r="C6">
        <f>MID(Table1[[#This Row],[IP]],LEN(Table1[[#This Row],[IP]])-1,1)+(--MID(Table1[[#This Row],[IP]],8,1)-1)*9</f>
        <v>65</v>
      </c>
      <c r="D6" t="s">
        <v>49</v>
      </c>
      <c r="O6" s="53" t="s">
        <v>70</v>
      </c>
      <c r="P6" s="58">
        <v>17</v>
      </c>
      <c r="Q6" s="54">
        <f>MID(Table1[[#This Row],[IP]],LEN(Table1[[#This Row],[IP]])-1,1)+(--MID(O6,8,1)-1)*9</f>
        <v>65</v>
      </c>
      <c r="R6" s="55" t="s">
        <v>49</v>
      </c>
      <c r="T6">
        <v>5</v>
      </c>
    </row>
    <row r="7" spans="1:20" x14ac:dyDescent="0.15">
      <c r="A7" t="str">
        <f t="shared" si="0"/>
        <v>10.238.8.27</v>
      </c>
      <c r="B7">
        <v>2</v>
      </c>
      <c r="C7">
        <f>MID(Table1[[#This Row],[IP]],LEN(Table1[[#This Row],[IP]])-1,1)+(--MID(Table1[[#This Row],[IP]],8,1)-1)*9</f>
        <v>65</v>
      </c>
      <c r="D7" t="s">
        <v>50</v>
      </c>
      <c r="O7" s="56" t="s">
        <v>71</v>
      </c>
      <c r="P7" s="59">
        <v>18</v>
      </c>
      <c r="Q7" s="54">
        <f>MID(Table1[[#This Row],[IP]],LEN(Table1[[#This Row],[IP]])-1,1)+(--MID(O7,8,1)-1)*9</f>
        <v>65</v>
      </c>
      <c r="R7" s="57" t="s">
        <v>50</v>
      </c>
      <c r="T7">
        <v>6</v>
      </c>
    </row>
    <row r="8" spans="1:20" x14ac:dyDescent="0.15">
      <c r="A8" t="str">
        <f t="shared" si="0"/>
        <v>10.238.8.28</v>
      </c>
      <c r="B8">
        <v>2</v>
      </c>
      <c r="C8">
        <f>MID(Table1[[#This Row],[IP]],LEN(Table1[[#This Row],[IP]])-1,1)+(--MID(Table1[[#This Row],[IP]],8,1)-1)*9</f>
        <v>65</v>
      </c>
      <c r="D8" t="s">
        <v>51</v>
      </c>
      <c r="O8" s="53" t="s">
        <v>72</v>
      </c>
      <c r="P8" s="58">
        <v>13</v>
      </c>
      <c r="Q8" s="54">
        <f>MID(Table1[[#This Row],[IP]],LEN(Table1[[#This Row],[IP]])-1,1)+(--MID(O8,8,1)-1)*9</f>
        <v>65</v>
      </c>
      <c r="R8" s="55" t="s">
        <v>51</v>
      </c>
      <c r="T8">
        <v>7</v>
      </c>
    </row>
    <row r="9" spans="1:20" x14ac:dyDescent="0.15">
      <c r="A9" t="str">
        <f t="shared" si="0"/>
        <v>10.238.8.29</v>
      </c>
      <c r="B9">
        <v>2</v>
      </c>
      <c r="C9">
        <f>MID(Table1[[#This Row],[IP]],LEN(Table1[[#This Row],[IP]])-1,1)+(--MID(Table1[[#This Row],[IP]],8,1)-1)*9</f>
        <v>65</v>
      </c>
      <c r="D9" t="s">
        <v>52</v>
      </c>
      <c r="O9" s="56" t="s">
        <v>73</v>
      </c>
      <c r="P9" s="59">
        <v>17</v>
      </c>
      <c r="Q9" s="54">
        <f>MID(Table1[[#This Row],[IP]],LEN(Table1[[#This Row],[IP]])-1,1)+(--MID(O9,8,1)-1)*9</f>
        <v>65</v>
      </c>
      <c r="R9" s="57" t="s">
        <v>52</v>
      </c>
      <c r="T9">
        <v>8</v>
      </c>
    </row>
    <row r="10" spans="1:20" x14ac:dyDescent="0.15">
      <c r="A10" t="str">
        <f t="shared" si="0"/>
        <v>10.238.8.36</v>
      </c>
      <c r="B10">
        <v>2</v>
      </c>
      <c r="C10">
        <f>MID(Table1[[#This Row],[IP]],LEN(Table1[[#This Row],[IP]])-1,1)+(--MID(Table1[[#This Row],[IP]],8,1)-1)*9</f>
        <v>66</v>
      </c>
      <c r="D10" t="s">
        <v>49</v>
      </c>
      <c r="H10" t="s">
        <v>64</v>
      </c>
      <c r="K10" t="s">
        <v>63</v>
      </c>
      <c r="O10" s="53" t="s">
        <v>74</v>
      </c>
      <c r="P10" s="58">
        <v>20</v>
      </c>
      <c r="Q10" s="54">
        <f>MID(Table1[[#This Row],[IP]],LEN(Table1[[#This Row],[IP]])-1,1)+(--MID(O10,8,1)-1)*9</f>
        <v>66</v>
      </c>
      <c r="R10" s="55" t="s">
        <v>49</v>
      </c>
    </row>
    <row r="11" spans="1:20" x14ac:dyDescent="0.15">
      <c r="A11" t="str">
        <f t="shared" si="0"/>
        <v>10.238.8.37</v>
      </c>
      <c r="B11">
        <v>2</v>
      </c>
      <c r="C11">
        <f>MID(Table1[[#This Row],[IP]],LEN(Table1[[#This Row],[IP]])-1,1)+(--MID(Table1[[#This Row],[IP]],8,1)-1)*9</f>
        <v>66</v>
      </c>
      <c r="D11" t="s">
        <v>50</v>
      </c>
      <c r="H11">
        <v>64</v>
      </c>
      <c r="I11" t="s">
        <v>61</v>
      </c>
      <c r="O11" s="56" t="s">
        <v>75</v>
      </c>
      <c r="P11" s="59">
        <v>18</v>
      </c>
      <c r="Q11" s="54">
        <f>MID(Table1[[#This Row],[IP]],LEN(Table1[[#This Row],[IP]])-1,1)+(--MID(O11,8,1)-1)*9</f>
        <v>66</v>
      </c>
      <c r="R11" s="57" t="s">
        <v>50</v>
      </c>
    </row>
    <row r="12" spans="1:20" x14ac:dyDescent="0.15">
      <c r="A12" t="str">
        <f t="shared" si="0"/>
        <v>10.238.8.38</v>
      </c>
      <c r="B12">
        <v>2</v>
      </c>
      <c r="C12">
        <f>MID(Table1[[#This Row],[IP]],LEN(Table1[[#This Row],[IP]])-1,1)+(--MID(Table1[[#This Row],[IP]],8,1)-1)*9</f>
        <v>66</v>
      </c>
      <c r="D12" t="s">
        <v>51</v>
      </c>
      <c r="H12">
        <v>192</v>
      </c>
      <c r="I12" t="s">
        <v>62</v>
      </c>
      <c r="J12">
        <v>0</v>
      </c>
      <c r="O12" s="53" t="s">
        <v>76</v>
      </c>
      <c r="P12" s="58">
        <v>18</v>
      </c>
      <c r="Q12" s="54">
        <f>MID(Table1[[#This Row],[IP]],LEN(Table1[[#This Row],[IP]])-1,1)+(--MID(O12,8,1)-1)*9</f>
        <v>66</v>
      </c>
      <c r="R12" s="55" t="s">
        <v>51</v>
      </c>
    </row>
    <row r="13" spans="1:20" x14ac:dyDescent="0.15">
      <c r="A13" t="str">
        <f t="shared" si="0"/>
        <v>10.238.8.39</v>
      </c>
      <c r="B13">
        <v>2</v>
      </c>
      <c r="C13">
        <f>MID(Table1[[#This Row],[IP]],LEN(Table1[[#This Row],[IP]])-1,1)+(--MID(Table1[[#This Row],[IP]],8,1)-1)*9</f>
        <v>66</v>
      </c>
      <c r="D13" t="s">
        <v>52</v>
      </c>
      <c r="O13" s="56" t="s">
        <v>77</v>
      </c>
      <c r="P13" s="59">
        <v>18</v>
      </c>
      <c r="Q13" s="54">
        <f>MID(Table1[[#This Row],[IP]],LEN(Table1[[#This Row],[IP]])-1,1)+(--MID(O13,8,1)-1)*9</f>
        <v>66</v>
      </c>
      <c r="R13" s="57" t="s">
        <v>52</v>
      </c>
    </row>
    <row r="14" spans="1:20" x14ac:dyDescent="0.15">
      <c r="A14" t="str">
        <f t="shared" si="0"/>
        <v>10.238.8.46</v>
      </c>
      <c r="B14">
        <v>2</v>
      </c>
      <c r="C14">
        <f>MID(Table1[[#This Row],[IP]],LEN(Table1[[#This Row],[IP]])-1,1)+(--MID(Table1[[#This Row],[IP]],8,1)-1)*9</f>
        <v>67</v>
      </c>
      <c r="D14" t="s">
        <v>49</v>
      </c>
      <c r="O14" s="53" t="s">
        <v>78</v>
      </c>
      <c r="P14" s="58">
        <v>30</v>
      </c>
      <c r="Q14" s="54">
        <f>MID(Table1[[#This Row],[IP]],LEN(Table1[[#This Row],[IP]])-1,1)+(--MID(O14,8,1)-1)*9</f>
        <v>67</v>
      </c>
      <c r="R14" s="55" t="s">
        <v>49</v>
      </c>
    </row>
    <row r="15" spans="1:20" x14ac:dyDescent="0.15">
      <c r="A15" t="str">
        <f t="shared" si="0"/>
        <v>10.238.8.47</v>
      </c>
      <c r="B15">
        <v>2</v>
      </c>
      <c r="C15">
        <f>MID(Table1[[#This Row],[IP]],LEN(Table1[[#This Row],[IP]])-1,1)+(--MID(Table1[[#This Row],[IP]],8,1)-1)*9</f>
        <v>67</v>
      </c>
      <c r="D15" t="s">
        <v>50</v>
      </c>
      <c r="O15" s="56" t="s">
        <v>79</v>
      </c>
      <c r="P15" s="59">
        <v>38</v>
      </c>
      <c r="Q15" s="54">
        <f>MID(Table1[[#This Row],[IP]],LEN(Table1[[#This Row],[IP]])-1,1)+(--MID(O15,8,1)-1)*9</f>
        <v>67</v>
      </c>
      <c r="R15" s="57" t="s">
        <v>50</v>
      </c>
    </row>
    <row r="16" spans="1:20" x14ac:dyDescent="0.15">
      <c r="A16" t="str">
        <f t="shared" si="0"/>
        <v>10.238.8.48</v>
      </c>
      <c r="B16">
        <v>2</v>
      </c>
      <c r="C16">
        <f>MID(Table1[[#This Row],[IP]],LEN(Table1[[#This Row],[IP]])-1,1)+(--MID(Table1[[#This Row],[IP]],8,1)-1)*9</f>
        <v>67</v>
      </c>
      <c r="D16" t="s">
        <v>51</v>
      </c>
      <c r="O16" s="53" t="s">
        <v>80</v>
      </c>
      <c r="P16" s="58">
        <v>38</v>
      </c>
      <c r="Q16" s="54">
        <f>MID(Table1[[#This Row],[IP]],LEN(Table1[[#This Row],[IP]])-1,1)+(--MID(O16,8,1)-1)*9</f>
        <v>67</v>
      </c>
      <c r="R16" s="55" t="s">
        <v>51</v>
      </c>
    </row>
    <row r="17" spans="1:18" x14ac:dyDescent="0.15">
      <c r="A17" t="str">
        <f t="shared" si="0"/>
        <v>10.238.8.49</v>
      </c>
      <c r="B17">
        <v>2</v>
      </c>
      <c r="C17">
        <f>MID(Table1[[#This Row],[IP]],LEN(Table1[[#This Row],[IP]])-1,1)+(--MID(Table1[[#This Row],[IP]],8,1)-1)*9</f>
        <v>67</v>
      </c>
      <c r="D17" t="s">
        <v>52</v>
      </c>
      <c r="O17" s="56" t="s">
        <v>81</v>
      </c>
      <c r="P17" s="59">
        <v>38</v>
      </c>
      <c r="Q17" s="54">
        <f>MID(Table1[[#This Row],[IP]],LEN(Table1[[#This Row],[IP]])-1,1)+(--MID(O17,8,1)-1)*9</f>
        <v>67</v>
      </c>
      <c r="R17" s="57" t="s">
        <v>52</v>
      </c>
    </row>
    <row r="18" spans="1:18" x14ac:dyDescent="0.15">
      <c r="A18" t="str">
        <f t="shared" si="0"/>
        <v>10.238.8.56</v>
      </c>
      <c r="B18">
        <v>9</v>
      </c>
      <c r="C18">
        <f>MID(Table1[[#This Row],[IP]],LEN(Table1[[#This Row],[IP]])-1,1)+(--MID(Table1[[#This Row],[IP]],8,1)-1)*9</f>
        <v>68</v>
      </c>
      <c r="D18" t="s">
        <v>49</v>
      </c>
      <c r="O18" s="53" t="s">
        <v>82</v>
      </c>
      <c r="P18" s="58">
        <v>26</v>
      </c>
      <c r="Q18" s="54">
        <f>MID(Table1[[#This Row],[IP]],LEN(Table1[[#This Row],[IP]])-1,1)+(--MID(O18,8,1)-1)*9</f>
        <v>68</v>
      </c>
      <c r="R18" s="55" t="s">
        <v>49</v>
      </c>
    </row>
    <row r="19" spans="1:18" x14ac:dyDescent="0.15">
      <c r="A19" t="str">
        <f t="shared" si="0"/>
        <v>10.238.8.57</v>
      </c>
      <c r="B19">
        <v>9</v>
      </c>
      <c r="C19">
        <f>MID(Table1[[#This Row],[IP]],LEN(Table1[[#This Row],[IP]])-1,1)+(--MID(Table1[[#This Row],[IP]],8,1)-1)*9</f>
        <v>68</v>
      </c>
      <c r="D19" t="s">
        <v>50</v>
      </c>
      <c r="O19" s="56" t="s">
        <v>83</v>
      </c>
      <c r="P19" s="59">
        <v>23</v>
      </c>
      <c r="Q19" s="54">
        <f>MID(Table1[[#This Row],[IP]],LEN(Table1[[#This Row],[IP]])-1,1)+(--MID(O19,8,1)-1)*9</f>
        <v>68</v>
      </c>
      <c r="R19" s="57" t="s">
        <v>50</v>
      </c>
    </row>
    <row r="20" spans="1:18" x14ac:dyDescent="0.15">
      <c r="A20" t="str">
        <f t="shared" si="0"/>
        <v>10.238.8.58</v>
      </c>
      <c r="B20">
        <v>2</v>
      </c>
      <c r="C20">
        <f>MID(Table1[[#This Row],[IP]],LEN(Table1[[#This Row],[IP]])-1,1)+(--MID(Table1[[#This Row],[IP]],8,1)-1)*9</f>
        <v>68</v>
      </c>
      <c r="D20" t="s">
        <v>51</v>
      </c>
      <c r="O20" s="53" t="s">
        <v>84</v>
      </c>
      <c r="P20" s="58">
        <v>22</v>
      </c>
      <c r="Q20" s="54">
        <f>MID(Table1[[#This Row],[IP]],LEN(Table1[[#This Row],[IP]])-1,1)+(--MID(O20,8,1)-1)*9</f>
        <v>68</v>
      </c>
      <c r="R20" s="55" t="s">
        <v>51</v>
      </c>
    </row>
    <row r="21" spans="1:18" x14ac:dyDescent="0.15">
      <c r="A21" t="str">
        <f t="shared" si="0"/>
        <v>10.238.8.59</v>
      </c>
      <c r="B21">
        <v>2</v>
      </c>
      <c r="C21">
        <f>MID(Table1[[#This Row],[IP]],LEN(Table1[[#This Row],[IP]])-1,1)+(--MID(Table1[[#This Row],[IP]],8,1)-1)*9</f>
        <v>68</v>
      </c>
      <c r="D21" t="s">
        <v>52</v>
      </c>
      <c r="O21" s="56" t="s">
        <v>85</v>
      </c>
      <c r="P21" s="59">
        <v>22</v>
      </c>
      <c r="Q21" s="54">
        <f>MID(Table1[[#This Row],[IP]],LEN(Table1[[#This Row],[IP]])-1,1)+(--MID(O21,8,1)-1)*9</f>
        <v>68</v>
      </c>
      <c r="R21" s="57" t="s">
        <v>52</v>
      </c>
    </row>
    <row r="22" spans="1:18" x14ac:dyDescent="0.15">
      <c r="A22" t="str">
        <f t="shared" si="0"/>
        <v>10.238.8.66</v>
      </c>
      <c r="B22">
        <v>2</v>
      </c>
      <c r="C22">
        <f>MID(Table1[[#This Row],[IP]],LEN(Table1[[#This Row],[IP]])-1,1)+(--MID(Table1[[#This Row],[IP]],8,1)-1)*9</f>
        <v>69</v>
      </c>
      <c r="D22" t="s">
        <v>49</v>
      </c>
      <c r="O22" s="53" t="s">
        <v>86</v>
      </c>
      <c r="P22" s="58">
        <v>22</v>
      </c>
      <c r="Q22" s="54">
        <f>MID(Table1[[#This Row],[IP]],LEN(Table1[[#This Row],[IP]])-1,1)+(--MID(O22,8,1)-1)*9</f>
        <v>69</v>
      </c>
      <c r="R22" s="55" t="s">
        <v>49</v>
      </c>
    </row>
    <row r="23" spans="1:18" x14ac:dyDescent="0.15">
      <c r="A23" t="str">
        <f t="shared" si="0"/>
        <v>10.238.8.67</v>
      </c>
      <c r="B23">
        <v>9</v>
      </c>
      <c r="C23">
        <f>MID(Table1[[#This Row],[IP]],LEN(Table1[[#This Row],[IP]])-1,1)+(--MID(Table1[[#This Row],[IP]],8,1)-1)*9</f>
        <v>69</v>
      </c>
      <c r="D23" t="s">
        <v>50</v>
      </c>
      <c r="O23" s="56" t="s">
        <v>87</v>
      </c>
      <c r="P23" s="59">
        <v>16</v>
      </c>
      <c r="Q23" s="54">
        <f>MID(Table1[[#This Row],[IP]],LEN(Table1[[#This Row],[IP]])-1,1)+(--MID(O23,8,1)-1)*9</f>
        <v>69</v>
      </c>
      <c r="R23" s="57" t="s">
        <v>50</v>
      </c>
    </row>
    <row r="24" spans="1:18" x14ac:dyDescent="0.15">
      <c r="A24" t="str">
        <f t="shared" si="0"/>
        <v>10.238.8.68</v>
      </c>
      <c r="B24">
        <v>9</v>
      </c>
      <c r="C24">
        <f>MID(Table1[[#This Row],[IP]],LEN(Table1[[#This Row],[IP]])-1,1)+(--MID(Table1[[#This Row],[IP]],8,1)-1)*9</f>
        <v>69</v>
      </c>
      <c r="D24" t="s">
        <v>51</v>
      </c>
      <c r="O24" s="53" t="s">
        <v>88</v>
      </c>
      <c r="P24" s="58">
        <v>16</v>
      </c>
      <c r="Q24" s="54">
        <f>MID(Table1[[#This Row],[IP]],LEN(Table1[[#This Row],[IP]])-1,1)+(--MID(O24,8,1)-1)*9</f>
        <v>69</v>
      </c>
      <c r="R24" s="55" t="s">
        <v>51</v>
      </c>
    </row>
    <row r="25" spans="1:18" x14ac:dyDescent="0.15">
      <c r="A25" t="str">
        <f t="shared" si="0"/>
        <v>10.238.8.69</v>
      </c>
      <c r="B25">
        <v>9</v>
      </c>
      <c r="C25">
        <f>MID(Table1[[#This Row],[IP]],LEN(Table1[[#This Row],[IP]])-1,1)+(--MID(Table1[[#This Row],[IP]],8,1)-1)*9</f>
        <v>69</v>
      </c>
      <c r="D25" t="s">
        <v>52</v>
      </c>
      <c r="O25" s="56" t="s">
        <v>89</v>
      </c>
      <c r="P25" s="59">
        <v>16</v>
      </c>
      <c r="Q25" s="54">
        <f>MID(Table1[[#This Row],[IP]],LEN(Table1[[#This Row],[IP]])-1,1)+(--MID(O25,8,1)-1)*9</f>
        <v>69</v>
      </c>
      <c r="R25" s="57" t="s">
        <v>52</v>
      </c>
    </row>
    <row r="26" spans="1:18" x14ac:dyDescent="0.15">
      <c r="A26" t="str">
        <f t="shared" si="0"/>
        <v>10.238.8.76</v>
      </c>
      <c r="B26">
        <v>2</v>
      </c>
      <c r="C26">
        <f>MID(Table1[[#This Row],[IP]],LEN(Table1[[#This Row],[IP]])-1,1)+(--MID(Table1[[#This Row],[IP]],8,1)-1)*9</f>
        <v>70</v>
      </c>
      <c r="D26" t="s">
        <v>49</v>
      </c>
      <c r="O26" s="53" t="s">
        <v>90</v>
      </c>
      <c r="P26" s="58">
        <v>34</v>
      </c>
      <c r="Q26" s="54">
        <f>MID(Table1[[#This Row],[IP]],LEN(Table1[[#This Row],[IP]])-1,1)+(--MID(O26,8,1)-1)*9</f>
        <v>70</v>
      </c>
      <c r="R26" s="55" t="s">
        <v>49</v>
      </c>
    </row>
    <row r="27" spans="1:18" x14ac:dyDescent="0.15">
      <c r="A27" t="str">
        <f t="shared" si="0"/>
        <v>10.238.8.77</v>
      </c>
      <c r="B27">
        <v>2</v>
      </c>
      <c r="C27">
        <f>MID(Table1[[#This Row],[IP]],LEN(Table1[[#This Row],[IP]])-1,1)+(--MID(Table1[[#This Row],[IP]],8,1)-1)*9</f>
        <v>70</v>
      </c>
      <c r="D27" t="s">
        <v>50</v>
      </c>
      <c r="O27" s="56" t="s">
        <v>91</v>
      </c>
      <c r="P27" s="59">
        <v>20</v>
      </c>
      <c r="Q27" s="54">
        <f>MID(Table1[[#This Row],[IP]],LEN(Table1[[#This Row],[IP]])-1,1)+(--MID(O27,8,1)-1)*9</f>
        <v>70</v>
      </c>
      <c r="R27" s="57" t="s">
        <v>50</v>
      </c>
    </row>
    <row r="28" spans="1:18" x14ac:dyDescent="0.15">
      <c r="A28" t="str">
        <f t="shared" si="0"/>
        <v>10.238.8.78</v>
      </c>
      <c r="B28">
        <v>2</v>
      </c>
      <c r="C28">
        <f>MID(Table1[[#This Row],[IP]],LEN(Table1[[#This Row],[IP]])-1,1)+(--MID(Table1[[#This Row],[IP]],8,1)-1)*9</f>
        <v>70</v>
      </c>
      <c r="D28" t="s">
        <v>51</v>
      </c>
      <c r="O28" s="53" t="s">
        <v>92</v>
      </c>
      <c r="P28" s="58">
        <v>34</v>
      </c>
      <c r="Q28" s="54">
        <f>MID(Table1[[#This Row],[IP]],LEN(Table1[[#This Row],[IP]])-1,1)+(--MID(O28,8,1)-1)*9</f>
        <v>70</v>
      </c>
      <c r="R28" s="55" t="s">
        <v>51</v>
      </c>
    </row>
    <row r="29" spans="1:18" x14ac:dyDescent="0.15">
      <c r="A29" t="str">
        <f t="shared" si="0"/>
        <v>10.238.8.79</v>
      </c>
      <c r="B29">
        <v>2</v>
      </c>
      <c r="C29">
        <f>MID(Table1[[#This Row],[IP]],LEN(Table1[[#This Row],[IP]])-1,1)+(--MID(Table1[[#This Row],[IP]],8,1)-1)*9</f>
        <v>70</v>
      </c>
      <c r="D29" t="s">
        <v>52</v>
      </c>
      <c r="O29" s="56" t="s">
        <v>93</v>
      </c>
      <c r="P29" s="59">
        <v>34</v>
      </c>
      <c r="Q29" s="54">
        <f>MID(Table1[[#This Row],[IP]],LEN(Table1[[#This Row],[IP]])-1,1)+(--MID(O29,8,1)-1)*9</f>
        <v>70</v>
      </c>
      <c r="R29" s="57" t="s">
        <v>52</v>
      </c>
    </row>
    <row r="30" spans="1:18" x14ac:dyDescent="0.15">
      <c r="A30" t="str">
        <f t="shared" si="0"/>
        <v>10.238.8.86</v>
      </c>
      <c r="B30">
        <v>2</v>
      </c>
      <c r="C30">
        <f>MID(Table1[[#This Row],[IP]],LEN(Table1[[#This Row],[IP]])-1,1)+(--MID(Table1[[#This Row],[IP]],8,1)-1)*9</f>
        <v>71</v>
      </c>
      <c r="D30" t="s">
        <v>49</v>
      </c>
      <c r="O30" s="53" t="s">
        <v>94</v>
      </c>
      <c r="P30" s="58">
        <v>30</v>
      </c>
      <c r="Q30" s="54">
        <f>MID(Table1[[#This Row],[IP]],LEN(Table1[[#This Row],[IP]])-1,1)+(--MID(O30,8,1)-1)*9</f>
        <v>71</v>
      </c>
      <c r="R30" s="55" t="s">
        <v>49</v>
      </c>
    </row>
    <row r="31" spans="1:18" x14ac:dyDescent="0.15">
      <c r="A31" t="str">
        <f t="shared" si="0"/>
        <v>10.238.8.87</v>
      </c>
      <c r="B31">
        <v>2</v>
      </c>
      <c r="C31">
        <f>MID(Table1[[#This Row],[IP]],LEN(Table1[[#This Row],[IP]])-1,1)+(--MID(Table1[[#This Row],[IP]],8,1)-1)*9</f>
        <v>71</v>
      </c>
      <c r="D31" t="s">
        <v>50</v>
      </c>
      <c r="O31" s="56" t="s">
        <v>95</v>
      </c>
      <c r="P31" s="59">
        <v>28</v>
      </c>
      <c r="Q31" s="54">
        <f>MID(Table1[[#This Row],[IP]],LEN(Table1[[#This Row],[IP]])-1,1)+(--MID(O31,8,1)-1)*9</f>
        <v>71</v>
      </c>
      <c r="R31" s="57" t="s">
        <v>50</v>
      </c>
    </row>
    <row r="32" spans="1:18" x14ac:dyDescent="0.15">
      <c r="A32" t="str">
        <f t="shared" si="0"/>
        <v>10.238.8.88</v>
      </c>
      <c r="B32">
        <v>2</v>
      </c>
      <c r="C32">
        <f>MID(Table1[[#This Row],[IP]],LEN(Table1[[#This Row],[IP]])-1,1)+(--MID(Table1[[#This Row],[IP]],8,1)-1)*9</f>
        <v>71</v>
      </c>
      <c r="D32" t="s">
        <v>51</v>
      </c>
      <c r="O32" s="53" t="s">
        <v>96</v>
      </c>
      <c r="P32" s="58">
        <v>31</v>
      </c>
      <c r="Q32" s="54">
        <f>MID(Table1[[#This Row],[IP]],LEN(Table1[[#This Row],[IP]])-1,1)+(--MID(O32,8,1)-1)*9</f>
        <v>71</v>
      </c>
      <c r="R32" s="55" t="s">
        <v>51</v>
      </c>
    </row>
    <row r="33" spans="1:18" x14ac:dyDescent="0.15">
      <c r="A33" t="str">
        <f t="shared" si="0"/>
        <v>10.238.8.89</v>
      </c>
      <c r="B33">
        <v>2</v>
      </c>
      <c r="C33">
        <f>MID(Table1[[#This Row],[IP]],LEN(Table1[[#This Row],[IP]])-1,1)+(--MID(Table1[[#This Row],[IP]],8,1)-1)*9</f>
        <v>71</v>
      </c>
      <c r="D33" t="s">
        <v>52</v>
      </c>
      <c r="O33" s="56" t="s">
        <v>97</v>
      </c>
      <c r="P33" s="59">
        <v>31</v>
      </c>
      <c r="Q33" s="54">
        <f>MID(Table1[[#This Row],[IP]],LEN(Table1[[#This Row],[IP]])-1,1)+(--MID(O33,8,1)-1)*9</f>
        <v>71</v>
      </c>
      <c r="R33" s="57" t="s">
        <v>52</v>
      </c>
    </row>
    <row r="34" spans="1:18" x14ac:dyDescent="0.15">
      <c r="A34" t="str">
        <f t="shared" si="0"/>
        <v>10.238.8.96</v>
      </c>
      <c r="B34">
        <v>2</v>
      </c>
      <c r="C34">
        <f>MID(Table1[[#This Row],[IP]],LEN(Table1[[#This Row],[IP]])-1,1)+(--MID(Table1[[#This Row],[IP]],8,1)-1)*9</f>
        <v>72</v>
      </c>
      <c r="D34" t="s">
        <v>49</v>
      </c>
      <c r="O34" s="53" t="s">
        <v>98</v>
      </c>
      <c r="P34" s="58">
        <v>23</v>
      </c>
      <c r="Q34" s="54">
        <f>MID(Table1[[#This Row],[IP]],LEN(Table1[[#This Row],[IP]])-1,1)+(--MID(O34,8,1)-1)*9</f>
        <v>72</v>
      </c>
      <c r="R34" s="55" t="s">
        <v>49</v>
      </c>
    </row>
    <row r="35" spans="1:18" x14ac:dyDescent="0.15">
      <c r="A35" t="str">
        <f t="shared" si="0"/>
        <v>10.238.8.97</v>
      </c>
      <c r="B35">
        <v>2</v>
      </c>
      <c r="C35">
        <f>MID(Table1[[#This Row],[IP]],LEN(Table1[[#This Row],[IP]])-1,1)+(--MID(Table1[[#This Row],[IP]],8,1)-1)*9</f>
        <v>72</v>
      </c>
      <c r="D35" t="s">
        <v>50</v>
      </c>
      <c r="O35" s="56" t="s">
        <v>99</v>
      </c>
      <c r="P35" s="59">
        <v>23</v>
      </c>
      <c r="Q35" s="54">
        <f>MID(Table1[[#This Row],[IP]],LEN(Table1[[#This Row],[IP]])-1,1)+(--MID(O35,8,1)-1)*9</f>
        <v>72</v>
      </c>
      <c r="R35" s="57" t="s">
        <v>50</v>
      </c>
    </row>
    <row r="36" spans="1:18" x14ac:dyDescent="0.15">
      <c r="A36" t="str">
        <f t="shared" si="0"/>
        <v>10.238.8.98</v>
      </c>
      <c r="B36">
        <v>2</v>
      </c>
      <c r="C36">
        <f>MID(Table1[[#This Row],[IP]],LEN(Table1[[#This Row],[IP]])-1,1)+(--MID(Table1[[#This Row],[IP]],8,1)-1)*9</f>
        <v>72</v>
      </c>
      <c r="D36" t="s">
        <v>51</v>
      </c>
      <c r="O36" s="53" t="s">
        <v>100</v>
      </c>
      <c r="P36" s="58">
        <v>24</v>
      </c>
      <c r="Q36" s="54">
        <f>MID(Table1[[#This Row],[IP]],LEN(Table1[[#This Row],[IP]])-1,1)+(--MID(O36,8,1)-1)*9</f>
        <v>72</v>
      </c>
      <c r="R36" s="55" t="s">
        <v>51</v>
      </c>
    </row>
    <row r="37" spans="1:18" x14ac:dyDescent="0.15">
      <c r="A37" t="str">
        <f t="shared" si="0"/>
        <v>10.238.8.99</v>
      </c>
      <c r="B37">
        <v>2</v>
      </c>
      <c r="C37">
        <f>MID(Table1[[#This Row],[IP]],LEN(Table1[[#This Row],[IP]])-1,1)+(--MID(Table1[[#This Row],[IP]],8,1)-1)*9</f>
        <v>72</v>
      </c>
      <c r="D37" t="s">
        <v>52</v>
      </c>
      <c r="O37" s="56" t="s">
        <v>101</v>
      </c>
      <c r="P37" s="59">
        <v>24</v>
      </c>
      <c r="Q37" s="54">
        <f>MID(Table1[[#This Row],[IP]],LEN(Table1[[#This Row],[IP]])-1,1)+(--MID(O37,8,1)-1)*9</f>
        <v>72</v>
      </c>
      <c r="R37" s="57" t="s">
        <v>52</v>
      </c>
    </row>
  </sheetData>
  <phoneticPr fontId="15" type="noConversion"/>
  <dataValidations count="1">
    <dataValidation type="list" allowBlank="1" showInputMessage="1" showErrorMessage="1" sqref="K1" xr:uid="{5E7C5687-17DF-40C4-BCBF-FB58F2889FEF}">
      <formula1>$T$2:$T$9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adRegisters">
                <anchor>
                  <from>
                    <xdr:col>4</xdr:col>
                    <xdr:colOff>161925</xdr:colOff>
                    <xdr:row>1</xdr:row>
                    <xdr:rowOff>123825</xdr:rowOff>
                  </from>
                  <to>
                    <xdr:col>5</xdr:col>
                    <xdr:colOff>371475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FPG">
                <anchor>
                  <from>
                    <xdr:col>4</xdr:col>
                    <xdr:colOff>171450</xdr:colOff>
                    <xdr:row>5</xdr:row>
                    <xdr:rowOff>161925</xdr:rowOff>
                  </from>
                  <to>
                    <xdr:col>5</xdr:col>
                    <xdr:colOff>381000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73346-E92A-4DCE-8B85-7FBC41BCDB95}">
  <sheetPr codeName="Sheet3"/>
  <dimension ref="B1:T19"/>
  <sheetViews>
    <sheetView workbookViewId="0">
      <selection activeCell="B2" sqref="B2"/>
    </sheetView>
  </sheetViews>
  <sheetFormatPr defaultRowHeight="13.5" x14ac:dyDescent="0.15"/>
  <cols>
    <col min="1" max="24" width="5.625" customWidth="1"/>
  </cols>
  <sheetData>
    <row r="1" spans="2:20" ht="14.25" thickBot="1" x14ac:dyDescent="0.2"/>
    <row r="2" spans="2:20" ht="14.25" x14ac:dyDescent="0.15">
      <c r="B2" s="75" t="s">
        <v>432</v>
      </c>
      <c r="C2" s="76" t="s">
        <v>433</v>
      </c>
      <c r="D2" s="76" t="s">
        <v>434</v>
      </c>
      <c r="E2" s="77" t="s">
        <v>435</v>
      </c>
      <c r="F2" s="78"/>
      <c r="G2" s="75" t="s">
        <v>439</v>
      </c>
      <c r="H2" s="76" t="s">
        <v>438</v>
      </c>
      <c r="I2" s="76" t="s">
        <v>437</v>
      </c>
      <c r="J2" s="77" t="s">
        <v>436</v>
      </c>
      <c r="K2" s="78"/>
      <c r="L2" s="75" t="s">
        <v>440</v>
      </c>
      <c r="M2" s="76" t="s">
        <v>441</v>
      </c>
      <c r="N2" s="76" t="s">
        <v>442</v>
      </c>
      <c r="O2" s="77" t="s">
        <v>443</v>
      </c>
      <c r="P2" s="78"/>
      <c r="Q2" s="75" t="s">
        <v>447</v>
      </c>
      <c r="R2" s="76" t="s">
        <v>446</v>
      </c>
      <c r="S2" s="76" t="s">
        <v>445</v>
      </c>
      <c r="T2" s="77" t="s">
        <v>444</v>
      </c>
    </row>
    <row r="3" spans="2:20" ht="14.25" x14ac:dyDescent="0.15">
      <c r="B3" s="79" t="str">
        <f>LEFT(B2,2)-1&amp;RIGHT(B2,1)</f>
        <v>17D</v>
      </c>
      <c r="C3" s="88" t="str">
        <f t="shared" ref="C3:E10" si="0">LEFT(C2,2)-1&amp;RIGHT(C2,1)</f>
        <v>17C</v>
      </c>
      <c r="D3" s="88" t="str">
        <f t="shared" si="0"/>
        <v>17B</v>
      </c>
      <c r="E3" s="81" t="str">
        <f t="shared" si="0"/>
        <v>17A</v>
      </c>
      <c r="F3" s="78"/>
      <c r="G3" s="82" t="str">
        <f>LEFT(G2,2)-1&amp;RIGHT(G2,1)</f>
        <v>35A</v>
      </c>
      <c r="H3" s="89" t="str">
        <f t="shared" ref="H3:J18" si="1">LEFT(H2,2)-1&amp;RIGHT(H2,1)</f>
        <v>35B</v>
      </c>
      <c r="I3" s="89" t="str">
        <f t="shared" si="1"/>
        <v>35C</v>
      </c>
      <c r="J3" s="84" t="str">
        <f t="shared" si="1"/>
        <v>35D</v>
      </c>
      <c r="K3" s="78"/>
      <c r="L3" s="79" t="str">
        <f>LEFT(L2,2)-1&amp;RIGHT(L2,1)</f>
        <v>53D</v>
      </c>
      <c r="M3" s="88" t="str">
        <f t="shared" ref="M3:O18" si="2">LEFT(M2,2)-1&amp;RIGHT(M2,1)</f>
        <v>53C</v>
      </c>
      <c r="N3" s="88" t="str">
        <f t="shared" si="2"/>
        <v>53B</v>
      </c>
      <c r="O3" s="81" t="str">
        <f t="shared" si="2"/>
        <v>53A</v>
      </c>
      <c r="P3" s="78"/>
      <c r="Q3" s="79" t="str">
        <f>LEFT(Q2,2)-1&amp;RIGHT(Q2,1)</f>
        <v>71A</v>
      </c>
      <c r="R3" s="88" t="str">
        <f t="shared" ref="R3:T18" si="3">LEFT(R2,2)-1&amp;RIGHT(R2,1)</f>
        <v>71B</v>
      </c>
      <c r="S3" s="88" t="str">
        <f t="shared" si="3"/>
        <v>71C</v>
      </c>
      <c r="T3" s="81" t="str">
        <f t="shared" si="3"/>
        <v>71D</v>
      </c>
    </row>
    <row r="4" spans="2:20" ht="14.25" x14ac:dyDescent="0.15">
      <c r="B4" s="79" t="str">
        <f t="shared" ref="B4:B10" si="4">LEFT(B3,2)-1&amp;RIGHT(B3,1)</f>
        <v>16D</v>
      </c>
      <c r="C4" s="88" t="str">
        <f t="shared" si="0"/>
        <v>16C</v>
      </c>
      <c r="D4" s="88" t="str">
        <f t="shared" si="0"/>
        <v>16B</v>
      </c>
      <c r="E4" s="81" t="str">
        <f t="shared" si="0"/>
        <v>16A</v>
      </c>
      <c r="F4" s="78"/>
      <c r="G4" s="82" t="str">
        <f t="shared" ref="G4:G19" si="5">LEFT(G3,2)-1&amp;RIGHT(G3,1)</f>
        <v>34A</v>
      </c>
      <c r="H4" s="89" t="str">
        <f t="shared" si="1"/>
        <v>34B</v>
      </c>
      <c r="I4" s="89" t="str">
        <f t="shared" si="1"/>
        <v>34C</v>
      </c>
      <c r="J4" s="84" t="str">
        <f t="shared" si="1"/>
        <v>34D</v>
      </c>
      <c r="K4" s="78"/>
      <c r="L4" s="79" t="str">
        <f t="shared" ref="L4:L19" si="6">LEFT(L3,2)-1&amp;RIGHT(L3,1)</f>
        <v>52D</v>
      </c>
      <c r="M4" s="88" t="str">
        <f t="shared" si="2"/>
        <v>52C</v>
      </c>
      <c r="N4" s="88" t="str">
        <f t="shared" si="2"/>
        <v>52B</v>
      </c>
      <c r="O4" s="81" t="str">
        <f t="shared" si="2"/>
        <v>52A</v>
      </c>
      <c r="P4" s="78"/>
      <c r="Q4" s="79" t="str">
        <f t="shared" ref="Q4:Q19" si="7">LEFT(Q3,2)-1&amp;RIGHT(Q3,1)</f>
        <v>70A</v>
      </c>
      <c r="R4" s="88" t="str">
        <f t="shared" si="3"/>
        <v>70B</v>
      </c>
      <c r="S4" s="88" t="str">
        <f t="shared" si="3"/>
        <v>70C</v>
      </c>
      <c r="T4" s="81" t="str">
        <f t="shared" si="3"/>
        <v>70D</v>
      </c>
    </row>
    <row r="5" spans="2:20" ht="14.25" x14ac:dyDescent="0.15">
      <c r="B5" s="79" t="str">
        <f t="shared" si="4"/>
        <v>15D</v>
      </c>
      <c r="C5" s="88" t="str">
        <f t="shared" si="0"/>
        <v>15C</v>
      </c>
      <c r="D5" s="88" t="str">
        <f t="shared" si="0"/>
        <v>15B</v>
      </c>
      <c r="E5" s="81" t="str">
        <f t="shared" si="0"/>
        <v>15A</v>
      </c>
      <c r="F5" s="78"/>
      <c r="G5" s="82" t="str">
        <f t="shared" si="5"/>
        <v>33A</v>
      </c>
      <c r="H5" s="89" t="str">
        <f t="shared" si="1"/>
        <v>33B</v>
      </c>
      <c r="I5" s="89" t="str">
        <f t="shared" si="1"/>
        <v>33C</v>
      </c>
      <c r="J5" s="84" t="str">
        <f t="shared" si="1"/>
        <v>33D</v>
      </c>
      <c r="K5" s="78"/>
      <c r="L5" s="79" t="str">
        <f t="shared" si="6"/>
        <v>51D</v>
      </c>
      <c r="M5" s="88" t="str">
        <f t="shared" si="2"/>
        <v>51C</v>
      </c>
      <c r="N5" s="88" t="str">
        <f t="shared" si="2"/>
        <v>51B</v>
      </c>
      <c r="O5" s="81" t="str">
        <f t="shared" si="2"/>
        <v>51A</v>
      </c>
      <c r="P5" s="78"/>
      <c r="Q5" s="82" t="str">
        <f t="shared" si="7"/>
        <v>69A</v>
      </c>
      <c r="R5" s="89" t="str">
        <f t="shared" si="3"/>
        <v>69B</v>
      </c>
      <c r="S5" s="89" t="str">
        <f t="shared" si="3"/>
        <v>69C</v>
      </c>
      <c r="T5" s="81" t="str">
        <f t="shared" si="3"/>
        <v>69D</v>
      </c>
    </row>
    <row r="6" spans="2:20" ht="14.25" x14ac:dyDescent="0.15">
      <c r="B6" s="79" t="str">
        <f t="shared" si="4"/>
        <v>14D</v>
      </c>
      <c r="C6" s="88" t="str">
        <f t="shared" si="0"/>
        <v>14C</v>
      </c>
      <c r="D6" s="88" t="str">
        <f t="shared" si="0"/>
        <v>14B</v>
      </c>
      <c r="E6" s="81" t="str">
        <f t="shared" si="0"/>
        <v>14A</v>
      </c>
      <c r="F6" s="78"/>
      <c r="G6" s="82" t="str">
        <f t="shared" si="5"/>
        <v>32A</v>
      </c>
      <c r="H6" s="89" t="str">
        <f t="shared" si="1"/>
        <v>32B</v>
      </c>
      <c r="I6" s="89" t="str">
        <f t="shared" si="1"/>
        <v>32C</v>
      </c>
      <c r="J6" s="84" t="str">
        <f t="shared" si="1"/>
        <v>32D</v>
      </c>
      <c r="K6" s="78"/>
      <c r="L6" s="79" t="str">
        <f t="shared" si="6"/>
        <v>50D</v>
      </c>
      <c r="M6" s="88" t="str">
        <f t="shared" si="2"/>
        <v>50C</v>
      </c>
      <c r="N6" s="88" t="str">
        <f t="shared" si="2"/>
        <v>50B</v>
      </c>
      <c r="O6" s="81" t="str">
        <f t="shared" si="2"/>
        <v>50A</v>
      </c>
      <c r="P6" s="78"/>
      <c r="Q6" s="79" t="str">
        <f t="shared" si="7"/>
        <v>68A</v>
      </c>
      <c r="R6" s="88" t="str">
        <f t="shared" si="3"/>
        <v>68B</v>
      </c>
      <c r="S6" s="89" t="str">
        <f t="shared" si="3"/>
        <v>68C</v>
      </c>
      <c r="T6" s="84" t="str">
        <f t="shared" si="3"/>
        <v>68D</v>
      </c>
    </row>
    <row r="7" spans="2:20" ht="14.25" x14ac:dyDescent="0.15">
      <c r="B7" s="79" t="str">
        <f t="shared" si="4"/>
        <v>13D</v>
      </c>
      <c r="C7" s="88" t="str">
        <f t="shared" si="0"/>
        <v>13C</v>
      </c>
      <c r="D7" s="88" t="str">
        <f t="shared" si="0"/>
        <v>13B</v>
      </c>
      <c r="E7" s="81" t="str">
        <f t="shared" si="0"/>
        <v>13A</v>
      </c>
      <c r="F7" s="78"/>
      <c r="G7" s="82" t="str">
        <f t="shared" si="5"/>
        <v>31A</v>
      </c>
      <c r="H7" s="89" t="str">
        <f t="shared" si="1"/>
        <v>31B</v>
      </c>
      <c r="I7" s="89" t="str">
        <f t="shared" si="1"/>
        <v>31C</v>
      </c>
      <c r="J7" s="84" t="str">
        <f t="shared" si="1"/>
        <v>31D</v>
      </c>
      <c r="K7" s="78"/>
      <c r="L7" s="79" t="str">
        <f t="shared" si="6"/>
        <v>49D</v>
      </c>
      <c r="M7" s="88" t="str">
        <f t="shared" si="2"/>
        <v>49C</v>
      </c>
      <c r="N7" s="88" t="str">
        <f t="shared" si="2"/>
        <v>49B</v>
      </c>
      <c r="O7" s="81" t="str">
        <f t="shared" si="2"/>
        <v>49A</v>
      </c>
      <c r="P7" s="78"/>
      <c r="Q7" s="79" t="str">
        <f t="shared" si="7"/>
        <v>67A</v>
      </c>
      <c r="R7" s="88" t="str">
        <f t="shared" si="3"/>
        <v>67B</v>
      </c>
      <c r="S7" s="88" t="str">
        <f t="shared" si="3"/>
        <v>67C</v>
      </c>
      <c r="T7" s="81" t="str">
        <f t="shared" si="3"/>
        <v>67D</v>
      </c>
    </row>
    <row r="8" spans="2:20" ht="14.25" x14ac:dyDescent="0.15">
      <c r="B8" s="79" t="str">
        <f t="shared" si="4"/>
        <v>12D</v>
      </c>
      <c r="C8" s="88" t="str">
        <f t="shared" si="0"/>
        <v>12C</v>
      </c>
      <c r="D8" s="88" t="str">
        <f t="shared" si="0"/>
        <v>12B</v>
      </c>
      <c r="E8" s="81" t="str">
        <f t="shared" si="0"/>
        <v>12A</v>
      </c>
      <c r="F8" s="78"/>
      <c r="G8" s="82" t="str">
        <f t="shared" si="5"/>
        <v>30A</v>
      </c>
      <c r="H8" s="89" t="str">
        <f t="shared" si="1"/>
        <v>30B</v>
      </c>
      <c r="I8" s="89" t="str">
        <f t="shared" si="1"/>
        <v>30C</v>
      </c>
      <c r="J8" s="84" t="str">
        <f t="shared" si="1"/>
        <v>30D</v>
      </c>
      <c r="K8" s="78"/>
      <c r="L8" s="79" t="str">
        <f t="shared" si="6"/>
        <v>48D</v>
      </c>
      <c r="M8" s="88" t="str">
        <f t="shared" si="2"/>
        <v>48C</v>
      </c>
      <c r="N8" s="88" t="str">
        <f t="shared" si="2"/>
        <v>48B</v>
      </c>
      <c r="O8" s="81" t="str">
        <f t="shared" si="2"/>
        <v>48A</v>
      </c>
      <c r="P8" s="78"/>
      <c r="Q8" s="79" t="str">
        <f t="shared" si="7"/>
        <v>66A</v>
      </c>
      <c r="R8" s="88" t="str">
        <f t="shared" si="3"/>
        <v>66B</v>
      </c>
      <c r="S8" s="88" t="str">
        <f t="shared" si="3"/>
        <v>66C</v>
      </c>
      <c r="T8" s="81" t="str">
        <f t="shared" si="3"/>
        <v>66D</v>
      </c>
    </row>
    <row r="9" spans="2:20" ht="14.25" x14ac:dyDescent="0.15">
      <c r="B9" s="79" t="str">
        <f t="shared" si="4"/>
        <v>11D</v>
      </c>
      <c r="C9" s="88" t="str">
        <f t="shared" si="0"/>
        <v>11C</v>
      </c>
      <c r="D9" s="88" t="str">
        <f t="shared" si="0"/>
        <v>11B</v>
      </c>
      <c r="E9" s="81" t="str">
        <f t="shared" si="0"/>
        <v>11A</v>
      </c>
      <c r="F9" s="78"/>
      <c r="G9" s="82" t="str">
        <f t="shared" si="5"/>
        <v>29A</v>
      </c>
      <c r="H9" s="89" t="str">
        <f t="shared" si="1"/>
        <v>29B</v>
      </c>
      <c r="I9" s="89" t="str">
        <f t="shared" si="1"/>
        <v>29C</v>
      </c>
      <c r="J9" s="84" t="str">
        <f t="shared" si="1"/>
        <v>29D</v>
      </c>
      <c r="K9" s="78"/>
      <c r="L9" s="79" t="str">
        <f t="shared" si="6"/>
        <v>47D</v>
      </c>
      <c r="M9" s="88" t="str">
        <f t="shared" si="2"/>
        <v>47C</v>
      </c>
      <c r="N9" s="88" t="str">
        <f t="shared" si="2"/>
        <v>47B</v>
      </c>
      <c r="O9" s="81" t="str">
        <f t="shared" si="2"/>
        <v>47A</v>
      </c>
      <c r="P9" s="78"/>
      <c r="Q9" s="79" t="str">
        <f t="shared" si="7"/>
        <v>65A</v>
      </c>
      <c r="R9" s="88" t="str">
        <f t="shared" si="3"/>
        <v>65B</v>
      </c>
      <c r="S9" s="88" t="str">
        <f t="shared" si="3"/>
        <v>65C</v>
      </c>
      <c r="T9" s="81" t="str">
        <f t="shared" si="3"/>
        <v>65D</v>
      </c>
    </row>
    <row r="10" spans="2:20" ht="15" thickBot="1" x14ac:dyDescent="0.2">
      <c r="B10" s="85" t="str">
        <f t="shared" si="4"/>
        <v>10D</v>
      </c>
      <c r="C10" s="86" t="str">
        <f t="shared" si="0"/>
        <v>10C</v>
      </c>
      <c r="D10" s="86" t="str">
        <f t="shared" si="0"/>
        <v>10B</v>
      </c>
      <c r="E10" s="87" t="str">
        <f t="shared" si="0"/>
        <v>10A</v>
      </c>
      <c r="F10" s="78"/>
      <c r="G10" s="90" t="str">
        <f t="shared" si="5"/>
        <v>28A</v>
      </c>
      <c r="H10" s="91" t="str">
        <f t="shared" si="1"/>
        <v>28B</v>
      </c>
      <c r="I10" s="91" t="str">
        <f t="shared" si="1"/>
        <v>28C</v>
      </c>
      <c r="J10" s="92" t="str">
        <f t="shared" si="1"/>
        <v>28D</v>
      </c>
      <c r="K10" s="78"/>
      <c r="L10" s="85" t="str">
        <f t="shared" si="6"/>
        <v>46D</v>
      </c>
      <c r="M10" s="86" t="str">
        <f t="shared" si="2"/>
        <v>46C</v>
      </c>
      <c r="N10" s="86" t="str">
        <f t="shared" si="2"/>
        <v>46B</v>
      </c>
      <c r="O10" s="87" t="str">
        <f t="shared" si="2"/>
        <v>46A</v>
      </c>
      <c r="P10" s="78"/>
      <c r="Q10" s="90" t="str">
        <f t="shared" si="7"/>
        <v>64A</v>
      </c>
      <c r="R10" s="91" t="str">
        <f t="shared" si="3"/>
        <v>64B</v>
      </c>
      <c r="S10" s="91" t="str">
        <f t="shared" si="3"/>
        <v>64C</v>
      </c>
      <c r="T10" s="92" t="str">
        <f t="shared" si="3"/>
        <v>64D</v>
      </c>
    </row>
    <row r="11" spans="2:20" ht="14.25" x14ac:dyDescent="0.15">
      <c r="B11" s="79" t="str">
        <f>TEXT(LEFT(B10,2)-1,"00")&amp;RIGHT(B10,1)</f>
        <v>09D</v>
      </c>
      <c r="C11" s="80" t="str">
        <f t="shared" ref="C11:E19" si="8">TEXT(LEFT(C10,2)-1,"00")&amp;RIGHT(C10,1)</f>
        <v>09C</v>
      </c>
      <c r="D11" s="80" t="str">
        <f t="shared" si="8"/>
        <v>09B</v>
      </c>
      <c r="E11" s="81" t="str">
        <f t="shared" si="8"/>
        <v>09A</v>
      </c>
      <c r="F11" s="78"/>
      <c r="G11" s="79" t="str">
        <f t="shared" si="5"/>
        <v>27A</v>
      </c>
      <c r="H11" s="80" t="str">
        <f t="shared" si="1"/>
        <v>27B</v>
      </c>
      <c r="I11" s="80" t="str">
        <f t="shared" si="1"/>
        <v>27C</v>
      </c>
      <c r="J11" s="81" t="str">
        <f t="shared" si="1"/>
        <v>27D</v>
      </c>
      <c r="K11" s="78"/>
      <c r="L11" s="79" t="str">
        <f t="shared" si="6"/>
        <v>45D</v>
      </c>
      <c r="M11" s="80" t="str">
        <f t="shared" si="2"/>
        <v>45C</v>
      </c>
      <c r="N11" s="80" t="str">
        <f t="shared" si="2"/>
        <v>45B</v>
      </c>
      <c r="O11" s="81" t="str">
        <f t="shared" si="2"/>
        <v>45A</v>
      </c>
      <c r="P11" s="78"/>
      <c r="Q11" s="79" t="str">
        <f t="shared" si="7"/>
        <v>63A</v>
      </c>
      <c r="R11" s="80" t="str">
        <f t="shared" si="3"/>
        <v>63B</v>
      </c>
      <c r="S11" s="80" t="str">
        <f t="shared" si="3"/>
        <v>63C</v>
      </c>
      <c r="T11" s="81" t="str">
        <f t="shared" si="3"/>
        <v>63D</v>
      </c>
    </row>
    <row r="12" spans="2:20" ht="14.25" x14ac:dyDescent="0.15">
      <c r="B12" s="79" t="str">
        <f t="shared" ref="B12:B19" si="9">TEXT(LEFT(B11,2)-1,"00")&amp;RIGHT(B11,1)</f>
        <v>08D</v>
      </c>
      <c r="C12" s="80" t="str">
        <f t="shared" si="8"/>
        <v>08C</v>
      </c>
      <c r="D12" s="80" t="str">
        <f t="shared" si="8"/>
        <v>08B</v>
      </c>
      <c r="E12" s="81" t="str">
        <f t="shared" si="8"/>
        <v>08A</v>
      </c>
      <c r="F12" s="78"/>
      <c r="G12" s="79" t="str">
        <f t="shared" si="5"/>
        <v>26A</v>
      </c>
      <c r="H12" s="80" t="str">
        <f t="shared" si="1"/>
        <v>26B</v>
      </c>
      <c r="I12" s="80" t="str">
        <f t="shared" si="1"/>
        <v>26C</v>
      </c>
      <c r="J12" s="81" t="str">
        <f t="shared" si="1"/>
        <v>26D</v>
      </c>
      <c r="K12" s="78"/>
      <c r="L12" s="79" t="str">
        <f t="shared" si="6"/>
        <v>44D</v>
      </c>
      <c r="M12" s="80" t="str">
        <f t="shared" si="2"/>
        <v>44C</v>
      </c>
      <c r="N12" s="80" t="str">
        <f t="shared" si="2"/>
        <v>44B</v>
      </c>
      <c r="O12" s="81" t="str">
        <f t="shared" si="2"/>
        <v>44A</v>
      </c>
      <c r="P12" s="78"/>
      <c r="Q12" s="82" t="str">
        <f t="shared" si="7"/>
        <v>62A</v>
      </c>
      <c r="R12" s="83" t="str">
        <f t="shared" si="3"/>
        <v>62B</v>
      </c>
      <c r="S12" s="83" t="str">
        <f t="shared" si="3"/>
        <v>62C</v>
      </c>
      <c r="T12" s="84" t="str">
        <f t="shared" si="3"/>
        <v>62D</v>
      </c>
    </row>
    <row r="13" spans="2:20" ht="14.25" x14ac:dyDescent="0.15">
      <c r="B13" s="79" t="str">
        <f t="shared" si="9"/>
        <v>07D</v>
      </c>
      <c r="C13" s="80" t="str">
        <f t="shared" si="8"/>
        <v>07C</v>
      </c>
      <c r="D13" s="80" t="str">
        <f t="shared" si="8"/>
        <v>07B</v>
      </c>
      <c r="E13" s="81" t="str">
        <f t="shared" si="8"/>
        <v>07A</v>
      </c>
      <c r="F13" s="78"/>
      <c r="G13" s="79" t="str">
        <f t="shared" si="5"/>
        <v>25A</v>
      </c>
      <c r="H13" s="80" t="str">
        <f t="shared" si="1"/>
        <v>25B</v>
      </c>
      <c r="I13" s="80" t="str">
        <f t="shared" si="1"/>
        <v>25C</v>
      </c>
      <c r="J13" s="81" t="str">
        <f t="shared" si="1"/>
        <v>25D</v>
      </c>
      <c r="K13" s="78"/>
      <c r="L13" s="79" t="str">
        <f t="shared" si="6"/>
        <v>43D</v>
      </c>
      <c r="M13" s="80" t="str">
        <f t="shared" si="2"/>
        <v>43C</v>
      </c>
      <c r="N13" s="80" t="str">
        <f t="shared" si="2"/>
        <v>43B</v>
      </c>
      <c r="O13" s="81" t="str">
        <f t="shared" si="2"/>
        <v>43A</v>
      </c>
      <c r="P13" s="78"/>
      <c r="Q13" s="79" t="str">
        <f t="shared" si="7"/>
        <v>61A</v>
      </c>
      <c r="R13" s="80" t="str">
        <f t="shared" si="3"/>
        <v>61B</v>
      </c>
      <c r="S13" s="80" t="str">
        <f t="shared" si="3"/>
        <v>61C</v>
      </c>
      <c r="T13" s="81" t="str">
        <f t="shared" si="3"/>
        <v>61D</v>
      </c>
    </row>
    <row r="14" spans="2:20" ht="14.25" x14ac:dyDescent="0.15">
      <c r="B14" s="79" t="str">
        <f t="shared" si="9"/>
        <v>06D</v>
      </c>
      <c r="C14" s="80" t="str">
        <f t="shared" si="8"/>
        <v>06C</v>
      </c>
      <c r="D14" s="80" t="str">
        <f t="shared" si="8"/>
        <v>06B</v>
      </c>
      <c r="E14" s="81" t="str">
        <f t="shared" si="8"/>
        <v>06A</v>
      </c>
      <c r="F14" s="78"/>
      <c r="G14" s="79" t="str">
        <f t="shared" si="5"/>
        <v>24A</v>
      </c>
      <c r="H14" s="80" t="str">
        <f t="shared" si="1"/>
        <v>24B</v>
      </c>
      <c r="I14" s="80" t="str">
        <f t="shared" si="1"/>
        <v>24C</v>
      </c>
      <c r="J14" s="81" t="str">
        <f t="shared" si="1"/>
        <v>24D</v>
      </c>
      <c r="K14" s="78"/>
      <c r="L14" s="79" t="str">
        <f t="shared" si="6"/>
        <v>42D</v>
      </c>
      <c r="M14" s="80" t="str">
        <f t="shared" si="2"/>
        <v>42C</v>
      </c>
      <c r="N14" s="80" t="str">
        <f t="shared" si="2"/>
        <v>42B</v>
      </c>
      <c r="O14" s="81" t="str">
        <f t="shared" si="2"/>
        <v>42A</v>
      </c>
      <c r="P14" s="78"/>
      <c r="Q14" s="79" t="str">
        <f t="shared" si="7"/>
        <v>60A</v>
      </c>
      <c r="R14" s="80" t="str">
        <f t="shared" si="3"/>
        <v>60B</v>
      </c>
      <c r="S14" s="80" t="str">
        <f t="shared" si="3"/>
        <v>60C</v>
      </c>
      <c r="T14" s="81" t="str">
        <f t="shared" si="3"/>
        <v>60D</v>
      </c>
    </row>
    <row r="15" spans="2:20" ht="14.25" x14ac:dyDescent="0.15">
      <c r="B15" s="79" t="str">
        <f t="shared" si="9"/>
        <v>05D</v>
      </c>
      <c r="C15" s="80" t="str">
        <f t="shared" si="8"/>
        <v>05C</v>
      </c>
      <c r="D15" s="80" t="str">
        <f t="shared" si="8"/>
        <v>05B</v>
      </c>
      <c r="E15" s="81" t="str">
        <f t="shared" si="8"/>
        <v>05A</v>
      </c>
      <c r="F15" s="78"/>
      <c r="G15" s="79" t="str">
        <f t="shared" si="5"/>
        <v>23A</v>
      </c>
      <c r="H15" s="80" t="str">
        <f t="shared" si="1"/>
        <v>23B</v>
      </c>
      <c r="I15" s="80" t="str">
        <f t="shared" si="1"/>
        <v>23C</v>
      </c>
      <c r="J15" s="81" t="str">
        <f t="shared" si="1"/>
        <v>23D</v>
      </c>
      <c r="K15" s="78"/>
      <c r="L15" s="79" t="str">
        <f t="shared" si="6"/>
        <v>41D</v>
      </c>
      <c r="M15" s="80" t="str">
        <f t="shared" si="2"/>
        <v>41C</v>
      </c>
      <c r="N15" s="80" t="str">
        <f t="shared" si="2"/>
        <v>41B</v>
      </c>
      <c r="O15" s="81" t="str">
        <f t="shared" si="2"/>
        <v>41A</v>
      </c>
      <c r="P15" s="78"/>
      <c r="Q15" s="79" t="str">
        <f t="shared" si="7"/>
        <v>59A</v>
      </c>
      <c r="R15" s="80" t="str">
        <f t="shared" si="3"/>
        <v>59B</v>
      </c>
      <c r="S15" s="80" t="str">
        <f t="shared" si="3"/>
        <v>59C</v>
      </c>
      <c r="T15" s="81" t="str">
        <f t="shared" si="3"/>
        <v>59D</v>
      </c>
    </row>
    <row r="16" spans="2:20" ht="14.25" x14ac:dyDescent="0.15">
      <c r="B16" s="79" t="str">
        <f t="shared" si="9"/>
        <v>04D</v>
      </c>
      <c r="C16" s="80" t="str">
        <f t="shared" si="8"/>
        <v>04C</v>
      </c>
      <c r="D16" s="80" t="str">
        <f t="shared" si="8"/>
        <v>04B</v>
      </c>
      <c r="E16" s="81" t="str">
        <f t="shared" si="8"/>
        <v>04A</v>
      </c>
      <c r="F16" s="78"/>
      <c r="G16" s="82" t="str">
        <f t="shared" si="5"/>
        <v>22A</v>
      </c>
      <c r="H16" s="83" t="str">
        <f t="shared" si="1"/>
        <v>22B</v>
      </c>
      <c r="I16" s="83" t="str">
        <f t="shared" si="1"/>
        <v>22C</v>
      </c>
      <c r="J16" s="84" t="str">
        <f t="shared" si="1"/>
        <v>22D</v>
      </c>
      <c r="K16" s="78"/>
      <c r="L16" s="79" t="str">
        <f t="shared" si="6"/>
        <v>40D</v>
      </c>
      <c r="M16" s="80" t="str">
        <f t="shared" si="2"/>
        <v>40C</v>
      </c>
      <c r="N16" s="80" t="str">
        <f t="shared" si="2"/>
        <v>40B</v>
      </c>
      <c r="O16" s="81" t="str">
        <f t="shared" si="2"/>
        <v>40A</v>
      </c>
      <c r="P16" s="78"/>
      <c r="Q16" s="79" t="str">
        <f t="shared" si="7"/>
        <v>58A</v>
      </c>
      <c r="R16" s="80" t="str">
        <f t="shared" si="3"/>
        <v>58B</v>
      </c>
      <c r="S16" s="80" t="str">
        <f t="shared" si="3"/>
        <v>58C</v>
      </c>
      <c r="T16" s="81" t="str">
        <f t="shared" si="3"/>
        <v>58D</v>
      </c>
    </row>
    <row r="17" spans="2:20" ht="14.25" x14ac:dyDescent="0.15">
      <c r="B17" s="79" t="str">
        <f t="shared" si="9"/>
        <v>03D</v>
      </c>
      <c r="C17" s="80" t="str">
        <f t="shared" si="8"/>
        <v>03C</v>
      </c>
      <c r="D17" s="80" t="str">
        <f t="shared" si="8"/>
        <v>03B</v>
      </c>
      <c r="E17" s="81" t="str">
        <f t="shared" si="8"/>
        <v>03A</v>
      </c>
      <c r="F17" s="78"/>
      <c r="G17" s="79" t="str">
        <f t="shared" si="5"/>
        <v>21A</v>
      </c>
      <c r="H17" s="80" t="str">
        <f t="shared" si="1"/>
        <v>21B</v>
      </c>
      <c r="I17" s="80" t="str">
        <f t="shared" si="1"/>
        <v>21C</v>
      </c>
      <c r="J17" s="81" t="str">
        <f t="shared" si="1"/>
        <v>21D</v>
      </c>
      <c r="K17" s="78"/>
      <c r="L17" s="79" t="str">
        <f t="shared" si="6"/>
        <v>39D</v>
      </c>
      <c r="M17" s="80" t="str">
        <f t="shared" si="2"/>
        <v>39C</v>
      </c>
      <c r="N17" s="80" t="str">
        <f t="shared" si="2"/>
        <v>39B</v>
      </c>
      <c r="O17" s="81" t="str">
        <f t="shared" si="2"/>
        <v>39A</v>
      </c>
      <c r="P17" s="78"/>
      <c r="Q17" s="79" t="str">
        <f t="shared" si="7"/>
        <v>57A</v>
      </c>
      <c r="R17" s="83" t="str">
        <f t="shared" si="3"/>
        <v>57B</v>
      </c>
      <c r="S17" s="80" t="str">
        <f t="shared" si="3"/>
        <v>57C</v>
      </c>
      <c r="T17" s="81" t="str">
        <f t="shared" si="3"/>
        <v>57D</v>
      </c>
    </row>
    <row r="18" spans="2:20" ht="14.25" x14ac:dyDescent="0.15">
      <c r="B18" s="79" t="str">
        <f t="shared" si="9"/>
        <v>02D</v>
      </c>
      <c r="C18" s="80" t="str">
        <f t="shared" si="8"/>
        <v>02C</v>
      </c>
      <c r="D18" s="80" t="str">
        <f t="shared" si="8"/>
        <v>02B</v>
      </c>
      <c r="E18" s="81" t="str">
        <f t="shared" si="8"/>
        <v>02A</v>
      </c>
      <c r="F18" s="78"/>
      <c r="G18" s="79" t="str">
        <f t="shared" si="5"/>
        <v>20A</v>
      </c>
      <c r="H18" s="80" t="str">
        <f t="shared" si="1"/>
        <v>20B</v>
      </c>
      <c r="I18" s="80" t="str">
        <f t="shared" si="1"/>
        <v>20C</v>
      </c>
      <c r="J18" s="81" t="str">
        <f t="shared" si="1"/>
        <v>20D</v>
      </c>
      <c r="K18" s="78"/>
      <c r="L18" s="79" t="str">
        <f t="shared" si="6"/>
        <v>38D</v>
      </c>
      <c r="M18" s="80" t="str">
        <f t="shared" si="2"/>
        <v>38C</v>
      </c>
      <c r="N18" s="80" t="str">
        <f t="shared" si="2"/>
        <v>38B</v>
      </c>
      <c r="O18" s="81" t="str">
        <f t="shared" si="2"/>
        <v>38A</v>
      </c>
      <c r="P18" s="78"/>
      <c r="Q18" s="79" t="str">
        <f t="shared" si="7"/>
        <v>56A</v>
      </c>
      <c r="R18" s="80" t="str">
        <f t="shared" si="3"/>
        <v>56B</v>
      </c>
      <c r="S18" s="80" t="str">
        <f t="shared" si="3"/>
        <v>56C</v>
      </c>
      <c r="T18" s="81" t="str">
        <f t="shared" si="3"/>
        <v>56D</v>
      </c>
    </row>
    <row r="19" spans="2:20" ht="15" thickBot="1" x14ac:dyDescent="0.2">
      <c r="B19" s="85" t="str">
        <f t="shared" si="9"/>
        <v>01D</v>
      </c>
      <c r="C19" s="86" t="str">
        <f t="shared" si="8"/>
        <v>01C</v>
      </c>
      <c r="D19" s="86" t="str">
        <f t="shared" si="8"/>
        <v>01B</v>
      </c>
      <c r="E19" s="87" t="str">
        <f t="shared" si="8"/>
        <v>01A</v>
      </c>
      <c r="F19" s="78"/>
      <c r="G19" s="85" t="str">
        <f t="shared" si="5"/>
        <v>19A</v>
      </c>
      <c r="H19" s="86" t="str">
        <f t="shared" ref="H19" si="10">LEFT(H18,2)-1&amp;RIGHT(H18,1)</f>
        <v>19B</v>
      </c>
      <c r="I19" s="86" t="str">
        <f t="shared" ref="I19" si="11">LEFT(I18,2)-1&amp;RIGHT(I18,1)</f>
        <v>19C</v>
      </c>
      <c r="J19" s="87" t="str">
        <f t="shared" ref="J19" si="12">LEFT(J18,2)-1&amp;RIGHT(J18,1)</f>
        <v>19D</v>
      </c>
      <c r="K19" s="78"/>
      <c r="L19" s="85" t="str">
        <f t="shared" si="6"/>
        <v>37D</v>
      </c>
      <c r="M19" s="86" t="str">
        <f t="shared" ref="M19" si="13">LEFT(M18,2)-1&amp;RIGHT(M18,1)</f>
        <v>37C</v>
      </c>
      <c r="N19" s="86" t="str">
        <f t="shared" ref="N19" si="14">LEFT(N18,2)-1&amp;RIGHT(N18,1)</f>
        <v>37B</v>
      </c>
      <c r="O19" s="87" t="str">
        <f t="shared" ref="O19" si="15">LEFT(O18,2)-1&amp;RIGHT(O18,1)</f>
        <v>37A</v>
      </c>
      <c r="P19" s="78"/>
      <c r="Q19" s="85" t="str">
        <f t="shared" si="7"/>
        <v>55A</v>
      </c>
      <c r="R19" s="86" t="str">
        <f t="shared" ref="R19" si="16">LEFT(R18,2)-1&amp;RIGHT(R18,1)</f>
        <v>55B</v>
      </c>
      <c r="S19" s="86" t="str">
        <f t="shared" ref="S19" si="17">LEFT(S18,2)-1&amp;RIGHT(S18,1)</f>
        <v>55C</v>
      </c>
      <c r="T19" s="87" t="str">
        <f t="shared" ref="T19" si="18">LEFT(T18,2)-1&amp;RIGHT(T18,1)</f>
        <v>55D</v>
      </c>
    </row>
  </sheetData>
  <dataValidations disablePrompts="1" count="1">
    <dataValidation type="list" allowBlank="1" showInputMessage="1" showErrorMessage="1" sqref="K1" xr:uid="{B0AB4E8F-5CE2-40C2-9734-0118DAA05782}">
      <formula1>$T$2:$T$9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heet3.LiveTest">
                <anchor moveWithCells="1" sizeWithCells="1">
                  <from>
                    <xdr:col>22</xdr:col>
                    <xdr:colOff>209550</xdr:colOff>
                    <xdr:row>1</xdr:row>
                    <xdr:rowOff>38100</xdr:rowOff>
                  </from>
                  <to>
                    <xdr:col>24</xdr:col>
                    <xdr:colOff>323850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11E6E-4230-42BC-A560-1B66722298D0}">
  <sheetPr codeName="Sheet4"/>
  <dimension ref="A1:G42"/>
  <sheetViews>
    <sheetView workbookViewId="0">
      <pane ySplit="1" topLeftCell="A2" activePane="bottomLeft" state="frozen"/>
      <selection pane="bottomLeft" activeCell="E2" sqref="E2"/>
    </sheetView>
  </sheetViews>
  <sheetFormatPr defaultRowHeight="13.5" x14ac:dyDescent="0.15"/>
  <cols>
    <col min="1" max="1" width="13.5" customWidth="1"/>
    <col min="2" max="2" width="13" customWidth="1"/>
    <col min="6" max="6" width="17.5" bestFit="1" customWidth="1"/>
    <col min="7" max="7" width="13.625" bestFit="1" customWidth="1"/>
    <col min="13" max="13" width="11.875" bestFit="1" customWidth="1"/>
  </cols>
  <sheetData>
    <row r="1" spans="1:6" x14ac:dyDescent="0.15">
      <c r="A1" t="s">
        <v>37</v>
      </c>
      <c r="B1" t="s">
        <v>102</v>
      </c>
      <c r="E1" t="s">
        <v>58</v>
      </c>
      <c r="F1" s="50" t="s">
        <v>105</v>
      </c>
    </row>
    <row r="2" spans="1:6" x14ac:dyDescent="0.15">
      <c r="A2" t="s">
        <v>147</v>
      </c>
      <c r="B2" s="35" t="e" cm="1">
        <f t="array" ref="B2">IF(Table14[[#This Row],[IP]]&lt;&gt;"",ReadRegf(Table14[[#This Row],[IP]],E2),"")</f>
        <v>#VALUE!</v>
      </c>
      <c r="E2">
        <v>16</v>
      </c>
      <c r="F2" t="s">
        <v>106</v>
      </c>
    </row>
    <row r="3" spans="1:6" x14ac:dyDescent="0.15">
      <c r="B3" s="35" t="str" cm="1">
        <f t="array" ref="B3">IF(Table14[[#This Row],[IP]]&lt;&gt;"",ReadRegf(Table14[[#This Row],[IP]],E3),"")</f>
        <v/>
      </c>
      <c r="E3">
        <v>17</v>
      </c>
      <c r="F3" t="s">
        <v>106</v>
      </c>
    </row>
    <row r="4" spans="1:6" x14ac:dyDescent="0.15">
      <c r="B4" s="35" t="str" cm="1">
        <f t="array" ref="B4">IF(Table14[[#This Row],[IP]]&lt;&gt;"",ReadRegf(Table14[[#This Row],[IP]],E4),"")</f>
        <v/>
      </c>
      <c r="E4">
        <v>770</v>
      </c>
      <c r="F4" t="s">
        <v>107</v>
      </c>
    </row>
    <row r="5" spans="1:6" x14ac:dyDescent="0.15">
      <c r="B5" s="35" t="str" cm="1">
        <f t="array" ref="B5">IF(Table14[[#This Row],[IP]]&lt;&gt;"",ReadRegf(Table14[[#This Row],[IP]],E5),"")</f>
        <v/>
      </c>
      <c r="E5">
        <v>32</v>
      </c>
      <c r="F5" t="s">
        <v>108</v>
      </c>
    </row>
    <row r="6" spans="1:6" x14ac:dyDescent="0.15">
      <c r="B6" s="35" t="str" cm="1">
        <f t="array" ref="B6">IF(Table14[[#This Row],[IP]]&lt;&gt;"",ReadRegf(Table14[[#This Row],[IP]],E6),"")</f>
        <v/>
      </c>
      <c r="E6">
        <v>33</v>
      </c>
      <c r="F6" t="s">
        <v>109</v>
      </c>
    </row>
    <row r="7" spans="1:6" x14ac:dyDescent="0.15">
      <c r="B7" s="35" t="str" cm="1">
        <f t="array" ref="B7">IF(Table14[[#This Row],[IP]]&lt;&gt;"",ReadRegf(Table14[[#This Row],[IP]],E7),"")</f>
        <v/>
      </c>
      <c r="E7">
        <v>34</v>
      </c>
      <c r="F7" t="s">
        <v>110</v>
      </c>
    </row>
    <row r="8" spans="1:6" x14ac:dyDescent="0.15">
      <c r="B8" s="35" t="str" cm="1">
        <f t="array" ref="B8">IF(Table14[[#This Row],[IP]]&lt;&gt;"",ReadRegf(Table14[[#This Row],[IP]],E8),"")</f>
        <v/>
      </c>
      <c r="E8">
        <v>36</v>
      </c>
      <c r="F8" t="s">
        <v>111</v>
      </c>
    </row>
    <row r="9" spans="1:6" x14ac:dyDescent="0.15">
      <c r="B9" s="35" t="str" cm="1">
        <f t="array" ref="B9">IF(Table14[[#This Row],[IP]]&lt;&gt;"",ReadRegf(Table14[[#This Row],[IP]],E9),"")</f>
        <v/>
      </c>
      <c r="E9">
        <v>37</v>
      </c>
      <c r="F9" t="s">
        <v>112</v>
      </c>
    </row>
    <row r="10" spans="1:6" x14ac:dyDescent="0.15">
      <c r="B10" s="35" t="str" cm="1">
        <f t="array" ref="B10">IF(Table14[[#This Row],[IP]]&lt;&gt;"",ReadRegf(Table14[[#This Row],[IP]],E10),"")</f>
        <v/>
      </c>
      <c r="E10">
        <v>38</v>
      </c>
      <c r="F10" t="s">
        <v>113</v>
      </c>
    </row>
    <row r="11" spans="1:6" x14ac:dyDescent="0.15">
      <c r="B11" s="35" t="str" cm="1">
        <f t="array" ref="B11">IF(Table14[[#This Row],[IP]]&lt;&gt;"",ReadRegf(Table14[[#This Row],[IP]],E11),"")</f>
        <v/>
      </c>
      <c r="E11">
        <v>896</v>
      </c>
      <c r="F11" t="s">
        <v>114</v>
      </c>
    </row>
    <row r="12" spans="1:6" x14ac:dyDescent="0.15">
      <c r="B12" s="35" t="str" cm="1">
        <f t="array" ref="B12">IF(Table14[[#This Row],[IP]]&lt;&gt;"",ReadRegf(Table14[[#This Row],[IP]],E12),"")</f>
        <v/>
      </c>
      <c r="E12">
        <v>897</v>
      </c>
      <c r="F12" t="s">
        <v>115</v>
      </c>
    </row>
    <row r="13" spans="1:6" x14ac:dyDescent="0.15">
      <c r="B13" s="35" t="str" cm="1">
        <f t="array" ref="B13">IF(Table14[[#This Row],[IP]]&lt;&gt;"",ReadRegf(Table14[[#This Row],[IP]],E13),"")</f>
        <v/>
      </c>
      <c r="E13">
        <v>898</v>
      </c>
      <c r="F13" t="s">
        <v>116</v>
      </c>
    </row>
    <row r="14" spans="1:6" x14ac:dyDescent="0.15">
      <c r="B14" s="35" t="str" cm="1">
        <f t="array" ref="B14">IF(Table14[[#This Row],[IP]]&lt;&gt;"",ReadRegf(Table14[[#This Row],[IP]],E14),"")</f>
        <v/>
      </c>
      <c r="E14">
        <v>907</v>
      </c>
      <c r="F14" t="s">
        <v>117</v>
      </c>
    </row>
    <row r="15" spans="1:6" x14ac:dyDescent="0.15">
      <c r="B15" s="35" t="str" cm="1">
        <f t="array" ref="B15">IF(Table14[[#This Row],[IP]]&lt;&gt;"",ReadRegf(Table14[[#This Row],[IP]],E15),"")</f>
        <v/>
      </c>
      <c r="E15">
        <v>908</v>
      </c>
      <c r="F15" t="s">
        <v>118</v>
      </c>
    </row>
    <row r="16" spans="1:6" x14ac:dyDescent="0.15">
      <c r="B16" s="35" t="str" cm="1">
        <f t="array" ref="B16">IF(Table14[[#This Row],[IP]]&lt;&gt;"",ReadRegf(Table14[[#This Row],[IP]],E16),"")</f>
        <v/>
      </c>
      <c r="E16">
        <v>1057</v>
      </c>
      <c r="F16" t="s">
        <v>123</v>
      </c>
    </row>
    <row r="17" spans="2:6" x14ac:dyDescent="0.15">
      <c r="B17" s="35" t="str" cm="1">
        <f t="array" ref="B17">IF(Table14[[#This Row],[IP]]&lt;&gt;"",ReadRegf(Table14[[#This Row],[IP]],E17),"")</f>
        <v/>
      </c>
      <c r="E17">
        <v>1058</v>
      </c>
      <c r="F17" t="s">
        <v>119</v>
      </c>
    </row>
    <row r="18" spans="2:6" x14ac:dyDescent="0.15">
      <c r="B18" s="35" t="str" cm="1">
        <f t="array" ref="B18">IF(Table14[[#This Row],[IP]]&lt;&gt;"",ReadRegf(Table14[[#This Row],[IP]],E18),"")</f>
        <v/>
      </c>
      <c r="E18">
        <v>1059</v>
      </c>
      <c r="F18" t="s">
        <v>120</v>
      </c>
    </row>
    <row r="19" spans="2:6" x14ac:dyDescent="0.15">
      <c r="B19" s="35" t="str" cm="1">
        <f t="array" ref="B19">IF(Table14[[#This Row],[IP]]&lt;&gt;"",ReadRegf(Table14[[#This Row],[IP]],E19),"")</f>
        <v/>
      </c>
      <c r="E19">
        <v>1067</v>
      </c>
      <c r="F19" t="s">
        <v>121</v>
      </c>
    </row>
    <row r="20" spans="2:6" x14ac:dyDescent="0.15">
      <c r="B20" s="35" t="str" cm="1">
        <f t="array" ref="B20">IF(Table14[[#This Row],[IP]]&lt;&gt;"",ReadRegf(Table14[[#This Row],[IP]],E20),"")</f>
        <v/>
      </c>
      <c r="E20">
        <v>1068</v>
      </c>
      <c r="F20" t="s">
        <v>122</v>
      </c>
    </row>
    <row r="21" spans="2:6" x14ac:dyDescent="0.15">
      <c r="B21" s="35" t="str" cm="1">
        <f t="array" ref="B21">IF(Table14[[#This Row],[IP]]&lt;&gt;"",ReadRegf(Table14[[#This Row],[IP]],E21),"")</f>
        <v/>
      </c>
      <c r="E21">
        <f>E16+1024</f>
        <v>2081</v>
      </c>
      <c r="F21" t="s">
        <v>125</v>
      </c>
    </row>
    <row r="22" spans="2:6" x14ac:dyDescent="0.15">
      <c r="B22" s="35" t="str" cm="1">
        <f t="array" ref="B22">IF(Table14[[#This Row],[IP]]&lt;&gt;"",ReadRegf(Table14[[#This Row],[IP]],E22),"")</f>
        <v/>
      </c>
      <c r="E22">
        <f t="shared" ref="E22:E40" si="0">E17+1024</f>
        <v>2082</v>
      </c>
      <c r="F22" t="s">
        <v>126</v>
      </c>
    </row>
    <row r="23" spans="2:6" x14ac:dyDescent="0.15">
      <c r="B23" s="35" t="str" cm="1">
        <f t="array" ref="B23">IF(Table14[[#This Row],[IP]]&lt;&gt;"",ReadRegf(Table14[[#This Row],[IP]],E23),"")</f>
        <v/>
      </c>
      <c r="E23">
        <f t="shared" si="0"/>
        <v>2083</v>
      </c>
      <c r="F23" t="s">
        <v>127</v>
      </c>
    </row>
    <row r="24" spans="2:6" x14ac:dyDescent="0.15">
      <c r="B24" s="35" t="str" cm="1">
        <f t="array" ref="B24">IF(Table14[[#This Row],[IP]]&lt;&gt;"",ReadRegf(Table14[[#This Row],[IP]],E24),"")</f>
        <v/>
      </c>
      <c r="E24">
        <f t="shared" si="0"/>
        <v>2091</v>
      </c>
      <c r="F24" t="s">
        <v>128</v>
      </c>
    </row>
    <row r="25" spans="2:6" x14ac:dyDescent="0.15">
      <c r="B25" s="35" t="str" cm="1">
        <f t="array" ref="B25">IF(Table14[[#This Row],[IP]]&lt;&gt;"",ReadRegf(Table14[[#This Row],[IP]],E25),"")</f>
        <v/>
      </c>
      <c r="E25">
        <f t="shared" si="0"/>
        <v>2092</v>
      </c>
      <c r="F25" t="s">
        <v>129</v>
      </c>
    </row>
    <row r="26" spans="2:6" x14ac:dyDescent="0.15">
      <c r="B26" s="35" t="str" cm="1">
        <f t="array" ref="B26">IF(Table14[[#This Row],[IP]]&lt;&gt;"",ReadRegf(Table14[[#This Row],[IP]],E26),"")</f>
        <v/>
      </c>
      <c r="E26">
        <f>E21+1024</f>
        <v>3105</v>
      </c>
      <c r="F26" t="s">
        <v>130</v>
      </c>
    </row>
    <row r="27" spans="2:6" x14ac:dyDescent="0.15">
      <c r="B27" s="35" t="str" cm="1">
        <f t="array" ref="B27">IF(Table14[[#This Row],[IP]]&lt;&gt;"",ReadRegf(Table14[[#This Row],[IP]],E27),"")</f>
        <v/>
      </c>
      <c r="E27">
        <f t="shared" si="0"/>
        <v>3106</v>
      </c>
      <c r="F27" t="s">
        <v>131</v>
      </c>
    </row>
    <row r="28" spans="2:6" x14ac:dyDescent="0.15">
      <c r="B28" s="35" t="str" cm="1">
        <f t="array" ref="B28">IF(Table14[[#This Row],[IP]]&lt;&gt;"",ReadRegf(Table14[[#This Row],[IP]],E28),"")</f>
        <v/>
      </c>
      <c r="E28">
        <f t="shared" si="0"/>
        <v>3107</v>
      </c>
      <c r="F28" t="s">
        <v>132</v>
      </c>
    </row>
    <row r="29" spans="2:6" x14ac:dyDescent="0.15">
      <c r="B29" s="35" t="str" cm="1">
        <f t="array" ref="B29">IF(Table14[[#This Row],[IP]]&lt;&gt;"",ReadRegf(Table14[[#This Row],[IP]],E29),"")</f>
        <v/>
      </c>
      <c r="E29">
        <f t="shared" si="0"/>
        <v>3115</v>
      </c>
      <c r="F29" t="s">
        <v>133</v>
      </c>
    </row>
    <row r="30" spans="2:6" x14ac:dyDescent="0.15">
      <c r="B30" s="35" t="str" cm="1">
        <f t="array" ref="B30">IF(Table14[[#This Row],[IP]]&lt;&gt;"",ReadRegf(Table14[[#This Row],[IP]],E30),"")</f>
        <v/>
      </c>
      <c r="E30">
        <f t="shared" si="0"/>
        <v>3116</v>
      </c>
      <c r="F30" t="s">
        <v>134</v>
      </c>
    </row>
    <row r="31" spans="2:6" x14ac:dyDescent="0.15">
      <c r="B31" s="35" t="str" cm="1">
        <f t="array" ref="B31">IF(Table14[[#This Row],[IP]]&lt;&gt;"",ReadRegf(Table14[[#This Row],[IP]],E31),"")</f>
        <v/>
      </c>
      <c r="E31">
        <f>E26+1024</f>
        <v>4129</v>
      </c>
      <c r="F31" t="s">
        <v>135</v>
      </c>
    </row>
    <row r="32" spans="2:6" x14ac:dyDescent="0.15">
      <c r="B32" s="35" t="str" cm="1">
        <f t="array" ref="B32">IF(Table14[[#This Row],[IP]]&lt;&gt;"",ReadRegf(Table14[[#This Row],[IP]],E32),"")</f>
        <v/>
      </c>
      <c r="E32">
        <f t="shared" si="0"/>
        <v>4130</v>
      </c>
      <c r="F32" t="s">
        <v>136</v>
      </c>
    </row>
    <row r="33" spans="2:7" x14ac:dyDescent="0.15">
      <c r="B33" s="35" t="str" cm="1">
        <f t="array" ref="B33">IF(Table14[[#This Row],[IP]]&lt;&gt;"",ReadRegf(Table14[[#This Row],[IP]],E33),"")</f>
        <v/>
      </c>
      <c r="E33">
        <f t="shared" si="0"/>
        <v>4131</v>
      </c>
      <c r="F33" t="s">
        <v>137</v>
      </c>
    </row>
    <row r="34" spans="2:7" x14ac:dyDescent="0.15">
      <c r="B34" s="35" t="str" cm="1">
        <f t="array" ref="B34">IF(Table14[[#This Row],[IP]]&lt;&gt;"",ReadRegf(Table14[[#This Row],[IP]],E34),"")</f>
        <v/>
      </c>
      <c r="E34">
        <f t="shared" si="0"/>
        <v>4139</v>
      </c>
      <c r="F34" t="s">
        <v>138</v>
      </c>
    </row>
    <row r="35" spans="2:7" x14ac:dyDescent="0.15">
      <c r="B35" s="35" t="str" cm="1">
        <f t="array" ref="B35">IF(Table14[[#This Row],[IP]]&lt;&gt;"",ReadRegf(Table14[[#This Row],[IP]],E35),"")</f>
        <v/>
      </c>
      <c r="E35">
        <f t="shared" si="0"/>
        <v>4140</v>
      </c>
      <c r="F35" t="s">
        <v>139</v>
      </c>
    </row>
    <row r="36" spans="2:7" x14ac:dyDescent="0.15">
      <c r="B36" s="35" t="str" cm="1">
        <f t="array" ref="B36">IF(Table14[[#This Row],[IP]]&lt;&gt;"",ReadRegf(Table14[[#This Row],[IP]],E36),"")</f>
        <v/>
      </c>
      <c r="E36">
        <f>E31+1024</f>
        <v>5153</v>
      </c>
      <c r="F36" t="s">
        <v>140</v>
      </c>
    </row>
    <row r="37" spans="2:7" x14ac:dyDescent="0.15">
      <c r="B37" s="35" t="str" cm="1">
        <f t="array" ref="B37">IF(Table14[[#This Row],[IP]]&lt;&gt;"",ReadRegf(Table14[[#This Row],[IP]],E37),"")</f>
        <v/>
      </c>
      <c r="E37">
        <f t="shared" si="0"/>
        <v>5154</v>
      </c>
      <c r="F37" t="s">
        <v>141</v>
      </c>
    </row>
    <row r="38" spans="2:7" x14ac:dyDescent="0.15">
      <c r="B38" s="35" t="str" cm="1">
        <f t="array" ref="B38">IF(Table14[[#This Row],[IP]]&lt;&gt;"",ReadRegf(Table14[[#This Row],[IP]],E38),"")</f>
        <v/>
      </c>
      <c r="E38">
        <f t="shared" si="0"/>
        <v>5155</v>
      </c>
      <c r="F38" t="s">
        <v>142</v>
      </c>
    </row>
    <row r="39" spans="2:7" x14ac:dyDescent="0.15">
      <c r="B39" s="35" t="str" cm="1">
        <f t="array" ref="B39">IF(Table14[[#This Row],[IP]]&lt;&gt;"",ReadRegf(Table14[[#This Row],[IP]],E39),"")</f>
        <v/>
      </c>
      <c r="E39">
        <f t="shared" si="0"/>
        <v>5163</v>
      </c>
      <c r="F39" t="s">
        <v>143</v>
      </c>
    </row>
    <row r="40" spans="2:7" x14ac:dyDescent="0.15">
      <c r="B40" s="35" t="str" cm="1">
        <f t="array" ref="B40">IF(Table14[[#This Row],[IP]]&lt;&gt;"",ReadRegf(Table14[[#This Row],[IP]],E40),"")</f>
        <v/>
      </c>
      <c r="E40">
        <f t="shared" si="0"/>
        <v>5164</v>
      </c>
      <c r="F40" t="s">
        <v>144</v>
      </c>
    </row>
    <row r="41" spans="2:7" x14ac:dyDescent="0.15">
      <c r="B41" s="35" t="str" cm="1">
        <f t="array" ref="B41">IF(Table14[[#This Row],[IP]]&lt;&gt;"",ReadRegf(Table14[[#This Row],[IP]],E41),"")</f>
        <v/>
      </c>
      <c r="E41">
        <v>279</v>
      </c>
      <c r="F41" t="s">
        <v>124</v>
      </c>
      <c r="G41" t="e" vm="1">
        <f>DEC2HEX(Table14[[#This Row],[Value]]*10)</f>
        <v>#VALUE!</v>
      </c>
    </row>
    <row r="42" spans="2:7" x14ac:dyDescent="0.15">
      <c r="B42" s="93" t="str" cm="1">
        <f t="array" ref="B42">IF(Table14[[#This Row],[IP]]&lt;&gt;"",ReadRegf(Table14[[#This Row],[IP]],E42),"")</f>
        <v/>
      </c>
      <c r="E42">
        <v>5</v>
      </c>
      <c r="F42" t="s">
        <v>448</v>
      </c>
    </row>
  </sheetData>
  <phoneticPr fontId="1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D9AFB-1845-4BA5-959C-7CDB3EC5AE01}">
  <sheetPr codeName="Sheet5"/>
  <dimension ref="A1:Z290"/>
  <sheetViews>
    <sheetView workbookViewId="0">
      <selection activeCell="A3" sqref="A3"/>
    </sheetView>
  </sheetViews>
  <sheetFormatPr defaultRowHeight="13.5" x14ac:dyDescent="0.15"/>
  <cols>
    <col min="1" max="1" width="11.875" bestFit="1" customWidth="1"/>
    <col min="2" max="3" width="2.875" bestFit="1" customWidth="1"/>
    <col min="4" max="4" width="13" bestFit="1" customWidth="1"/>
    <col min="5" max="5" width="6.875" bestFit="1" customWidth="1"/>
    <col min="6" max="10" width="9.5" bestFit="1" customWidth="1"/>
    <col min="11" max="15" width="9.75" bestFit="1" customWidth="1"/>
    <col min="16" max="16" width="9.625" customWidth="1"/>
    <col min="17" max="19" width="6.875" customWidth="1"/>
    <col min="22" max="22" width="11.375" bestFit="1" customWidth="1"/>
    <col min="23" max="23" width="6.875" bestFit="1" customWidth="1"/>
    <col min="24" max="24" width="12.125" bestFit="1" customWidth="1"/>
  </cols>
  <sheetData>
    <row r="1" spans="1:26" ht="15" x14ac:dyDescent="0.25">
      <c r="A1" t="s">
        <v>37</v>
      </c>
      <c r="B1" s="62" t="s">
        <v>38</v>
      </c>
      <c r="C1" s="62" t="s">
        <v>148</v>
      </c>
      <c r="D1" s="62" t="s">
        <v>149</v>
      </c>
      <c r="E1" s="62" t="s">
        <v>150</v>
      </c>
      <c r="F1" s="62" t="s">
        <v>151</v>
      </c>
      <c r="G1" s="62" t="s">
        <v>152</v>
      </c>
      <c r="H1" s="62" t="s">
        <v>153</v>
      </c>
      <c r="I1" s="62" t="s">
        <v>154</v>
      </c>
      <c r="J1" s="62" t="s">
        <v>155</v>
      </c>
      <c r="K1" s="62" t="s">
        <v>156</v>
      </c>
      <c r="L1" s="62" t="s">
        <v>157</v>
      </c>
      <c r="M1" s="62" t="s">
        <v>158</v>
      </c>
      <c r="N1" s="62" t="s">
        <v>159</v>
      </c>
      <c r="O1" s="62" t="s">
        <v>160</v>
      </c>
      <c r="P1" s="63" t="s">
        <v>415</v>
      </c>
      <c r="Q1" s="63" t="s">
        <v>416</v>
      </c>
      <c r="R1" s="62" t="s">
        <v>417</v>
      </c>
      <c r="S1" s="62" t="s">
        <v>418</v>
      </c>
      <c r="U1">
        <v>16</v>
      </c>
      <c r="W1">
        <v>17</v>
      </c>
    </row>
    <row r="2" spans="1:26" ht="15" x14ac:dyDescent="0.25">
      <c r="A2" t="s">
        <v>37</v>
      </c>
      <c r="B2" s="62" t="s">
        <v>38</v>
      </c>
      <c r="C2" s="62" t="s">
        <v>148</v>
      </c>
      <c r="D2" s="62">
        <v>34</v>
      </c>
      <c r="E2" s="62">
        <v>32</v>
      </c>
      <c r="F2" s="62">
        <v>1059</v>
      </c>
      <c r="G2" s="62">
        <f>F2+1024</f>
        <v>2083</v>
      </c>
      <c r="H2" s="62">
        <f t="shared" ref="H2:J2" si="0">G2+1024</f>
        <v>3107</v>
      </c>
      <c r="I2" s="62">
        <f t="shared" si="0"/>
        <v>4131</v>
      </c>
      <c r="J2" s="62">
        <f t="shared" si="0"/>
        <v>5155</v>
      </c>
      <c r="K2" s="62">
        <v>1057</v>
      </c>
      <c r="L2" s="62">
        <f>K2+1024</f>
        <v>2081</v>
      </c>
      <c r="M2" s="62">
        <f t="shared" ref="M2:O2" si="1">L2+1024</f>
        <v>3105</v>
      </c>
      <c r="N2" s="62">
        <f t="shared" si="1"/>
        <v>4129</v>
      </c>
      <c r="O2" s="62">
        <f t="shared" si="1"/>
        <v>5153</v>
      </c>
      <c r="P2" s="66">
        <v>16</v>
      </c>
      <c r="Q2" s="68">
        <v>17</v>
      </c>
      <c r="R2" s="68">
        <v>770</v>
      </c>
      <c r="S2" s="68">
        <v>907</v>
      </c>
      <c r="U2" cm="1">
        <f t="array" ref="U2:U5">_xlfn._xlws.SORT(_xlfn.UNIQUE(P3:P290))</f>
        <v>0</v>
      </c>
      <c r="W2" cm="1">
        <f t="array" ref="W2:W13">_xlfn._xlws.SORT(_xlfn.UNIQUE(Q3:Q290))</f>
        <v>0</v>
      </c>
    </row>
    <row r="3" spans="1:26" ht="15" x14ac:dyDescent="0.25">
      <c r="A3" t="s">
        <v>162</v>
      </c>
      <c r="B3" s="64">
        <v>1</v>
      </c>
      <c r="C3" s="64" t="s">
        <v>49</v>
      </c>
      <c r="D3" s="65">
        <v>21.6</v>
      </c>
      <c r="E3" s="65">
        <v>0</v>
      </c>
      <c r="F3" s="65">
        <v>21.8</v>
      </c>
      <c r="G3" s="65">
        <v>21.8</v>
      </c>
      <c r="H3" s="65">
        <v>21.6</v>
      </c>
      <c r="I3" s="65">
        <v>21.6</v>
      </c>
      <c r="J3" s="65">
        <v>21.8</v>
      </c>
      <c r="K3" s="65">
        <v>1356.4</v>
      </c>
      <c r="L3" s="65">
        <v>1357.8</v>
      </c>
      <c r="M3" s="65">
        <v>1356.7</v>
      </c>
      <c r="N3" s="65">
        <v>1357.4</v>
      </c>
      <c r="O3" s="65">
        <v>1356.3</v>
      </c>
      <c r="P3" s="65">
        <v>0</v>
      </c>
      <c r="Q3" s="65">
        <v>0</v>
      </c>
      <c r="R3" s="65">
        <v>1</v>
      </c>
      <c r="S3" s="65">
        <v>2</v>
      </c>
      <c r="U3">
        <v>128</v>
      </c>
      <c r="W3">
        <v>64</v>
      </c>
      <c r="Z3" t="str">
        <f>TEXT(B3,"00")&amp;C3</f>
        <v>01D</v>
      </c>
    </row>
    <row r="4" spans="1:26" ht="15" x14ac:dyDescent="0.25">
      <c r="A4" t="s">
        <v>163</v>
      </c>
      <c r="B4" s="64">
        <v>1</v>
      </c>
      <c r="C4" s="64" t="s">
        <v>50</v>
      </c>
      <c r="D4" s="65">
        <v>18.600000000000001</v>
      </c>
      <c r="E4" s="65">
        <v>0</v>
      </c>
      <c r="F4" s="65">
        <v>21.6</v>
      </c>
      <c r="G4" s="65">
        <v>20.7</v>
      </c>
      <c r="H4" s="65">
        <v>18.899999999999999</v>
      </c>
      <c r="I4" s="65">
        <v>18.8</v>
      </c>
      <c r="J4" s="65">
        <v>18</v>
      </c>
      <c r="K4" s="65">
        <v>1349.3</v>
      </c>
      <c r="L4" s="65">
        <v>1350.2</v>
      </c>
      <c r="M4" s="65">
        <v>1351.5</v>
      </c>
      <c r="N4" s="65">
        <v>1350.3</v>
      </c>
      <c r="O4" s="65">
        <v>1350.6</v>
      </c>
      <c r="P4" s="65">
        <v>0</v>
      </c>
      <c r="Q4" s="65">
        <v>0</v>
      </c>
      <c r="R4" s="65">
        <v>1</v>
      </c>
      <c r="S4" s="65">
        <v>2</v>
      </c>
      <c r="U4">
        <v>256</v>
      </c>
      <c r="W4">
        <v>128</v>
      </c>
      <c r="Z4" t="str">
        <f t="shared" ref="Z4:Z67" si="2">TEXT(B4,"00")&amp;C4</f>
        <v>01C</v>
      </c>
    </row>
    <row r="5" spans="1:26" ht="15" x14ac:dyDescent="0.25">
      <c r="A5" t="s">
        <v>164</v>
      </c>
      <c r="B5" s="64">
        <v>1</v>
      </c>
      <c r="C5" s="64" t="s">
        <v>51</v>
      </c>
      <c r="D5" s="65">
        <v>22.2</v>
      </c>
      <c r="E5" s="65">
        <v>0</v>
      </c>
      <c r="F5" s="65">
        <v>24.1</v>
      </c>
      <c r="G5" s="65">
        <v>23.3</v>
      </c>
      <c r="H5" s="65">
        <v>21.8</v>
      </c>
      <c r="I5" s="65">
        <v>23.2</v>
      </c>
      <c r="J5" s="65">
        <v>21.7</v>
      </c>
      <c r="K5" s="65">
        <v>1359</v>
      </c>
      <c r="L5" s="65">
        <v>1357.9</v>
      </c>
      <c r="M5" s="65">
        <v>1358.4</v>
      </c>
      <c r="N5" s="65">
        <v>1359.4</v>
      </c>
      <c r="O5" s="65">
        <v>1359.2</v>
      </c>
      <c r="P5" s="65">
        <v>0</v>
      </c>
      <c r="Q5" s="65">
        <v>0</v>
      </c>
      <c r="R5" s="65">
        <v>1</v>
      </c>
      <c r="S5" s="65">
        <v>2</v>
      </c>
      <c r="U5">
        <v>16384</v>
      </c>
      <c r="W5">
        <v>192</v>
      </c>
      <c r="Z5" t="str">
        <f t="shared" si="2"/>
        <v>01B</v>
      </c>
    </row>
    <row r="6" spans="1:26" ht="15" x14ac:dyDescent="0.25">
      <c r="A6" t="s">
        <v>165</v>
      </c>
      <c r="B6" s="64">
        <v>1</v>
      </c>
      <c r="C6" s="64" t="s">
        <v>52</v>
      </c>
      <c r="D6" s="65">
        <v>23</v>
      </c>
      <c r="E6" s="65">
        <v>0</v>
      </c>
      <c r="F6" s="65">
        <v>23.3</v>
      </c>
      <c r="G6" s="65">
        <v>23.1</v>
      </c>
      <c r="H6" s="65">
        <v>23.1</v>
      </c>
      <c r="I6" s="65">
        <v>23.1</v>
      </c>
      <c r="J6" s="65">
        <v>23</v>
      </c>
      <c r="K6" s="65">
        <v>1361.6</v>
      </c>
      <c r="L6" s="65">
        <v>1360.8</v>
      </c>
      <c r="M6" s="65">
        <v>1361.5</v>
      </c>
      <c r="N6" s="65">
        <v>1360.9</v>
      </c>
      <c r="O6" s="65">
        <v>1361.2</v>
      </c>
      <c r="P6" s="65">
        <v>0</v>
      </c>
      <c r="Q6" s="65">
        <v>0</v>
      </c>
      <c r="R6" s="65">
        <v>1</v>
      </c>
      <c r="S6" s="65">
        <v>2</v>
      </c>
      <c r="W6">
        <v>512</v>
      </c>
      <c r="Z6" t="str">
        <f t="shared" si="2"/>
        <v>01A</v>
      </c>
    </row>
    <row r="7" spans="1:26" ht="15" x14ac:dyDescent="0.25">
      <c r="A7" t="s">
        <v>166</v>
      </c>
      <c r="B7" s="64">
        <v>2</v>
      </c>
      <c r="C7" s="64" t="s">
        <v>49</v>
      </c>
      <c r="D7" s="65">
        <v>22.1</v>
      </c>
      <c r="E7" s="65">
        <v>0</v>
      </c>
      <c r="F7" s="65">
        <v>26</v>
      </c>
      <c r="G7" s="65">
        <v>25.9</v>
      </c>
      <c r="H7" s="65">
        <v>21</v>
      </c>
      <c r="I7" s="65">
        <v>21.6</v>
      </c>
      <c r="J7" s="65">
        <v>21.7</v>
      </c>
      <c r="K7" s="65">
        <v>1359.1</v>
      </c>
      <c r="L7" s="65">
        <v>1358.5</v>
      </c>
      <c r="M7" s="65">
        <v>1359.3</v>
      </c>
      <c r="N7" s="65">
        <v>1358.7</v>
      </c>
      <c r="O7" s="65">
        <v>1358.2</v>
      </c>
      <c r="P7" s="65">
        <v>0</v>
      </c>
      <c r="Q7" s="65">
        <v>0</v>
      </c>
      <c r="R7" s="65">
        <v>1</v>
      </c>
      <c r="S7" s="65">
        <v>2</v>
      </c>
      <c r="W7">
        <v>576</v>
      </c>
      <c r="Z7" t="str">
        <f t="shared" si="2"/>
        <v>02D</v>
      </c>
    </row>
    <row r="8" spans="1:26" ht="15" x14ac:dyDescent="0.25">
      <c r="A8" t="s">
        <v>167</v>
      </c>
      <c r="B8" s="64">
        <v>2</v>
      </c>
      <c r="C8" s="64" t="s">
        <v>50</v>
      </c>
      <c r="D8" s="65">
        <v>20.6</v>
      </c>
      <c r="E8" s="65">
        <v>0</v>
      </c>
      <c r="F8" s="65">
        <v>22.4</v>
      </c>
      <c r="G8" s="65">
        <v>21.8</v>
      </c>
      <c r="H8" s="65">
        <v>20.399999999999999</v>
      </c>
      <c r="I8" s="65">
        <v>20.2</v>
      </c>
      <c r="J8" s="65">
        <v>20.7</v>
      </c>
      <c r="K8" s="65">
        <v>1364.8</v>
      </c>
      <c r="L8" s="65">
        <v>1365.1</v>
      </c>
      <c r="M8" s="65">
        <v>1368.2</v>
      </c>
      <c r="N8" s="65">
        <v>1366.7</v>
      </c>
      <c r="O8" s="65">
        <v>1367.4</v>
      </c>
      <c r="P8" s="65">
        <v>0</v>
      </c>
      <c r="Q8" s="65">
        <v>0</v>
      </c>
      <c r="R8" s="65">
        <v>1</v>
      </c>
      <c r="S8" s="65">
        <v>2</v>
      </c>
      <c r="W8">
        <v>640</v>
      </c>
      <c r="Z8" t="str">
        <f t="shared" si="2"/>
        <v>02C</v>
      </c>
    </row>
    <row r="9" spans="1:26" ht="15" x14ac:dyDescent="0.25">
      <c r="A9" t="s">
        <v>168</v>
      </c>
      <c r="B9" s="64">
        <v>2</v>
      </c>
      <c r="C9" s="64" t="s">
        <v>51</v>
      </c>
      <c r="D9" s="65">
        <v>23.2</v>
      </c>
      <c r="E9" s="65">
        <v>0</v>
      </c>
      <c r="F9" s="65">
        <v>28.2</v>
      </c>
      <c r="G9" s="65">
        <v>21.7</v>
      </c>
      <c r="H9" s="65">
        <v>22.8</v>
      </c>
      <c r="I9" s="65">
        <v>25.9</v>
      </c>
      <c r="J9" s="65">
        <v>21.7</v>
      </c>
      <c r="K9" s="65">
        <v>1359.8</v>
      </c>
      <c r="L9" s="65">
        <v>1360.5</v>
      </c>
      <c r="M9" s="65">
        <v>1360.3</v>
      </c>
      <c r="N9" s="65">
        <v>1360.4</v>
      </c>
      <c r="O9" s="65">
        <v>1361</v>
      </c>
      <c r="P9" s="65">
        <v>0</v>
      </c>
      <c r="Q9" s="65">
        <v>0</v>
      </c>
      <c r="R9" s="65">
        <v>1</v>
      </c>
      <c r="S9" s="65">
        <v>2</v>
      </c>
      <c r="U9" s="64"/>
      <c r="W9">
        <v>704</v>
      </c>
      <c r="Z9" t="str">
        <f t="shared" si="2"/>
        <v>02B</v>
      </c>
    </row>
    <row r="10" spans="1:26" ht="15" x14ac:dyDescent="0.25">
      <c r="A10" t="s">
        <v>169</v>
      </c>
      <c r="B10" s="64">
        <v>2</v>
      </c>
      <c r="C10" s="64" t="s">
        <v>52</v>
      </c>
      <c r="D10" s="65">
        <v>23.1</v>
      </c>
      <c r="E10" s="65">
        <v>0</v>
      </c>
      <c r="F10" s="65">
        <v>23</v>
      </c>
      <c r="G10" s="65">
        <v>23</v>
      </c>
      <c r="H10" s="65">
        <v>22.9</v>
      </c>
      <c r="I10" s="65">
        <v>22.3</v>
      </c>
      <c r="J10" s="65">
        <v>25.8</v>
      </c>
      <c r="K10" s="65">
        <v>1360.6</v>
      </c>
      <c r="L10" s="65">
        <v>1360.3</v>
      </c>
      <c r="M10" s="65">
        <v>1360.8</v>
      </c>
      <c r="N10" s="65">
        <v>1360.8</v>
      </c>
      <c r="O10" s="65">
        <v>1359.9</v>
      </c>
      <c r="P10" s="65">
        <v>0</v>
      </c>
      <c r="Q10" s="65">
        <v>0</v>
      </c>
      <c r="R10" s="65">
        <v>1</v>
      </c>
      <c r="S10" s="65">
        <v>2</v>
      </c>
      <c r="W10">
        <v>1024</v>
      </c>
      <c r="Z10" t="str">
        <f t="shared" si="2"/>
        <v>02A</v>
      </c>
    </row>
    <row r="11" spans="1:26" ht="15" x14ac:dyDescent="0.25">
      <c r="A11" t="s">
        <v>170</v>
      </c>
      <c r="B11" s="64">
        <v>3</v>
      </c>
      <c r="C11" s="64" t="s">
        <v>49</v>
      </c>
      <c r="D11" s="65">
        <v>24.9</v>
      </c>
      <c r="E11" s="65">
        <v>0</v>
      </c>
      <c r="F11" s="65">
        <v>25.2</v>
      </c>
      <c r="G11" s="65">
        <v>25.4</v>
      </c>
      <c r="H11" s="65">
        <v>25.5</v>
      </c>
      <c r="I11" s="65">
        <v>25.1</v>
      </c>
      <c r="J11" s="65">
        <v>24.8</v>
      </c>
      <c r="K11" s="65">
        <v>1363.8</v>
      </c>
      <c r="L11" s="65">
        <v>1362.7</v>
      </c>
      <c r="M11" s="65">
        <v>1363.1</v>
      </c>
      <c r="N11" s="65">
        <v>1363.9</v>
      </c>
      <c r="O11" s="65">
        <v>1361.8</v>
      </c>
      <c r="P11" s="65">
        <v>0</v>
      </c>
      <c r="Q11" s="65">
        <v>0</v>
      </c>
      <c r="R11" s="65">
        <v>1</v>
      </c>
      <c r="S11" s="65">
        <v>2</v>
      </c>
      <c r="W11">
        <v>4624</v>
      </c>
      <c r="Z11" t="str">
        <f t="shared" si="2"/>
        <v>03D</v>
      </c>
    </row>
    <row r="12" spans="1:26" ht="15" x14ac:dyDescent="0.25">
      <c r="A12" t="s">
        <v>171</v>
      </c>
      <c r="B12" s="64">
        <v>3</v>
      </c>
      <c r="C12" s="64" t="s">
        <v>50</v>
      </c>
      <c r="D12" s="65">
        <v>24</v>
      </c>
      <c r="E12" s="65">
        <v>0</v>
      </c>
      <c r="F12" s="65">
        <v>24.3</v>
      </c>
      <c r="G12" s="65">
        <v>23.9</v>
      </c>
      <c r="H12" s="65">
        <v>24</v>
      </c>
      <c r="I12" s="65">
        <v>25.1</v>
      </c>
      <c r="J12" s="65">
        <v>23.7</v>
      </c>
      <c r="K12" s="65">
        <v>1361.7</v>
      </c>
      <c r="L12" s="65">
        <v>1362.7</v>
      </c>
      <c r="M12" s="65">
        <v>1360.8</v>
      </c>
      <c r="N12" s="65">
        <v>1361.6</v>
      </c>
      <c r="O12" s="65">
        <v>1362.4</v>
      </c>
      <c r="P12" s="65">
        <v>0</v>
      </c>
      <c r="Q12" s="65">
        <v>0</v>
      </c>
      <c r="R12" s="65">
        <v>1</v>
      </c>
      <c r="S12" s="65">
        <v>2</v>
      </c>
      <c r="W12">
        <v>4752</v>
      </c>
      <c r="Z12" t="str">
        <f t="shared" si="2"/>
        <v>03C</v>
      </c>
    </row>
    <row r="13" spans="1:26" ht="15" x14ac:dyDescent="0.25">
      <c r="A13" t="s">
        <v>172</v>
      </c>
      <c r="B13" s="64">
        <v>3</v>
      </c>
      <c r="C13" s="64" t="s">
        <v>51</v>
      </c>
      <c r="D13" s="65">
        <v>25.9</v>
      </c>
      <c r="E13" s="65">
        <v>0</v>
      </c>
      <c r="F13" s="65">
        <v>27.8</v>
      </c>
      <c r="G13" s="65">
        <v>25.6</v>
      </c>
      <c r="H13" s="65">
        <v>25.4</v>
      </c>
      <c r="I13" s="65">
        <v>25.4</v>
      </c>
      <c r="J13" s="65">
        <v>25.3</v>
      </c>
      <c r="K13" s="65">
        <v>1366</v>
      </c>
      <c r="L13" s="65">
        <v>1364</v>
      </c>
      <c r="M13" s="65">
        <v>1364.3</v>
      </c>
      <c r="N13" s="65">
        <v>1364.6</v>
      </c>
      <c r="O13" s="65">
        <v>1364.3</v>
      </c>
      <c r="P13" s="65">
        <v>0</v>
      </c>
      <c r="Q13" s="65">
        <v>0</v>
      </c>
      <c r="R13" s="65">
        <v>1</v>
      </c>
      <c r="S13" s="65">
        <v>2</v>
      </c>
      <c r="W13">
        <v>0</v>
      </c>
      <c r="Z13" t="str">
        <f t="shared" si="2"/>
        <v>03B</v>
      </c>
    </row>
    <row r="14" spans="1:26" ht="15" x14ac:dyDescent="0.25">
      <c r="A14" t="s">
        <v>173</v>
      </c>
      <c r="B14" s="64">
        <v>3</v>
      </c>
      <c r="C14" s="64" t="s">
        <v>52</v>
      </c>
      <c r="D14" s="65">
        <v>25</v>
      </c>
      <c r="E14" s="65">
        <v>0</v>
      </c>
      <c r="F14" s="65">
        <v>25.3</v>
      </c>
      <c r="G14" s="65">
        <v>25.1</v>
      </c>
      <c r="H14" s="65">
        <v>24.9</v>
      </c>
      <c r="I14" s="65">
        <v>25.1</v>
      </c>
      <c r="J14" s="65">
        <v>25.2</v>
      </c>
      <c r="K14" s="65">
        <v>1363.5</v>
      </c>
      <c r="L14" s="65">
        <v>1363.8</v>
      </c>
      <c r="M14" s="65">
        <v>1364.1</v>
      </c>
      <c r="N14" s="65">
        <v>1363.8</v>
      </c>
      <c r="O14" s="65">
        <v>1363.1</v>
      </c>
      <c r="P14" s="65">
        <v>0</v>
      </c>
      <c r="Q14" s="65">
        <v>0</v>
      </c>
      <c r="R14" s="65">
        <v>1</v>
      </c>
      <c r="S14" s="65">
        <v>2</v>
      </c>
      <c r="Z14" t="str">
        <f t="shared" si="2"/>
        <v>03A</v>
      </c>
    </row>
    <row r="15" spans="1:26" ht="15" x14ac:dyDescent="0.25">
      <c r="A15" t="s">
        <v>174</v>
      </c>
      <c r="B15" s="64">
        <v>4</v>
      </c>
      <c r="C15" s="64" t="s">
        <v>49</v>
      </c>
      <c r="D15" s="65">
        <v>24.5</v>
      </c>
      <c r="E15" s="65">
        <v>0</v>
      </c>
      <c r="F15" s="65">
        <v>25.1</v>
      </c>
      <c r="G15" s="65">
        <v>24.4</v>
      </c>
      <c r="H15" s="65">
        <v>24.6</v>
      </c>
      <c r="I15" s="65">
        <v>24.5</v>
      </c>
      <c r="J15" s="65">
        <v>25.1</v>
      </c>
      <c r="K15" s="65">
        <v>1362.7</v>
      </c>
      <c r="L15" s="65">
        <v>1361.9</v>
      </c>
      <c r="M15" s="65">
        <v>1361.5</v>
      </c>
      <c r="N15" s="65">
        <v>1363</v>
      </c>
      <c r="O15" s="65">
        <v>1361.4</v>
      </c>
      <c r="P15" s="65">
        <v>0</v>
      </c>
      <c r="Q15" s="65">
        <v>0</v>
      </c>
      <c r="R15" s="65">
        <v>1</v>
      </c>
      <c r="S15" s="65">
        <v>2</v>
      </c>
      <c r="Z15" t="str">
        <f t="shared" si="2"/>
        <v>04D</v>
      </c>
    </row>
    <row r="16" spans="1:26" ht="15" x14ac:dyDescent="0.25">
      <c r="A16" t="s">
        <v>175</v>
      </c>
      <c r="B16" s="64">
        <v>4</v>
      </c>
      <c r="C16" s="64" t="s">
        <v>50</v>
      </c>
      <c r="D16" s="65">
        <v>22.7</v>
      </c>
      <c r="E16" s="65">
        <v>0</v>
      </c>
      <c r="F16" s="65">
        <v>22.8</v>
      </c>
      <c r="G16" s="65">
        <v>22.7</v>
      </c>
      <c r="H16" s="65">
        <v>22.9</v>
      </c>
      <c r="I16" s="65">
        <v>22.8</v>
      </c>
      <c r="J16" s="65">
        <v>22.8</v>
      </c>
      <c r="K16" s="65">
        <v>1360.6</v>
      </c>
      <c r="L16" s="65">
        <v>1360.7</v>
      </c>
      <c r="M16" s="65">
        <v>1360.9</v>
      </c>
      <c r="N16" s="65">
        <v>1361.9</v>
      </c>
      <c r="O16" s="65">
        <v>1360.6</v>
      </c>
      <c r="P16" s="65">
        <v>0</v>
      </c>
      <c r="Q16" s="65">
        <v>0</v>
      </c>
      <c r="R16" s="65">
        <v>1</v>
      </c>
      <c r="S16" s="65">
        <v>2</v>
      </c>
      <c r="Z16" t="str">
        <f t="shared" si="2"/>
        <v>04C</v>
      </c>
    </row>
    <row r="17" spans="1:26" ht="15" x14ac:dyDescent="0.25">
      <c r="A17" t="s">
        <v>176</v>
      </c>
      <c r="B17" s="64">
        <v>4</v>
      </c>
      <c r="C17" s="64" t="s">
        <v>51</v>
      </c>
      <c r="D17" s="65">
        <v>24.8</v>
      </c>
      <c r="E17" s="65">
        <v>0</v>
      </c>
      <c r="F17" s="65">
        <v>25.2</v>
      </c>
      <c r="G17" s="65">
        <v>24.8</v>
      </c>
      <c r="H17" s="65">
        <v>25.1</v>
      </c>
      <c r="I17" s="65">
        <v>25.1</v>
      </c>
      <c r="J17" s="65">
        <v>25.1</v>
      </c>
      <c r="K17" s="65">
        <v>1364.6</v>
      </c>
      <c r="L17" s="65">
        <v>1363.6</v>
      </c>
      <c r="M17" s="65">
        <v>1364.1</v>
      </c>
      <c r="N17" s="65">
        <v>1365</v>
      </c>
      <c r="O17" s="65">
        <v>1364</v>
      </c>
      <c r="P17" s="65">
        <v>0</v>
      </c>
      <c r="Q17" s="65">
        <v>0</v>
      </c>
      <c r="R17" s="65">
        <v>1</v>
      </c>
      <c r="S17" s="65">
        <v>2</v>
      </c>
      <c r="Z17" t="str">
        <f t="shared" si="2"/>
        <v>04B</v>
      </c>
    </row>
    <row r="18" spans="1:26" ht="15" x14ac:dyDescent="0.25">
      <c r="A18" t="s">
        <v>177</v>
      </c>
      <c r="B18" s="64">
        <v>4</v>
      </c>
      <c r="C18" s="64" t="s">
        <v>52</v>
      </c>
      <c r="D18" s="65">
        <v>24.2</v>
      </c>
      <c r="E18" s="65">
        <v>0</v>
      </c>
      <c r="F18" s="65">
        <v>24.4</v>
      </c>
      <c r="G18" s="65">
        <v>24.3</v>
      </c>
      <c r="H18" s="65">
        <v>24</v>
      </c>
      <c r="I18" s="65">
        <v>24.3</v>
      </c>
      <c r="J18" s="65">
        <v>25.1</v>
      </c>
      <c r="K18" s="65">
        <v>1362.7</v>
      </c>
      <c r="L18" s="65">
        <v>1362.8</v>
      </c>
      <c r="M18" s="65">
        <v>1362</v>
      </c>
      <c r="N18" s="65">
        <v>1363.5</v>
      </c>
      <c r="O18" s="65">
        <v>1362</v>
      </c>
      <c r="P18" s="65">
        <v>0</v>
      </c>
      <c r="Q18" s="65">
        <v>0</v>
      </c>
      <c r="R18" s="65">
        <v>1</v>
      </c>
      <c r="S18" s="65">
        <v>2</v>
      </c>
      <c r="Z18" t="str">
        <f t="shared" si="2"/>
        <v>04A</v>
      </c>
    </row>
    <row r="19" spans="1:26" ht="15" x14ac:dyDescent="0.25">
      <c r="A19" t="s">
        <v>178</v>
      </c>
      <c r="B19" s="64">
        <v>5</v>
      </c>
      <c r="C19" s="64" t="s">
        <v>49</v>
      </c>
      <c r="D19" s="65">
        <v>22.9</v>
      </c>
      <c r="E19" s="65">
        <v>0</v>
      </c>
      <c r="F19" s="65">
        <v>22.7</v>
      </c>
      <c r="G19" s="65">
        <v>22.8</v>
      </c>
      <c r="H19" s="65">
        <v>23.7</v>
      </c>
      <c r="I19" s="65">
        <v>22.7</v>
      </c>
      <c r="J19" s="65">
        <v>23.8</v>
      </c>
      <c r="K19" s="65">
        <v>1362.9</v>
      </c>
      <c r="L19" s="65">
        <v>1362</v>
      </c>
      <c r="M19" s="65">
        <v>1362.3</v>
      </c>
      <c r="N19" s="65">
        <v>1361</v>
      </c>
      <c r="O19" s="65">
        <v>1362.6</v>
      </c>
      <c r="P19" s="65">
        <v>0</v>
      </c>
      <c r="Q19" s="65">
        <v>0</v>
      </c>
      <c r="R19" s="65">
        <v>1</v>
      </c>
      <c r="S19" s="65">
        <v>2</v>
      </c>
      <c r="Z19" t="str">
        <f t="shared" si="2"/>
        <v>05D</v>
      </c>
    </row>
    <row r="20" spans="1:26" ht="15" x14ac:dyDescent="0.25">
      <c r="A20" t="s">
        <v>179</v>
      </c>
      <c r="B20" s="64">
        <v>5</v>
      </c>
      <c r="C20" s="64" t="s">
        <v>50</v>
      </c>
      <c r="D20" s="65">
        <v>23.3</v>
      </c>
      <c r="E20" s="65">
        <v>0</v>
      </c>
      <c r="F20" s="65">
        <v>24.3</v>
      </c>
      <c r="G20" s="65">
        <v>23</v>
      </c>
      <c r="H20" s="65">
        <v>23</v>
      </c>
      <c r="I20" s="65">
        <v>23</v>
      </c>
      <c r="J20" s="65">
        <v>24</v>
      </c>
      <c r="K20" s="65">
        <v>1362.3</v>
      </c>
      <c r="L20" s="65">
        <v>1362.2</v>
      </c>
      <c r="M20" s="65">
        <v>1364</v>
      </c>
      <c r="N20" s="65">
        <v>1362.5</v>
      </c>
      <c r="O20" s="65">
        <v>1361.8</v>
      </c>
      <c r="P20" s="65">
        <v>0</v>
      </c>
      <c r="Q20" s="65">
        <v>0</v>
      </c>
      <c r="R20" s="65">
        <v>1</v>
      </c>
      <c r="S20" s="65">
        <v>2</v>
      </c>
      <c r="Z20" t="str">
        <f t="shared" si="2"/>
        <v>05C</v>
      </c>
    </row>
    <row r="21" spans="1:26" ht="15" x14ac:dyDescent="0.25">
      <c r="A21" t="s">
        <v>180</v>
      </c>
      <c r="B21" s="64">
        <v>5</v>
      </c>
      <c r="C21" s="64" t="s">
        <v>51</v>
      </c>
      <c r="D21" s="65">
        <v>24.5</v>
      </c>
      <c r="E21" s="65">
        <v>0</v>
      </c>
      <c r="F21" s="65">
        <v>25</v>
      </c>
      <c r="G21" s="65">
        <v>24.4</v>
      </c>
      <c r="H21" s="65">
        <v>24.4</v>
      </c>
      <c r="I21" s="65">
        <v>24.5</v>
      </c>
      <c r="J21" s="65">
        <v>25</v>
      </c>
      <c r="K21" s="65">
        <v>1368.6</v>
      </c>
      <c r="L21" s="65">
        <v>1369.1</v>
      </c>
      <c r="M21" s="65">
        <v>1368.7</v>
      </c>
      <c r="N21" s="65">
        <v>1369.6</v>
      </c>
      <c r="O21" s="65">
        <v>1369.4</v>
      </c>
      <c r="P21" s="65">
        <v>0</v>
      </c>
      <c r="Q21" s="65">
        <v>0</v>
      </c>
      <c r="R21" s="65">
        <v>1</v>
      </c>
      <c r="S21" s="65">
        <v>2</v>
      </c>
      <c r="Z21" t="str">
        <f t="shared" si="2"/>
        <v>05B</v>
      </c>
    </row>
    <row r="22" spans="1:26" ht="15" x14ac:dyDescent="0.25">
      <c r="A22" t="s">
        <v>181</v>
      </c>
      <c r="B22" s="64">
        <v>5</v>
      </c>
      <c r="C22" s="64" t="s">
        <v>52</v>
      </c>
      <c r="D22" s="65">
        <v>24.4</v>
      </c>
      <c r="E22" s="65">
        <v>0</v>
      </c>
      <c r="F22" s="65">
        <v>24.9</v>
      </c>
      <c r="G22" s="65">
        <v>24.6</v>
      </c>
      <c r="H22" s="65">
        <v>24.5</v>
      </c>
      <c r="I22" s="65">
        <v>24.3</v>
      </c>
      <c r="J22" s="65">
        <v>24.3</v>
      </c>
      <c r="K22" s="65">
        <v>1366.3</v>
      </c>
      <c r="L22" s="65">
        <v>1366.4</v>
      </c>
      <c r="M22" s="65">
        <v>1367.2</v>
      </c>
      <c r="N22" s="65">
        <v>1367.3</v>
      </c>
      <c r="O22" s="65">
        <v>1366.9</v>
      </c>
      <c r="P22" s="65">
        <v>0</v>
      </c>
      <c r="Q22" s="65">
        <v>0</v>
      </c>
      <c r="R22" s="65">
        <v>1</v>
      </c>
      <c r="S22" s="65">
        <v>2</v>
      </c>
      <c r="Z22" t="str">
        <f t="shared" si="2"/>
        <v>05A</v>
      </c>
    </row>
    <row r="23" spans="1:26" ht="15" x14ac:dyDescent="0.25">
      <c r="A23" t="s">
        <v>182</v>
      </c>
      <c r="B23" s="64">
        <v>6</v>
      </c>
      <c r="C23" s="64" t="s">
        <v>49</v>
      </c>
      <c r="D23" s="65">
        <v>21.7</v>
      </c>
      <c r="E23" s="65">
        <v>0</v>
      </c>
      <c r="F23" s="65">
        <v>22.2</v>
      </c>
      <c r="G23" s="65">
        <v>22.1</v>
      </c>
      <c r="H23" s="65">
        <v>21.9</v>
      </c>
      <c r="I23" s="65">
        <v>23</v>
      </c>
      <c r="J23" s="65">
        <v>21.4</v>
      </c>
      <c r="K23" s="65">
        <v>1356.9</v>
      </c>
      <c r="L23" s="65">
        <v>1358</v>
      </c>
      <c r="M23" s="65">
        <v>1357.4</v>
      </c>
      <c r="N23" s="65">
        <v>1357.4</v>
      </c>
      <c r="O23" s="65">
        <v>1357.9</v>
      </c>
      <c r="P23" s="65">
        <v>0</v>
      </c>
      <c r="Q23" s="65">
        <v>64</v>
      </c>
      <c r="R23" s="65">
        <v>4</v>
      </c>
      <c r="S23" s="65">
        <v>2</v>
      </c>
      <c r="Z23" t="str">
        <f t="shared" si="2"/>
        <v>06D</v>
      </c>
    </row>
    <row r="24" spans="1:26" ht="15" x14ac:dyDescent="0.25">
      <c r="A24" t="s">
        <v>183</v>
      </c>
      <c r="B24" s="64">
        <v>6</v>
      </c>
      <c r="C24" s="64" t="s">
        <v>50</v>
      </c>
      <c r="D24" s="65">
        <v>21.5</v>
      </c>
      <c r="E24" s="65">
        <v>0</v>
      </c>
      <c r="F24" s="65">
        <v>23</v>
      </c>
      <c r="G24" s="65">
        <v>21.3</v>
      </c>
      <c r="H24" s="65">
        <v>21.8</v>
      </c>
      <c r="I24" s="65">
        <v>22.2</v>
      </c>
      <c r="J24" s="65">
        <v>21.1</v>
      </c>
      <c r="K24" s="65">
        <v>1364.3</v>
      </c>
      <c r="L24" s="65">
        <v>1364.6</v>
      </c>
      <c r="M24" s="65">
        <v>1365.3</v>
      </c>
      <c r="N24" s="65">
        <v>1364.3</v>
      </c>
      <c r="O24" s="65">
        <v>1365</v>
      </c>
      <c r="P24" s="65">
        <v>0</v>
      </c>
      <c r="Q24" s="65">
        <v>0</v>
      </c>
      <c r="R24" s="65">
        <v>1</v>
      </c>
      <c r="S24" s="65">
        <v>2</v>
      </c>
      <c r="Z24" t="str">
        <f t="shared" si="2"/>
        <v>06C</v>
      </c>
    </row>
    <row r="25" spans="1:26" ht="15" x14ac:dyDescent="0.25">
      <c r="A25" t="s">
        <v>184</v>
      </c>
      <c r="B25" s="64">
        <v>6</v>
      </c>
      <c r="C25" s="64" t="s">
        <v>51</v>
      </c>
      <c r="D25" s="65">
        <v>21.8</v>
      </c>
      <c r="E25" s="65">
        <v>0</v>
      </c>
      <c r="F25" s="65">
        <v>23</v>
      </c>
      <c r="G25" s="65">
        <v>23</v>
      </c>
      <c r="H25" s="65">
        <v>21.5</v>
      </c>
      <c r="I25" s="65">
        <v>23</v>
      </c>
      <c r="J25" s="65">
        <v>21.8</v>
      </c>
      <c r="K25" s="65">
        <v>1356.4</v>
      </c>
      <c r="L25" s="65">
        <v>1356.2</v>
      </c>
      <c r="M25" s="65">
        <v>1356.7</v>
      </c>
      <c r="N25" s="65">
        <v>1356.4</v>
      </c>
      <c r="O25" s="65">
        <v>1358</v>
      </c>
      <c r="P25" s="65">
        <v>0</v>
      </c>
      <c r="Q25" s="65">
        <v>0</v>
      </c>
      <c r="R25" s="65">
        <v>1</v>
      </c>
      <c r="S25" s="65">
        <v>2</v>
      </c>
      <c r="Z25" t="str">
        <f t="shared" si="2"/>
        <v>06B</v>
      </c>
    </row>
    <row r="26" spans="1:26" ht="15" x14ac:dyDescent="0.25">
      <c r="A26" t="s">
        <v>185</v>
      </c>
      <c r="B26" s="64">
        <v>6</v>
      </c>
      <c r="C26" s="64" t="s">
        <v>52</v>
      </c>
      <c r="D26" s="65">
        <v>22.8</v>
      </c>
      <c r="E26" s="65">
        <v>0</v>
      </c>
      <c r="F26" s="65">
        <v>23</v>
      </c>
      <c r="G26" s="65">
        <v>23.2</v>
      </c>
      <c r="H26" s="65">
        <v>23</v>
      </c>
      <c r="I26" s="65">
        <v>23</v>
      </c>
      <c r="J26" s="65">
        <v>22.8</v>
      </c>
      <c r="K26" s="65">
        <v>1357.3</v>
      </c>
      <c r="L26" s="65">
        <v>1358.3</v>
      </c>
      <c r="M26" s="65">
        <v>1358.6</v>
      </c>
      <c r="N26" s="65">
        <v>1358.5</v>
      </c>
      <c r="O26" s="65">
        <v>1357.4</v>
      </c>
      <c r="P26" s="65">
        <v>0</v>
      </c>
      <c r="Q26" s="65">
        <v>512</v>
      </c>
      <c r="R26" s="65">
        <v>5</v>
      </c>
      <c r="S26" s="65">
        <v>2</v>
      </c>
      <c r="Z26" t="str">
        <f t="shared" si="2"/>
        <v>06A</v>
      </c>
    </row>
    <row r="27" spans="1:26" ht="15" x14ac:dyDescent="0.25">
      <c r="A27" t="s">
        <v>186</v>
      </c>
      <c r="B27" s="64">
        <v>7</v>
      </c>
      <c r="C27" s="64" t="s">
        <v>49</v>
      </c>
      <c r="D27" s="65">
        <v>22.9</v>
      </c>
      <c r="E27" s="65">
        <v>0</v>
      </c>
      <c r="F27" s="65">
        <v>23</v>
      </c>
      <c r="G27" s="65">
        <v>23</v>
      </c>
      <c r="H27" s="65">
        <v>22.9</v>
      </c>
      <c r="I27" s="65">
        <v>22.9</v>
      </c>
      <c r="J27" s="65">
        <v>23</v>
      </c>
      <c r="K27" s="65">
        <v>1355.1</v>
      </c>
      <c r="L27" s="65">
        <v>1353.6</v>
      </c>
      <c r="M27" s="65">
        <v>1355.7</v>
      </c>
      <c r="N27" s="65">
        <v>1354.8</v>
      </c>
      <c r="O27" s="65">
        <v>1352.9</v>
      </c>
      <c r="P27" s="65">
        <v>0</v>
      </c>
      <c r="Q27" s="65">
        <v>0</v>
      </c>
      <c r="R27" s="65">
        <v>1</v>
      </c>
      <c r="S27" s="65">
        <v>2</v>
      </c>
      <c r="Z27" t="str">
        <f t="shared" si="2"/>
        <v>07D</v>
      </c>
    </row>
    <row r="28" spans="1:26" ht="15" x14ac:dyDescent="0.25">
      <c r="A28" t="s">
        <v>187</v>
      </c>
      <c r="B28" s="64">
        <v>7</v>
      </c>
      <c r="C28" s="64" t="s">
        <v>50</v>
      </c>
      <c r="D28" s="65">
        <v>23</v>
      </c>
      <c r="E28" s="65">
        <v>0</v>
      </c>
      <c r="F28" s="65">
        <v>23</v>
      </c>
      <c r="G28" s="65">
        <v>23</v>
      </c>
      <c r="H28" s="65">
        <v>23</v>
      </c>
      <c r="I28" s="65">
        <v>23</v>
      </c>
      <c r="J28" s="65">
        <v>23</v>
      </c>
      <c r="K28" s="65">
        <v>1354.1</v>
      </c>
      <c r="L28" s="65">
        <v>1354.1</v>
      </c>
      <c r="M28" s="65">
        <v>1354.1</v>
      </c>
      <c r="N28" s="65">
        <v>1354.9</v>
      </c>
      <c r="O28" s="65">
        <v>1354.6</v>
      </c>
      <c r="P28" s="65">
        <v>0</v>
      </c>
      <c r="Q28" s="65">
        <v>0</v>
      </c>
      <c r="R28" s="65">
        <v>1</v>
      </c>
      <c r="S28" s="65">
        <v>2</v>
      </c>
      <c r="Z28" t="str">
        <f t="shared" si="2"/>
        <v>07C</v>
      </c>
    </row>
    <row r="29" spans="1:26" ht="15" x14ac:dyDescent="0.25">
      <c r="A29" t="s">
        <v>188</v>
      </c>
      <c r="B29" s="64">
        <v>7</v>
      </c>
      <c r="C29" s="64" t="s">
        <v>51</v>
      </c>
      <c r="D29" s="65">
        <v>23</v>
      </c>
      <c r="E29" s="65">
        <v>0</v>
      </c>
      <c r="F29" s="65">
        <v>23</v>
      </c>
      <c r="G29" s="65">
        <v>23</v>
      </c>
      <c r="H29" s="65">
        <v>23</v>
      </c>
      <c r="I29" s="65">
        <v>23</v>
      </c>
      <c r="J29" s="65">
        <v>23</v>
      </c>
      <c r="K29" s="65">
        <v>1352.4</v>
      </c>
      <c r="L29" s="65">
        <v>1354.3</v>
      </c>
      <c r="M29" s="65">
        <v>1353.5</v>
      </c>
      <c r="N29" s="65">
        <v>1353.3</v>
      </c>
      <c r="O29" s="65">
        <v>1353.4</v>
      </c>
      <c r="P29" s="65">
        <v>0</v>
      </c>
      <c r="Q29" s="65">
        <v>0</v>
      </c>
      <c r="R29" s="65">
        <v>1</v>
      </c>
      <c r="S29" s="65">
        <v>2</v>
      </c>
      <c r="Z29" t="str">
        <f t="shared" si="2"/>
        <v>07B</v>
      </c>
    </row>
    <row r="30" spans="1:26" ht="15" x14ac:dyDescent="0.25">
      <c r="A30" t="s">
        <v>189</v>
      </c>
      <c r="B30" s="64">
        <v>7</v>
      </c>
      <c r="C30" s="64" t="s">
        <v>52</v>
      </c>
      <c r="D30" s="65">
        <v>23</v>
      </c>
      <c r="E30" s="65">
        <v>0</v>
      </c>
      <c r="F30" s="65">
        <v>23</v>
      </c>
      <c r="G30" s="65">
        <v>23</v>
      </c>
      <c r="H30" s="65">
        <v>23</v>
      </c>
      <c r="I30" s="65">
        <v>23</v>
      </c>
      <c r="J30" s="65">
        <v>23</v>
      </c>
      <c r="K30" s="65">
        <v>1355</v>
      </c>
      <c r="L30" s="65">
        <v>1355.8</v>
      </c>
      <c r="M30" s="65">
        <v>1352.7</v>
      </c>
      <c r="N30" s="65">
        <v>1354.4</v>
      </c>
      <c r="O30" s="65">
        <v>1355.5</v>
      </c>
      <c r="P30" s="65">
        <v>0</v>
      </c>
      <c r="Q30" s="65">
        <v>512</v>
      </c>
      <c r="R30" s="65">
        <v>5</v>
      </c>
      <c r="S30" s="65">
        <v>2</v>
      </c>
      <c r="Z30" t="str">
        <f t="shared" si="2"/>
        <v>07A</v>
      </c>
    </row>
    <row r="31" spans="1:26" ht="15" x14ac:dyDescent="0.25">
      <c r="A31" t="s">
        <v>190</v>
      </c>
      <c r="B31" s="64">
        <v>8</v>
      </c>
      <c r="C31" s="64" t="s">
        <v>49</v>
      </c>
      <c r="D31" s="65">
        <v>22.1</v>
      </c>
      <c r="E31" s="65">
        <v>0</v>
      </c>
      <c r="F31" s="65">
        <v>21.9</v>
      </c>
      <c r="G31" s="65">
        <v>23</v>
      </c>
      <c r="H31" s="65">
        <v>22</v>
      </c>
      <c r="I31" s="65">
        <v>22</v>
      </c>
      <c r="J31" s="65">
        <v>23</v>
      </c>
      <c r="K31" s="65">
        <v>1354.4</v>
      </c>
      <c r="L31" s="65">
        <v>1352.6</v>
      </c>
      <c r="M31" s="65">
        <v>1353.1</v>
      </c>
      <c r="N31" s="65">
        <v>1352.7</v>
      </c>
      <c r="O31" s="65">
        <v>1353.3</v>
      </c>
      <c r="P31" s="65">
        <v>0</v>
      </c>
      <c r="Q31" s="65">
        <v>0</v>
      </c>
      <c r="R31" s="65">
        <v>1</v>
      </c>
      <c r="S31" s="65">
        <v>2</v>
      </c>
      <c r="Z31" t="str">
        <f t="shared" si="2"/>
        <v>08D</v>
      </c>
    </row>
    <row r="32" spans="1:26" ht="15" x14ac:dyDescent="0.25">
      <c r="A32" t="s">
        <v>191</v>
      </c>
      <c r="B32" s="64">
        <v>8</v>
      </c>
      <c r="C32" s="64" t="s">
        <v>50</v>
      </c>
      <c r="D32" s="65">
        <v>22.4</v>
      </c>
      <c r="E32" s="65">
        <v>0</v>
      </c>
      <c r="F32" s="65">
        <v>22.3</v>
      </c>
      <c r="G32" s="65">
        <v>23</v>
      </c>
      <c r="H32" s="65">
        <v>23</v>
      </c>
      <c r="I32" s="65">
        <v>22.6</v>
      </c>
      <c r="J32" s="65">
        <v>22.7</v>
      </c>
      <c r="K32" s="65">
        <v>1353.6</v>
      </c>
      <c r="L32" s="65">
        <v>1353</v>
      </c>
      <c r="M32" s="65">
        <v>1352.1</v>
      </c>
      <c r="N32" s="65">
        <v>1352.6</v>
      </c>
      <c r="O32" s="65">
        <v>1353.5</v>
      </c>
      <c r="P32" s="65">
        <v>0</v>
      </c>
      <c r="Q32" s="65">
        <v>0</v>
      </c>
      <c r="R32" s="65">
        <v>1</v>
      </c>
      <c r="S32" s="65">
        <v>2</v>
      </c>
      <c r="Z32" t="str">
        <f t="shared" si="2"/>
        <v>08C</v>
      </c>
    </row>
    <row r="33" spans="1:26" ht="15" x14ac:dyDescent="0.25">
      <c r="A33" t="s">
        <v>192</v>
      </c>
      <c r="B33" s="64">
        <v>8</v>
      </c>
      <c r="C33" s="64" t="s">
        <v>51</v>
      </c>
      <c r="D33" s="65">
        <v>21.9</v>
      </c>
      <c r="E33" s="65">
        <v>0</v>
      </c>
      <c r="F33" s="65">
        <v>23</v>
      </c>
      <c r="G33" s="65">
        <v>21.6</v>
      </c>
      <c r="H33" s="65">
        <v>21.7</v>
      </c>
      <c r="I33" s="65">
        <v>21.8</v>
      </c>
      <c r="J33" s="65">
        <v>23</v>
      </c>
      <c r="K33" s="65">
        <v>1353.7</v>
      </c>
      <c r="L33" s="65">
        <v>1353</v>
      </c>
      <c r="M33" s="65">
        <v>1354</v>
      </c>
      <c r="N33" s="65">
        <v>1351.5</v>
      </c>
      <c r="O33" s="65">
        <v>1352.2</v>
      </c>
      <c r="P33" s="65">
        <v>0</v>
      </c>
      <c r="Q33" s="65">
        <v>0</v>
      </c>
      <c r="R33" s="65">
        <v>1</v>
      </c>
      <c r="S33" s="65">
        <v>2</v>
      </c>
      <c r="U33" t="s">
        <v>412</v>
      </c>
      <c r="V33" t="s">
        <v>413</v>
      </c>
      <c r="W33" t="s">
        <v>414</v>
      </c>
      <c r="X33" t="s">
        <v>430</v>
      </c>
      <c r="Z33" t="str">
        <f t="shared" si="2"/>
        <v>08B</v>
      </c>
    </row>
    <row r="34" spans="1:26" ht="15" x14ac:dyDescent="0.25">
      <c r="A34" t="s">
        <v>193</v>
      </c>
      <c r="B34" s="64">
        <v>8</v>
      </c>
      <c r="C34" s="64" t="s">
        <v>52</v>
      </c>
      <c r="D34" s="65">
        <v>24.8</v>
      </c>
      <c r="E34" s="65">
        <v>0</v>
      </c>
      <c r="F34" s="65">
        <v>25</v>
      </c>
      <c r="G34" s="65">
        <v>24.6</v>
      </c>
      <c r="H34" s="65">
        <v>25.5</v>
      </c>
      <c r="I34" s="65">
        <v>25.4</v>
      </c>
      <c r="J34" s="65">
        <v>25.4</v>
      </c>
      <c r="K34" s="65">
        <v>1362.4</v>
      </c>
      <c r="L34" s="65">
        <v>1363.5</v>
      </c>
      <c r="M34" s="65">
        <v>1364.7</v>
      </c>
      <c r="N34" s="65">
        <v>1364.1</v>
      </c>
      <c r="O34" s="65">
        <v>1363.9</v>
      </c>
      <c r="P34" s="65">
        <v>0</v>
      </c>
      <c r="Q34" s="65">
        <v>0</v>
      </c>
      <c r="R34" s="65">
        <v>1</v>
      </c>
      <c r="S34" s="65">
        <v>2</v>
      </c>
      <c r="U34" s="69">
        <f>COUNTIF(R3:R290,"5")</f>
        <v>56</v>
      </c>
      <c r="V34" s="50">
        <f>COUNTIF(R3:R290,"4")</f>
        <v>15</v>
      </c>
      <c r="W34" s="70">
        <f>COUNTIF(R3:R290,"1")</f>
        <v>167</v>
      </c>
      <c r="X34">
        <f>COUNTIF(R3:R290,"")</f>
        <v>50</v>
      </c>
      <c r="Z34" t="str">
        <f t="shared" si="2"/>
        <v>08A</v>
      </c>
    </row>
    <row r="35" spans="1:26" ht="15" x14ac:dyDescent="0.25">
      <c r="A35" t="s">
        <v>194</v>
      </c>
      <c r="B35" s="64">
        <v>9</v>
      </c>
      <c r="C35" s="64" t="s">
        <v>49</v>
      </c>
      <c r="D35" s="65">
        <v>19.399999999999999</v>
      </c>
      <c r="E35" s="65">
        <v>0</v>
      </c>
      <c r="F35" s="65">
        <v>18.600000000000001</v>
      </c>
      <c r="G35" s="65">
        <v>18.600000000000001</v>
      </c>
      <c r="H35" s="65">
        <v>23</v>
      </c>
      <c r="I35" s="65">
        <v>23</v>
      </c>
      <c r="J35" s="65">
        <v>23</v>
      </c>
      <c r="K35" s="65">
        <v>1345.9</v>
      </c>
      <c r="L35" s="65">
        <v>1346.1</v>
      </c>
      <c r="M35" s="65">
        <v>1345.2</v>
      </c>
      <c r="N35" s="65">
        <v>1346.1</v>
      </c>
      <c r="O35" s="65">
        <v>1346.1</v>
      </c>
      <c r="P35" s="65">
        <v>0</v>
      </c>
      <c r="Q35" s="65">
        <v>0</v>
      </c>
      <c r="R35" s="65">
        <v>1</v>
      </c>
      <c r="S35" s="65">
        <v>2</v>
      </c>
      <c r="Z35" t="str">
        <f t="shared" si="2"/>
        <v>09D</v>
      </c>
    </row>
    <row r="36" spans="1:26" ht="15" x14ac:dyDescent="0.25">
      <c r="A36" t="s">
        <v>195</v>
      </c>
      <c r="B36" s="64">
        <v>9</v>
      </c>
      <c r="C36" s="64" t="s">
        <v>50</v>
      </c>
      <c r="D36" s="65">
        <v>19.2</v>
      </c>
      <c r="E36" s="65">
        <v>0</v>
      </c>
      <c r="F36" s="65">
        <v>18.2</v>
      </c>
      <c r="G36" s="65">
        <v>18.2</v>
      </c>
      <c r="H36" s="65">
        <v>22.9</v>
      </c>
      <c r="I36" s="65">
        <v>18.2</v>
      </c>
      <c r="J36" s="65">
        <v>23.5</v>
      </c>
      <c r="K36" s="65">
        <v>1345.5</v>
      </c>
      <c r="L36" s="65">
        <v>1346.9</v>
      </c>
      <c r="M36" s="65">
        <v>1345.6</v>
      </c>
      <c r="N36" s="65">
        <v>1345.5</v>
      </c>
      <c r="O36" s="65">
        <v>1344.7</v>
      </c>
      <c r="P36" s="65">
        <v>0</v>
      </c>
      <c r="Q36" s="65">
        <v>0</v>
      </c>
      <c r="R36" s="65">
        <v>1</v>
      </c>
      <c r="S36" s="65">
        <v>2</v>
      </c>
      <c r="Z36" t="str">
        <f t="shared" si="2"/>
        <v>09C</v>
      </c>
    </row>
    <row r="37" spans="1:26" ht="15" x14ac:dyDescent="0.25">
      <c r="A37" t="s">
        <v>196</v>
      </c>
      <c r="B37" s="64">
        <v>9</v>
      </c>
      <c r="C37" s="64" t="s">
        <v>51</v>
      </c>
      <c r="D37" s="65">
        <v>19.3</v>
      </c>
      <c r="E37" s="65">
        <v>0</v>
      </c>
      <c r="F37" s="65">
        <v>18.5</v>
      </c>
      <c r="G37" s="65">
        <v>18.7</v>
      </c>
      <c r="H37" s="65">
        <v>22.9</v>
      </c>
      <c r="I37" s="65">
        <v>22.9</v>
      </c>
      <c r="J37" s="65">
        <v>23</v>
      </c>
      <c r="K37" s="65">
        <v>1347</v>
      </c>
      <c r="L37" s="65">
        <v>1348.1</v>
      </c>
      <c r="M37" s="65">
        <v>1347.7</v>
      </c>
      <c r="N37" s="65">
        <v>1349</v>
      </c>
      <c r="O37" s="65">
        <v>1348</v>
      </c>
      <c r="P37" s="65">
        <v>0</v>
      </c>
      <c r="Q37" s="65">
        <v>0</v>
      </c>
      <c r="R37" s="65">
        <v>1</v>
      </c>
      <c r="S37" s="65">
        <v>2</v>
      </c>
      <c r="Z37" t="str">
        <f t="shared" si="2"/>
        <v>09B</v>
      </c>
    </row>
    <row r="38" spans="1:26" ht="15" x14ac:dyDescent="0.25">
      <c r="A38" t="s">
        <v>197</v>
      </c>
      <c r="B38" s="64">
        <v>9</v>
      </c>
      <c r="C38" s="64" t="s">
        <v>52</v>
      </c>
      <c r="D38" s="65">
        <v>18.100000000000001</v>
      </c>
      <c r="E38" s="65">
        <v>0</v>
      </c>
      <c r="F38" s="65">
        <v>23</v>
      </c>
      <c r="G38" s="65">
        <v>17.7</v>
      </c>
      <c r="H38" s="65">
        <v>17.100000000000001</v>
      </c>
      <c r="I38" s="65">
        <v>17.100000000000001</v>
      </c>
      <c r="J38" s="65">
        <v>23</v>
      </c>
      <c r="K38" s="65">
        <v>1344.2</v>
      </c>
      <c r="L38" s="65">
        <v>1344.1</v>
      </c>
      <c r="M38" s="65">
        <v>1344.4</v>
      </c>
      <c r="N38" s="65">
        <v>1344.8</v>
      </c>
      <c r="O38" s="65">
        <v>1345.6</v>
      </c>
      <c r="P38" s="65">
        <v>0</v>
      </c>
      <c r="Q38" s="65">
        <v>0</v>
      </c>
      <c r="R38" s="65">
        <v>1</v>
      </c>
      <c r="S38" s="65">
        <v>2</v>
      </c>
      <c r="Z38" t="str">
        <f t="shared" si="2"/>
        <v>09A</v>
      </c>
    </row>
    <row r="39" spans="1:26" ht="15" x14ac:dyDescent="0.25">
      <c r="A39" t="s">
        <v>198</v>
      </c>
      <c r="B39">
        <v>10</v>
      </c>
      <c r="C39" t="s">
        <v>49</v>
      </c>
      <c r="D39" s="65">
        <v>22.6</v>
      </c>
      <c r="E39" s="65">
        <v>0</v>
      </c>
      <c r="F39" s="65">
        <v>22.6</v>
      </c>
      <c r="G39" s="65">
        <v>22.6</v>
      </c>
      <c r="H39" s="65">
        <v>22.7</v>
      </c>
      <c r="I39" s="65">
        <v>22.7</v>
      </c>
      <c r="J39" s="65">
        <v>22.7</v>
      </c>
      <c r="K39" s="65">
        <v>1365.7</v>
      </c>
      <c r="L39" s="65">
        <v>1365.4</v>
      </c>
      <c r="M39" s="65">
        <v>1365.9</v>
      </c>
      <c r="N39" s="65">
        <v>1363.9</v>
      </c>
      <c r="O39" s="65">
        <v>1366.5</v>
      </c>
      <c r="P39" s="65">
        <v>0</v>
      </c>
      <c r="Q39" s="65">
        <v>512</v>
      </c>
      <c r="R39" s="65">
        <v>5</v>
      </c>
      <c r="S39" s="65">
        <v>2</v>
      </c>
      <c r="Z39" t="str">
        <f t="shared" si="2"/>
        <v>10D</v>
      </c>
    </row>
    <row r="40" spans="1:26" ht="15" x14ac:dyDescent="0.25">
      <c r="A40" t="s">
        <v>199</v>
      </c>
      <c r="B40">
        <v>10</v>
      </c>
      <c r="C40" t="s">
        <v>50</v>
      </c>
      <c r="D40" s="65">
        <v>21.2</v>
      </c>
      <c r="E40" s="65">
        <v>0</v>
      </c>
      <c r="F40" s="65">
        <v>21.9</v>
      </c>
      <c r="G40" s="65">
        <v>21.1</v>
      </c>
      <c r="H40" s="65">
        <v>21.7</v>
      </c>
      <c r="I40" s="65">
        <v>21.1</v>
      </c>
      <c r="J40" s="65">
        <v>21.7</v>
      </c>
      <c r="K40" s="65">
        <v>1354</v>
      </c>
      <c r="L40" s="65">
        <v>1353.3</v>
      </c>
      <c r="M40" s="65">
        <v>1352.6</v>
      </c>
      <c r="N40" s="65">
        <v>1354.7</v>
      </c>
      <c r="O40" s="65">
        <v>1353.4</v>
      </c>
      <c r="P40" s="65">
        <v>0</v>
      </c>
      <c r="Q40" s="65">
        <v>512</v>
      </c>
      <c r="R40" s="65">
        <v>5</v>
      </c>
      <c r="S40" s="65">
        <v>2</v>
      </c>
      <c r="Z40" t="str">
        <f t="shared" si="2"/>
        <v>10C</v>
      </c>
    </row>
    <row r="41" spans="1:26" ht="15" x14ac:dyDescent="0.25">
      <c r="A41" t="s">
        <v>200</v>
      </c>
      <c r="B41">
        <v>10</v>
      </c>
      <c r="C41" t="s">
        <v>51</v>
      </c>
      <c r="D41" s="65">
        <v>21.3</v>
      </c>
      <c r="E41" s="65">
        <v>0</v>
      </c>
      <c r="F41" s="65">
        <v>21.5</v>
      </c>
      <c r="G41" s="65">
        <v>21.5</v>
      </c>
      <c r="H41" s="65">
        <v>21.3</v>
      </c>
      <c r="I41" s="65">
        <v>21.2</v>
      </c>
      <c r="J41" s="65">
        <v>21.8</v>
      </c>
      <c r="K41" s="65">
        <v>1354.2</v>
      </c>
      <c r="L41" s="65">
        <v>1354.6</v>
      </c>
      <c r="M41" s="65">
        <v>1354</v>
      </c>
      <c r="N41" s="65">
        <v>1353.1</v>
      </c>
      <c r="O41" s="65">
        <v>1354.2</v>
      </c>
      <c r="P41" s="65">
        <v>0</v>
      </c>
      <c r="Q41" s="65">
        <v>512</v>
      </c>
      <c r="R41" s="65">
        <v>5</v>
      </c>
      <c r="S41" s="65">
        <v>2</v>
      </c>
      <c r="Z41" t="str">
        <f t="shared" si="2"/>
        <v>10B</v>
      </c>
    </row>
    <row r="42" spans="1:26" ht="15" x14ac:dyDescent="0.25">
      <c r="A42" t="s">
        <v>201</v>
      </c>
      <c r="B42">
        <v>10</v>
      </c>
      <c r="C42" t="s">
        <v>52</v>
      </c>
      <c r="D42" s="65">
        <v>20.9</v>
      </c>
      <c r="E42" s="65">
        <v>0</v>
      </c>
      <c r="F42" s="65">
        <v>21</v>
      </c>
      <c r="G42" s="65">
        <v>21</v>
      </c>
      <c r="H42" s="65">
        <v>21.1</v>
      </c>
      <c r="I42" s="65">
        <v>20.9</v>
      </c>
      <c r="J42" s="65">
        <v>21.1</v>
      </c>
      <c r="K42" s="65">
        <v>1353.4</v>
      </c>
      <c r="L42" s="65">
        <v>1353</v>
      </c>
      <c r="M42" s="65">
        <v>1355.4</v>
      </c>
      <c r="N42" s="65">
        <v>1354.4</v>
      </c>
      <c r="O42" s="65">
        <v>1353.1</v>
      </c>
      <c r="P42" s="65">
        <v>0</v>
      </c>
      <c r="Q42" s="65">
        <v>512</v>
      </c>
      <c r="R42" s="65">
        <v>5</v>
      </c>
      <c r="S42" s="65">
        <v>2</v>
      </c>
      <c r="Z42" t="str">
        <f t="shared" si="2"/>
        <v>10A</v>
      </c>
    </row>
    <row r="43" spans="1:26" ht="15" x14ac:dyDescent="0.25">
      <c r="A43" t="s">
        <v>202</v>
      </c>
      <c r="B43">
        <v>11</v>
      </c>
      <c r="C43" t="s">
        <v>49</v>
      </c>
      <c r="D43" s="65">
        <v>22.9</v>
      </c>
      <c r="E43" s="65">
        <v>0</v>
      </c>
      <c r="F43" s="65">
        <v>22.9</v>
      </c>
      <c r="G43" s="65">
        <v>22.9</v>
      </c>
      <c r="H43" s="65">
        <v>23</v>
      </c>
      <c r="I43" s="65">
        <v>22.9</v>
      </c>
      <c r="J43" s="65">
        <v>22.9</v>
      </c>
      <c r="K43" s="65">
        <v>1353.4</v>
      </c>
      <c r="L43" s="65">
        <v>1353.7</v>
      </c>
      <c r="M43" s="65">
        <v>1354.1</v>
      </c>
      <c r="N43" s="65">
        <v>1353.6</v>
      </c>
      <c r="O43" s="65">
        <v>1353.5</v>
      </c>
      <c r="P43" s="65">
        <v>0</v>
      </c>
      <c r="Q43" s="65">
        <v>512</v>
      </c>
      <c r="R43" s="65">
        <v>5</v>
      </c>
      <c r="S43" s="65">
        <v>2</v>
      </c>
      <c r="Z43" t="str">
        <f t="shared" si="2"/>
        <v>11D</v>
      </c>
    </row>
    <row r="44" spans="1:26" ht="15" x14ac:dyDescent="0.25">
      <c r="A44" t="s">
        <v>203</v>
      </c>
      <c r="B44">
        <v>11</v>
      </c>
      <c r="C44" t="s">
        <v>50</v>
      </c>
      <c r="D44" s="65">
        <v>22.9</v>
      </c>
      <c r="E44" s="65">
        <v>0</v>
      </c>
      <c r="F44" s="65">
        <v>23</v>
      </c>
      <c r="G44" s="65">
        <v>22.9</v>
      </c>
      <c r="H44" s="65">
        <v>23</v>
      </c>
      <c r="I44" s="65">
        <v>23</v>
      </c>
      <c r="J44" s="65">
        <v>22.9</v>
      </c>
      <c r="K44" s="65">
        <v>1362.4</v>
      </c>
      <c r="L44" s="65">
        <v>1362.5</v>
      </c>
      <c r="M44" s="65">
        <v>1361.8</v>
      </c>
      <c r="N44" s="65">
        <v>1362</v>
      </c>
      <c r="O44" s="65">
        <v>1362.1</v>
      </c>
      <c r="P44" s="65">
        <v>0</v>
      </c>
      <c r="Q44" s="65">
        <v>512</v>
      </c>
      <c r="R44" s="65">
        <v>5</v>
      </c>
      <c r="S44" s="65">
        <v>2</v>
      </c>
      <c r="Z44" t="str">
        <f t="shared" si="2"/>
        <v>11C</v>
      </c>
    </row>
    <row r="45" spans="1:26" ht="15" x14ac:dyDescent="0.25">
      <c r="A45" t="s">
        <v>204</v>
      </c>
      <c r="B45">
        <v>11</v>
      </c>
      <c r="C45" t="s">
        <v>51</v>
      </c>
      <c r="D45" s="65">
        <v>22.9</v>
      </c>
      <c r="E45" s="65">
        <v>0</v>
      </c>
      <c r="F45" s="65">
        <v>22.9</v>
      </c>
      <c r="G45" s="65">
        <v>22.8</v>
      </c>
      <c r="H45" s="65">
        <v>23.5</v>
      </c>
      <c r="I45" s="65">
        <v>22.8</v>
      </c>
      <c r="J45" s="65">
        <v>22.8</v>
      </c>
      <c r="K45" s="65">
        <v>1355.1</v>
      </c>
      <c r="L45" s="65">
        <v>1354.4</v>
      </c>
      <c r="M45" s="65">
        <v>1353.3</v>
      </c>
      <c r="N45" s="65">
        <v>1354</v>
      </c>
      <c r="O45" s="65">
        <v>1354.1</v>
      </c>
      <c r="P45" s="65">
        <v>0</v>
      </c>
      <c r="Q45" s="65">
        <v>512</v>
      </c>
      <c r="R45" s="65">
        <v>5</v>
      </c>
      <c r="S45" s="65">
        <v>2</v>
      </c>
      <c r="Z45" t="str">
        <f t="shared" si="2"/>
        <v>11B</v>
      </c>
    </row>
    <row r="46" spans="1:26" ht="15" x14ac:dyDescent="0.25">
      <c r="A46" t="s">
        <v>205</v>
      </c>
      <c r="B46">
        <v>11</v>
      </c>
      <c r="C46" t="s">
        <v>52</v>
      </c>
      <c r="D46" s="65">
        <v>23</v>
      </c>
      <c r="E46" s="65">
        <v>0</v>
      </c>
      <c r="F46" s="65">
        <v>23</v>
      </c>
      <c r="G46" s="65">
        <v>23</v>
      </c>
      <c r="H46" s="65">
        <v>23</v>
      </c>
      <c r="I46" s="65">
        <v>23</v>
      </c>
      <c r="J46" s="65">
        <v>23</v>
      </c>
      <c r="K46" s="65">
        <v>1353.9</v>
      </c>
      <c r="L46" s="65">
        <v>1355.3</v>
      </c>
      <c r="M46" s="65">
        <v>1354.2</v>
      </c>
      <c r="N46" s="65">
        <v>1355.1</v>
      </c>
      <c r="O46" s="65">
        <v>1355.5</v>
      </c>
      <c r="P46" s="65">
        <v>0</v>
      </c>
      <c r="Q46" s="65">
        <v>512</v>
      </c>
      <c r="R46" s="65">
        <v>5</v>
      </c>
      <c r="S46" s="65">
        <v>2</v>
      </c>
      <c r="Z46" t="str">
        <f t="shared" si="2"/>
        <v>11A</v>
      </c>
    </row>
    <row r="47" spans="1:26" ht="15" x14ac:dyDescent="0.25">
      <c r="A47" t="s">
        <v>206</v>
      </c>
      <c r="B47">
        <v>12</v>
      </c>
      <c r="C47" t="s">
        <v>49</v>
      </c>
      <c r="D47" s="65">
        <v>22.9</v>
      </c>
      <c r="E47" s="65">
        <v>0</v>
      </c>
      <c r="F47" s="65">
        <v>22.9</v>
      </c>
      <c r="G47" s="65">
        <v>23</v>
      </c>
      <c r="H47" s="65">
        <v>23</v>
      </c>
      <c r="I47" s="65">
        <v>22.9</v>
      </c>
      <c r="J47" s="65">
        <v>23</v>
      </c>
      <c r="K47" s="65">
        <v>1355</v>
      </c>
      <c r="L47" s="65">
        <v>1355.6</v>
      </c>
      <c r="M47" s="65">
        <v>1353.9</v>
      </c>
      <c r="N47" s="65">
        <v>1354.7</v>
      </c>
      <c r="O47" s="65">
        <v>1355.3</v>
      </c>
      <c r="P47" s="65">
        <v>0</v>
      </c>
      <c r="Q47" s="65">
        <v>128</v>
      </c>
      <c r="R47" s="65">
        <v>5</v>
      </c>
      <c r="S47" s="65">
        <v>2</v>
      </c>
      <c r="Z47" t="str">
        <f t="shared" si="2"/>
        <v>12D</v>
      </c>
    </row>
    <row r="48" spans="1:26" ht="15" x14ac:dyDescent="0.25">
      <c r="A48" t="s">
        <v>207</v>
      </c>
      <c r="B48">
        <v>12</v>
      </c>
      <c r="C48" t="s">
        <v>50</v>
      </c>
      <c r="D48" s="65">
        <v>23</v>
      </c>
      <c r="E48" s="65">
        <v>0</v>
      </c>
      <c r="F48" s="65">
        <v>23</v>
      </c>
      <c r="G48" s="65">
        <v>23</v>
      </c>
      <c r="H48" s="65">
        <v>23</v>
      </c>
      <c r="I48" s="65">
        <v>23</v>
      </c>
      <c r="J48" s="65">
        <v>23</v>
      </c>
      <c r="K48" s="65">
        <v>1354.2</v>
      </c>
      <c r="L48" s="65">
        <v>1354.4</v>
      </c>
      <c r="M48" s="65">
        <v>1354.7</v>
      </c>
      <c r="N48" s="65">
        <v>1354</v>
      </c>
      <c r="O48" s="65">
        <v>1355.2</v>
      </c>
      <c r="P48" s="65">
        <v>0</v>
      </c>
      <c r="Q48" s="65">
        <v>128</v>
      </c>
      <c r="R48" s="65">
        <v>5</v>
      </c>
      <c r="S48" s="65">
        <v>2</v>
      </c>
      <c r="Z48" t="str">
        <f t="shared" si="2"/>
        <v>12C</v>
      </c>
    </row>
    <row r="49" spans="1:26" ht="15" x14ac:dyDescent="0.25">
      <c r="A49" t="s">
        <v>208</v>
      </c>
      <c r="B49">
        <v>12</v>
      </c>
      <c r="C49" t="s">
        <v>51</v>
      </c>
      <c r="D49" s="65">
        <v>23</v>
      </c>
      <c r="E49" s="65">
        <v>0</v>
      </c>
      <c r="F49" s="65">
        <v>23</v>
      </c>
      <c r="G49" s="65">
        <v>23</v>
      </c>
      <c r="H49" s="65">
        <v>23</v>
      </c>
      <c r="I49" s="65">
        <v>23</v>
      </c>
      <c r="J49" s="65">
        <v>23</v>
      </c>
      <c r="K49" s="65">
        <v>1362.6</v>
      </c>
      <c r="L49" s="65">
        <v>1361.8</v>
      </c>
      <c r="M49" s="65">
        <v>1363.7</v>
      </c>
      <c r="N49" s="65">
        <v>1360</v>
      </c>
      <c r="O49" s="65">
        <v>1363.2</v>
      </c>
      <c r="P49" s="65">
        <v>0</v>
      </c>
      <c r="Q49" s="65">
        <v>128</v>
      </c>
      <c r="R49" s="65">
        <v>5</v>
      </c>
      <c r="S49" s="65">
        <v>2</v>
      </c>
      <c r="Z49" t="str">
        <f t="shared" si="2"/>
        <v>12B</v>
      </c>
    </row>
    <row r="50" spans="1:26" ht="15" x14ac:dyDescent="0.25">
      <c r="A50" t="s">
        <v>209</v>
      </c>
      <c r="B50">
        <v>12</v>
      </c>
      <c r="C50" t="s">
        <v>52</v>
      </c>
      <c r="D50" s="65">
        <v>22.9</v>
      </c>
      <c r="E50" s="65">
        <v>0</v>
      </c>
      <c r="F50" s="65">
        <v>23</v>
      </c>
      <c r="G50" s="65">
        <v>22.9</v>
      </c>
      <c r="H50" s="65">
        <v>23</v>
      </c>
      <c r="I50" s="65">
        <v>22.9</v>
      </c>
      <c r="J50" s="65">
        <v>22.9</v>
      </c>
      <c r="K50" s="65">
        <v>1351.2</v>
      </c>
      <c r="L50" s="65">
        <v>1354.7</v>
      </c>
      <c r="M50" s="65">
        <v>1351.2</v>
      </c>
      <c r="N50" s="65">
        <v>1354.8</v>
      </c>
      <c r="O50" s="65">
        <v>1354.9</v>
      </c>
      <c r="P50" s="65">
        <v>0</v>
      </c>
      <c r="Q50" s="65">
        <v>128</v>
      </c>
      <c r="R50" s="65">
        <v>5</v>
      </c>
      <c r="S50" s="65">
        <v>2</v>
      </c>
      <c r="Z50" t="str">
        <f t="shared" si="2"/>
        <v>12A</v>
      </c>
    </row>
    <row r="51" spans="1:26" ht="15" x14ac:dyDescent="0.25">
      <c r="A51" t="s">
        <v>210</v>
      </c>
      <c r="B51">
        <v>13</v>
      </c>
      <c r="C51" t="s">
        <v>49</v>
      </c>
      <c r="D51" s="65">
        <v>23</v>
      </c>
      <c r="E51" s="65">
        <v>0</v>
      </c>
      <c r="F51" s="65">
        <v>23</v>
      </c>
      <c r="G51" s="65">
        <v>23</v>
      </c>
      <c r="H51" s="65">
        <v>23</v>
      </c>
      <c r="I51" s="65">
        <v>23</v>
      </c>
      <c r="J51" s="65">
        <v>23</v>
      </c>
      <c r="K51" s="65">
        <v>1354.6</v>
      </c>
      <c r="L51" s="65">
        <v>1355</v>
      </c>
      <c r="M51" s="65">
        <v>1354.5</v>
      </c>
      <c r="N51" s="65">
        <v>1355.9</v>
      </c>
      <c r="O51" s="65">
        <v>1354.1</v>
      </c>
      <c r="P51" s="65">
        <v>0</v>
      </c>
      <c r="Q51" s="65">
        <v>0</v>
      </c>
      <c r="R51" s="65">
        <v>1</v>
      </c>
      <c r="S51" s="65">
        <v>2</v>
      </c>
      <c r="Z51" t="str">
        <f t="shared" si="2"/>
        <v>13D</v>
      </c>
    </row>
    <row r="52" spans="1:26" ht="15" x14ac:dyDescent="0.25">
      <c r="A52" t="s">
        <v>211</v>
      </c>
      <c r="B52">
        <v>13</v>
      </c>
      <c r="C52" t="s">
        <v>50</v>
      </c>
      <c r="D52" s="65">
        <v>22.9</v>
      </c>
      <c r="E52" s="65">
        <v>0</v>
      </c>
      <c r="F52" s="65">
        <v>22.9</v>
      </c>
      <c r="G52" s="65">
        <v>22.9</v>
      </c>
      <c r="H52" s="65">
        <v>22.9</v>
      </c>
      <c r="I52" s="65">
        <v>22.9</v>
      </c>
      <c r="J52" s="65">
        <v>23</v>
      </c>
      <c r="K52" s="65">
        <v>1354.6</v>
      </c>
      <c r="L52" s="65">
        <v>1354.8</v>
      </c>
      <c r="M52" s="65">
        <v>1354.1</v>
      </c>
      <c r="N52" s="65">
        <v>1354.3</v>
      </c>
      <c r="O52" s="65">
        <v>1343.8</v>
      </c>
      <c r="P52" s="65">
        <v>0</v>
      </c>
      <c r="Q52" s="65">
        <v>0</v>
      </c>
      <c r="R52" s="65">
        <v>1</v>
      </c>
      <c r="S52" s="65">
        <v>2</v>
      </c>
      <c r="Z52" t="str">
        <f t="shared" si="2"/>
        <v>13C</v>
      </c>
    </row>
    <row r="53" spans="1:26" ht="15" x14ac:dyDescent="0.25">
      <c r="A53" t="s">
        <v>212</v>
      </c>
      <c r="B53">
        <v>13</v>
      </c>
      <c r="C53" t="s">
        <v>51</v>
      </c>
      <c r="D53" s="65">
        <v>22.9</v>
      </c>
      <c r="E53" s="65">
        <v>0</v>
      </c>
      <c r="F53" s="65">
        <v>22.9</v>
      </c>
      <c r="G53" s="65">
        <v>22.9</v>
      </c>
      <c r="H53" s="65">
        <v>22.9</v>
      </c>
      <c r="I53" s="65">
        <v>23.1</v>
      </c>
      <c r="J53" s="65">
        <v>22.9</v>
      </c>
      <c r="K53" s="65">
        <v>1353.7</v>
      </c>
      <c r="L53" s="65">
        <v>1354.5</v>
      </c>
      <c r="M53" s="65">
        <v>1353.5</v>
      </c>
      <c r="N53" s="65">
        <v>1342.9</v>
      </c>
      <c r="O53" s="65">
        <v>1353.2</v>
      </c>
      <c r="P53" s="65">
        <v>0</v>
      </c>
      <c r="Q53" s="65">
        <v>0</v>
      </c>
      <c r="R53" s="65">
        <v>1</v>
      </c>
      <c r="S53" s="65">
        <v>2</v>
      </c>
      <c r="Z53" t="str">
        <f t="shared" si="2"/>
        <v>13B</v>
      </c>
    </row>
    <row r="54" spans="1:26" ht="15" x14ac:dyDescent="0.25">
      <c r="A54" t="s">
        <v>213</v>
      </c>
      <c r="B54">
        <v>13</v>
      </c>
      <c r="C54" t="s">
        <v>52</v>
      </c>
      <c r="D54" s="65">
        <v>23</v>
      </c>
      <c r="E54" s="65">
        <v>0</v>
      </c>
      <c r="F54" s="65">
        <v>23</v>
      </c>
      <c r="G54" s="65">
        <v>23</v>
      </c>
      <c r="H54" s="65">
        <v>23</v>
      </c>
      <c r="I54" s="65">
        <v>23</v>
      </c>
      <c r="J54" s="65">
        <v>23</v>
      </c>
      <c r="K54" s="65">
        <v>1354.4</v>
      </c>
      <c r="L54" s="65">
        <v>1354.2</v>
      </c>
      <c r="M54" s="65">
        <v>1358</v>
      </c>
      <c r="N54" s="65">
        <v>1354.9</v>
      </c>
      <c r="O54" s="65">
        <v>1353.7</v>
      </c>
      <c r="P54" s="65">
        <v>0</v>
      </c>
      <c r="Q54" s="65">
        <v>0</v>
      </c>
      <c r="R54" s="65">
        <v>1</v>
      </c>
      <c r="S54" s="65">
        <v>2</v>
      </c>
      <c r="Z54" t="str">
        <f t="shared" si="2"/>
        <v>13A</v>
      </c>
    </row>
    <row r="55" spans="1:26" ht="15" x14ac:dyDescent="0.25">
      <c r="A55" t="s">
        <v>214</v>
      </c>
      <c r="B55">
        <v>14</v>
      </c>
      <c r="C55" t="s">
        <v>49</v>
      </c>
      <c r="D55" s="65">
        <v>21.9</v>
      </c>
      <c r="E55" s="65">
        <v>0</v>
      </c>
      <c r="F55" s="65">
        <v>22.5</v>
      </c>
      <c r="G55" s="65">
        <v>22.1</v>
      </c>
      <c r="H55" s="65">
        <v>22.2</v>
      </c>
      <c r="I55" s="65">
        <v>22.1</v>
      </c>
      <c r="J55" s="65">
        <v>21.8</v>
      </c>
      <c r="K55" s="65">
        <v>1360.1</v>
      </c>
      <c r="L55" s="65">
        <v>1360.4</v>
      </c>
      <c r="M55" s="65">
        <v>1359.8</v>
      </c>
      <c r="N55" s="65">
        <v>1360.9</v>
      </c>
      <c r="O55" s="65">
        <v>1359.5</v>
      </c>
      <c r="P55" s="65">
        <v>0</v>
      </c>
      <c r="Q55" s="65">
        <v>0</v>
      </c>
      <c r="R55" s="65">
        <v>1</v>
      </c>
      <c r="S55" s="65">
        <v>2</v>
      </c>
      <c r="Z55" t="str">
        <f t="shared" si="2"/>
        <v>14D</v>
      </c>
    </row>
    <row r="56" spans="1:26" ht="15" x14ac:dyDescent="0.25">
      <c r="A56" t="s">
        <v>215</v>
      </c>
      <c r="B56">
        <v>14</v>
      </c>
      <c r="C56" t="s">
        <v>50</v>
      </c>
      <c r="D56" s="65">
        <v>22.1</v>
      </c>
      <c r="E56" s="65">
        <v>0</v>
      </c>
      <c r="F56" s="65">
        <v>22.6</v>
      </c>
      <c r="G56" s="65">
        <v>22.3</v>
      </c>
      <c r="H56" s="65">
        <v>22</v>
      </c>
      <c r="I56" s="65">
        <v>22.2</v>
      </c>
      <c r="J56" s="65">
        <v>22.4</v>
      </c>
      <c r="K56" s="65">
        <v>1360.4</v>
      </c>
      <c r="L56" s="65">
        <v>1359.7</v>
      </c>
      <c r="M56" s="65">
        <v>1360.3</v>
      </c>
      <c r="N56" s="65">
        <v>1360.2</v>
      </c>
      <c r="O56" s="65">
        <v>1360.9</v>
      </c>
      <c r="P56" s="65">
        <v>0</v>
      </c>
      <c r="Q56" s="65">
        <v>0</v>
      </c>
      <c r="R56" s="65">
        <v>1</v>
      </c>
      <c r="S56" s="65">
        <v>2</v>
      </c>
      <c r="Z56" t="str">
        <f t="shared" si="2"/>
        <v>14C</v>
      </c>
    </row>
    <row r="57" spans="1:26" ht="15" x14ac:dyDescent="0.25">
      <c r="A57" t="s">
        <v>216</v>
      </c>
      <c r="B57">
        <v>14</v>
      </c>
      <c r="C57" t="s">
        <v>51</v>
      </c>
      <c r="D57" s="65">
        <v>19.8</v>
      </c>
      <c r="E57" s="65">
        <v>0</v>
      </c>
      <c r="F57" s="65">
        <v>20.9</v>
      </c>
      <c r="G57" s="65">
        <v>20.399999999999999</v>
      </c>
      <c r="H57" s="65">
        <v>19.600000000000001</v>
      </c>
      <c r="I57" s="65">
        <v>20.2</v>
      </c>
      <c r="J57" s="65">
        <v>20.5</v>
      </c>
      <c r="K57" s="65">
        <v>1356.8</v>
      </c>
      <c r="L57" s="65">
        <v>1356.2</v>
      </c>
      <c r="M57" s="65">
        <v>1357.3</v>
      </c>
      <c r="N57" s="65">
        <v>1357.9</v>
      </c>
      <c r="O57" s="65">
        <v>1356.1</v>
      </c>
      <c r="P57" s="65">
        <v>0</v>
      </c>
      <c r="Q57" s="65">
        <v>0</v>
      </c>
      <c r="R57" s="65">
        <v>1</v>
      </c>
      <c r="S57" s="65">
        <v>2</v>
      </c>
      <c r="Z57" t="str">
        <f t="shared" si="2"/>
        <v>14B</v>
      </c>
    </row>
    <row r="58" spans="1:26" ht="15" x14ac:dyDescent="0.25">
      <c r="A58" t="s">
        <v>217</v>
      </c>
      <c r="B58">
        <v>14</v>
      </c>
      <c r="C58" t="s">
        <v>52</v>
      </c>
      <c r="D58" s="65">
        <v>22.9</v>
      </c>
      <c r="E58" s="65">
        <v>0</v>
      </c>
      <c r="F58" s="65">
        <v>23.5</v>
      </c>
      <c r="G58" s="65">
        <v>22.9</v>
      </c>
      <c r="H58" s="65">
        <v>22.8</v>
      </c>
      <c r="I58" s="65">
        <v>23.1</v>
      </c>
      <c r="J58" s="65">
        <v>23.2</v>
      </c>
      <c r="K58" s="65">
        <v>1362</v>
      </c>
      <c r="L58" s="65">
        <v>1360.4</v>
      </c>
      <c r="M58" s="65">
        <v>1362.8</v>
      </c>
      <c r="N58" s="65">
        <v>1363.7</v>
      </c>
      <c r="O58" s="65">
        <v>1361.9</v>
      </c>
      <c r="P58" s="65">
        <v>0</v>
      </c>
      <c r="Q58" s="65">
        <v>0</v>
      </c>
      <c r="R58" s="65">
        <v>1</v>
      </c>
      <c r="S58" s="65">
        <v>2</v>
      </c>
      <c r="Z58" t="str">
        <f t="shared" si="2"/>
        <v>14A</v>
      </c>
    </row>
    <row r="59" spans="1:26" ht="15" x14ac:dyDescent="0.25">
      <c r="A59" t="s">
        <v>218</v>
      </c>
      <c r="B59">
        <v>15</v>
      </c>
      <c r="C59" t="s">
        <v>49</v>
      </c>
      <c r="D59" s="65">
        <v>22.9</v>
      </c>
      <c r="E59" s="65">
        <v>1361</v>
      </c>
      <c r="F59" s="65">
        <v>22.9</v>
      </c>
      <c r="G59" s="65">
        <v>22.9</v>
      </c>
      <c r="H59" s="65">
        <v>23</v>
      </c>
      <c r="I59" s="65">
        <v>23.1</v>
      </c>
      <c r="J59" s="65">
        <v>22.9</v>
      </c>
      <c r="K59" s="65">
        <v>1360.9</v>
      </c>
      <c r="L59" s="65">
        <v>1360.8</v>
      </c>
      <c r="M59" s="65">
        <v>1361.7</v>
      </c>
      <c r="N59" s="65">
        <v>1361.8</v>
      </c>
      <c r="O59" s="65">
        <v>1360.6</v>
      </c>
      <c r="P59" s="65">
        <v>0</v>
      </c>
      <c r="Q59" s="65">
        <v>0</v>
      </c>
      <c r="R59" s="65">
        <v>1</v>
      </c>
      <c r="S59" s="65">
        <v>2</v>
      </c>
      <c r="Z59" t="str">
        <f t="shared" si="2"/>
        <v>15D</v>
      </c>
    </row>
    <row r="60" spans="1:26" ht="15" x14ac:dyDescent="0.25">
      <c r="A60" t="s">
        <v>219</v>
      </c>
      <c r="B60">
        <v>15</v>
      </c>
      <c r="C60" t="s">
        <v>50</v>
      </c>
      <c r="D60" s="65">
        <v>22.9</v>
      </c>
      <c r="E60" s="65">
        <v>1359.4</v>
      </c>
      <c r="F60" s="65">
        <v>22.9</v>
      </c>
      <c r="G60" s="65">
        <v>22.8</v>
      </c>
      <c r="H60" s="65">
        <v>22.9</v>
      </c>
      <c r="I60" s="65">
        <v>23.3</v>
      </c>
      <c r="J60" s="65">
        <v>22.9</v>
      </c>
      <c r="K60" s="65">
        <v>1358.7</v>
      </c>
      <c r="L60" s="65">
        <v>1360.2</v>
      </c>
      <c r="M60" s="65">
        <v>1361.9</v>
      </c>
      <c r="N60" s="65">
        <v>1359.3</v>
      </c>
      <c r="O60" s="65">
        <v>1359.4</v>
      </c>
      <c r="P60" s="65">
        <v>0</v>
      </c>
      <c r="Q60" s="65">
        <v>0</v>
      </c>
      <c r="R60" s="65">
        <v>1</v>
      </c>
      <c r="S60" s="65">
        <v>2</v>
      </c>
      <c r="Z60" t="str">
        <f t="shared" si="2"/>
        <v>15C</v>
      </c>
    </row>
    <row r="61" spans="1:26" ht="15" x14ac:dyDescent="0.25">
      <c r="A61" t="s">
        <v>220</v>
      </c>
      <c r="B61">
        <v>15</v>
      </c>
      <c r="C61" t="s">
        <v>51</v>
      </c>
      <c r="D61" s="65">
        <v>23</v>
      </c>
      <c r="E61" s="65">
        <v>1353.7</v>
      </c>
      <c r="F61" s="65">
        <v>23</v>
      </c>
      <c r="G61" s="65">
        <v>23</v>
      </c>
      <c r="H61" s="65">
        <v>23</v>
      </c>
      <c r="I61" s="65">
        <v>23</v>
      </c>
      <c r="J61" s="65">
        <v>23</v>
      </c>
      <c r="K61" s="65">
        <v>1353.9</v>
      </c>
      <c r="L61" s="65">
        <v>1354.1</v>
      </c>
      <c r="M61" s="65">
        <v>1354.4</v>
      </c>
      <c r="N61" s="65">
        <v>1353.7</v>
      </c>
      <c r="O61" s="65">
        <v>1353.4</v>
      </c>
      <c r="P61" s="65">
        <v>0</v>
      </c>
      <c r="Q61" s="65">
        <v>0</v>
      </c>
      <c r="R61" s="65">
        <v>1</v>
      </c>
      <c r="S61" s="65">
        <v>2</v>
      </c>
      <c r="Z61" t="str">
        <f t="shared" si="2"/>
        <v>15B</v>
      </c>
    </row>
    <row r="62" spans="1:26" ht="15" x14ac:dyDescent="0.25">
      <c r="A62" t="s">
        <v>221</v>
      </c>
      <c r="B62">
        <v>15</v>
      </c>
      <c r="C62" t="s">
        <v>52</v>
      </c>
      <c r="D62" s="65">
        <v>23</v>
      </c>
      <c r="E62" s="65">
        <v>1354.9</v>
      </c>
      <c r="F62" s="65">
        <v>23</v>
      </c>
      <c r="G62" s="65">
        <v>23</v>
      </c>
      <c r="H62" s="65">
        <v>23</v>
      </c>
      <c r="I62" s="65">
        <v>23</v>
      </c>
      <c r="J62" s="65">
        <v>23</v>
      </c>
      <c r="K62" s="65">
        <v>1355.1</v>
      </c>
      <c r="L62" s="65">
        <v>1354.1</v>
      </c>
      <c r="M62" s="65">
        <v>1356.3</v>
      </c>
      <c r="N62" s="65">
        <v>1355</v>
      </c>
      <c r="O62" s="65">
        <v>1354.3</v>
      </c>
      <c r="P62" s="65">
        <v>0</v>
      </c>
      <c r="Q62" s="65">
        <v>0</v>
      </c>
      <c r="R62" s="65">
        <v>1</v>
      </c>
      <c r="S62" s="65">
        <v>2</v>
      </c>
      <c r="Z62" t="str">
        <f t="shared" si="2"/>
        <v>15A</v>
      </c>
    </row>
    <row r="63" spans="1:26" ht="15" x14ac:dyDescent="0.25">
      <c r="A63" t="s">
        <v>222</v>
      </c>
      <c r="B63">
        <v>16</v>
      </c>
      <c r="C63" t="s">
        <v>49</v>
      </c>
      <c r="D63" s="65">
        <v>23</v>
      </c>
      <c r="E63" s="65">
        <v>0</v>
      </c>
      <c r="F63" s="65">
        <v>23</v>
      </c>
      <c r="G63" s="65">
        <v>23</v>
      </c>
      <c r="H63" s="65">
        <v>23.1</v>
      </c>
      <c r="I63" s="65">
        <v>23</v>
      </c>
      <c r="J63" s="65">
        <v>23.1</v>
      </c>
      <c r="K63" s="65">
        <v>1355.8</v>
      </c>
      <c r="L63" s="65">
        <v>1356.1</v>
      </c>
      <c r="M63" s="65">
        <v>1355.1</v>
      </c>
      <c r="N63" s="65">
        <v>1355.5</v>
      </c>
      <c r="O63" s="65">
        <v>1356</v>
      </c>
      <c r="P63" s="65">
        <v>0</v>
      </c>
      <c r="Q63" s="65">
        <v>0</v>
      </c>
      <c r="R63" s="65">
        <v>1</v>
      </c>
      <c r="S63" s="65">
        <v>2</v>
      </c>
      <c r="Z63" t="str">
        <f t="shared" si="2"/>
        <v>16D</v>
      </c>
    </row>
    <row r="64" spans="1:26" ht="15" x14ac:dyDescent="0.25">
      <c r="A64" t="s">
        <v>223</v>
      </c>
      <c r="B64">
        <v>16</v>
      </c>
      <c r="C64" t="s">
        <v>50</v>
      </c>
      <c r="D64" s="65">
        <v>22.8</v>
      </c>
      <c r="E64" s="65">
        <v>0</v>
      </c>
      <c r="F64" s="65">
        <v>22.8</v>
      </c>
      <c r="G64" s="65">
        <v>22.8</v>
      </c>
      <c r="H64" s="65">
        <v>22.9</v>
      </c>
      <c r="I64" s="65">
        <v>22.8</v>
      </c>
      <c r="J64" s="65">
        <v>22.8</v>
      </c>
      <c r="K64" s="65">
        <v>1354.7</v>
      </c>
      <c r="L64" s="65">
        <v>1358</v>
      </c>
      <c r="M64" s="65">
        <v>1353.5</v>
      </c>
      <c r="N64" s="65">
        <v>1353.2</v>
      </c>
      <c r="O64" s="65">
        <v>1354.7</v>
      </c>
      <c r="P64" s="65">
        <v>0</v>
      </c>
      <c r="Q64" s="65">
        <v>0</v>
      </c>
      <c r="R64" s="65">
        <v>1</v>
      </c>
      <c r="S64" s="65">
        <v>2</v>
      </c>
      <c r="Z64" t="str">
        <f t="shared" si="2"/>
        <v>16C</v>
      </c>
    </row>
    <row r="65" spans="1:26" ht="15" x14ac:dyDescent="0.25">
      <c r="A65" t="s">
        <v>224</v>
      </c>
      <c r="B65">
        <v>16</v>
      </c>
      <c r="C65" t="s">
        <v>51</v>
      </c>
      <c r="D65" s="65">
        <v>23.1</v>
      </c>
      <c r="E65" s="65">
        <v>0</v>
      </c>
      <c r="F65" s="65">
        <v>23.1</v>
      </c>
      <c r="G65" s="65">
        <v>23.1</v>
      </c>
      <c r="H65" s="65">
        <v>23.1</v>
      </c>
      <c r="I65" s="65">
        <v>23.1</v>
      </c>
      <c r="J65" s="65">
        <v>23.1</v>
      </c>
      <c r="K65" s="65">
        <v>1354.8</v>
      </c>
      <c r="L65" s="65">
        <v>1357</v>
      </c>
      <c r="M65" s="65">
        <v>1355.9</v>
      </c>
      <c r="N65" s="65">
        <v>1356.7</v>
      </c>
      <c r="O65" s="65">
        <v>1355.5</v>
      </c>
      <c r="P65" s="65">
        <v>0</v>
      </c>
      <c r="Q65" s="65">
        <v>0</v>
      </c>
      <c r="R65" s="65">
        <v>1</v>
      </c>
      <c r="S65" s="65">
        <v>2</v>
      </c>
      <c r="Z65" t="str">
        <f t="shared" si="2"/>
        <v>16B</v>
      </c>
    </row>
    <row r="66" spans="1:26" ht="15" x14ac:dyDescent="0.25">
      <c r="A66" t="s">
        <v>225</v>
      </c>
      <c r="B66">
        <v>16</v>
      </c>
      <c r="C66" t="s">
        <v>52</v>
      </c>
      <c r="D66" s="65">
        <v>22.8</v>
      </c>
      <c r="E66" s="65">
        <v>0</v>
      </c>
      <c r="F66" s="65">
        <v>22.8</v>
      </c>
      <c r="G66" s="65">
        <v>22.8</v>
      </c>
      <c r="H66" s="65">
        <v>22.8</v>
      </c>
      <c r="I66" s="65">
        <v>22.8</v>
      </c>
      <c r="J66" s="65">
        <v>22.8</v>
      </c>
      <c r="K66" s="65">
        <v>1356</v>
      </c>
      <c r="L66" s="65">
        <v>1354.7</v>
      </c>
      <c r="M66" s="65">
        <v>1354.3</v>
      </c>
      <c r="N66" s="65">
        <v>1354.8</v>
      </c>
      <c r="O66" s="65">
        <v>1355</v>
      </c>
      <c r="P66" s="65">
        <v>0</v>
      </c>
      <c r="Q66" s="65">
        <v>0</v>
      </c>
      <c r="R66" s="65">
        <v>1</v>
      </c>
      <c r="S66" s="65">
        <v>2</v>
      </c>
      <c r="Z66" t="str">
        <f t="shared" si="2"/>
        <v>16A</v>
      </c>
    </row>
    <row r="67" spans="1:26" ht="15" x14ac:dyDescent="0.25">
      <c r="A67" t="s">
        <v>226</v>
      </c>
      <c r="B67">
        <v>17</v>
      </c>
      <c r="C67" t="s">
        <v>49</v>
      </c>
      <c r="D67" s="65">
        <v>23</v>
      </c>
      <c r="E67" s="65">
        <v>1353.6</v>
      </c>
      <c r="F67" s="65">
        <v>23</v>
      </c>
      <c r="G67" s="65">
        <v>23</v>
      </c>
      <c r="H67" s="65">
        <v>23</v>
      </c>
      <c r="I67" s="65">
        <v>23</v>
      </c>
      <c r="J67" s="65">
        <v>23</v>
      </c>
      <c r="K67" s="65">
        <v>1353.9</v>
      </c>
      <c r="L67" s="65">
        <v>1354.1</v>
      </c>
      <c r="M67" s="65">
        <v>1354.1</v>
      </c>
      <c r="N67" s="65">
        <v>1353.3</v>
      </c>
      <c r="O67" s="65">
        <v>1353.1</v>
      </c>
      <c r="P67" s="65">
        <v>0</v>
      </c>
      <c r="Q67" s="65">
        <v>0</v>
      </c>
      <c r="R67" s="65">
        <v>1</v>
      </c>
      <c r="S67" s="65">
        <v>2</v>
      </c>
      <c r="Z67" t="str">
        <f t="shared" si="2"/>
        <v>17D</v>
      </c>
    </row>
    <row r="68" spans="1:26" ht="15" x14ac:dyDescent="0.25">
      <c r="A68" t="s">
        <v>227</v>
      </c>
      <c r="B68">
        <v>17</v>
      </c>
      <c r="C68" t="s">
        <v>50</v>
      </c>
      <c r="D68" s="65">
        <v>22.9</v>
      </c>
      <c r="E68" s="65">
        <v>1354.3</v>
      </c>
      <c r="F68" s="65">
        <v>22.9</v>
      </c>
      <c r="G68" s="65">
        <v>22.9</v>
      </c>
      <c r="H68" s="65">
        <v>23</v>
      </c>
      <c r="I68" s="65">
        <v>23</v>
      </c>
      <c r="J68" s="65">
        <v>23</v>
      </c>
      <c r="K68" s="65">
        <v>1354.6</v>
      </c>
      <c r="L68" s="65">
        <v>1353.7</v>
      </c>
      <c r="M68" s="65">
        <v>1355.4</v>
      </c>
      <c r="N68" s="65">
        <v>1354.2</v>
      </c>
      <c r="O68" s="65">
        <v>1354.1</v>
      </c>
      <c r="P68" s="65">
        <v>0</v>
      </c>
      <c r="Q68" s="65">
        <v>0</v>
      </c>
      <c r="R68" s="65">
        <v>1</v>
      </c>
      <c r="S68" s="65">
        <v>2</v>
      </c>
      <c r="Z68" t="str">
        <f t="shared" ref="Z68:Z131" si="3">TEXT(B68,"00")&amp;C68</f>
        <v>17C</v>
      </c>
    </row>
    <row r="69" spans="1:26" ht="15" x14ac:dyDescent="0.25">
      <c r="A69" t="s">
        <v>228</v>
      </c>
      <c r="B69">
        <v>17</v>
      </c>
      <c r="C69" t="s">
        <v>51</v>
      </c>
      <c r="D69" s="65">
        <v>23</v>
      </c>
      <c r="E69" s="65">
        <v>1354.3</v>
      </c>
      <c r="F69" s="65">
        <v>23</v>
      </c>
      <c r="G69" s="65">
        <v>23</v>
      </c>
      <c r="H69" s="65">
        <v>23</v>
      </c>
      <c r="I69" s="65">
        <v>23</v>
      </c>
      <c r="J69" s="65">
        <v>23</v>
      </c>
      <c r="K69" s="65">
        <v>1354.3</v>
      </c>
      <c r="L69" s="65">
        <v>1353.6</v>
      </c>
      <c r="M69" s="65">
        <v>1354.6</v>
      </c>
      <c r="N69" s="65">
        <v>1354.5</v>
      </c>
      <c r="O69" s="65">
        <v>1354.8</v>
      </c>
      <c r="P69" s="65">
        <v>0</v>
      </c>
      <c r="Q69" s="65">
        <v>0</v>
      </c>
      <c r="R69" s="65">
        <v>1</v>
      </c>
      <c r="S69" s="65">
        <v>2</v>
      </c>
      <c r="Z69" t="str">
        <f t="shared" si="3"/>
        <v>17B</v>
      </c>
    </row>
    <row r="70" spans="1:26" ht="15" x14ac:dyDescent="0.25">
      <c r="A70" t="s">
        <v>229</v>
      </c>
      <c r="B70">
        <v>17</v>
      </c>
      <c r="C70" t="s">
        <v>52</v>
      </c>
      <c r="D70" s="65">
        <v>22.9</v>
      </c>
      <c r="E70" s="65">
        <v>1354.7</v>
      </c>
      <c r="F70" s="65">
        <v>22.9</v>
      </c>
      <c r="G70" s="65">
        <v>23</v>
      </c>
      <c r="H70" s="65">
        <v>23</v>
      </c>
      <c r="I70" s="65">
        <v>22.9</v>
      </c>
      <c r="J70" s="65">
        <v>22.9</v>
      </c>
      <c r="K70" s="65">
        <v>1354.8</v>
      </c>
      <c r="L70" s="65">
        <v>1354.8</v>
      </c>
      <c r="M70" s="65">
        <v>1352.8</v>
      </c>
      <c r="N70" s="65">
        <v>1354.2</v>
      </c>
      <c r="O70" s="65">
        <v>1356.3</v>
      </c>
      <c r="P70" s="65">
        <v>0</v>
      </c>
      <c r="Q70" s="65">
        <v>0</v>
      </c>
      <c r="R70" s="65">
        <v>1</v>
      </c>
      <c r="S70" s="65">
        <v>2</v>
      </c>
      <c r="Z70" t="str">
        <f t="shared" si="3"/>
        <v>17A</v>
      </c>
    </row>
    <row r="71" spans="1:26" ht="15" x14ac:dyDescent="0.25">
      <c r="A71" t="s">
        <v>230</v>
      </c>
      <c r="B71">
        <v>18</v>
      </c>
      <c r="C71" t="s">
        <v>49</v>
      </c>
      <c r="D71" s="65">
        <v>23</v>
      </c>
      <c r="E71" s="65">
        <v>0</v>
      </c>
      <c r="F71" s="65">
        <v>23</v>
      </c>
      <c r="G71" s="65">
        <v>23</v>
      </c>
      <c r="H71" s="65">
        <v>23</v>
      </c>
      <c r="I71" s="65">
        <v>23</v>
      </c>
      <c r="J71" s="65">
        <v>23</v>
      </c>
      <c r="K71" s="65">
        <v>1354.4</v>
      </c>
      <c r="L71" s="65">
        <v>1354.1</v>
      </c>
      <c r="M71" s="65">
        <v>1354.8</v>
      </c>
      <c r="N71" s="65">
        <v>1353.8</v>
      </c>
      <c r="O71" s="65">
        <v>1353.9</v>
      </c>
      <c r="P71" s="65">
        <v>0</v>
      </c>
      <c r="Q71" s="65">
        <v>0</v>
      </c>
      <c r="R71" s="65">
        <v>1</v>
      </c>
      <c r="S71" s="65">
        <v>2</v>
      </c>
      <c r="Z71" t="str">
        <f t="shared" si="3"/>
        <v>18D</v>
      </c>
    </row>
    <row r="72" spans="1:26" ht="15" x14ac:dyDescent="0.25">
      <c r="A72" t="s">
        <v>231</v>
      </c>
      <c r="B72">
        <v>18</v>
      </c>
      <c r="C72" t="s">
        <v>50</v>
      </c>
      <c r="D72" s="65">
        <v>23</v>
      </c>
      <c r="E72" s="65">
        <v>0</v>
      </c>
      <c r="F72" s="65">
        <v>23</v>
      </c>
      <c r="G72" s="65">
        <v>23</v>
      </c>
      <c r="H72" s="65">
        <v>23</v>
      </c>
      <c r="I72" s="65">
        <v>23</v>
      </c>
      <c r="J72" s="65">
        <v>23</v>
      </c>
      <c r="K72" s="65">
        <v>1354.2</v>
      </c>
      <c r="L72" s="65">
        <v>1354.5</v>
      </c>
      <c r="M72" s="65">
        <v>1353.9</v>
      </c>
      <c r="N72" s="65">
        <v>1355.3</v>
      </c>
      <c r="O72" s="65">
        <v>1356</v>
      </c>
      <c r="P72" s="65">
        <v>0</v>
      </c>
      <c r="Q72" s="65">
        <v>0</v>
      </c>
      <c r="R72" s="65">
        <v>1</v>
      </c>
      <c r="S72" s="65">
        <v>2</v>
      </c>
      <c r="Z72" t="str">
        <f t="shared" si="3"/>
        <v>18C</v>
      </c>
    </row>
    <row r="73" spans="1:26" ht="15" x14ac:dyDescent="0.25">
      <c r="A73" t="s">
        <v>232</v>
      </c>
      <c r="B73">
        <v>18</v>
      </c>
      <c r="C73" t="s">
        <v>51</v>
      </c>
      <c r="D73" s="65">
        <v>23</v>
      </c>
      <c r="E73" s="65">
        <v>0</v>
      </c>
      <c r="F73" s="65">
        <v>23</v>
      </c>
      <c r="G73" s="65">
        <v>23</v>
      </c>
      <c r="H73" s="65">
        <v>23</v>
      </c>
      <c r="I73" s="65">
        <v>23</v>
      </c>
      <c r="J73" s="65">
        <v>23</v>
      </c>
      <c r="K73" s="65">
        <v>1355.2</v>
      </c>
      <c r="L73" s="65">
        <v>1352.6</v>
      </c>
      <c r="M73" s="65">
        <v>1354.9</v>
      </c>
      <c r="N73" s="65">
        <v>1355.9</v>
      </c>
      <c r="O73" s="65">
        <v>1355.7</v>
      </c>
      <c r="P73" s="65">
        <v>0</v>
      </c>
      <c r="Q73" s="65">
        <v>0</v>
      </c>
      <c r="R73" s="65">
        <v>1</v>
      </c>
      <c r="S73" s="65">
        <v>2</v>
      </c>
      <c r="Z73" t="str">
        <f t="shared" si="3"/>
        <v>18B</v>
      </c>
    </row>
    <row r="74" spans="1:26" ht="15" x14ac:dyDescent="0.25">
      <c r="A74" t="s">
        <v>233</v>
      </c>
      <c r="B74">
        <v>18</v>
      </c>
      <c r="C74" t="s">
        <v>52</v>
      </c>
      <c r="D74" s="65">
        <v>23</v>
      </c>
      <c r="E74" s="65">
        <v>0</v>
      </c>
      <c r="F74" s="65">
        <v>23</v>
      </c>
      <c r="G74" s="65">
        <v>23</v>
      </c>
      <c r="H74" s="65">
        <v>23</v>
      </c>
      <c r="I74" s="65">
        <v>23</v>
      </c>
      <c r="J74" s="65">
        <v>23</v>
      </c>
      <c r="K74" s="65">
        <v>1355</v>
      </c>
      <c r="L74" s="65">
        <v>1355.2</v>
      </c>
      <c r="M74" s="65">
        <v>1356.1</v>
      </c>
      <c r="N74" s="65">
        <v>1354.3</v>
      </c>
      <c r="O74" s="65">
        <v>1355</v>
      </c>
      <c r="P74" s="65">
        <v>0</v>
      </c>
      <c r="Q74" s="65">
        <v>640</v>
      </c>
      <c r="R74" s="65">
        <v>5</v>
      </c>
      <c r="S74" s="65">
        <v>2</v>
      </c>
      <c r="Z74" t="str">
        <f t="shared" si="3"/>
        <v>18A</v>
      </c>
    </row>
    <row r="75" spans="1:26" ht="15" x14ac:dyDescent="0.25">
      <c r="A75" t="s">
        <v>234</v>
      </c>
      <c r="B75">
        <v>19</v>
      </c>
      <c r="C75" t="s">
        <v>49</v>
      </c>
      <c r="D75" s="65">
        <v>23</v>
      </c>
      <c r="E75" s="65">
        <v>0</v>
      </c>
      <c r="F75" s="65">
        <v>23</v>
      </c>
      <c r="G75" s="65">
        <v>23</v>
      </c>
      <c r="H75" s="65">
        <v>23</v>
      </c>
      <c r="I75" s="65">
        <v>23</v>
      </c>
      <c r="J75" s="65">
        <v>23</v>
      </c>
      <c r="K75" s="65">
        <v>1358.5</v>
      </c>
      <c r="L75" s="65">
        <v>1356.2</v>
      </c>
      <c r="M75" s="65">
        <v>1352.4</v>
      </c>
      <c r="N75" s="65">
        <v>1356.9</v>
      </c>
      <c r="O75" s="65">
        <v>1356.5</v>
      </c>
      <c r="P75" s="65">
        <v>0</v>
      </c>
      <c r="Q75" s="65">
        <v>0</v>
      </c>
      <c r="R75" s="65">
        <v>1</v>
      </c>
      <c r="S75" s="65">
        <v>2</v>
      </c>
      <c r="Z75" t="str">
        <f t="shared" si="3"/>
        <v>19D</v>
      </c>
    </row>
    <row r="76" spans="1:26" ht="15" x14ac:dyDescent="0.25">
      <c r="A76" t="s">
        <v>235</v>
      </c>
      <c r="B76">
        <v>19</v>
      </c>
      <c r="C76" t="s">
        <v>50</v>
      </c>
      <c r="D76" s="65">
        <v>23</v>
      </c>
      <c r="E76" s="65">
        <v>0</v>
      </c>
      <c r="F76" s="65">
        <v>23</v>
      </c>
      <c r="G76" s="65">
        <v>23</v>
      </c>
      <c r="H76" s="65">
        <v>23</v>
      </c>
      <c r="I76" s="65">
        <v>23</v>
      </c>
      <c r="J76" s="65">
        <v>23</v>
      </c>
      <c r="K76" s="65">
        <v>1355.5</v>
      </c>
      <c r="L76" s="65">
        <v>1355.4</v>
      </c>
      <c r="M76" s="65">
        <v>1356.1</v>
      </c>
      <c r="N76" s="65">
        <v>1355.7</v>
      </c>
      <c r="O76" s="65">
        <v>1356.1</v>
      </c>
      <c r="P76" s="65">
        <v>0</v>
      </c>
      <c r="Q76" s="65">
        <v>0</v>
      </c>
      <c r="R76" s="65">
        <v>1</v>
      </c>
      <c r="S76" s="65">
        <v>2</v>
      </c>
      <c r="Z76" t="str">
        <f t="shared" si="3"/>
        <v>19C</v>
      </c>
    </row>
    <row r="77" spans="1:26" ht="15" x14ac:dyDescent="0.25">
      <c r="A77" t="s">
        <v>236</v>
      </c>
      <c r="B77">
        <v>19</v>
      </c>
      <c r="C77" t="s">
        <v>51</v>
      </c>
      <c r="D77" s="65">
        <v>23</v>
      </c>
      <c r="E77" s="65">
        <v>0</v>
      </c>
      <c r="F77" s="65">
        <v>23</v>
      </c>
      <c r="G77" s="65">
        <v>23</v>
      </c>
      <c r="H77" s="65">
        <v>23</v>
      </c>
      <c r="I77" s="65">
        <v>23</v>
      </c>
      <c r="J77" s="65">
        <v>23</v>
      </c>
      <c r="K77" s="65">
        <v>1355.9</v>
      </c>
      <c r="L77" s="65">
        <v>1355.3</v>
      </c>
      <c r="M77" s="65">
        <v>1355.5</v>
      </c>
      <c r="N77" s="65">
        <v>1353</v>
      </c>
      <c r="O77" s="65">
        <v>1355.2</v>
      </c>
      <c r="P77" s="65">
        <v>0</v>
      </c>
      <c r="Q77" s="65">
        <v>0</v>
      </c>
      <c r="R77" s="65">
        <v>1</v>
      </c>
      <c r="S77" s="65">
        <v>2</v>
      </c>
      <c r="Z77" t="str">
        <f t="shared" si="3"/>
        <v>19B</v>
      </c>
    </row>
    <row r="78" spans="1:26" ht="15" x14ac:dyDescent="0.25">
      <c r="A78" t="s">
        <v>237</v>
      </c>
      <c r="B78">
        <v>19</v>
      </c>
      <c r="C78" t="s">
        <v>52</v>
      </c>
      <c r="D78" s="65">
        <v>23</v>
      </c>
      <c r="E78" s="65">
        <v>0</v>
      </c>
      <c r="F78" s="65">
        <v>23</v>
      </c>
      <c r="G78" s="65">
        <v>23</v>
      </c>
      <c r="H78" s="65">
        <v>23</v>
      </c>
      <c r="I78" s="65">
        <v>23</v>
      </c>
      <c r="J78" s="65">
        <v>23</v>
      </c>
      <c r="K78" s="65">
        <v>1355.6</v>
      </c>
      <c r="L78" s="65">
        <v>1358.3</v>
      </c>
      <c r="M78" s="65">
        <v>1354.9</v>
      </c>
      <c r="N78" s="65">
        <v>1355.8</v>
      </c>
      <c r="O78" s="65">
        <v>1356.5</v>
      </c>
      <c r="P78" s="65">
        <v>0</v>
      </c>
      <c r="Q78" s="65">
        <v>4624</v>
      </c>
      <c r="R78" s="65">
        <v>5</v>
      </c>
      <c r="S78" s="65">
        <v>2</v>
      </c>
      <c r="Z78" t="str">
        <f t="shared" si="3"/>
        <v>19A</v>
      </c>
    </row>
    <row r="79" spans="1:26" ht="15" x14ac:dyDescent="0.25">
      <c r="A79" t="s">
        <v>238</v>
      </c>
      <c r="B79">
        <v>20</v>
      </c>
      <c r="C79" t="s">
        <v>49</v>
      </c>
      <c r="D79" s="65">
        <v>23</v>
      </c>
      <c r="E79" s="65">
        <v>0</v>
      </c>
      <c r="F79" s="65">
        <v>23</v>
      </c>
      <c r="G79" s="65">
        <v>23</v>
      </c>
      <c r="H79" s="65">
        <v>23</v>
      </c>
      <c r="I79" s="65">
        <v>23</v>
      </c>
      <c r="J79" s="65">
        <v>23</v>
      </c>
      <c r="K79" s="65">
        <v>1356.4</v>
      </c>
      <c r="L79" s="65">
        <v>1355.4</v>
      </c>
      <c r="M79" s="65">
        <v>1355.7</v>
      </c>
      <c r="N79" s="65">
        <v>1356.2</v>
      </c>
      <c r="O79" s="65">
        <v>1355.5</v>
      </c>
      <c r="P79" s="65">
        <v>0</v>
      </c>
      <c r="Q79" s="65">
        <v>0</v>
      </c>
      <c r="R79" s="65">
        <v>1</v>
      </c>
      <c r="S79" s="65">
        <v>2</v>
      </c>
      <c r="Z79" t="str">
        <f t="shared" si="3"/>
        <v>20D</v>
      </c>
    </row>
    <row r="80" spans="1:26" ht="15" x14ac:dyDescent="0.25">
      <c r="A80" t="s">
        <v>239</v>
      </c>
      <c r="B80">
        <v>20</v>
      </c>
      <c r="C80" t="s">
        <v>50</v>
      </c>
      <c r="D80" s="65">
        <v>23</v>
      </c>
      <c r="E80" s="65">
        <v>0</v>
      </c>
      <c r="F80" s="65">
        <v>23</v>
      </c>
      <c r="G80" s="65">
        <v>23</v>
      </c>
      <c r="H80" s="65">
        <v>23</v>
      </c>
      <c r="I80" s="65">
        <v>23</v>
      </c>
      <c r="J80" s="65">
        <v>23</v>
      </c>
      <c r="K80" s="65">
        <v>1356</v>
      </c>
      <c r="L80" s="65">
        <v>1355.7</v>
      </c>
      <c r="M80" s="65">
        <v>1355.2</v>
      </c>
      <c r="N80" s="65">
        <v>1356.7</v>
      </c>
      <c r="O80" s="65">
        <v>1355.2</v>
      </c>
      <c r="P80" s="65">
        <v>0</v>
      </c>
      <c r="Q80" s="65">
        <v>0</v>
      </c>
      <c r="R80" s="65">
        <v>1</v>
      </c>
      <c r="S80" s="65">
        <v>2</v>
      </c>
      <c r="Z80" t="str">
        <f t="shared" si="3"/>
        <v>20C</v>
      </c>
    </row>
    <row r="81" spans="1:26" ht="15" x14ac:dyDescent="0.25">
      <c r="A81" t="s">
        <v>240</v>
      </c>
      <c r="B81">
        <v>20</v>
      </c>
      <c r="C81" t="s">
        <v>51</v>
      </c>
      <c r="D81" s="65">
        <v>23</v>
      </c>
      <c r="E81" s="65">
        <v>0</v>
      </c>
      <c r="F81" s="65">
        <v>23</v>
      </c>
      <c r="G81" s="65">
        <v>23</v>
      </c>
      <c r="H81" s="65">
        <v>23</v>
      </c>
      <c r="I81" s="65">
        <v>23</v>
      </c>
      <c r="J81" s="65">
        <v>23</v>
      </c>
      <c r="K81" s="65">
        <v>1357.9</v>
      </c>
      <c r="L81" s="65">
        <v>1355.9</v>
      </c>
      <c r="M81" s="65">
        <v>1356.7</v>
      </c>
      <c r="N81" s="65">
        <v>1355.6</v>
      </c>
      <c r="O81" s="65">
        <v>1353.7</v>
      </c>
      <c r="P81" s="65">
        <v>16384</v>
      </c>
      <c r="Q81" s="65">
        <v>0</v>
      </c>
      <c r="R81" s="65">
        <v>5</v>
      </c>
      <c r="S81" s="65">
        <v>2</v>
      </c>
      <c r="Z81" t="str">
        <f t="shared" si="3"/>
        <v>20B</v>
      </c>
    </row>
    <row r="82" spans="1:26" ht="15" x14ac:dyDescent="0.25">
      <c r="A82" t="s">
        <v>241</v>
      </c>
      <c r="B82">
        <v>20</v>
      </c>
      <c r="C82" t="s">
        <v>52</v>
      </c>
      <c r="D82" s="65">
        <v>23</v>
      </c>
      <c r="E82" s="65">
        <v>0</v>
      </c>
      <c r="F82" s="65">
        <v>23</v>
      </c>
      <c r="G82" s="65">
        <v>23</v>
      </c>
      <c r="H82" s="65">
        <v>23</v>
      </c>
      <c r="I82" s="65">
        <v>23</v>
      </c>
      <c r="J82" s="65">
        <v>23</v>
      </c>
      <c r="K82" s="65">
        <v>1355.5</v>
      </c>
      <c r="L82" s="65">
        <v>1356</v>
      </c>
      <c r="M82" s="65">
        <v>1357</v>
      </c>
      <c r="N82" s="65">
        <v>1355.9</v>
      </c>
      <c r="O82" s="65">
        <v>1356.6</v>
      </c>
      <c r="P82" s="65">
        <v>0</v>
      </c>
      <c r="Q82" s="65">
        <v>512</v>
      </c>
      <c r="R82" s="65">
        <v>5</v>
      </c>
      <c r="S82" s="65">
        <v>2</v>
      </c>
      <c r="Z82" t="str">
        <f t="shared" si="3"/>
        <v>20A</v>
      </c>
    </row>
    <row r="83" spans="1:26" ht="15" x14ac:dyDescent="0.25">
      <c r="A83" t="s">
        <v>242</v>
      </c>
      <c r="B83">
        <v>21</v>
      </c>
      <c r="C83" t="s">
        <v>49</v>
      </c>
      <c r="D83" s="65">
        <v>22.9</v>
      </c>
      <c r="E83" s="65">
        <v>0</v>
      </c>
      <c r="F83" s="65">
        <v>22.9</v>
      </c>
      <c r="G83" s="65">
        <v>22.9</v>
      </c>
      <c r="H83" s="65">
        <v>22.9</v>
      </c>
      <c r="I83" s="65">
        <v>23</v>
      </c>
      <c r="J83" s="65">
        <v>22.9</v>
      </c>
      <c r="K83" s="65">
        <v>1355.9</v>
      </c>
      <c r="L83" s="65">
        <v>1355.2</v>
      </c>
      <c r="M83" s="65">
        <v>1355.9</v>
      </c>
      <c r="N83" s="65">
        <v>1352.9</v>
      </c>
      <c r="O83" s="65">
        <v>1356</v>
      </c>
      <c r="P83" s="65">
        <v>0</v>
      </c>
      <c r="Q83" s="65">
        <v>64</v>
      </c>
      <c r="R83" s="65">
        <v>4</v>
      </c>
      <c r="S83" s="65">
        <v>2</v>
      </c>
      <c r="Z83" t="str">
        <f t="shared" si="3"/>
        <v>21D</v>
      </c>
    </row>
    <row r="84" spans="1:26" ht="15" x14ac:dyDescent="0.25">
      <c r="A84" t="s">
        <v>243</v>
      </c>
      <c r="B84">
        <v>21</v>
      </c>
      <c r="C84" t="s">
        <v>50</v>
      </c>
      <c r="D84" s="65">
        <v>23</v>
      </c>
      <c r="E84" s="65">
        <v>0</v>
      </c>
      <c r="F84" s="65">
        <v>23</v>
      </c>
      <c r="G84" s="65">
        <v>23</v>
      </c>
      <c r="H84" s="65">
        <v>23</v>
      </c>
      <c r="I84" s="65">
        <v>23</v>
      </c>
      <c r="J84" s="65">
        <v>23</v>
      </c>
      <c r="K84" s="65">
        <v>1355.2</v>
      </c>
      <c r="L84" s="65">
        <v>1354.3</v>
      </c>
      <c r="M84" s="65">
        <v>1354.5</v>
      </c>
      <c r="N84" s="65">
        <v>1354.9</v>
      </c>
      <c r="O84" s="65">
        <v>1355.6</v>
      </c>
      <c r="P84" s="65">
        <v>0</v>
      </c>
      <c r="Q84" s="65">
        <v>64</v>
      </c>
      <c r="R84" s="65">
        <v>4</v>
      </c>
      <c r="S84" s="65">
        <v>2</v>
      </c>
      <c r="Z84" t="str">
        <f t="shared" si="3"/>
        <v>21C</v>
      </c>
    </row>
    <row r="85" spans="1:26" ht="15" x14ac:dyDescent="0.25">
      <c r="A85" t="s">
        <v>244</v>
      </c>
      <c r="B85">
        <v>21</v>
      </c>
      <c r="C85" t="s">
        <v>51</v>
      </c>
      <c r="D85" s="65">
        <v>23</v>
      </c>
      <c r="E85" s="65">
        <v>0</v>
      </c>
      <c r="F85" s="65">
        <v>23</v>
      </c>
      <c r="G85" s="65">
        <v>23</v>
      </c>
      <c r="H85" s="65">
        <v>23</v>
      </c>
      <c r="I85" s="65">
        <v>23</v>
      </c>
      <c r="J85" s="65">
        <v>23</v>
      </c>
      <c r="K85" s="65">
        <v>1354.9</v>
      </c>
      <c r="L85" s="65">
        <v>1355.8</v>
      </c>
      <c r="M85" s="65">
        <v>1355.6</v>
      </c>
      <c r="N85" s="65">
        <v>1354.3</v>
      </c>
      <c r="O85" s="65">
        <v>1355.9</v>
      </c>
      <c r="P85" s="65">
        <v>0</v>
      </c>
      <c r="Q85" s="65">
        <v>64</v>
      </c>
      <c r="R85" s="65">
        <v>4</v>
      </c>
      <c r="S85" s="65">
        <v>2</v>
      </c>
      <c r="Z85" t="str">
        <f t="shared" si="3"/>
        <v>21B</v>
      </c>
    </row>
    <row r="86" spans="1:26" ht="15" x14ac:dyDescent="0.25">
      <c r="A86" t="s">
        <v>245</v>
      </c>
      <c r="B86">
        <v>21</v>
      </c>
      <c r="C86" t="s">
        <v>52</v>
      </c>
      <c r="D86" s="65">
        <v>23</v>
      </c>
      <c r="E86" s="65">
        <v>0</v>
      </c>
      <c r="F86" s="65">
        <v>23</v>
      </c>
      <c r="G86" s="65">
        <v>23</v>
      </c>
      <c r="H86" s="65">
        <v>23</v>
      </c>
      <c r="I86" s="65">
        <v>23</v>
      </c>
      <c r="J86" s="65">
        <v>23</v>
      </c>
      <c r="K86" s="65">
        <v>1355.9</v>
      </c>
      <c r="L86" s="65">
        <v>1358.3</v>
      </c>
      <c r="M86" s="65">
        <v>1357</v>
      </c>
      <c r="N86" s="65">
        <v>1356</v>
      </c>
      <c r="O86" s="65">
        <v>1358</v>
      </c>
      <c r="P86" s="65">
        <v>0</v>
      </c>
      <c r="Q86" s="65">
        <v>576</v>
      </c>
      <c r="R86" s="65">
        <v>5</v>
      </c>
      <c r="S86" s="65">
        <v>2</v>
      </c>
      <c r="Z86" t="str">
        <f t="shared" si="3"/>
        <v>21A</v>
      </c>
    </row>
    <row r="87" spans="1:26" ht="15" x14ac:dyDescent="0.25">
      <c r="A87" t="s">
        <v>246</v>
      </c>
      <c r="B87">
        <v>22</v>
      </c>
      <c r="C87" t="s">
        <v>49</v>
      </c>
      <c r="D87" s="65" t="s">
        <v>104</v>
      </c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>
        <v>0</v>
      </c>
      <c r="Q87" s="65"/>
      <c r="R87" s="65"/>
      <c r="S87" s="65"/>
      <c r="Z87" t="str">
        <f t="shared" si="3"/>
        <v>22D</v>
      </c>
    </row>
    <row r="88" spans="1:26" ht="15" x14ac:dyDescent="0.25">
      <c r="A88" t="s">
        <v>247</v>
      </c>
      <c r="B88">
        <v>22</v>
      </c>
      <c r="C88" t="s">
        <v>50</v>
      </c>
      <c r="D88" s="65" t="s">
        <v>104</v>
      </c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>
        <v>0</v>
      </c>
      <c r="Q88" s="65"/>
      <c r="R88" s="65"/>
      <c r="S88" s="65"/>
      <c r="Z88" t="str">
        <f t="shared" si="3"/>
        <v>22C</v>
      </c>
    </row>
    <row r="89" spans="1:26" ht="15" x14ac:dyDescent="0.25">
      <c r="A89" t="s">
        <v>248</v>
      </c>
      <c r="B89">
        <v>22</v>
      </c>
      <c r="C89" t="s">
        <v>51</v>
      </c>
      <c r="D89" s="65" t="s">
        <v>104</v>
      </c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>
        <v>0</v>
      </c>
      <c r="Q89" s="65"/>
      <c r="R89" s="65"/>
      <c r="S89" s="65"/>
      <c r="Z89" t="str">
        <f t="shared" si="3"/>
        <v>22B</v>
      </c>
    </row>
    <row r="90" spans="1:26" ht="15" x14ac:dyDescent="0.25">
      <c r="A90" t="s">
        <v>249</v>
      </c>
      <c r="B90">
        <v>22</v>
      </c>
      <c r="C90" t="s">
        <v>52</v>
      </c>
      <c r="D90" s="65" t="s">
        <v>104</v>
      </c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>
        <v>0</v>
      </c>
      <c r="Q90" s="65"/>
      <c r="R90" s="65"/>
      <c r="S90" s="65"/>
      <c r="Z90" t="str">
        <f t="shared" si="3"/>
        <v>22A</v>
      </c>
    </row>
    <row r="91" spans="1:26" ht="15" x14ac:dyDescent="0.25">
      <c r="A91" t="s">
        <v>250</v>
      </c>
      <c r="B91">
        <v>23</v>
      </c>
      <c r="C91" t="s">
        <v>49</v>
      </c>
      <c r="D91" s="65">
        <v>23</v>
      </c>
      <c r="E91" s="65">
        <v>0</v>
      </c>
      <c r="F91" s="65">
        <v>23</v>
      </c>
      <c r="G91" s="65">
        <v>23</v>
      </c>
      <c r="H91" s="65">
        <v>23</v>
      </c>
      <c r="I91" s="65">
        <v>23</v>
      </c>
      <c r="J91" s="65">
        <v>23</v>
      </c>
      <c r="K91" s="65">
        <v>1356.6</v>
      </c>
      <c r="L91" s="65">
        <v>1357</v>
      </c>
      <c r="M91" s="65">
        <v>1356.6</v>
      </c>
      <c r="N91" s="65">
        <v>1356.4</v>
      </c>
      <c r="O91" s="65">
        <v>1355.2</v>
      </c>
      <c r="P91" s="65">
        <v>0</v>
      </c>
      <c r="Q91" s="65">
        <v>0</v>
      </c>
      <c r="R91" s="65">
        <v>1</v>
      </c>
      <c r="S91" s="65">
        <v>2</v>
      </c>
      <c r="Z91" t="str">
        <f t="shared" si="3"/>
        <v>23D</v>
      </c>
    </row>
    <row r="92" spans="1:26" ht="15" x14ac:dyDescent="0.25">
      <c r="A92" t="s">
        <v>251</v>
      </c>
      <c r="B92">
        <v>23</v>
      </c>
      <c r="C92" t="s">
        <v>50</v>
      </c>
      <c r="D92" s="65">
        <v>23</v>
      </c>
      <c r="E92" s="65">
        <v>0</v>
      </c>
      <c r="F92" s="65">
        <v>23</v>
      </c>
      <c r="G92" s="65">
        <v>23</v>
      </c>
      <c r="H92" s="65">
        <v>23</v>
      </c>
      <c r="I92" s="65">
        <v>23</v>
      </c>
      <c r="J92" s="65">
        <v>23</v>
      </c>
      <c r="K92" s="65">
        <v>1355.1</v>
      </c>
      <c r="L92" s="65">
        <v>1356.2</v>
      </c>
      <c r="M92" s="65">
        <v>1355.7</v>
      </c>
      <c r="N92" s="65">
        <v>1355.6</v>
      </c>
      <c r="O92" s="65">
        <v>1355.5</v>
      </c>
      <c r="P92" s="65">
        <v>0</v>
      </c>
      <c r="Q92" s="65">
        <v>0</v>
      </c>
      <c r="R92" s="65">
        <v>1</v>
      </c>
      <c r="S92" s="65">
        <v>2</v>
      </c>
      <c r="Z92" t="str">
        <f t="shared" si="3"/>
        <v>23C</v>
      </c>
    </row>
    <row r="93" spans="1:26" ht="15" x14ac:dyDescent="0.25">
      <c r="A93" t="s">
        <v>252</v>
      </c>
      <c r="B93">
        <v>23</v>
      </c>
      <c r="C93" t="s">
        <v>51</v>
      </c>
      <c r="D93" s="65">
        <v>23</v>
      </c>
      <c r="E93" s="65">
        <v>0</v>
      </c>
      <c r="F93" s="65">
        <v>23</v>
      </c>
      <c r="G93" s="65">
        <v>23</v>
      </c>
      <c r="H93" s="65">
        <v>23</v>
      </c>
      <c r="I93" s="65">
        <v>23</v>
      </c>
      <c r="J93" s="65">
        <v>23</v>
      </c>
      <c r="K93" s="65">
        <v>1354.9</v>
      </c>
      <c r="L93" s="65">
        <v>1356.3</v>
      </c>
      <c r="M93" s="65">
        <v>1355.9</v>
      </c>
      <c r="N93" s="65">
        <v>1356.7</v>
      </c>
      <c r="O93" s="65">
        <v>1354.8</v>
      </c>
      <c r="P93" s="65">
        <v>0</v>
      </c>
      <c r="Q93" s="65">
        <v>0</v>
      </c>
      <c r="R93" s="65">
        <v>1</v>
      </c>
      <c r="S93" s="65">
        <v>2</v>
      </c>
      <c r="Z93" t="str">
        <f t="shared" si="3"/>
        <v>23B</v>
      </c>
    </row>
    <row r="94" spans="1:26" ht="15" x14ac:dyDescent="0.25">
      <c r="A94" t="s">
        <v>253</v>
      </c>
      <c r="B94">
        <v>23</v>
      </c>
      <c r="C94" t="s">
        <v>52</v>
      </c>
      <c r="D94" s="65">
        <v>22.9</v>
      </c>
      <c r="E94" s="65">
        <v>0</v>
      </c>
      <c r="F94" s="65">
        <v>22.9</v>
      </c>
      <c r="G94" s="65">
        <v>22.9</v>
      </c>
      <c r="H94" s="65">
        <v>23</v>
      </c>
      <c r="I94" s="65">
        <v>22.9</v>
      </c>
      <c r="J94" s="65">
        <v>23</v>
      </c>
      <c r="K94" s="65">
        <v>1356.1</v>
      </c>
      <c r="L94" s="65">
        <v>1355.6</v>
      </c>
      <c r="M94" s="65">
        <v>1355.4</v>
      </c>
      <c r="N94" s="65">
        <v>1355.9</v>
      </c>
      <c r="O94" s="65">
        <v>1353.9</v>
      </c>
      <c r="P94" s="65">
        <v>0</v>
      </c>
      <c r="Q94" s="65">
        <v>512</v>
      </c>
      <c r="R94" s="65">
        <v>5</v>
      </c>
      <c r="S94" s="65">
        <v>2</v>
      </c>
      <c r="Z94" t="str">
        <f t="shared" si="3"/>
        <v>23A</v>
      </c>
    </row>
    <row r="95" spans="1:26" ht="15" x14ac:dyDescent="0.25">
      <c r="A95" t="s">
        <v>254</v>
      </c>
      <c r="B95">
        <v>24</v>
      </c>
      <c r="C95" t="s">
        <v>49</v>
      </c>
      <c r="D95" s="65">
        <v>23</v>
      </c>
      <c r="E95" s="65">
        <v>0</v>
      </c>
      <c r="F95" s="65">
        <v>23</v>
      </c>
      <c r="G95" s="65">
        <v>23</v>
      </c>
      <c r="H95" s="65">
        <v>23</v>
      </c>
      <c r="I95" s="65">
        <v>23</v>
      </c>
      <c r="J95" s="65">
        <v>23</v>
      </c>
      <c r="K95" s="65">
        <v>1356.5</v>
      </c>
      <c r="L95" s="65">
        <v>1355.6</v>
      </c>
      <c r="M95" s="65">
        <v>1342.7</v>
      </c>
      <c r="N95" s="65">
        <v>1355.6</v>
      </c>
      <c r="O95" s="65">
        <v>1356.2</v>
      </c>
      <c r="P95" s="65">
        <v>0</v>
      </c>
      <c r="Q95" s="65">
        <v>0</v>
      </c>
      <c r="R95" s="65">
        <v>1</v>
      </c>
      <c r="S95" s="65">
        <v>2</v>
      </c>
      <c r="Z95" t="str">
        <f t="shared" si="3"/>
        <v>24D</v>
      </c>
    </row>
    <row r="96" spans="1:26" ht="15" x14ac:dyDescent="0.25">
      <c r="A96" t="s">
        <v>255</v>
      </c>
      <c r="B96">
        <v>24</v>
      </c>
      <c r="C96" t="s">
        <v>50</v>
      </c>
      <c r="D96" s="65">
        <v>23</v>
      </c>
      <c r="E96" s="65">
        <v>0</v>
      </c>
      <c r="F96" s="65">
        <v>23</v>
      </c>
      <c r="G96" s="65">
        <v>23</v>
      </c>
      <c r="H96" s="65">
        <v>23</v>
      </c>
      <c r="I96" s="65">
        <v>23</v>
      </c>
      <c r="J96" s="65">
        <v>23</v>
      </c>
      <c r="K96" s="65">
        <v>1354.7</v>
      </c>
      <c r="L96" s="65">
        <v>1356.1</v>
      </c>
      <c r="M96" s="65">
        <v>1355.1</v>
      </c>
      <c r="N96" s="65">
        <v>1356.3</v>
      </c>
      <c r="O96" s="65">
        <v>1355.5</v>
      </c>
      <c r="P96" s="65">
        <v>0</v>
      </c>
      <c r="Q96" s="65">
        <v>0</v>
      </c>
      <c r="R96" s="65">
        <v>1</v>
      </c>
      <c r="S96" s="65">
        <v>2</v>
      </c>
      <c r="Z96" t="str">
        <f t="shared" si="3"/>
        <v>24C</v>
      </c>
    </row>
    <row r="97" spans="1:26" ht="15" x14ac:dyDescent="0.25">
      <c r="A97" t="s">
        <v>256</v>
      </c>
      <c r="B97">
        <v>24</v>
      </c>
      <c r="C97" t="s">
        <v>51</v>
      </c>
      <c r="D97" s="65">
        <v>22.9</v>
      </c>
      <c r="E97" s="65">
        <v>0</v>
      </c>
      <c r="F97" s="65">
        <v>23</v>
      </c>
      <c r="G97" s="65">
        <v>22.9</v>
      </c>
      <c r="H97" s="65">
        <v>23</v>
      </c>
      <c r="I97" s="65">
        <v>22.9</v>
      </c>
      <c r="J97" s="65">
        <v>23</v>
      </c>
      <c r="K97" s="65">
        <v>1353.3</v>
      </c>
      <c r="L97" s="65">
        <v>1356.8</v>
      </c>
      <c r="M97" s="65">
        <v>1355.7</v>
      </c>
      <c r="N97" s="65">
        <v>1356.5</v>
      </c>
      <c r="O97" s="65">
        <v>1355.2</v>
      </c>
      <c r="P97" s="65">
        <v>0</v>
      </c>
      <c r="Q97" s="65">
        <v>0</v>
      </c>
      <c r="R97" s="65">
        <v>1</v>
      </c>
      <c r="S97" s="65">
        <v>2</v>
      </c>
      <c r="Z97" t="str">
        <f t="shared" si="3"/>
        <v>24B</v>
      </c>
    </row>
    <row r="98" spans="1:26" ht="15" x14ac:dyDescent="0.25">
      <c r="A98" t="s">
        <v>257</v>
      </c>
      <c r="B98">
        <v>24</v>
      </c>
      <c r="C98" t="s">
        <v>52</v>
      </c>
      <c r="D98" s="65">
        <v>23</v>
      </c>
      <c r="E98" s="65">
        <v>0</v>
      </c>
      <c r="F98" s="65">
        <v>23</v>
      </c>
      <c r="G98" s="65">
        <v>23</v>
      </c>
      <c r="H98" s="65">
        <v>23</v>
      </c>
      <c r="I98" s="65">
        <v>23</v>
      </c>
      <c r="J98" s="65">
        <v>23</v>
      </c>
      <c r="K98" s="65">
        <v>1355.8</v>
      </c>
      <c r="L98" s="65">
        <v>1356.1</v>
      </c>
      <c r="M98" s="65">
        <v>1356.4</v>
      </c>
      <c r="N98" s="65">
        <v>1355.3</v>
      </c>
      <c r="O98" s="65">
        <v>1355.5</v>
      </c>
      <c r="P98" s="65">
        <v>0</v>
      </c>
      <c r="Q98" s="65">
        <v>512</v>
      </c>
      <c r="R98" s="65">
        <v>5</v>
      </c>
      <c r="S98" s="65">
        <v>2</v>
      </c>
      <c r="Z98" t="str">
        <f t="shared" si="3"/>
        <v>24A</v>
      </c>
    </row>
    <row r="99" spans="1:26" ht="15" x14ac:dyDescent="0.25">
      <c r="A99" t="s">
        <v>258</v>
      </c>
      <c r="B99">
        <v>25</v>
      </c>
      <c r="C99" t="s">
        <v>49</v>
      </c>
      <c r="D99" s="65">
        <v>23</v>
      </c>
      <c r="E99" s="65">
        <v>0</v>
      </c>
      <c r="F99" s="65">
        <v>23</v>
      </c>
      <c r="G99" s="65">
        <v>23</v>
      </c>
      <c r="H99" s="65">
        <v>23</v>
      </c>
      <c r="I99" s="65">
        <v>23</v>
      </c>
      <c r="J99" s="65">
        <v>23</v>
      </c>
      <c r="K99" s="65">
        <v>1356.5</v>
      </c>
      <c r="L99" s="65">
        <v>1355.3</v>
      </c>
      <c r="M99" s="65">
        <v>1353.4</v>
      </c>
      <c r="N99" s="65">
        <v>1356</v>
      </c>
      <c r="O99" s="65">
        <v>1356.2</v>
      </c>
      <c r="P99" s="65">
        <v>0</v>
      </c>
      <c r="Q99" s="65">
        <v>640</v>
      </c>
      <c r="R99" s="65">
        <v>5</v>
      </c>
      <c r="S99" s="65">
        <v>2</v>
      </c>
      <c r="Z99" t="str">
        <f t="shared" si="3"/>
        <v>25D</v>
      </c>
    </row>
    <row r="100" spans="1:26" ht="15" x14ac:dyDescent="0.25">
      <c r="A100" t="s">
        <v>259</v>
      </c>
      <c r="B100">
        <v>25</v>
      </c>
      <c r="C100" t="s">
        <v>50</v>
      </c>
      <c r="D100" s="65">
        <v>22.9</v>
      </c>
      <c r="E100" s="65">
        <v>0</v>
      </c>
      <c r="F100" s="65">
        <v>23</v>
      </c>
      <c r="G100" s="65">
        <v>23</v>
      </c>
      <c r="H100" s="65">
        <v>23</v>
      </c>
      <c r="I100" s="65">
        <v>23</v>
      </c>
      <c r="J100" s="65">
        <v>22.9</v>
      </c>
      <c r="K100" s="65">
        <v>1348.9</v>
      </c>
      <c r="L100" s="65">
        <v>1356</v>
      </c>
      <c r="M100" s="65">
        <v>1355</v>
      </c>
      <c r="N100" s="65">
        <v>1354.9</v>
      </c>
      <c r="O100" s="65">
        <v>1356.3</v>
      </c>
      <c r="P100" s="65">
        <v>0</v>
      </c>
      <c r="Q100" s="65">
        <v>640</v>
      </c>
      <c r="R100" s="65">
        <v>5</v>
      </c>
      <c r="S100" s="65">
        <v>2</v>
      </c>
      <c r="Z100" t="str">
        <f t="shared" si="3"/>
        <v>25C</v>
      </c>
    </row>
    <row r="101" spans="1:26" ht="15" x14ac:dyDescent="0.25">
      <c r="A101" t="s">
        <v>260</v>
      </c>
      <c r="B101">
        <v>25</v>
      </c>
      <c r="C101" t="s">
        <v>51</v>
      </c>
      <c r="D101" s="65">
        <v>23</v>
      </c>
      <c r="E101" s="65">
        <v>0</v>
      </c>
      <c r="F101" s="65">
        <v>23</v>
      </c>
      <c r="G101" s="65">
        <v>23</v>
      </c>
      <c r="H101" s="65">
        <v>23</v>
      </c>
      <c r="I101" s="65">
        <v>23</v>
      </c>
      <c r="J101" s="65">
        <v>23</v>
      </c>
      <c r="K101" s="65">
        <v>1354.3</v>
      </c>
      <c r="L101" s="65">
        <v>1355.1</v>
      </c>
      <c r="M101" s="65">
        <v>1354.4</v>
      </c>
      <c r="N101" s="65">
        <v>1355</v>
      </c>
      <c r="O101" s="65">
        <v>1355.9</v>
      </c>
      <c r="P101" s="65">
        <v>0</v>
      </c>
      <c r="Q101" s="65">
        <v>640</v>
      </c>
      <c r="R101" s="65">
        <v>5</v>
      </c>
      <c r="S101" s="65">
        <v>2</v>
      </c>
      <c r="Z101" t="str">
        <f t="shared" si="3"/>
        <v>25B</v>
      </c>
    </row>
    <row r="102" spans="1:26" ht="15" x14ac:dyDescent="0.25">
      <c r="A102" t="s">
        <v>261</v>
      </c>
      <c r="B102">
        <v>25</v>
      </c>
      <c r="C102" t="s">
        <v>52</v>
      </c>
      <c r="D102" s="65">
        <v>23</v>
      </c>
      <c r="E102" s="65">
        <v>0</v>
      </c>
      <c r="F102" s="65">
        <v>23</v>
      </c>
      <c r="G102" s="65">
        <v>23</v>
      </c>
      <c r="H102" s="65">
        <v>23</v>
      </c>
      <c r="I102" s="65">
        <v>23</v>
      </c>
      <c r="J102" s="65">
        <v>23</v>
      </c>
      <c r="K102" s="65">
        <v>1357.2</v>
      </c>
      <c r="L102" s="65">
        <v>1355.8</v>
      </c>
      <c r="M102" s="65">
        <v>1356.5</v>
      </c>
      <c r="N102" s="65">
        <v>1356.4</v>
      </c>
      <c r="O102" s="65">
        <v>1355.8</v>
      </c>
      <c r="P102" s="65">
        <v>0</v>
      </c>
      <c r="Q102" s="65">
        <v>640</v>
      </c>
      <c r="R102" s="65">
        <v>5</v>
      </c>
      <c r="S102" s="65">
        <v>2</v>
      </c>
      <c r="Z102" t="str">
        <f t="shared" si="3"/>
        <v>25A</v>
      </c>
    </row>
    <row r="103" spans="1:26" ht="15" x14ac:dyDescent="0.25">
      <c r="A103" t="s">
        <v>262</v>
      </c>
      <c r="B103">
        <v>26</v>
      </c>
      <c r="C103" t="s">
        <v>49</v>
      </c>
      <c r="D103" s="65">
        <v>22.9</v>
      </c>
      <c r="E103" s="65">
        <v>0</v>
      </c>
      <c r="F103" s="65">
        <v>23</v>
      </c>
      <c r="G103" s="65">
        <v>22.9</v>
      </c>
      <c r="H103" s="65">
        <v>23</v>
      </c>
      <c r="I103" s="65">
        <v>23</v>
      </c>
      <c r="J103" s="65">
        <v>23</v>
      </c>
      <c r="K103" s="65">
        <v>1356.1</v>
      </c>
      <c r="L103" s="65">
        <v>1355</v>
      </c>
      <c r="M103" s="65">
        <v>1356.2</v>
      </c>
      <c r="N103" s="65">
        <v>1356.2</v>
      </c>
      <c r="O103" s="65">
        <v>1356.3</v>
      </c>
      <c r="P103" s="65">
        <v>0</v>
      </c>
      <c r="Q103" s="65">
        <v>576</v>
      </c>
      <c r="R103" s="65">
        <v>5</v>
      </c>
      <c r="S103" s="65">
        <v>2</v>
      </c>
      <c r="Z103" t="str">
        <f t="shared" si="3"/>
        <v>26D</v>
      </c>
    </row>
    <row r="104" spans="1:26" ht="15" x14ac:dyDescent="0.25">
      <c r="A104" t="s">
        <v>263</v>
      </c>
      <c r="B104">
        <v>26</v>
      </c>
      <c r="C104" t="s">
        <v>50</v>
      </c>
      <c r="D104" s="65">
        <v>22.9</v>
      </c>
      <c r="E104" s="65">
        <v>0</v>
      </c>
      <c r="F104" s="65">
        <v>22.9</v>
      </c>
      <c r="G104" s="65">
        <v>22.9</v>
      </c>
      <c r="H104" s="65">
        <v>23</v>
      </c>
      <c r="I104" s="65">
        <v>23</v>
      </c>
      <c r="J104" s="65">
        <v>23</v>
      </c>
      <c r="K104" s="65">
        <v>1356</v>
      </c>
      <c r="L104" s="65">
        <v>1354.9</v>
      </c>
      <c r="M104" s="65">
        <v>1355.9</v>
      </c>
      <c r="N104" s="65">
        <v>1355.5</v>
      </c>
      <c r="O104" s="65">
        <v>1354.3</v>
      </c>
      <c r="P104" s="65">
        <v>0</v>
      </c>
      <c r="Q104" s="65">
        <v>576</v>
      </c>
      <c r="R104" s="65">
        <v>5</v>
      </c>
      <c r="S104" s="65">
        <v>2</v>
      </c>
      <c r="Z104" t="str">
        <f t="shared" si="3"/>
        <v>26C</v>
      </c>
    </row>
    <row r="105" spans="1:26" ht="15" x14ac:dyDescent="0.25">
      <c r="A105" t="s">
        <v>264</v>
      </c>
      <c r="B105">
        <v>26</v>
      </c>
      <c r="C105" t="s">
        <v>51</v>
      </c>
      <c r="D105" s="65">
        <v>23</v>
      </c>
      <c r="E105" s="65">
        <v>0</v>
      </c>
      <c r="F105" s="65">
        <v>23</v>
      </c>
      <c r="G105" s="65">
        <v>23</v>
      </c>
      <c r="H105" s="65">
        <v>23</v>
      </c>
      <c r="I105" s="65">
        <v>23</v>
      </c>
      <c r="J105" s="65">
        <v>23</v>
      </c>
      <c r="K105" s="65">
        <v>1356.7</v>
      </c>
      <c r="L105" s="65">
        <v>1356.6</v>
      </c>
      <c r="M105" s="65">
        <v>1356.5</v>
      </c>
      <c r="N105" s="65">
        <v>1357.5</v>
      </c>
      <c r="O105" s="65">
        <v>1356.5</v>
      </c>
      <c r="P105" s="65">
        <v>0</v>
      </c>
      <c r="Q105" s="65">
        <v>576</v>
      </c>
      <c r="R105" s="65">
        <v>5</v>
      </c>
      <c r="S105" s="65">
        <v>2</v>
      </c>
      <c r="Z105" t="str">
        <f t="shared" si="3"/>
        <v>26B</v>
      </c>
    </row>
    <row r="106" spans="1:26" ht="15" x14ac:dyDescent="0.25">
      <c r="A106" t="s">
        <v>265</v>
      </c>
      <c r="B106">
        <v>26</v>
      </c>
      <c r="C106" t="s">
        <v>52</v>
      </c>
      <c r="D106" s="65">
        <v>22.9</v>
      </c>
      <c r="E106" s="65">
        <v>0</v>
      </c>
      <c r="F106" s="65">
        <v>23</v>
      </c>
      <c r="G106" s="65">
        <v>22.9</v>
      </c>
      <c r="H106" s="65">
        <v>23</v>
      </c>
      <c r="I106" s="65">
        <v>23</v>
      </c>
      <c r="J106" s="65">
        <v>23</v>
      </c>
      <c r="K106" s="65">
        <v>1354.8</v>
      </c>
      <c r="L106" s="65">
        <v>1357</v>
      </c>
      <c r="M106" s="65">
        <v>1356.1</v>
      </c>
      <c r="N106" s="65">
        <v>1356.2</v>
      </c>
      <c r="O106" s="65">
        <v>1355.2</v>
      </c>
      <c r="P106" s="65">
        <v>0</v>
      </c>
      <c r="Q106" s="65">
        <v>576</v>
      </c>
      <c r="R106" s="65">
        <v>5</v>
      </c>
      <c r="S106" s="65">
        <v>2</v>
      </c>
      <c r="Z106" t="str">
        <f t="shared" si="3"/>
        <v>26A</v>
      </c>
    </row>
    <row r="107" spans="1:26" ht="15" x14ac:dyDescent="0.25">
      <c r="A107" t="s">
        <v>266</v>
      </c>
      <c r="B107">
        <v>27</v>
      </c>
      <c r="C107" t="s">
        <v>49</v>
      </c>
      <c r="D107" s="65">
        <v>23</v>
      </c>
      <c r="E107" s="65">
        <v>0</v>
      </c>
      <c r="F107" s="65">
        <v>23</v>
      </c>
      <c r="G107" s="65">
        <v>23</v>
      </c>
      <c r="H107" s="65">
        <v>23</v>
      </c>
      <c r="I107" s="65">
        <v>23</v>
      </c>
      <c r="J107" s="65">
        <v>23</v>
      </c>
      <c r="K107" s="65">
        <v>1357.3</v>
      </c>
      <c r="L107" s="65">
        <v>1356.2</v>
      </c>
      <c r="M107" s="65">
        <v>1357.5</v>
      </c>
      <c r="N107" s="65">
        <v>1356.4</v>
      </c>
      <c r="O107" s="65">
        <v>1354.5</v>
      </c>
      <c r="P107" s="65">
        <v>0</v>
      </c>
      <c r="Q107" s="65">
        <v>4752</v>
      </c>
      <c r="R107" s="65">
        <v>5</v>
      </c>
      <c r="S107" s="65">
        <v>0</v>
      </c>
      <c r="Z107" t="str">
        <f t="shared" si="3"/>
        <v>27D</v>
      </c>
    </row>
    <row r="108" spans="1:26" ht="15" x14ac:dyDescent="0.25">
      <c r="A108" t="s">
        <v>267</v>
      </c>
      <c r="B108">
        <v>27</v>
      </c>
      <c r="C108" t="s">
        <v>50</v>
      </c>
      <c r="D108" s="65">
        <v>23</v>
      </c>
      <c r="E108" s="65">
        <v>0</v>
      </c>
      <c r="F108" s="65">
        <v>23</v>
      </c>
      <c r="G108" s="65">
        <v>23</v>
      </c>
      <c r="H108" s="65">
        <v>23</v>
      </c>
      <c r="I108" s="65">
        <v>23</v>
      </c>
      <c r="J108" s="65">
        <v>23</v>
      </c>
      <c r="K108" s="65">
        <v>1357.2</v>
      </c>
      <c r="L108" s="65">
        <v>1357</v>
      </c>
      <c r="M108" s="65">
        <v>1355.5</v>
      </c>
      <c r="N108" s="65">
        <v>1355.9</v>
      </c>
      <c r="O108" s="65">
        <v>1357.4</v>
      </c>
      <c r="P108" s="65">
        <v>0</v>
      </c>
      <c r="Q108" s="65">
        <v>704</v>
      </c>
      <c r="R108" s="65">
        <v>5</v>
      </c>
      <c r="S108" s="65">
        <v>2</v>
      </c>
      <c r="Z108" t="str">
        <f t="shared" si="3"/>
        <v>27C</v>
      </c>
    </row>
    <row r="109" spans="1:26" ht="15" x14ac:dyDescent="0.25">
      <c r="A109" t="s">
        <v>268</v>
      </c>
      <c r="B109">
        <v>27</v>
      </c>
      <c r="C109" t="s">
        <v>51</v>
      </c>
      <c r="D109" s="65">
        <v>23</v>
      </c>
      <c r="E109" s="65">
        <v>0</v>
      </c>
      <c r="F109" s="65">
        <v>23</v>
      </c>
      <c r="G109" s="65">
        <v>23</v>
      </c>
      <c r="H109" s="65">
        <v>23</v>
      </c>
      <c r="I109" s="65">
        <v>23</v>
      </c>
      <c r="J109" s="65">
        <v>23</v>
      </c>
      <c r="K109" s="65">
        <v>1361.8</v>
      </c>
      <c r="L109" s="65">
        <v>1362.1</v>
      </c>
      <c r="M109" s="65">
        <v>1361.6</v>
      </c>
      <c r="N109" s="65">
        <v>1361.1</v>
      </c>
      <c r="O109" s="65">
        <v>1362</v>
      </c>
      <c r="P109" s="65">
        <v>0</v>
      </c>
      <c r="Q109" s="65">
        <v>640</v>
      </c>
      <c r="R109" s="65">
        <v>5</v>
      </c>
      <c r="S109" s="65">
        <v>2</v>
      </c>
      <c r="Z109" t="str">
        <f t="shared" si="3"/>
        <v>27B</v>
      </c>
    </row>
    <row r="110" spans="1:26" ht="15" x14ac:dyDescent="0.25">
      <c r="A110" t="s">
        <v>269</v>
      </c>
      <c r="B110">
        <v>27</v>
      </c>
      <c r="C110" t="s">
        <v>52</v>
      </c>
      <c r="D110" s="65">
        <v>23</v>
      </c>
      <c r="E110" s="65">
        <v>0</v>
      </c>
      <c r="F110" s="65">
        <v>23</v>
      </c>
      <c r="G110" s="65">
        <v>23</v>
      </c>
      <c r="H110" s="65">
        <v>23</v>
      </c>
      <c r="I110" s="65">
        <v>23</v>
      </c>
      <c r="J110" s="65">
        <v>23</v>
      </c>
      <c r="K110" s="65">
        <v>1356.4</v>
      </c>
      <c r="L110" s="65">
        <v>1355.6</v>
      </c>
      <c r="M110" s="65">
        <v>1356</v>
      </c>
      <c r="N110" s="65">
        <v>1355.9</v>
      </c>
      <c r="O110" s="65">
        <v>1355.8</v>
      </c>
      <c r="P110" s="65">
        <v>0</v>
      </c>
      <c r="Q110" s="65">
        <v>640</v>
      </c>
      <c r="R110" s="65">
        <v>5</v>
      </c>
      <c r="S110" s="65">
        <v>2</v>
      </c>
      <c r="Z110" t="str">
        <f t="shared" si="3"/>
        <v>27A</v>
      </c>
    </row>
    <row r="111" spans="1:26" ht="15" x14ac:dyDescent="0.25">
      <c r="A111" t="s">
        <v>270</v>
      </c>
      <c r="B111">
        <v>28</v>
      </c>
      <c r="C111" t="s">
        <v>49</v>
      </c>
      <c r="D111" s="65" t="s">
        <v>104</v>
      </c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>
        <v>0</v>
      </c>
      <c r="Q111" s="65"/>
      <c r="R111" s="65"/>
      <c r="S111" s="65"/>
      <c r="Z111" t="str">
        <f t="shared" si="3"/>
        <v>28D</v>
      </c>
    </row>
    <row r="112" spans="1:26" ht="15" x14ac:dyDescent="0.25">
      <c r="A112" t="s">
        <v>271</v>
      </c>
      <c r="B112">
        <v>28</v>
      </c>
      <c r="C112" t="s">
        <v>50</v>
      </c>
      <c r="D112" s="65" t="s">
        <v>104</v>
      </c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>
        <v>0</v>
      </c>
      <c r="Q112" s="65"/>
      <c r="R112" s="65"/>
      <c r="S112" s="65"/>
      <c r="Z112" t="str">
        <f t="shared" si="3"/>
        <v>28C</v>
      </c>
    </row>
    <row r="113" spans="1:26" ht="15" x14ac:dyDescent="0.25">
      <c r="A113" t="s">
        <v>272</v>
      </c>
      <c r="B113">
        <v>28</v>
      </c>
      <c r="C113" t="s">
        <v>51</v>
      </c>
      <c r="D113" s="65" t="s">
        <v>104</v>
      </c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>
        <v>0</v>
      </c>
      <c r="Q113" s="65"/>
      <c r="R113" s="65"/>
      <c r="S113" s="65"/>
      <c r="Z113" t="str">
        <f t="shared" si="3"/>
        <v>28B</v>
      </c>
    </row>
    <row r="114" spans="1:26" ht="15" x14ac:dyDescent="0.25">
      <c r="A114" t="s">
        <v>273</v>
      </c>
      <c r="B114">
        <v>28</v>
      </c>
      <c r="C114" t="s">
        <v>52</v>
      </c>
      <c r="D114" s="65" t="s">
        <v>104</v>
      </c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>
        <v>0</v>
      </c>
      <c r="Q114" s="65"/>
      <c r="R114" s="65"/>
      <c r="S114" s="65"/>
      <c r="Z114" t="str">
        <f t="shared" si="3"/>
        <v>28A</v>
      </c>
    </row>
    <row r="115" spans="1:26" ht="15" x14ac:dyDescent="0.25">
      <c r="A115" t="s">
        <v>274</v>
      </c>
      <c r="B115">
        <v>29</v>
      </c>
      <c r="C115" t="s">
        <v>49</v>
      </c>
      <c r="D115" s="65" t="s">
        <v>104</v>
      </c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>
        <v>0</v>
      </c>
      <c r="Q115" s="65"/>
      <c r="R115" s="65"/>
      <c r="S115" s="65"/>
      <c r="Z115" t="str">
        <f t="shared" si="3"/>
        <v>29D</v>
      </c>
    </row>
    <row r="116" spans="1:26" ht="15" x14ac:dyDescent="0.25">
      <c r="A116" t="s">
        <v>275</v>
      </c>
      <c r="B116">
        <v>29</v>
      </c>
      <c r="C116" t="s">
        <v>50</v>
      </c>
      <c r="D116" s="65" t="s">
        <v>104</v>
      </c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>
        <v>0</v>
      </c>
      <c r="Q116" s="65"/>
      <c r="R116" s="65"/>
      <c r="S116" s="65"/>
      <c r="Z116" t="str">
        <f t="shared" si="3"/>
        <v>29C</v>
      </c>
    </row>
    <row r="117" spans="1:26" ht="15" x14ac:dyDescent="0.25">
      <c r="A117" t="s">
        <v>276</v>
      </c>
      <c r="B117">
        <v>29</v>
      </c>
      <c r="C117" t="s">
        <v>51</v>
      </c>
      <c r="D117" s="65" t="s">
        <v>104</v>
      </c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>
        <v>0</v>
      </c>
      <c r="Q117" s="65"/>
      <c r="R117" s="65"/>
      <c r="S117" s="65"/>
      <c r="Z117" t="str">
        <f t="shared" si="3"/>
        <v>29B</v>
      </c>
    </row>
    <row r="118" spans="1:26" ht="15" x14ac:dyDescent="0.25">
      <c r="A118" t="s">
        <v>277</v>
      </c>
      <c r="B118">
        <v>29</v>
      </c>
      <c r="C118" t="s">
        <v>52</v>
      </c>
      <c r="D118" s="65" t="s">
        <v>104</v>
      </c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>
        <v>0</v>
      </c>
      <c r="Q118" s="65"/>
      <c r="R118" s="65"/>
      <c r="S118" s="65"/>
      <c r="Z118" t="str">
        <f t="shared" si="3"/>
        <v>29A</v>
      </c>
    </row>
    <row r="119" spans="1:26" ht="15" x14ac:dyDescent="0.25">
      <c r="A119" t="s">
        <v>278</v>
      </c>
      <c r="B119">
        <v>30</v>
      </c>
      <c r="C119" t="s">
        <v>49</v>
      </c>
      <c r="D119" s="65" t="s">
        <v>104</v>
      </c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>
        <v>0</v>
      </c>
      <c r="Q119" s="65"/>
      <c r="R119" s="65"/>
      <c r="S119" s="65"/>
      <c r="Z119" t="str">
        <f t="shared" si="3"/>
        <v>30D</v>
      </c>
    </row>
    <row r="120" spans="1:26" ht="15" x14ac:dyDescent="0.25">
      <c r="A120" t="s">
        <v>279</v>
      </c>
      <c r="B120">
        <v>30</v>
      </c>
      <c r="C120" t="s">
        <v>50</v>
      </c>
      <c r="D120" s="65" t="s">
        <v>104</v>
      </c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>
        <v>0</v>
      </c>
      <c r="Q120" s="65"/>
      <c r="R120" s="65"/>
      <c r="S120" s="65"/>
      <c r="Z120" t="str">
        <f t="shared" si="3"/>
        <v>30C</v>
      </c>
    </row>
    <row r="121" spans="1:26" ht="15" x14ac:dyDescent="0.25">
      <c r="A121" t="s">
        <v>280</v>
      </c>
      <c r="B121">
        <v>30</v>
      </c>
      <c r="C121" t="s">
        <v>51</v>
      </c>
      <c r="D121" s="65" t="s">
        <v>104</v>
      </c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>
        <v>0</v>
      </c>
      <c r="Q121" s="65"/>
      <c r="R121" s="65"/>
      <c r="S121" s="65"/>
      <c r="Z121" t="str">
        <f t="shared" si="3"/>
        <v>30B</v>
      </c>
    </row>
    <row r="122" spans="1:26" ht="15" x14ac:dyDescent="0.25">
      <c r="A122" t="s">
        <v>281</v>
      </c>
      <c r="B122">
        <v>30</v>
      </c>
      <c r="C122" t="s">
        <v>52</v>
      </c>
      <c r="D122" s="65" t="s">
        <v>104</v>
      </c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>
        <v>0</v>
      </c>
      <c r="Q122" s="65"/>
      <c r="R122" s="65"/>
      <c r="S122" s="65"/>
      <c r="Z122" t="str">
        <f t="shared" si="3"/>
        <v>30A</v>
      </c>
    </row>
    <row r="123" spans="1:26" ht="15" x14ac:dyDescent="0.25">
      <c r="A123" t="s">
        <v>282</v>
      </c>
      <c r="B123">
        <v>31</v>
      </c>
      <c r="C123" t="s">
        <v>49</v>
      </c>
      <c r="D123" s="65" t="s">
        <v>104</v>
      </c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>
        <v>0</v>
      </c>
      <c r="Q123" s="65"/>
      <c r="R123" s="65"/>
      <c r="S123" s="65"/>
      <c r="Z123" t="str">
        <f t="shared" si="3"/>
        <v>31D</v>
      </c>
    </row>
    <row r="124" spans="1:26" ht="15" x14ac:dyDescent="0.25">
      <c r="A124" t="s">
        <v>283</v>
      </c>
      <c r="B124">
        <v>31</v>
      </c>
      <c r="C124" t="s">
        <v>50</v>
      </c>
      <c r="D124" s="65" t="s">
        <v>104</v>
      </c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>
        <v>0</v>
      </c>
      <c r="Q124" s="65"/>
      <c r="R124" s="65"/>
      <c r="S124" s="65"/>
      <c r="Z124" t="str">
        <f t="shared" si="3"/>
        <v>31C</v>
      </c>
    </row>
    <row r="125" spans="1:26" ht="15" x14ac:dyDescent="0.25">
      <c r="A125" t="s">
        <v>284</v>
      </c>
      <c r="B125">
        <v>31</v>
      </c>
      <c r="C125" t="s">
        <v>51</v>
      </c>
      <c r="D125" s="65" t="s">
        <v>104</v>
      </c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>
        <v>0</v>
      </c>
      <c r="Q125" s="65"/>
      <c r="R125" s="65"/>
      <c r="S125" s="65"/>
      <c r="Z125" t="str">
        <f t="shared" si="3"/>
        <v>31B</v>
      </c>
    </row>
    <row r="126" spans="1:26" ht="15" x14ac:dyDescent="0.25">
      <c r="A126" t="s">
        <v>285</v>
      </c>
      <c r="B126">
        <v>31</v>
      </c>
      <c r="C126" t="s">
        <v>52</v>
      </c>
      <c r="D126" s="65" t="s">
        <v>104</v>
      </c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>
        <v>0</v>
      </c>
      <c r="Q126" s="65"/>
      <c r="R126" s="65"/>
      <c r="S126" s="65"/>
      <c r="Z126" t="str">
        <f t="shared" si="3"/>
        <v>31A</v>
      </c>
    </row>
    <row r="127" spans="1:26" ht="15" x14ac:dyDescent="0.25">
      <c r="A127" t="s">
        <v>286</v>
      </c>
      <c r="B127">
        <v>32</v>
      </c>
      <c r="C127" t="s">
        <v>49</v>
      </c>
      <c r="D127" s="65" t="s">
        <v>104</v>
      </c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>
        <v>0</v>
      </c>
      <c r="Q127" s="65"/>
      <c r="R127" s="65"/>
      <c r="S127" s="65"/>
      <c r="Z127" t="str">
        <f t="shared" si="3"/>
        <v>32D</v>
      </c>
    </row>
    <row r="128" spans="1:26" ht="15" x14ac:dyDescent="0.25">
      <c r="A128" t="s">
        <v>287</v>
      </c>
      <c r="B128">
        <v>32</v>
      </c>
      <c r="C128" t="s">
        <v>50</v>
      </c>
      <c r="D128" s="65" t="s">
        <v>104</v>
      </c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>
        <v>0</v>
      </c>
      <c r="Q128" s="65"/>
      <c r="R128" s="65"/>
      <c r="S128" s="65"/>
      <c r="Z128" t="str">
        <f t="shared" si="3"/>
        <v>32C</v>
      </c>
    </row>
    <row r="129" spans="1:26" ht="15" x14ac:dyDescent="0.25">
      <c r="A129" t="s">
        <v>288</v>
      </c>
      <c r="B129">
        <v>32</v>
      </c>
      <c r="C129" t="s">
        <v>51</v>
      </c>
      <c r="D129" s="65" t="s">
        <v>104</v>
      </c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>
        <v>0</v>
      </c>
      <c r="Q129" s="65"/>
      <c r="R129" s="65"/>
      <c r="S129" s="65"/>
      <c r="Z129" t="str">
        <f t="shared" si="3"/>
        <v>32B</v>
      </c>
    </row>
    <row r="130" spans="1:26" ht="15" x14ac:dyDescent="0.25">
      <c r="A130" t="s">
        <v>289</v>
      </c>
      <c r="B130">
        <v>32</v>
      </c>
      <c r="C130" t="s">
        <v>52</v>
      </c>
      <c r="D130" s="65" t="s">
        <v>104</v>
      </c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>
        <v>0</v>
      </c>
      <c r="Q130" s="65"/>
      <c r="R130" s="65"/>
      <c r="S130" s="65"/>
      <c r="Z130" t="str">
        <f t="shared" si="3"/>
        <v>32A</v>
      </c>
    </row>
    <row r="131" spans="1:26" ht="15" x14ac:dyDescent="0.25">
      <c r="A131" t="s">
        <v>290</v>
      </c>
      <c r="B131">
        <v>33</v>
      </c>
      <c r="C131" t="s">
        <v>49</v>
      </c>
      <c r="D131" s="65" t="s">
        <v>104</v>
      </c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>
        <v>0</v>
      </c>
      <c r="Q131" s="65"/>
      <c r="R131" s="65"/>
      <c r="S131" s="65"/>
      <c r="Z131" t="str">
        <f t="shared" si="3"/>
        <v>33D</v>
      </c>
    </row>
    <row r="132" spans="1:26" ht="15" x14ac:dyDescent="0.25">
      <c r="A132" t="s">
        <v>291</v>
      </c>
      <c r="B132">
        <v>33</v>
      </c>
      <c r="C132" t="s">
        <v>50</v>
      </c>
      <c r="D132" s="65" t="s">
        <v>104</v>
      </c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>
        <v>0</v>
      </c>
      <c r="Q132" s="65"/>
      <c r="R132" s="65"/>
      <c r="S132" s="65"/>
      <c r="Z132" t="str">
        <f t="shared" ref="Z132:Z195" si="4">TEXT(B132,"00")&amp;C132</f>
        <v>33C</v>
      </c>
    </row>
    <row r="133" spans="1:26" ht="15" x14ac:dyDescent="0.25">
      <c r="A133" t="s">
        <v>292</v>
      </c>
      <c r="B133">
        <v>33</v>
      </c>
      <c r="C133" t="s">
        <v>51</v>
      </c>
      <c r="D133" s="65" t="s">
        <v>104</v>
      </c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>
        <v>0</v>
      </c>
      <c r="Q133" s="65"/>
      <c r="R133" s="65"/>
      <c r="S133" s="65"/>
      <c r="Z133" t="str">
        <f t="shared" si="4"/>
        <v>33B</v>
      </c>
    </row>
    <row r="134" spans="1:26" ht="15" x14ac:dyDescent="0.25">
      <c r="A134" t="s">
        <v>293</v>
      </c>
      <c r="B134">
        <v>33</v>
      </c>
      <c r="C134" t="s">
        <v>52</v>
      </c>
      <c r="D134" s="65" t="s">
        <v>104</v>
      </c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>
        <v>0</v>
      </c>
      <c r="Q134" s="65"/>
      <c r="R134" s="65"/>
      <c r="S134" s="65"/>
      <c r="Z134" t="str">
        <f t="shared" si="4"/>
        <v>33A</v>
      </c>
    </row>
    <row r="135" spans="1:26" ht="15" x14ac:dyDescent="0.25">
      <c r="A135" t="s">
        <v>294</v>
      </c>
      <c r="B135">
        <v>34</v>
      </c>
      <c r="C135" t="s">
        <v>49</v>
      </c>
      <c r="D135" s="65" t="s">
        <v>104</v>
      </c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>
        <v>0</v>
      </c>
      <c r="Q135" s="65"/>
      <c r="R135" s="65"/>
      <c r="S135" s="65"/>
      <c r="Z135" t="str">
        <f t="shared" si="4"/>
        <v>34D</v>
      </c>
    </row>
    <row r="136" spans="1:26" ht="15" x14ac:dyDescent="0.25">
      <c r="A136" t="s">
        <v>295</v>
      </c>
      <c r="B136">
        <v>34</v>
      </c>
      <c r="C136" t="s">
        <v>50</v>
      </c>
      <c r="D136" s="65" t="s">
        <v>104</v>
      </c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>
        <v>0</v>
      </c>
      <c r="Q136" s="65"/>
      <c r="R136" s="65"/>
      <c r="S136" s="65"/>
      <c r="Z136" t="str">
        <f t="shared" si="4"/>
        <v>34C</v>
      </c>
    </row>
    <row r="137" spans="1:26" ht="15" x14ac:dyDescent="0.25">
      <c r="A137" t="s">
        <v>296</v>
      </c>
      <c r="B137">
        <v>34</v>
      </c>
      <c r="C137" t="s">
        <v>51</v>
      </c>
      <c r="D137" s="65" t="s">
        <v>104</v>
      </c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>
        <v>0</v>
      </c>
      <c r="Q137" s="65"/>
      <c r="R137" s="65"/>
      <c r="S137" s="65"/>
      <c r="Z137" t="str">
        <f t="shared" si="4"/>
        <v>34B</v>
      </c>
    </row>
    <row r="138" spans="1:26" ht="15" x14ac:dyDescent="0.25">
      <c r="A138" t="s">
        <v>297</v>
      </c>
      <c r="B138">
        <v>34</v>
      </c>
      <c r="C138" t="s">
        <v>52</v>
      </c>
      <c r="D138" s="65" t="s">
        <v>104</v>
      </c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>
        <v>0</v>
      </c>
      <c r="Q138" s="65"/>
      <c r="R138" s="65"/>
      <c r="S138" s="65"/>
      <c r="Z138" t="str">
        <f t="shared" si="4"/>
        <v>34A</v>
      </c>
    </row>
    <row r="139" spans="1:26" ht="15" x14ac:dyDescent="0.25">
      <c r="A139" t="s">
        <v>298</v>
      </c>
      <c r="B139">
        <v>35</v>
      </c>
      <c r="C139" t="s">
        <v>49</v>
      </c>
      <c r="D139" s="65" t="s">
        <v>104</v>
      </c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>
        <v>0</v>
      </c>
      <c r="Q139" s="65"/>
      <c r="R139" s="65"/>
      <c r="S139" s="65"/>
      <c r="Z139" t="str">
        <f t="shared" si="4"/>
        <v>35D</v>
      </c>
    </row>
    <row r="140" spans="1:26" ht="15" x14ac:dyDescent="0.25">
      <c r="A140" t="s">
        <v>299</v>
      </c>
      <c r="B140">
        <v>35</v>
      </c>
      <c r="C140" t="s">
        <v>50</v>
      </c>
      <c r="D140" s="65" t="s">
        <v>104</v>
      </c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>
        <v>0</v>
      </c>
      <c r="Q140" s="65"/>
      <c r="R140" s="65"/>
      <c r="S140" s="65"/>
      <c r="Z140" t="str">
        <f t="shared" si="4"/>
        <v>35C</v>
      </c>
    </row>
    <row r="141" spans="1:26" ht="15" x14ac:dyDescent="0.25">
      <c r="A141" t="s">
        <v>300</v>
      </c>
      <c r="B141">
        <v>35</v>
      </c>
      <c r="C141" t="s">
        <v>51</v>
      </c>
      <c r="D141" s="65" t="s">
        <v>104</v>
      </c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>
        <v>0</v>
      </c>
      <c r="Q141" s="65"/>
      <c r="R141" s="65"/>
      <c r="S141" s="65"/>
      <c r="Z141" t="str">
        <f t="shared" si="4"/>
        <v>35B</v>
      </c>
    </row>
    <row r="142" spans="1:26" ht="15" x14ac:dyDescent="0.25">
      <c r="A142" t="s">
        <v>301</v>
      </c>
      <c r="B142">
        <v>35</v>
      </c>
      <c r="C142" t="s">
        <v>52</v>
      </c>
      <c r="D142" s="65" t="s">
        <v>104</v>
      </c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>
        <v>0</v>
      </c>
      <c r="Q142" s="65"/>
      <c r="R142" s="65"/>
      <c r="S142" s="65"/>
      <c r="Z142" t="str">
        <f t="shared" si="4"/>
        <v>35A</v>
      </c>
    </row>
    <row r="143" spans="1:26" ht="15" x14ac:dyDescent="0.25">
      <c r="A143" t="s">
        <v>302</v>
      </c>
      <c r="B143">
        <v>36</v>
      </c>
      <c r="C143" t="s">
        <v>49</v>
      </c>
      <c r="D143" s="65">
        <v>22.5</v>
      </c>
      <c r="E143" s="65">
        <v>0</v>
      </c>
      <c r="F143" s="65">
        <v>22.5</v>
      </c>
      <c r="G143" s="65">
        <v>22.5</v>
      </c>
      <c r="H143" s="65">
        <v>22.6</v>
      </c>
      <c r="I143" s="65">
        <v>22.6</v>
      </c>
      <c r="J143" s="65">
        <v>22.5</v>
      </c>
      <c r="K143" s="65">
        <v>1355.8</v>
      </c>
      <c r="L143" s="65">
        <v>1356.2</v>
      </c>
      <c r="M143" s="65">
        <v>1357.2</v>
      </c>
      <c r="N143" s="65">
        <v>1357.1</v>
      </c>
      <c r="O143" s="65">
        <v>1355.9</v>
      </c>
      <c r="P143" s="65">
        <v>256</v>
      </c>
      <c r="Q143" s="65">
        <v>640</v>
      </c>
      <c r="R143" s="65">
        <v>5</v>
      </c>
      <c r="S143" s="65">
        <v>2</v>
      </c>
      <c r="Z143" t="str">
        <f t="shared" si="4"/>
        <v>36D</v>
      </c>
    </row>
    <row r="144" spans="1:26" ht="15" x14ac:dyDescent="0.25">
      <c r="A144" t="s">
        <v>303</v>
      </c>
      <c r="B144">
        <v>36</v>
      </c>
      <c r="C144" t="s">
        <v>50</v>
      </c>
      <c r="D144" s="65">
        <v>20.9</v>
      </c>
      <c r="E144" s="65">
        <v>0</v>
      </c>
      <c r="F144" s="65">
        <v>22.3</v>
      </c>
      <c r="G144" s="65">
        <v>21.9</v>
      </c>
      <c r="H144" s="65">
        <v>22</v>
      </c>
      <c r="I144" s="65">
        <v>22</v>
      </c>
      <c r="J144" s="65">
        <v>20.6</v>
      </c>
      <c r="K144" s="65">
        <v>1355.4</v>
      </c>
      <c r="L144" s="65">
        <v>1356.8</v>
      </c>
      <c r="M144" s="65">
        <v>1354.3</v>
      </c>
      <c r="N144" s="65">
        <v>1355.4</v>
      </c>
      <c r="O144" s="65">
        <v>1349.3</v>
      </c>
      <c r="P144" s="65">
        <v>256</v>
      </c>
      <c r="Q144" s="65">
        <v>640</v>
      </c>
      <c r="R144" s="65">
        <v>5</v>
      </c>
      <c r="S144" s="65">
        <v>2</v>
      </c>
      <c r="Z144" t="str">
        <f t="shared" si="4"/>
        <v>36C</v>
      </c>
    </row>
    <row r="145" spans="1:26" ht="15" x14ac:dyDescent="0.25">
      <c r="A145" t="s">
        <v>304</v>
      </c>
      <c r="B145">
        <v>36</v>
      </c>
      <c r="C145" t="s">
        <v>51</v>
      </c>
      <c r="D145" s="65">
        <v>21.6</v>
      </c>
      <c r="E145" s="65">
        <v>0</v>
      </c>
      <c r="F145" s="65">
        <v>21.6</v>
      </c>
      <c r="G145" s="65">
        <v>21.9</v>
      </c>
      <c r="H145" s="65">
        <v>21.6</v>
      </c>
      <c r="I145" s="65">
        <v>21.6</v>
      </c>
      <c r="J145" s="65">
        <v>21.8</v>
      </c>
      <c r="K145" s="65">
        <v>1355.8</v>
      </c>
      <c r="L145" s="65">
        <v>1355</v>
      </c>
      <c r="M145" s="65">
        <v>1355.8</v>
      </c>
      <c r="N145" s="65">
        <v>1355.6</v>
      </c>
      <c r="O145" s="65">
        <v>1355.8</v>
      </c>
      <c r="P145" s="65">
        <v>256</v>
      </c>
      <c r="Q145" s="65">
        <v>640</v>
      </c>
      <c r="R145" s="65">
        <v>5</v>
      </c>
      <c r="S145" s="65">
        <v>2</v>
      </c>
      <c r="Z145" t="str">
        <f t="shared" si="4"/>
        <v>36B</v>
      </c>
    </row>
    <row r="146" spans="1:26" ht="15" x14ac:dyDescent="0.25">
      <c r="A146" t="s">
        <v>305</v>
      </c>
      <c r="B146">
        <v>36</v>
      </c>
      <c r="C146" t="s">
        <v>52</v>
      </c>
      <c r="D146" s="65">
        <v>22.1</v>
      </c>
      <c r="E146" s="65">
        <v>0</v>
      </c>
      <c r="F146" s="65">
        <v>22.9</v>
      </c>
      <c r="G146" s="65">
        <v>22.3</v>
      </c>
      <c r="H146" s="65">
        <v>22.3</v>
      </c>
      <c r="I146" s="65">
        <v>21.9</v>
      </c>
      <c r="J146" s="65">
        <v>22.5</v>
      </c>
      <c r="K146" s="65">
        <v>1355.8</v>
      </c>
      <c r="L146" s="65">
        <v>1354.4</v>
      </c>
      <c r="M146" s="65">
        <v>1355.1</v>
      </c>
      <c r="N146" s="65">
        <v>1354.1</v>
      </c>
      <c r="O146" s="65">
        <v>1355.7</v>
      </c>
      <c r="P146" s="65">
        <v>256</v>
      </c>
      <c r="Q146" s="65">
        <v>640</v>
      </c>
      <c r="R146" s="65">
        <v>5</v>
      </c>
      <c r="S146" s="65">
        <v>2</v>
      </c>
      <c r="Z146" t="str">
        <f t="shared" si="4"/>
        <v>36A</v>
      </c>
    </row>
    <row r="147" spans="1:26" ht="15" x14ac:dyDescent="0.25">
      <c r="A147" t="s">
        <v>306</v>
      </c>
      <c r="B147">
        <v>37</v>
      </c>
      <c r="C147" t="s">
        <v>49</v>
      </c>
      <c r="D147" s="65">
        <v>49.5</v>
      </c>
      <c r="E147" s="65">
        <v>0</v>
      </c>
      <c r="F147" s="65">
        <v>51.2</v>
      </c>
      <c r="G147" s="65">
        <v>50.1</v>
      </c>
      <c r="H147" s="65">
        <v>48.1</v>
      </c>
      <c r="I147" s="65">
        <v>48</v>
      </c>
      <c r="J147" s="65">
        <v>48.6</v>
      </c>
      <c r="K147" s="65">
        <v>1370.9</v>
      </c>
      <c r="L147" s="65">
        <v>1370.8</v>
      </c>
      <c r="M147" s="65">
        <v>1370.5</v>
      </c>
      <c r="N147" s="65">
        <v>1371.1</v>
      </c>
      <c r="O147" s="65">
        <v>1371.8</v>
      </c>
      <c r="P147" s="65">
        <v>0</v>
      </c>
      <c r="Q147" s="65">
        <v>0</v>
      </c>
      <c r="R147" s="65">
        <v>1</v>
      </c>
      <c r="S147" s="65">
        <v>2</v>
      </c>
      <c r="Z147" t="str">
        <f t="shared" si="4"/>
        <v>37D</v>
      </c>
    </row>
    <row r="148" spans="1:26" ht="15" x14ac:dyDescent="0.25">
      <c r="A148" t="s">
        <v>307</v>
      </c>
      <c r="B148">
        <v>37</v>
      </c>
      <c r="C148" t="s">
        <v>50</v>
      </c>
      <c r="D148" s="65">
        <v>42.5</v>
      </c>
      <c r="E148" s="65">
        <v>0</v>
      </c>
      <c r="F148" s="65">
        <v>50.1</v>
      </c>
      <c r="G148" s="65">
        <v>48.2</v>
      </c>
      <c r="H148" s="65">
        <v>38.200000000000003</v>
      </c>
      <c r="I148" s="65">
        <v>48.9</v>
      </c>
      <c r="J148" s="65">
        <v>37</v>
      </c>
      <c r="K148" s="65">
        <v>1370.6</v>
      </c>
      <c r="L148" s="65">
        <v>1369.5</v>
      </c>
      <c r="M148" s="65">
        <v>1370.3</v>
      </c>
      <c r="N148" s="65">
        <v>1370.7</v>
      </c>
      <c r="O148" s="65">
        <v>1370.7</v>
      </c>
      <c r="P148" s="65">
        <v>0</v>
      </c>
      <c r="Q148" s="65">
        <v>0</v>
      </c>
      <c r="R148" s="65">
        <v>1</v>
      </c>
      <c r="S148" s="65">
        <v>2</v>
      </c>
      <c r="Z148" t="str">
        <f t="shared" si="4"/>
        <v>37C</v>
      </c>
    </row>
    <row r="149" spans="1:26" ht="15" x14ac:dyDescent="0.25">
      <c r="A149" t="s">
        <v>308</v>
      </c>
      <c r="B149">
        <v>37</v>
      </c>
      <c r="C149" t="s">
        <v>51</v>
      </c>
      <c r="D149" s="65">
        <v>42.2</v>
      </c>
      <c r="E149" s="65">
        <v>0</v>
      </c>
      <c r="F149" s="65">
        <v>49.5</v>
      </c>
      <c r="G149" s="65">
        <v>37</v>
      </c>
      <c r="H149" s="65">
        <v>48.8</v>
      </c>
      <c r="I149" s="65">
        <v>49</v>
      </c>
      <c r="J149" s="65">
        <v>47.1</v>
      </c>
      <c r="K149" s="65">
        <v>1370.7</v>
      </c>
      <c r="L149" s="65">
        <v>1370.5</v>
      </c>
      <c r="M149" s="65">
        <v>1370.9</v>
      </c>
      <c r="N149" s="65">
        <v>1370.6</v>
      </c>
      <c r="O149" s="65">
        <v>1370.4</v>
      </c>
      <c r="P149" s="65">
        <v>0</v>
      </c>
      <c r="Q149" s="65">
        <v>0</v>
      </c>
      <c r="R149" s="65">
        <v>1</v>
      </c>
      <c r="S149" s="65">
        <v>2</v>
      </c>
      <c r="Z149" t="str">
        <f t="shared" si="4"/>
        <v>37B</v>
      </c>
    </row>
    <row r="150" spans="1:26" ht="15" x14ac:dyDescent="0.25">
      <c r="A150" t="s">
        <v>309</v>
      </c>
      <c r="B150">
        <v>37</v>
      </c>
      <c r="C150" t="s">
        <v>52</v>
      </c>
      <c r="D150" s="65">
        <v>48.6</v>
      </c>
      <c r="E150" s="65">
        <v>0</v>
      </c>
      <c r="F150" s="65">
        <v>49.6</v>
      </c>
      <c r="G150" s="65">
        <v>48</v>
      </c>
      <c r="H150" s="65">
        <v>48</v>
      </c>
      <c r="I150" s="65">
        <v>47.7</v>
      </c>
      <c r="J150" s="65">
        <v>48.1</v>
      </c>
      <c r="K150" s="65">
        <v>1369.6</v>
      </c>
      <c r="L150" s="65">
        <v>1369.1</v>
      </c>
      <c r="M150" s="65">
        <v>1370</v>
      </c>
      <c r="N150" s="65">
        <v>1369.3</v>
      </c>
      <c r="O150" s="65">
        <v>1370.4</v>
      </c>
      <c r="P150" s="65">
        <v>0</v>
      </c>
      <c r="Q150" s="65">
        <v>512</v>
      </c>
      <c r="R150" s="65">
        <v>5</v>
      </c>
      <c r="S150" s="65">
        <v>2</v>
      </c>
      <c r="Z150" t="str">
        <f t="shared" si="4"/>
        <v>37A</v>
      </c>
    </row>
    <row r="151" spans="1:26" ht="15" x14ac:dyDescent="0.25">
      <c r="A151" t="s">
        <v>310</v>
      </c>
      <c r="B151">
        <v>38</v>
      </c>
      <c r="C151" t="s">
        <v>49</v>
      </c>
      <c r="D151" s="65">
        <v>52.4</v>
      </c>
      <c r="E151" s="65">
        <v>0</v>
      </c>
      <c r="F151" s="65">
        <v>54.9</v>
      </c>
      <c r="G151" s="65">
        <v>54.4</v>
      </c>
      <c r="H151" s="65">
        <v>49.8</v>
      </c>
      <c r="I151" s="65">
        <v>54.4</v>
      </c>
      <c r="J151" s="65">
        <v>54.8</v>
      </c>
      <c r="K151" s="65">
        <v>1370.4</v>
      </c>
      <c r="L151" s="65">
        <v>1370.6</v>
      </c>
      <c r="M151" s="65">
        <v>1370.2</v>
      </c>
      <c r="N151" s="65">
        <v>1369.7</v>
      </c>
      <c r="O151" s="65">
        <v>1370.5</v>
      </c>
      <c r="P151" s="65">
        <v>0</v>
      </c>
      <c r="Q151" s="65">
        <v>0</v>
      </c>
      <c r="R151" s="65">
        <v>1</v>
      </c>
      <c r="S151" s="65">
        <v>2</v>
      </c>
      <c r="Z151" t="str">
        <f t="shared" si="4"/>
        <v>38D</v>
      </c>
    </row>
    <row r="152" spans="1:26" ht="15" x14ac:dyDescent="0.25">
      <c r="A152" t="s">
        <v>311</v>
      </c>
      <c r="B152">
        <v>38</v>
      </c>
      <c r="C152" t="s">
        <v>50</v>
      </c>
      <c r="D152" s="65">
        <v>56.3</v>
      </c>
      <c r="E152" s="65">
        <v>0</v>
      </c>
      <c r="F152" s="65">
        <v>56.3</v>
      </c>
      <c r="G152" s="65">
        <v>56.3</v>
      </c>
      <c r="H152" s="65">
        <v>57.1</v>
      </c>
      <c r="I152" s="65">
        <v>56.2</v>
      </c>
      <c r="J152" s="65">
        <v>55.4</v>
      </c>
      <c r="K152" s="65">
        <v>1371.2</v>
      </c>
      <c r="L152" s="65">
        <v>1370.9</v>
      </c>
      <c r="M152" s="65">
        <v>1371</v>
      </c>
      <c r="N152" s="65">
        <v>1370.8</v>
      </c>
      <c r="O152" s="65">
        <v>1371.4</v>
      </c>
      <c r="P152" s="65">
        <v>0</v>
      </c>
      <c r="Q152" s="65">
        <v>0</v>
      </c>
      <c r="R152" s="65">
        <v>1</v>
      </c>
      <c r="S152" s="65">
        <v>2</v>
      </c>
      <c r="Z152" t="str">
        <f t="shared" si="4"/>
        <v>38C</v>
      </c>
    </row>
    <row r="153" spans="1:26" ht="15" x14ac:dyDescent="0.25">
      <c r="A153" t="s">
        <v>312</v>
      </c>
      <c r="B153">
        <v>38</v>
      </c>
      <c r="C153" t="s">
        <v>51</v>
      </c>
      <c r="D153" s="65">
        <v>43.7</v>
      </c>
      <c r="E153" s="65">
        <v>0</v>
      </c>
      <c r="F153" s="65">
        <v>52.5</v>
      </c>
      <c r="G153" s="65">
        <v>37</v>
      </c>
      <c r="H153" s="65">
        <v>47.4</v>
      </c>
      <c r="I153" s="65">
        <v>49.4</v>
      </c>
      <c r="J153" s="65">
        <v>47.2</v>
      </c>
      <c r="K153" s="65">
        <v>1371.1</v>
      </c>
      <c r="L153" s="65">
        <v>1370.8</v>
      </c>
      <c r="M153" s="65">
        <v>1371</v>
      </c>
      <c r="N153" s="65">
        <v>1371.2</v>
      </c>
      <c r="O153" s="65">
        <v>1370.3</v>
      </c>
      <c r="P153" s="65">
        <v>0</v>
      </c>
      <c r="Q153" s="65">
        <v>0</v>
      </c>
      <c r="R153" s="65">
        <v>1</v>
      </c>
      <c r="S153" s="65">
        <v>2</v>
      </c>
      <c r="Z153" t="str">
        <f t="shared" si="4"/>
        <v>38B</v>
      </c>
    </row>
    <row r="154" spans="1:26" ht="15" x14ac:dyDescent="0.25">
      <c r="A154" t="s">
        <v>313</v>
      </c>
      <c r="B154">
        <v>38</v>
      </c>
      <c r="C154" t="s">
        <v>52</v>
      </c>
      <c r="D154" s="65">
        <v>53.3</v>
      </c>
      <c r="E154" s="65">
        <v>0</v>
      </c>
      <c r="F154" s="65">
        <v>51.2</v>
      </c>
      <c r="G154" s="65">
        <v>55.4</v>
      </c>
      <c r="H154" s="65">
        <v>57</v>
      </c>
      <c r="I154" s="65">
        <v>49.2</v>
      </c>
      <c r="J154" s="65">
        <v>55.5</v>
      </c>
      <c r="K154" s="65">
        <v>1371.1</v>
      </c>
      <c r="L154" s="65">
        <v>1371.6</v>
      </c>
      <c r="M154" s="65">
        <v>1370.4</v>
      </c>
      <c r="N154" s="65">
        <v>1370.1</v>
      </c>
      <c r="O154" s="65">
        <v>1370.1</v>
      </c>
      <c r="P154" s="65">
        <v>0</v>
      </c>
      <c r="Q154" s="65">
        <v>512</v>
      </c>
      <c r="R154" s="65">
        <v>5</v>
      </c>
      <c r="S154" s="65">
        <v>2</v>
      </c>
      <c r="Z154" t="str">
        <f t="shared" si="4"/>
        <v>38A</v>
      </c>
    </row>
    <row r="155" spans="1:26" ht="15" x14ac:dyDescent="0.25">
      <c r="A155" t="s">
        <v>161</v>
      </c>
      <c r="B155">
        <v>39</v>
      </c>
      <c r="C155" t="s">
        <v>49</v>
      </c>
      <c r="D155" s="65">
        <v>37.700000000000003</v>
      </c>
      <c r="E155" s="65">
        <v>0</v>
      </c>
      <c r="F155" s="65">
        <v>41</v>
      </c>
      <c r="G155" s="65">
        <v>41.7</v>
      </c>
      <c r="H155" s="65">
        <v>35.4</v>
      </c>
      <c r="I155" s="65">
        <v>40.200000000000003</v>
      </c>
      <c r="J155" s="65">
        <v>36.299999999999997</v>
      </c>
      <c r="K155" s="65">
        <v>1369.9</v>
      </c>
      <c r="L155" s="65">
        <v>1368.7</v>
      </c>
      <c r="M155" s="65">
        <v>1370.2</v>
      </c>
      <c r="N155" s="65">
        <v>1369.5</v>
      </c>
      <c r="O155" s="65">
        <v>1369.7</v>
      </c>
      <c r="P155" s="65">
        <v>0</v>
      </c>
      <c r="Q155" s="65">
        <v>0</v>
      </c>
      <c r="R155" s="65">
        <v>1</v>
      </c>
      <c r="S155" s="65">
        <v>2</v>
      </c>
      <c r="Z155" t="str">
        <f t="shared" si="4"/>
        <v>39D</v>
      </c>
    </row>
    <row r="156" spans="1:26" ht="15" x14ac:dyDescent="0.25">
      <c r="A156" t="s">
        <v>314</v>
      </c>
      <c r="B156">
        <v>39</v>
      </c>
      <c r="C156" t="s">
        <v>50</v>
      </c>
      <c r="D156" s="65">
        <v>61.7</v>
      </c>
      <c r="E156" s="65">
        <v>0</v>
      </c>
      <c r="F156" s="65">
        <v>59.3</v>
      </c>
      <c r="G156" s="65">
        <v>58.9</v>
      </c>
      <c r="H156" s="65">
        <v>59.3</v>
      </c>
      <c r="I156" s="65">
        <v>58.7</v>
      </c>
      <c r="J156" s="65">
        <v>63.7</v>
      </c>
      <c r="K156" s="65">
        <v>1375.5</v>
      </c>
      <c r="L156" s="65">
        <v>1375.6</v>
      </c>
      <c r="M156" s="65">
        <v>1375.1</v>
      </c>
      <c r="N156" s="65">
        <v>1375.5</v>
      </c>
      <c r="O156" s="65">
        <v>1375.2</v>
      </c>
      <c r="P156" s="65">
        <v>0</v>
      </c>
      <c r="Q156" s="65">
        <v>0</v>
      </c>
      <c r="R156" s="65">
        <v>1</v>
      </c>
      <c r="S156" s="65">
        <v>2</v>
      </c>
      <c r="Z156" t="str">
        <f t="shared" si="4"/>
        <v>39C</v>
      </c>
    </row>
    <row r="157" spans="1:26" ht="15" x14ac:dyDescent="0.25">
      <c r="A157" t="s">
        <v>315</v>
      </c>
      <c r="B157">
        <v>39</v>
      </c>
      <c r="C157" t="s">
        <v>51</v>
      </c>
      <c r="D157" s="65">
        <v>61.1</v>
      </c>
      <c r="E157" s="65">
        <v>0</v>
      </c>
      <c r="F157" s="65">
        <v>57.8</v>
      </c>
      <c r="G157" s="65">
        <v>57.7</v>
      </c>
      <c r="H157" s="65">
        <v>58.7</v>
      </c>
      <c r="I157" s="65">
        <v>63.3</v>
      </c>
      <c r="J157" s="65">
        <v>63.3</v>
      </c>
      <c r="K157" s="65">
        <v>1374.5</v>
      </c>
      <c r="L157" s="65">
        <v>1375.3</v>
      </c>
      <c r="M157" s="65">
        <v>1374.1</v>
      </c>
      <c r="N157" s="65">
        <v>1373.9</v>
      </c>
      <c r="O157" s="65">
        <v>1374.2</v>
      </c>
      <c r="P157" s="65">
        <v>0</v>
      </c>
      <c r="Q157" s="65">
        <v>0</v>
      </c>
      <c r="R157" s="65">
        <v>1</v>
      </c>
      <c r="S157" s="65">
        <v>2</v>
      </c>
      <c r="Z157" t="str">
        <f t="shared" si="4"/>
        <v>39B</v>
      </c>
    </row>
    <row r="158" spans="1:26" ht="15" x14ac:dyDescent="0.25">
      <c r="A158" t="s">
        <v>316</v>
      </c>
      <c r="B158">
        <v>39</v>
      </c>
      <c r="C158" t="s">
        <v>52</v>
      </c>
      <c r="D158" s="65">
        <v>38.9</v>
      </c>
      <c r="E158" s="65">
        <v>0</v>
      </c>
      <c r="F158" s="65">
        <v>37.299999999999997</v>
      </c>
      <c r="G158" s="65">
        <v>37.200000000000003</v>
      </c>
      <c r="H158" s="65">
        <v>37</v>
      </c>
      <c r="I158" s="65">
        <v>42.1</v>
      </c>
      <c r="J158" s="65">
        <v>36.9</v>
      </c>
      <c r="K158" s="65">
        <v>1370.4</v>
      </c>
      <c r="L158" s="65">
        <v>1370.3</v>
      </c>
      <c r="M158" s="65">
        <v>1369.6</v>
      </c>
      <c r="N158" s="65">
        <v>1370.4</v>
      </c>
      <c r="O158" s="65">
        <v>1369.3</v>
      </c>
      <c r="P158" s="65">
        <v>0</v>
      </c>
      <c r="Q158" s="65">
        <v>512</v>
      </c>
      <c r="R158" s="65">
        <v>5</v>
      </c>
      <c r="S158" s="65">
        <v>2</v>
      </c>
      <c r="Z158" t="str">
        <f t="shared" si="4"/>
        <v>39A</v>
      </c>
    </row>
    <row r="159" spans="1:26" ht="15" x14ac:dyDescent="0.25">
      <c r="A159" t="s">
        <v>317</v>
      </c>
      <c r="B159">
        <v>40</v>
      </c>
      <c r="C159" t="s">
        <v>49</v>
      </c>
      <c r="D159" s="65">
        <v>57.8</v>
      </c>
      <c r="E159" s="65">
        <v>0</v>
      </c>
      <c r="F159" s="65">
        <v>58.5</v>
      </c>
      <c r="G159" s="65">
        <v>57.5</v>
      </c>
      <c r="H159" s="65">
        <v>58.2</v>
      </c>
      <c r="I159" s="65">
        <v>57.2</v>
      </c>
      <c r="J159" s="65">
        <v>56.9</v>
      </c>
      <c r="K159" s="65">
        <v>1369.8</v>
      </c>
      <c r="L159" s="65">
        <v>1370.5</v>
      </c>
      <c r="M159" s="65">
        <v>1370.7</v>
      </c>
      <c r="N159" s="65">
        <v>1369.9</v>
      </c>
      <c r="O159" s="65">
        <v>1370.4</v>
      </c>
      <c r="P159" s="65">
        <v>0</v>
      </c>
      <c r="Q159" s="65">
        <v>0</v>
      </c>
      <c r="R159" s="65">
        <v>1</v>
      </c>
      <c r="S159" s="65">
        <v>2</v>
      </c>
      <c r="Z159" t="str">
        <f t="shared" si="4"/>
        <v>40D</v>
      </c>
    </row>
    <row r="160" spans="1:26" ht="15" x14ac:dyDescent="0.25">
      <c r="A160" t="s">
        <v>318</v>
      </c>
      <c r="B160">
        <v>40</v>
      </c>
      <c r="C160" t="s">
        <v>50</v>
      </c>
      <c r="D160" s="65">
        <v>53.3</v>
      </c>
      <c r="E160" s="65">
        <v>0</v>
      </c>
      <c r="F160" s="65">
        <v>57.9</v>
      </c>
      <c r="G160" s="65">
        <v>48.2</v>
      </c>
      <c r="H160" s="65">
        <v>56.9</v>
      </c>
      <c r="I160" s="65">
        <v>56</v>
      </c>
      <c r="J160" s="65">
        <v>48.4</v>
      </c>
      <c r="K160" s="65">
        <v>1371.1</v>
      </c>
      <c r="L160" s="65">
        <v>1371.6</v>
      </c>
      <c r="M160" s="65">
        <v>1370.4</v>
      </c>
      <c r="N160" s="65">
        <v>1370.2</v>
      </c>
      <c r="O160" s="65">
        <v>1370.2</v>
      </c>
      <c r="P160" s="65">
        <v>0</v>
      </c>
      <c r="Q160" s="65">
        <v>0</v>
      </c>
      <c r="R160" s="65">
        <v>1</v>
      </c>
      <c r="S160" s="65">
        <v>2</v>
      </c>
      <c r="Z160" t="str">
        <f t="shared" si="4"/>
        <v>40C</v>
      </c>
    </row>
    <row r="161" spans="1:26" ht="15" x14ac:dyDescent="0.25">
      <c r="A161" t="s">
        <v>319</v>
      </c>
      <c r="B161">
        <v>40</v>
      </c>
      <c r="C161" t="s">
        <v>51</v>
      </c>
      <c r="D161" s="65">
        <v>51.9</v>
      </c>
      <c r="E161" s="65">
        <v>0</v>
      </c>
      <c r="F161" s="65">
        <v>50.9</v>
      </c>
      <c r="G161" s="65">
        <v>49</v>
      </c>
      <c r="H161" s="65">
        <v>49.8</v>
      </c>
      <c r="I161" s="65">
        <v>55.2</v>
      </c>
      <c r="J161" s="65">
        <v>48.4</v>
      </c>
      <c r="K161" s="65">
        <v>1371</v>
      </c>
      <c r="L161" s="65">
        <v>1370.7</v>
      </c>
      <c r="M161" s="65">
        <v>1371.6</v>
      </c>
      <c r="N161" s="65">
        <v>1370.4</v>
      </c>
      <c r="O161" s="65">
        <v>1371.4</v>
      </c>
      <c r="P161" s="65">
        <v>0</v>
      </c>
      <c r="Q161" s="65">
        <v>0</v>
      </c>
      <c r="R161" s="65">
        <v>1</v>
      </c>
      <c r="S161" s="65">
        <v>2</v>
      </c>
      <c r="Z161" t="str">
        <f t="shared" si="4"/>
        <v>40B</v>
      </c>
    </row>
    <row r="162" spans="1:26" ht="15" x14ac:dyDescent="0.25">
      <c r="A162" t="s">
        <v>320</v>
      </c>
      <c r="B162">
        <v>40</v>
      </c>
      <c r="C162" t="s">
        <v>52</v>
      </c>
      <c r="D162" s="65">
        <v>57.1</v>
      </c>
      <c r="E162" s="65">
        <v>0</v>
      </c>
      <c r="F162" s="65">
        <v>55.2</v>
      </c>
      <c r="G162" s="65">
        <v>55.5</v>
      </c>
      <c r="H162" s="65">
        <v>54.9</v>
      </c>
      <c r="I162" s="65">
        <v>55</v>
      </c>
      <c r="J162" s="65">
        <v>58.9</v>
      </c>
      <c r="K162" s="65">
        <v>1372.2</v>
      </c>
      <c r="L162" s="65">
        <v>1371.5</v>
      </c>
      <c r="M162" s="65">
        <v>1371.4</v>
      </c>
      <c r="N162" s="65">
        <v>1371.5</v>
      </c>
      <c r="O162" s="65">
        <v>1371.1</v>
      </c>
      <c r="P162" s="65">
        <v>0</v>
      </c>
      <c r="Q162" s="65">
        <v>0</v>
      </c>
      <c r="R162" s="65">
        <v>1</v>
      </c>
      <c r="S162" s="65">
        <v>2</v>
      </c>
      <c r="Z162" t="str">
        <f t="shared" si="4"/>
        <v>40A</v>
      </c>
    </row>
    <row r="163" spans="1:26" ht="15" x14ac:dyDescent="0.25">
      <c r="A163" t="s">
        <v>321</v>
      </c>
      <c r="B163">
        <v>41</v>
      </c>
      <c r="C163" t="s">
        <v>49</v>
      </c>
      <c r="D163" s="65">
        <v>56.5</v>
      </c>
      <c r="E163" s="65">
        <v>0</v>
      </c>
      <c r="F163" s="65">
        <v>52</v>
      </c>
      <c r="G163" s="65">
        <v>60.2</v>
      </c>
      <c r="H163" s="65">
        <v>51.6</v>
      </c>
      <c r="I163" s="65">
        <v>60.3</v>
      </c>
      <c r="J163" s="65">
        <v>60.3</v>
      </c>
      <c r="K163" s="65">
        <v>1371.8</v>
      </c>
      <c r="L163" s="65">
        <v>1371.3</v>
      </c>
      <c r="M163" s="65">
        <v>1371.8</v>
      </c>
      <c r="N163" s="65">
        <v>1372</v>
      </c>
      <c r="O163" s="65">
        <v>1371</v>
      </c>
      <c r="P163" s="65">
        <v>0</v>
      </c>
      <c r="Q163" s="65">
        <v>0</v>
      </c>
      <c r="R163" s="65">
        <v>1</v>
      </c>
      <c r="S163" s="65">
        <v>2</v>
      </c>
      <c r="Z163" t="str">
        <f t="shared" si="4"/>
        <v>41D</v>
      </c>
    </row>
    <row r="164" spans="1:26" ht="15" x14ac:dyDescent="0.25">
      <c r="A164" t="s">
        <v>322</v>
      </c>
      <c r="B164">
        <v>41</v>
      </c>
      <c r="C164" t="s">
        <v>50</v>
      </c>
      <c r="D164" s="65">
        <v>55.6</v>
      </c>
      <c r="E164" s="65">
        <v>0</v>
      </c>
      <c r="F164" s="65">
        <v>50.7</v>
      </c>
      <c r="G164" s="65">
        <v>58.4</v>
      </c>
      <c r="H164" s="65">
        <v>58.7</v>
      </c>
      <c r="I164" s="65">
        <v>59.6</v>
      </c>
      <c r="J164" s="65">
        <v>58.6</v>
      </c>
      <c r="K164" s="65">
        <v>1371</v>
      </c>
      <c r="L164" s="65">
        <v>1371.2</v>
      </c>
      <c r="M164" s="65">
        <v>1370.6</v>
      </c>
      <c r="N164" s="65">
        <v>1370.3</v>
      </c>
      <c r="O164" s="65">
        <v>1369.5</v>
      </c>
      <c r="P164" s="65">
        <v>0</v>
      </c>
      <c r="Q164" s="65">
        <v>0</v>
      </c>
      <c r="R164" s="65">
        <v>1</v>
      </c>
      <c r="S164" s="65">
        <v>2</v>
      </c>
      <c r="Z164" t="str">
        <f t="shared" si="4"/>
        <v>41C</v>
      </c>
    </row>
    <row r="165" spans="1:26" ht="15" x14ac:dyDescent="0.25">
      <c r="A165" t="s">
        <v>323</v>
      </c>
      <c r="B165">
        <v>41</v>
      </c>
      <c r="C165" t="s">
        <v>51</v>
      </c>
      <c r="D165" s="65">
        <v>55.7</v>
      </c>
      <c r="E165" s="65">
        <v>0</v>
      </c>
      <c r="F165" s="65">
        <v>52</v>
      </c>
      <c r="G165" s="65">
        <v>51.4</v>
      </c>
      <c r="H165" s="65">
        <v>51.5</v>
      </c>
      <c r="I165" s="65">
        <v>54.4</v>
      </c>
      <c r="J165" s="65">
        <v>59.2</v>
      </c>
      <c r="K165" s="65">
        <v>1371.6</v>
      </c>
      <c r="L165" s="65">
        <v>1371.1</v>
      </c>
      <c r="M165" s="65">
        <v>1371.6</v>
      </c>
      <c r="N165" s="65">
        <v>1371.4</v>
      </c>
      <c r="O165" s="65">
        <v>1370.3</v>
      </c>
      <c r="P165" s="65">
        <v>0</v>
      </c>
      <c r="Q165" s="65">
        <v>0</v>
      </c>
      <c r="R165" s="65">
        <v>1</v>
      </c>
      <c r="S165" s="65">
        <v>2</v>
      </c>
      <c r="Z165" t="str">
        <f t="shared" si="4"/>
        <v>41B</v>
      </c>
    </row>
    <row r="166" spans="1:26" ht="15" x14ac:dyDescent="0.25">
      <c r="A166" t="s">
        <v>324</v>
      </c>
      <c r="B166">
        <v>41</v>
      </c>
      <c r="C166" t="s">
        <v>52</v>
      </c>
      <c r="D166" s="65">
        <v>40.4</v>
      </c>
      <c r="E166" s="65">
        <v>0</v>
      </c>
      <c r="F166" s="65">
        <v>36.700000000000003</v>
      </c>
      <c r="G166" s="65">
        <v>45.7</v>
      </c>
      <c r="H166" s="65">
        <v>38.9</v>
      </c>
      <c r="I166" s="65">
        <v>45.3</v>
      </c>
      <c r="J166" s="65">
        <v>45.9</v>
      </c>
      <c r="K166" s="65">
        <v>1370.4</v>
      </c>
      <c r="L166" s="65">
        <v>1370.2</v>
      </c>
      <c r="M166" s="65">
        <v>1369.3</v>
      </c>
      <c r="N166" s="65">
        <v>1370.4</v>
      </c>
      <c r="O166" s="65">
        <v>1370.7</v>
      </c>
      <c r="P166" s="65">
        <v>0</v>
      </c>
      <c r="Q166" s="65">
        <v>0</v>
      </c>
      <c r="R166" s="65">
        <v>1</v>
      </c>
      <c r="S166" s="65">
        <v>2</v>
      </c>
      <c r="Z166" t="str">
        <f t="shared" si="4"/>
        <v>41A</v>
      </c>
    </row>
    <row r="167" spans="1:26" ht="15" x14ac:dyDescent="0.25">
      <c r="A167" t="s">
        <v>325</v>
      </c>
      <c r="B167">
        <v>42</v>
      </c>
      <c r="C167" t="s">
        <v>49</v>
      </c>
      <c r="D167" s="65">
        <v>52.2</v>
      </c>
      <c r="E167" s="65">
        <v>0</v>
      </c>
      <c r="F167" s="65">
        <v>55.1</v>
      </c>
      <c r="G167" s="65">
        <v>54.2</v>
      </c>
      <c r="H167" s="65">
        <v>48.8</v>
      </c>
      <c r="I167" s="65">
        <v>55.4</v>
      </c>
      <c r="J167" s="65">
        <v>48.8</v>
      </c>
      <c r="K167" s="65">
        <v>1370.1</v>
      </c>
      <c r="L167" s="65">
        <v>1370.2</v>
      </c>
      <c r="M167" s="65">
        <v>1370.7</v>
      </c>
      <c r="N167" s="65">
        <v>1369.9</v>
      </c>
      <c r="O167" s="65">
        <v>1370</v>
      </c>
      <c r="P167" s="65">
        <v>0</v>
      </c>
      <c r="Q167" s="65">
        <v>0</v>
      </c>
      <c r="R167" s="65">
        <v>1</v>
      </c>
      <c r="S167" s="65">
        <v>2</v>
      </c>
      <c r="Z167" t="str">
        <f t="shared" si="4"/>
        <v>42D</v>
      </c>
    </row>
    <row r="168" spans="1:26" ht="15" x14ac:dyDescent="0.25">
      <c r="A168" t="s">
        <v>326</v>
      </c>
      <c r="B168">
        <v>42</v>
      </c>
      <c r="C168" t="s">
        <v>50</v>
      </c>
      <c r="D168" s="65">
        <v>51.4</v>
      </c>
      <c r="E168" s="65">
        <v>0</v>
      </c>
      <c r="F168" s="65">
        <v>48.5</v>
      </c>
      <c r="G168" s="65">
        <v>54.3</v>
      </c>
      <c r="H168" s="65">
        <v>48.4</v>
      </c>
      <c r="I168" s="65">
        <v>48.5</v>
      </c>
      <c r="J168" s="65">
        <v>54.1</v>
      </c>
      <c r="K168" s="65">
        <v>1369.8</v>
      </c>
      <c r="L168" s="65">
        <v>1370.2</v>
      </c>
      <c r="M168" s="65">
        <v>1370.9</v>
      </c>
      <c r="N168" s="65">
        <v>1369.6</v>
      </c>
      <c r="O168" s="65">
        <v>1369.9</v>
      </c>
      <c r="P168" s="65">
        <v>0</v>
      </c>
      <c r="Q168" s="65">
        <v>0</v>
      </c>
      <c r="R168" s="65">
        <v>1</v>
      </c>
      <c r="S168" s="65">
        <v>2</v>
      </c>
      <c r="Z168" t="str">
        <f t="shared" si="4"/>
        <v>42C</v>
      </c>
    </row>
    <row r="169" spans="1:26" ht="15" x14ac:dyDescent="0.25">
      <c r="A169" t="s">
        <v>327</v>
      </c>
      <c r="B169">
        <v>42</v>
      </c>
      <c r="C169" t="s">
        <v>51</v>
      </c>
      <c r="D169" s="65">
        <v>53.7</v>
      </c>
      <c r="E169" s="65">
        <v>0</v>
      </c>
      <c r="F169" s="65">
        <v>57.5</v>
      </c>
      <c r="G169" s="65">
        <v>49.9</v>
      </c>
      <c r="H169" s="65">
        <v>56</v>
      </c>
      <c r="I169" s="65">
        <v>55.7</v>
      </c>
      <c r="J169" s="65">
        <v>49.3</v>
      </c>
      <c r="K169" s="65">
        <v>1372.6</v>
      </c>
      <c r="L169" s="65">
        <v>1371.1</v>
      </c>
      <c r="M169" s="65">
        <v>1370.8</v>
      </c>
      <c r="N169" s="65">
        <v>1370.3</v>
      </c>
      <c r="O169" s="65">
        <v>1371</v>
      </c>
      <c r="P169" s="65">
        <v>0</v>
      </c>
      <c r="Q169" s="65">
        <v>0</v>
      </c>
      <c r="R169" s="65">
        <v>1</v>
      </c>
      <c r="S169" s="65">
        <v>2</v>
      </c>
      <c r="Z169" t="str">
        <f t="shared" si="4"/>
        <v>42B</v>
      </c>
    </row>
    <row r="170" spans="1:26" ht="15" x14ac:dyDescent="0.25">
      <c r="A170" t="s">
        <v>328</v>
      </c>
      <c r="B170">
        <v>42</v>
      </c>
      <c r="C170" t="s">
        <v>52</v>
      </c>
      <c r="D170" s="65">
        <v>52.6</v>
      </c>
      <c r="E170" s="65">
        <v>0</v>
      </c>
      <c r="F170" s="65">
        <v>56</v>
      </c>
      <c r="G170" s="65">
        <v>54.3</v>
      </c>
      <c r="H170" s="65">
        <v>48.9</v>
      </c>
      <c r="I170" s="65">
        <v>54</v>
      </c>
      <c r="J170" s="65">
        <v>55</v>
      </c>
      <c r="K170" s="65">
        <v>1370.6</v>
      </c>
      <c r="L170" s="65">
        <v>1370.6</v>
      </c>
      <c r="M170" s="65">
        <v>1371.1</v>
      </c>
      <c r="N170" s="65">
        <v>1371.3</v>
      </c>
      <c r="O170" s="65">
        <v>1370</v>
      </c>
      <c r="P170" s="65">
        <v>0</v>
      </c>
      <c r="Q170" s="65">
        <v>0</v>
      </c>
      <c r="R170" s="65">
        <v>1</v>
      </c>
      <c r="S170" s="65">
        <v>2</v>
      </c>
      <c r="Z170" t="str">
        <f t="shared" si="4"/>
        <v>42A</v>
      </c>
    </row>
    <row r="171" spans="1:26" ht="15" x14ac:dyDescent="0.25">
      <c r="A171" t="s">
        <v>329</v>
      </c>
      <c r="B171">
        <v>43</v>
      </c>
      <c r="C171" t="s">
        <v>49</v>
      </c>
      <c r="D171" s="65">
        <v>38.700000000000003</v>
      </c>
      <c r="E171" s="65">
        <v>0</v>
      </c>
      <c r="F171" s="65">
        <v>33.5</v>
      </c>
      <c r="G171" s="65">
        <v>46.8</v>
      </c>
      <c r="H171" s="65">
        <v>46.9</v>
      </c>
      <c r="I171" s="65">
        <v>47</v>
      </c>
      <c r="J171" s="65">
        <v>42</v>
      </c>
      <c r="K171" s="65">
        <v>1370.5</v>
      </c>
      <c r="L171" s="65">
        <v>1372.2</v>
      </c>
      <c r="M171" s="65">
        <v>1370.2</v>
      </c>
      <c r="N171" s="65">
        <v>1369.8</v>
      </c>
      <c r="O171" s="65">
        <v>1370.2</v>
      </c>
      <c r="P171" s="65">
        <v>0</v>
      </c>
      <c r="Q171" s="65">
        <v>0</v>
      </c>
      <c r="R171" s="65">
        <v>1</v>
      </c>
      <c r="S171" s="65">
        <v>2</v>
      </c>
      <c r="Z171" t="str">
        <f t="shared" si="4"/>
        <v>43D</v>
      </c>
    </row>
    <row r="172" spans="1:26" ht="15" x14ac:dyDescent="0.25">
      <c r="A172" t="s">
        <v>330</v>
      </c>
      <c r="B172">
        <v>43</v>
      </c>
      <c r="C172" t="s">
        <v>50</v>
      </c>
      <c r="D172" s="65">
        <v>51.5</v>
      </c>
      <c r="E172" s="65">
        <v>0</v>
      </c>
      <c r="F172" s="65">
        <v>52</v>
      </c>
      <c r="G172" s="65">
        <v>50.9</v>
      </c>
      <c r="H172" s="65">
        <v>51.2</v>
      </c>
      <c r="I172" s="65">
        <v>51.3</v>
      </c>
      <c r="J172" s="65">
        <v>52.2</v>
      </c>
      <c r="K172" s="65">
        <v>1368.1</v>
      </c>
      <c r="L172" s="65">
        <v>1370.4</v>
      </c>
      <c r="M172" s="65">
        <v>1370.4</v>
      </c>
      <c r="N172" s="65">
        <v>1370.4</v>
      </c>
      <c r="O172" s="65">
        <v>1370.6</v>
      </c>
      <c r="P172" s="65">
        <v>0</v>
      </c>
      <c r="Q172" s="65">
        <v>0</v>
      </c>
      <c r="R172" s="65">
        <v>1</v>
      </c>
      <c r="S172" s="65">
        <v>2</v>
      </c>
      <c r="Z172" t="str">
        <f t="shared" si="4"/>
        <v>43C</v>
      </c>
    </row>
    <row r="173" spans="1:26" ht="15" x14ac:dyDescent="0.25">
      <c r="A173" t="s">
        <v>331</v>
      </c>
      <c r="B173">
        <v>43</v>
      </c>
      <c r="C173" t="s">
        <v>51</v>
      </c>
      <c r="D173" s="65">
        <v>51.3</v>
      </c>
      <c r="E173" s="65">
        <v>0</v>
      </c>
      <c r="F173" s="65">
        <v>51.1</v>
      </c>
      <c r="G173" s="65">
        <v>50.8</v>
      </c>
      <c r="H173" s="65">
        <v>51.8</v>
      </c>
      <c r="I173" s="65">
        <v>50.9</v>
      </c>
      <c r="J173" s="65">
        <v>51.6</v>
      </c>
      <c r="K173" s="65">
        <v>1370.6</v>
      </c>
      <c r="L173" s="65">
        <v>1370</v>
      </c>
      <c r="M173" s="65">
        <v>1370.2</v>
      </c>
      <c r="N173" s="65">
        <v>1371</v>
      </c>
      <c r="O173" s="65">
        <v>1370.3</v>
      </c>
      <c r="P173" s="65">
        <v>0</v>
      </c>
      <c r="Q173" s="65">
        <v>0</v>
      </c>
      <c r="R173" s="65">
        <v>1</v>
      </c>
      <c r="S173" s="65">
        <v>2</v>
      </c>
      <c r="Z173" t="str">
        <f t="shared" si="4"/>
        <v>43B</v>
      </c>
    </row>
    <row r="174" spans="1:26" ht="15" x14ac:dyDescent="0.25">
      <c r="A174" t="s">
        <v>332</v>
      </c>
      <c r="B174">
        <v>43</v>
      </c>
      <c r="C174" t="s">
        <v>52</v>
      </c>
      <c r="D174" s="65">
        <v>33.200000000000003</v>
      </c>
      <c r="E174" s="65">
        <v>0</v>
      </c>
      <c r="F174" s="65">
        <v>35.5</v>
      </c>
      <c r="G174" s="65">
        <v>35.6</v>
      </c>
      <c r="H174" s="65">
        <v>34.200000000000003</v>
      </c>
      <c r="I174" s="65">
        <v>35.4</v>
      </c>
      <c r="J174" s="65">
        <v>32.1</v>
      </c>
      <c r="K174" s="65">
        <v>1369.7</v>
      </c>
      <c r="L174" s="65">
        <v>1369.6</v>
      </c>
      <c r="M174" s="65">
        <v>1369.1</v>
      </c>
      <c r="N174" s="65">
        <v>1369.5</v>
      </c>
      <c r="O174" s="65">
        <v>1370</v>
      </c>
      <c r="P174" s="65">
        <v>0</v>
      </c>
      <c r="Q174" s="65">
        <v>512</v>
      </c>
      <c r="R174" s="65">
        <v>5</v>
      </c>
      <c r="S174" s="65">
        <v>2</v>
      </c>
      <c r="Z174" t="str">
        <f t="shared" si="4"/>
        <v>43A</v>
      </c>
    </row>
    <row r="175" spans="1:26" ht="15" x14ac:dyDescent="0.25">
      <c r="A175" t="s">
        <v>333</v>
      </c>
      <c r="B175">
        <v>44</v>
      </c>
      <c r="C175" t="s">
        <v>49</v>
      </c>
      <c r="D175" s="65">
        <v>35.200000000000003</v>
      </c>
      <c r="E175" s="65">
        <v>0</v>
      </c>
      <c r="F175" s="65">
        <v>35.6</v>
      </c>
      <c r="G175" s="65">
        <v>35</v>
      </c>
      <c r="H175" s="65">
        <v>35</v>
      </c>
      <c r="I175" s="65">
        <v>34.5</v>
      </c>
      <c r="J175" s="65">
        <v>36.5</v>
      </c>
      <c r="K175" s="65">
        <v>1369.3</v>
      </c>
      <c r="L175" s="65">
        <v>1369.7</v>
      </c>
      <c r="M175" s="65">
        <v>1369.2</v>
      </c>
      <c r="N175" s="65">
        <v>1369.3</v>
      </c>
      <c r="O175" s="65">
        <v>1369.5</v>
      </c>
      <c r="P175" s="65">
        <v>0</v>
      </c>
      <c r="Q175" s="65">
        <v>128</v>
      </c>
      <c r="R175" s="65">
        <v>5</v>
      </c>
      <c r="S175" s="65">
        <v>2</v>
      </c>
      <c r="Z175" t="str">
        <f t="shared" si="4"/>
        <v>44D</v>
      </c>
    </row>
    <row r="176" spans="1:26" ht="15" x14ac:dyDescent="0.25">
      <c r="A176" t="s">
        <v>334</v>
      </c>
      <c r="B176">
        <v>44</v>
      </c>
      <c r="C176" t="s">
        <v>50</v>
      </c>
      <c r="D176" s="65">
        <v>35.5</v>
      </c>
      <c r="E176" s="65">
        <v>0</v>
      </c>
      <c r="F176" s="65">
        <v>35.6</v>
      </c>
      <c r="G176" s="65">
        <v>37.5</v>
      </c>
      <c r="H176" s="65">
        <v>36.9</v>
      </c>
      <c r="I176" s="65">
        <v>34.5</v>
      </c>
      <c r="J176" s="65">
        <v>37.200000000000003</v>
      </c>
      <c r="K176" s="65">
        <v>1370.3</v>
      </c>
      <c r="L176" s="65">
        <v>1369.8</v>
      </c>
      <c r="M176" s="65">
        <v>1368.8</v>
      </c>
      <c r="N176" s="65">
        <v>1369.5</v>
      </c>
      <c r="O176" s="65">
        <v>1369.4</v>
      </c>
      <c r="P176" s="65">
        <v>0</v>
      </c>
      <c r="Q176" s="65">
        <v>128</v>
      </c>
      <c r="R176" s="65">
        <v>5</v>
      </c>
      <c r="S176" s="65">
        <v>2</v>
      </c>
      <c r="Z176" t="str">
        <f t="shared" si="4"/>
        <v>44C</v>
      </c>
    </row>
    <row r="177" spans="1:26" ht="15" x14ac:dyDescent="0.25">
      <c r="A177" t="s">
        <v>335</v>
      </c>
      <c r="B177">
        <v>44</v>
      </c>
      <c r="C177" t="s">
        <v>51</v>
      </c>
      <c r="D177" s="65">
        <v>23.1</v>
      </c>
      <c r="E177" s="65">
        <v>0</v>
      </c>
      <c r="F177" s="65">
        <v>23.9</v>
      </c>
      <c r="G177" s="65">
        <v>24</v>
      </c>
      <c r="H177" s="65">
        <v>22.9</v>
      </c>
      <c r="I177" s="65">
        <v>23</v>
      </c>
      <c r="J177" s="65">
        <v>22.9</v>
      </c>
      <c r="K177" s="65">
        <v>1361.5</v>
      </c>
      <c r="L177" s="65">
        <v>1361.8</v>
      </c>
      <c r="M177" s="65">
        <v>1362.6</v>
      </c>
      <c r="N177" s="65">
        <v>1362.1</v>
      </c>
      <c r="O177" s="65">
        <v>1361.7</v>
      </c>
      <c r="P177" s="65">
        <v>0</v>
      </c>
      <c r="Q177" s="65">
        <v>128</v>
      </c>
      <c r="R177" s="65">
        <v>5</v>
      </c>
      <c r="S177" s="65">
        <v>2</v>
      </c>
      <c r="Z177" t="str">
        <f t="shared" si="4"/>
        <v>44B</v>
      </c>
    </row>
    <row r="178" spans="1:26" ht="15" x14ac:dyDescent="0.25">
      <c r="A178" t="s">
        <v>336</v>
      </c>
      <c r="B178">
        <v>44</v>
      </c>
      <c r="C178" t="s">
        <v>52</v>
      </c>
      <c r="D178" s="65">
        <v>80.599999999999994</v>
      </c>
      <c r="E178" s="65">
        <v>0</v>
      </c>
      <c r="F178" s="65">
        <v>81.099999999999994</v>
      </c>
      <c r="G178" s="65">
        <v>79.900000000000006</v>
      </c>
      <c r="H178" s="65">
        <v>80.5</v>
      </c>
      <c r="I178" s="65">
        <v>79.400000000000006</v>
      </c>
      <c r="J178" s="65">
        <v>79</v>
      </c>
      <c r="K178" s="65">
        <v>1385.8</v>
      </c>
      <c r="L178" s="65">
        <v>1385.9</v>
      </c>
      <c r="M178" s="65">
        <v>1386.6</v>
      </c>
      <c r="N178" s="65">
        <v>1385.3</v>
      </c>
      <c r="O178" s="65">
        <v>1386.6</v>
      </c>
      <c r="P178" s="65">
        <v>0</v>
      </c>
      <c r="Q178" s="65">
        <v>128</v>
      </c>
      <c r="R178" s="65">
        <v>5</v>
      </c>
      <c r="S178" s="65">
        <v>2</v>
      </c>
      <c r="Z178" t="str">
        <f t="shared" si="4"/>
        <v>44A</v>
      </c>
    </row>
    <row r="179" spans="1:26" ht="15" x14ac:dyDescent="0.25">
      <c r="A179" t="s">
        <v>337</v>
      </c>
      <c r="B179">
        <v>45</v>
      </c>
      <c r="C179" t="s">
        <v>49</v>
      </c>
      <c r="D179" s="65">
        <v>65</v>
      </c>
      <c r="E179" s="65">
        <v>0</v>
      </c>
      <c r="F179" s="65">
        <v>62.2</v>
      </c>
      <c r="G179" s="65">
        <v>66.5</v>
      </c>
      <c r="H179" s="65">
        <v>65.8</v>
      </c>
      <c r="I179" s="65">
        <v>66.5</v>
      </c>
      <c r="J179" s="65">
        <v>66.599999999999994</v>
      </c>
      <c r="K179" s="65">
        <v>1385.3</v>
      </c>
      <c r="L179" s="65">
        <v>1387</v>
      </c>
      <c r="M179" s="65">
        <v>1383.3</v>
      </c>
      <c r="N179" s="65">
        <v>1385</v>
      </c>
      <c r="O179" s="65">
        <v>1385.3</v>
      </c>
      <c r="P179" s="65">
        <v>0</v>
      </c>
      <c r="Q179" s="65">
        <v>0</v>
      </c>
      <c r="R179" s="65">
        <v>1</v>
      </c>
      <c r="S179" s="65">
        <v>2</v>
      </c>
      <c r="Z179" t="str">
        <f t="shared" si="4"/>
        <v>45D</v>
      </c>
    </row>
    <row r="180" spans="1:26" ht="15" x14ac:dyDescent="0.25">
      <c r="A180" t="s">
        <v>338</v>
      </c>
      <c r="B180">
        <v>45</v>
      </c>
      <c r="C180" t="s">
        <v>50</v>
      </c>
      <c r="D180" s="65">
        <v>60.3</v>
      </c>
      <c r="E180" s="65">
        <v>0</v>
      </c>
      <c r="F180" s="65">
        <v>56.5</v>
      </c>
      <c r="G180" s="65">
        <v>55.8</v>
      </c>
      <c r="H180" s="65">
        <v>62.6</v>
      </c>
      <c r="I180" s="65">
        <v>62.4</v>
      </c>
      <c r="J180" s="65">
        <v>63.4</v>
      </c>
      <c r="K180" s="65">
        <v>1372.7</v>
      </c>
      <c r="L180" s="65">
        <v>1372.6</v>
      </c>
      <c r="M180" s="65">
        <v>1372.5</v>
      </c>
      <c r="N180" s="65">
        <v>1371.9</v>
      </c>
      <c r="O180" s="65">
        <v>1372.3</v>
      </c>
      <c r="P180" s="65">
        <v>0</v>
      </c>
      <c r="Q180" s="65">
        <v>0</v>
      </c>
      <c r="R180" s="65">
        <v>1</v>
      </c>
      <c r="S180" s="65">
        <v>2</v>
      </c>
      <c r="Z180" t="str">
        <f t="shared" si="4"/>
        <v>45C</v>
      </c>
    </row>
    <row r="181" spans="1:26" ht="15" x14ac:dyDescent="0.25">
      <c r="A181" t="s">
        <v>339</v>
      </c>
      <c r="B181">
        <v>45</v>
      </c>
      <c r="C181" t="s">
        <v>51</v>
      </c>
      <c r="D181" s="65">
        <v>60.1</v>
      </c>
      <c r="E181" s="65">
        <v>0</v>
      </c>
      <c r="F181" s="65">
        <v>56.9</v>
      </c>
      <c r="G181" s="65">
        <v>56.2</v>
      </c>
      <c r="H181" s="65">
        <v>56.5</v>
      </c>
      <c r="I181" s="65">
        <v>60.4</v>
      </c>
      <c r="J181" s="65">
        <v>62.8</v>
      </c>
      <c r="K181" s="65">
        <v>1372.9</v>
      </c>
      <c r="L181" s="65">
        <v>1372.8</v>
      </c>
      <c r="M181" s="65">
        <v>1372.1</v>
      </c>
      <c r="N181" s="65">
        <v>1372.2</v>
      </c>
      <c r="O181" s="65">
        <v>1371.5</v>
      </c>
      <c r="P181" s="65">
        <v>0</v>
      </c>
      <c r="Q181" s="65">
        <v>0</v>
      </c>
      <c r="R181" s="65">
        <v>1</v>
      </c>
      <c r="S181" s="65">
        <v>2</v>
      </c>
      <c r="Z181" t="str">
        <f t="shared" si="4"/>
        <v>45B</v>
      </c>
    </row>
    <row r="182" spans="1:26" ht="15" x14ac:dyDescent="0.25">
      <c r="A182" t="s">
        <v>340</v>
      </c>
      <c r="B182">
        <v>45</v>
      </c>
      <c r="C182" t="s">
        <v>52</v>
      </c>
      <c r="D182" s="65">
        <v>24.2</v>
      </c>
      <c r="E182" s="65">
        <v>0</v>
      </c>
      <c r="F182" s="65">
        <v>23</v>
      </c>
      <c r="G182" s="65">
        <v>28</v>
      </c>
      <c r="H182" s="65">
        <v>28</v>
      </c>
      <c r="I182" s="65">
        <v>27.9</v>
      </c>
      <c r="J182" s="65">
        <v>27</v>
      </c>
      <c r="K182" s="65">
        <v>1363.7</v>
      </c>
      <c r="L182" s="65">
        <v>1363.3</v>
      </c>
      <c r="M182" s="65">
        <v>1362.5</v>
      </c>
      <c r="N182" s="65">
        <v>1363</v>
      </c>
      <c r="O182" s="65">
        <v>1362.6</v>
      </c>
      <c r="P182" s="65">
        <v>0</v>
      </c>
      <c r="Q182" s="65">
        <v>512</v>
      </c>
      <c r="R182" s="65">
        <v>5</v>
      </c>
      <c r="S182" s="65">
        <v>2</v>
      </c>
      <c r="Z182" t="str">
        <f t="shared" si="4"/>
        <v>45A</v>
      </c>
    </row>
    <row r="183" spans="1:26" ht="15" x14ac:dyDescent="0.25">
      <c r="A183" t="s">
        <v>341</v>
      </c>
      <c r="B183">
        <v>46</v>
      </c>
      <c r="C183" t="s">
        <v>49</v>
      </c>
      <c r="D183" s="65">
        <v>39</v>
      </c>
      <c r="E183" s="65">
        <v>0</v>
      </c>
      <c r="F183" s="65">
        <v>40.4</v>
      </c>
      <c r="G183" s="65">
        <v>39</v>
      </c>
      <c r="H183" s="65">
        <v>39.1</v>
      </c>
      <c r="I183" s="65">
        <v>39.5</v>
      </c>
      <c r="J183" s="65">
        <v>38.200000000000003</v>
      </c>
      <c r="K183" s="65">
        <v>1370.8</v>
      </c>
      <c r="L183" s="65">
        <v>1371.8</v>
      </c>
      <c r="M183" s="65">
        <v>1370.9</v>
      </c>
      <c r="N183" s="65">
        <v>1371.1</v>
      </c>
      <c r="O183" s="65">
        <v>1370.4</v>
      </c>
      <c r="P183" s="65">
        <v>0</v>
      </c>
      <c r="Q183" s="65">
        <v>0</v>
      </c>
      <c r="R183" s="65">
        <v>1</v>
      </c>
      <c r="S183" s="65">
        <v>2</v>
      </c>
      <c r="Z183" t="str">
        <f t="shared" si="4"/>
        <v>46D</v>
      </c>
    </row>
    <row r="184" spans="1:26" ht="15" x14ac:dyDescent="0.25">
      <c r="A184" t="s">
        <v>342</v>
      </c>
      <c r="B184">
        <v>46</v>
      </c>
      <c r="C184" t="s">
        <v>50</v>
      </c>
      <c r="D184" s="65">
        <v>38.700000000000003</v>
      </c>
      <c r="E184" s="65">
        <v>0</v>
      </c>
      <c r="F184" s="65">
        <v>40.6</v>
      </c>
      <c r="G184" s="65">
        <v>37.6</v>
      </c>
      <c r="H184" s="65">
        <v>38.799999999999997</v>
      </c>
      <c r="I184" s="65">
        <v>39.1</v>
      </c>
      <c r="J184" s="65">
        <v>38.1</v>
      </c>
      <c r="K184" s="65">
        <v>1372.3</v>
      </c>
      <c r="L184" s="65">
        <v>1370.8</v>
      </c>
      <c r="M184" s="65">
        <v>1370.9</v>
      </c>
      <c r="N184" s="65">
        <v>1370.9</v>
      </c>
      <c r="O184" s="65">
        <v>1370.1</v>
      </c>
      <c r="P184" s="65">
        <v>0</v>
      </c>
      <c r="Q184" s="65">
        <v>0</v>
      </c>
      <c r="R184" s="65">
        <v>1</v>
      </c>
      <c r="S184" s="65">
        <v>2</v>
      </c>
      <c r="Z184" t="str">
        <f t="shared" si="4"/>
        <v>46C</v>
      </c>
    </row>
    <row r="185" spans="1:26" ht="15" x14ac:dyDescent="0.25">
      <c r="A185" t="s">
        <v>343</v>
      </c>
      <c r="B185">
        <v>46</v>
      </c>
      <c r="C185" t="s">
        <v>51</v>
      </c>
      <c r="D185" s="65">
        <v>39.799999999999997</v>
      </c>
      <c r="E185" s="65">
        <v>0</v>
      </c>
      <c r="F185" s="65">
        <v>40.700000000000003</v>
      </c>
      <c r="G185" s="65">
        <v>40.299999999999997</v>
      </c>
      <c r="H185" s="65">
        <v>39.299999999999997</v>
      </c>
      <c r="I185" s="65">
        <v>40.5</v>
      </c>
      <c r="J185" s="65">
        <v>39.700000000000003</v>
      </c>
      <c r="K185" s="65">
        <v>1371.7</v>
      </c>
      <c r="L185" s="65">
        <v>1370.5</v>
      </c>
      <c r="M185" s="65">
        <v>1371.3</v>
      </c>
      <c r="N185" s="65">
        <v>1370.7</v>
      </c>
      <c r="O185" s="65">
        <v>1371.1</v>
      </c>
      <c r="P185" s="65">
        <v>0</v>
      </c>
      <c r="Q185" s="65">
        <v>0</v>
      </c>
      <c r="R185" s="65">
        <v>1</v>
      </c>
      <c r="S185" s="65">
        <v>2</v>
      </c>
      <c r="Z185" t="str">
        <f t="shared" si="4"/>
        <v>46B</v>
      </c>
    </row>
    <row r="186" spans="1:26" ht="15" x14ac:dyDescent="0.25">
      <c r="A186" t="s">
        <v>344</v>
      </c>
      <c r="B186">
        <v>46</v>
      </c>
      <c r="C186" t="s">
        <v>52</v>
      </c>
      <c r="D186" s="65">
        <v>35.9</v>
      </c>
      <c r="E186" s="65">
        <v>0</v>
      </c>
      <c r="F186" s="65">
        <v>38.9</v>
      </c>
      <c r="G186" s="65">
        <v>37.799999999999997</v>
      </c>
      <c r="H186" s="65">
        <v>34.6</v>
      </c>
      <c r="I186" s="65">
        <v>36.6</v>
      </c>
      <c r="J186" s="65">
        <v>34.299999999999997</v>
      </c>
      <c r="K186" s="65">
        <v>1370.7</v>
      </c>
      <c r="L186" s="65">
        <v>1371.3</v>
      </c>
      <c r="M186" s="65">
        <v>1370.7</v>
      </c>
      <c r="N186" s="65">
        <v>1370.1</v>
      </c>
      <c r="O186" s="65">
        <v>1370.8</v>
      </c>
      <c r="P186" s="65">
        <v>0</v>
      </c>
      <c r="Q186" s="65">
        <v>0</v>
      </c>
      <c r="R186" s="65">
        <v>1</v>
      </c>
      <c r="S186" s="65">
        <v>2</v>
      </c>
      <c r="Z186" t="str">
        <f t="shared" si="4"/>
        <v>46A</v>
      </c>
    </row>
    <row r="187" spans="1:26" ht="15" x14ac:dyDescent="0.25">
      <c r="A187" t="s">
        <v>345</v>
      </c>
      <c r="B187">
        <v>47</v>
      </c>
      <c r="C187" t="s">
        <v>49</v>
      </c>
      <c r="D187" s="65">
        <v>42.3</v>
      </c>
      <c r="E187" s="65">
        <v>0</v>
      </c>
      <c r="F187" s="65">
        <v>43.1</v>
      </c>
      <c r="G187" s="65">
        <v>42.5</v>
      </c>
      <c r="H187" s="65">
        <v>42.4</v>
      </c>
      <c r="I187" s="65">
        <v>41.8</v>
      </c>
      <c r="J187" s="65">
        <v>41.9</v>
      </c>
      <c r="K187" s="65">
        <v>1371.5</v>
      </c>
      <c r="L187" s="65">
        <v>1370.1</v>
      </c>
      <c r="M187" s="65">
        <v>1371.4</v>
      </c>
      <c r="N187" s="65">
        <v>1374.8</v>
      </c>
      <c r="O187" s="65">
        <v>1370.9</v>
      </c>
      <c r="P187" s="65">
        <v>0</v>
      </c>
      <c r="Q187" s="65">
        <v>0</v>
      </c>
      <c r="R187" s="65">
        <v>5</v>
      </c>
      <c r="S187" s="65">
        <v>2</v>
      </c>
      <c r="Z187" t="str">
        <f t="shared" si="4"/>
        <v>47D</v>
      </c>
    </row>
    <row r="188" spans="1:26" ht="15" x14ac:dyDescent="0.25">
      <c r="A188" t="s">
        <v>346</v>
      </c>
      <c r="B188">
        <v>47</v>
      </c>
      <c r="C188" t="s">
        <v>50</v>
      </c>
      <c r="D188" s="65">
        <v>38.9</v>
      </c>
      <c r="E188" s="65">
        <v>0</v>
      </c>
      <c r="F188" s="65">
        <v>37.6</v>
      </c>
      <c r="G188" s="65">
        <v>41.1</v>
      </c>
      <c r="H188" s="65">
        <v>41.1</v>
      </c>
      <c r="I188" s="65">
        <v>40.1</v>
      </c>
      <c r="J188" s="65">
        <v>40.700000000000003</v>
      </c>
      <c r="K188" s="65">
        <v>1370.9</v>
      </c>
      <c r="L188" s="65">
        <v>1370.6</v>
      </c>
      <c r="M188" s="65">
        <v>1371.2</v>
      </c>
      <c r="N188" s="65">
        <v>1371</v>
      </c>
      <c r="O188" s="65">
        <v>1371</v>
      </c>
      <c r="P188" s="65">
        <v>0</v>
      </c>
      <c r="Q188" s="65">
        <v>0</v>
      </c>
      <c r="R188" s="65">
        <v>5</v>
      </c>
      <c r="S188" s="65">
        <v>2</v>
      </c>
      <c r="Z188" t="str">
        <f t="shared" si="4"/>
        <v>47C</v>
      </c>
    </row>
    <row r="189" spans="1:26" ht="15" x14ac:dyDescent="0.25">
      <c r="A189" t="s">
        <v>347</v>
      </c>
      <c r="B189">
        <v>47</v>
      </c>
      <c r="C189" t="s">
        <v>51</v>
      </c>
      <c r="D189" s="65">
        <v>15.9</v>
      </c>
      <c r="E189" s="65">
        <v>0</v>
      </c>
      <c r="F189" s="65">
        <v>22.7</v>
      </c>
      <c r="G189" s="65">
        <v>15.4</v>
      </c>
      <c r="H189" s="65">
        <v>18.399999999999999</v>
      </c>
      <c r="I189" s="65">
        <v>14.7</v>
      </c>
      <c r="J189" s="65">
        <v>22.7</v>
      </c>
      <c r="K189" s="65">
        <v>1341.4</v>
      </c>
      <c r="L189" s="65">
        <v>1342.8</v>
      </c>
      <c r="M189" s="65">
        <v>1342.1</v>
      </c>
      <c r="N189" s="65">
        <v>1341.2</v>
      </c>
      <c r="O189" s="65">
        <v>1341.8</v>
      </c>
      <c r="P189" s="65">
        <v>0</v>
      </c>
      <c r="Q189" s="65">
        <v>0</v>
      </c>
      <c r="R189" s="65">
        <v>5</v>
      </c>
      <c r="S189" s="65">
        <v>2</v>
      </c>
      <c r="Z189" t="str">
        <f t="shared" si="4"/>
        <v>47B</v>
      </c>
    </row>
    <row r="190" spans="1:26" ht="15" x14ac:dyDescent="0.25">
      <c r="A190" t="s">
        <v>348</v>
      </c>
      <c r="B190">
        <v>47</v>
      </c>
      <c r="C190" t="s">
        <v>52</v>
      </c>
      <c r="D190" s="65">
        <v>41.3</v>
      </c>
      <c r="E190" s="65">
        <v>0</v>
      </c>
      <c r="F190" s="65">
        <v>41.6</v>
      </c>
      <c r="G190" s="65">
        <v>41.6</v>
      </c>
      <c r="H190" s="65">
        <v>41</v>
      </c>
      <c r="I190" s="65">
        <v>40.9</v>
      </c>
      <c r="J190" s="65">
        <v>41.9</v>
      </c>
      <c r="K190" s="65">
        <v>1370.3</v>
      </c>
      <c r="L190" s="65">
        <v>1369.7</v>
      </c>
      <c r="M190" s="65">
        <v>1371.6</v>
      </c>
      <c r="N190" s="65">
        <v>1371.5</v>
      </c>
      <c r="O190" s="65">
        <v>1370.9</v>
      </c>
      <c r="P190" s="65">
        <v>0</v>
      </c>
      <c r="Q190" s="65">
        <v>1024</v>
      </c>
      <c r="R190" s="65">
        <v>5</v>
      </c>
      <c r="S190" s="65">
        <v>2</v>
      </c>
      <c r="Z190" t="str">
        <f t="shared" si="4"/>
        <v>47A</v>
      </c>
    </row>
    <row r="191" spans="1:26" ht="15" x14ac:dyDescent="0.25">
      <c r="A191" t="s">
        <v>349</v>
      </c>
      <c r="B191">
        <v>48</v>
      </c>
      <c r="C191" t="s">
        <v>49</v>
      </c>
      <c r="D191" s="65">
        <v>30.2</v>
      </c>
      <c r="E191" s="65">
        <v>0</v>
      </c>
      <c r="F191" s="65">
        <v>28.9</v>
      </c>
      <c r="G191" s="65">
        <v>33.4</v>
      </c>
      <c r="H191" s="65">
        <v>30.6</v>
      </c>
      <c r="I191" s="65">
        <v>31.2</v>
      </c>
      <c r="J191" s="65">
        <v>33</v>
      </c>
      <c r="K191" s="65">
        <v>1370</v>
      </c>
      <c r="L191" s="65">
        <v>1371.2</v>
      </c>
      <c r="M191" s="65">
        <v>1372</v>
      </c>
      <c r="N191" s="65">
        <v>1371.3</v>
      </c>
      <c r="O191" s="65">
        <v>1370.2</v>
      </c>
      <c r="P191" s="65">
        <v>0</v>
      </c>
      <c r="Q191" s="65">
        <v>0</v>
      </c>
      <c r="R191" s="65">
        <v>1</v>
      </c>
      <c r="S191" s="65">
        <v>2</v>
      </c>
      <c r="Z191" t="str">
        <f t="shared" si="4"/>
        <v>48D</v>
      </c>
    </row>
    <row r="192" spans="1:26" ht="15" x14ac:dyDescent="0.25">
      <c r="A192" t="s">
        <v>350</v>
      </c>
      <c r="B192">
        <v>48</v>
      </c>
      <c r="C192" t="s">
        <v>50</v>
      </c>
      <c r="D192" s="65">
        <v>29.5</v>
      </c>
      <c r="E192" s="65">
        <v>0</v>
      </c>
      <c r="F192" s="65">
        <v>30.7</v>
      </c>
      <c r="G192" s="65">
        <v>28.7</v>
      </c>
      <c r="H192" s="65">
        <v>31.9</v>
      </c>
      <c r="I192" s="65">
        <v>29.4</v>
      </c>
      <c r="J192" s="65">
        <v>28.5</v>
      </c>
      <c r="K192" s="65">
        <v>1371.5</v>
      </c>
      <c r="L192" s="65">
        <v>1370.6</v>
      </c>
      <c r="M192" s="65">
        <v>1370.7</v>
      </c>
      <c r="N192" s="65">
        <v>1369.7</v>
      </c>
      <c r="O192" s="65">
        <v>1370.6</v>
      </c>
      <c r="P192" s="65">
        <v>0</v>
      </c>
      <c r="Q192" s="65">
        <v>0</v>
      </c>
      <c r="R192" s="65">
        <v>1</v>
      </c>
      <c r="S192" s="65">
        <v>2</v>
      </c>
      <c r="Z192" t="str">
        <f t="shared" si="4"/>
        <v>48C</v>
      </c>
    </row>
    <row r="193" spans="1:26" ht="15" x14ac:dyDescent="0.25">
      <c r="A193" t="s">
        <v>351</v>
      </c>
      <c r="B193">
        <v>48</v>
      </c>
      <c r="C193" t="s">
        <v>51</v>
      </c>
      <c r="D193" s="65">
        <v>29.2</v>
      </c>
      <c r="E193" s="65">
        <v>0</v>
      </c>
      <c r="F193" s="65">
        <v>32.1</v>
      </c>
      <c r="G193" s="65">
        <v>31.8</v>
      </c>
      <c r="H193" s="65">
        <v>32.9</v>
      </c>
      <c r="I193" s="65">
        <v>32.700000000000003</v>
      </c>
      <c r="J193" s="65">
        <v>27.8</v>
      </c>
      <c r="K193" s="65">
        <v>1370.8</v>
      </c>
      <c r="L193" s="65">
        <v>1371</v>
      </c>
      <c r="M193" s="65">
        <v>1369.6</v>
      </c>
      <c r="N193" s="65">
        <v>1370.4</v>
      </c>
      <c r="O193" s="65">
        <v>1370.7</v>
      </c>
      <c r="P193" s="65">
        <v>0</v>
      </c>
      <c r="Q193" s="65">
        <v>0</v>
      </c>
      <c r="R193" s="65">
        <v>1</v>
      </c>
      <c r="S193" s="65">
        <v>2</v>
      </c>
      <c r="Z193" t="str">
        <f t="shared" si="4"/>
        <v>48B</v>
      </c>
    </row>
    <row r="194" spans="1:26" ht="15" x14ac:dyDescent="0.25">
      <c r="A194" t="s">
        <v>352</v>
      </c>
      <c r="B194">
        <v>48</v>
      </c>
      <c r="C194" t="s">
        <v>52</v>
      </c>
      <c r="D194" s="65">
        <v>34.4</v>
      </c>
      <c r="E194" s="65">
        <v>0</v>
      </c>
      <c r="F194" s="65">
        <v>33.799999999999997</v>
      </c>
      <c r="G194" s="65">
        <v>34.200000000000003</v>
      </c>
      <c r="H194" s="65">
        <v>35</v>
      </c>
      <c r="I194" s="65">
        <v>35.799999999999997</v>
      </c>
      <c r="J194" s="65">
        <v>35.4</v>
      </c>
      <c r="K194" s="65">
        <v>1371</v>
      </c>
      <c r="L194" s="65">
        <v>1370.1</v>
      </c>
      <c r="M194" s="65">
        <v>1370.3</v>
      </c>
      <c r="N194" s="65">
        <v>1370.2</v>
      </c>
      <c r="O194" s="65">
        <v>1370.7</v>
      </c>
      <c r="P194" s="65">
        <v>0</v>
      </c>
      <c r="Q194" s="65">
        <v>512</v>
      </c>
      <c r="R194" s="65">
        <v>5</v>
      </c>
      <c r="S194" s="65">
        <v>2</v>
      </c>
      <c r="Z194" t="str">
        <f t="shared" si="4"/>
        <v>48A</v>
      </c>
    </row>
    <row r="195" spans="1:26" ht="15" x14ac:dyDescent="0.25">
      <c r="A195" t="s">
        <v>353</v>
      </c>
      <c r="B195">
        <v>49</v>
      </c>
      <c r="C195" t="s">
        <v>49</v>
      </c>
      <c r="D195" s="65">
        <v>51.1</v>
      </c>
      <c r="E195" s="65">
        <v>0</v>
      </c>
      <c r="F195" s="65">
        <v>63.3</v>
      </c>
      <c r="G195" s="65">
        <v>38.200000000000003</v>
      </c>
      <c r="H195" s="65">
        <v>62.4</v>
      </c>
      <c r="I195" s="65">
        <v>63.5</v>
      </c>
      <c r="J195" s="65">
        <v>62.5</v>
      </c>
      <c r="K195" s="65">
        <v>1373.3</v>
      </c>
      <c r="L195" s="65">
        <v>1373.3</v>
      </c>
      <c r="M195" s="65">
        <v>1371.7</v>
      </c>
      <c r="N195" s="65">
        <v>1373.9</v>
      </c>
      <c r="O195" s="65">
        <v>1373.3</v>
      </c>
      <c r="P195" s="65">
        <v>0</v>
      </c>
      <c r="Q195" s="65">
        <v>0</v>
      </c>
      <c r="R195" s="65">
        <v>1</v>
      </c>
      <c r="S195" s="65">
        <v>2</v>
      </c>
      <c r="Z195" t="str">
        <f t="shared" si="4"/>
        <v>49D</v>
      </c>
    </row>
    <row r="196" spans="1:26" ht="15" x14ac:dyDescent="0.25">
      <c r="A196" t="s">
        <v>354</v>
      </c>
      <c r="B196">
        <v>49</v>
      </c>
      <c r="C196" t="s">
        <v>50</v>
      </c>
      <c r="D196" s="65">
        <v>53.5</v>
      </c>
      <c r="E196" s="65">
        <v>0</v>
      </c>
      <c r="F196" s="65">
        <v>60</v>
      </c>
      <c r="G196" s="65">
        <v>60.2</v>
      </c>
      <c r="H196" s="65">
        <v>45.8</v>
      </c>
      <c r="I196" s="65">
        <v>59</v>
      </c>
      <c r="J196" s="65">
        <v>47</v>
      </c>
      <c r="K196" s="65">
        <v>1372.5</v>
      </c>
      <c r="L196" s="65">
        <v>1372.6</v>
      </c>
      <c r="M196" s="65">
        <v>1375.1</v>
      </c>
      <c r="N196" s="65">
        <v>1373.9</v>
      </c>
      <c r="O196" s="65">
        <v>1373.2</v>
      </c>
      <c r="P196" s="65">
        <v>0</v>
      </c>
      <c r="Q196" s="65">
        <v>0</v>
      </c>
      <c r="R196" s="65">
        <v>1</v>
      </c>
      <c r="S196" s="65">
        <v>2</v>
      </c>
      <c r="Z196" t="str">
        <f t="shared" ref="Z196:Z259" si="5">TEXT(B196,"00")&amp;C196</f>
        <v>49C</v>
      </c>
    </row>
    <row r="197" spans="1:26" ht="15" x14ac:dyDescent="0.25">
      <c r="A197" t="s">
        <v>355</v>
      </c>
      <c r="B197">
        <v>49</v>
      </c>
      <c r="C197" t="s">
        <v>51</v>
      </c>
      <c r="D197" s="65">
        <v>54.9</v>
      </c>
      <c r="E197" s="65">
        <v>0</v>
      </c>
      <c r="F197" s="65">
        <v>46</v>
      </c>
      <c r="G197" s="65">
        <v>46.5</v>
      </c>
      <c r="H197" s="65">
        <v>62.3</v>
      </c>
      <c r="I197" s="65">
        <v>47</v>
      </c>
      <c r="J197" s="65">
        <v>61.7</v>
      </c>
      <c r="K197" s="65">
        <v>1374.2</v>
      </c>
      <c r="L197" s="65">
        <v>1373.1</v>
      </c>
      <c r="M197" s="65">
        <v>1374.9</v>
      </c>
      <c r="N197" s="65">
        <v>1374.4</v>
      </c>
      <c r="O197" s="65">
        <v>1374.2</v>
      </c>
      <c r="P197" s="65">
        <v>0</v>
      </c>
      <c r="Q197" s="65">
        <v>0</v>
      </c>
      <c r="R197" s="65">
        <v>1</v>
      </c>
      <c r="S197" s="65">
        <v>2</v>
      </c>
      <c r="Z197" t="str">
        <f t="shared" si="5"/>
        <v>49B</v>
      </c>
    </row>
    <row r="198" spans="1:26" ht="15" x14ac:dyDescent="0.25">
      <c r="A198" t="s">
        <v>356</v>
      </c>
      <c r="B198">
        <v>49</v>
      </c>
      <c r="C198" t="s">
        <v>52</v>
      </c>
      <c r="D198" s="65">
        <v>60.3</v>
      </c>
      <c r="E198" s="65">
        <v>0</v>
      </c>
      <c r="F198" s="65">
        <v>60.4</v>
      </c>
      <c r="G198" s="65">
        <v>60.5</v>
      </c>
      <c r="H198" s="65">
        <v>60</v>
      </c>
      <c r="I198" s="65">
        <v>60.3</v>
      </c>
      <c r="J198" s="65">
        <v>60.4</v>
      </c>
      <c r="K198" s="65">
        <v>1372.3</v>
      </c>
      <c r="L198" s="65">
        <v>1373.6</v>
      </c>
      <c r="M198" s="65">
        <v>1372.5</v>
      </c>
      <c r="N198" s="65">
        <v>1373.7</v>
      </c>
      <c r="O198" s="65">
        <v>1372.5</v>
      </c>
      <c r="P198" s="65">
        <v>0</v>
      </c>
      <c r="Q198" s="65">
        <v>0</v>
      </c>
      <c r="R198" s="65">
        <v>1</v>
      </c>
      <c r="S198" s="65">
        <v>2</v>
      </c>
      <c r="Z198" t="str">
        <f t="shared" si="5"/>
        <v>49A</v>
      </c>
    </row>
    <row r="199" spans="1:26" ht="15" x14ac:dyDescent="0.25">
      <c r="A199" t="s">
        <v>357</v>
      </c>
      <c r="B199">
        <v>50</v>
      </c>
      <c r="C199" t="s">
        <v>49</v>
      </c>
      <c r="D199" s="65">
        <v>37.1</v>
      </c>
      <c r="E199" s="65">
        <v>0</v>
      </c>
      <c r="F199" s="65">
        <v>37.799999999999997</v>
      </c>
      <c r="G199" s="65">
        <v>37.4</v>
      </c>
      <c r="H199" s="65">
        <v>36.9</v>
      </c>
      <c r="I199" s="65">
        <v>36.799999999999997</v>
      </c>
      <c r="J199" s="65">
        <v>37.4</v>
      </c>
      <c r="K199" s="65">
        <v>1370.5</v>
      </c>
      <c r="L199" s="65">
        <v>1370.5</v>
      </c>
      <c r="M199" s="65">
        <v>1371</v>
      </c>
      <c r="N199" s="65">
        <v>1370.4</v>
      </c>
      <c r="O199" s="65">
        <v>1371.2</v>
      </c>
      <c r="P199" s="65">
        <v>0</v>
      </c>
      <c r="Q199" s="65">
        <v>0</v>
      </c>
      <c r="R199" s="65">
        <v>1</v>
      </c>
      <c r="S199" s="65">
        <v>2</v>
      </c>
      <c r="Z199" t="str">
        <f t="shared" si="5"/>
        <v>50D</v>
      </c>
    </row>
    <row r="200" spans="1:26" ht="15" x14ac:dyDescent="0.25">
      <c r="A200" t="s">
        <v>358</v>
      </c>
      <c r="B200">
        <v>50</v>
      </c>
      <c r="C200" t="s">
        <v>50</v>
      </c>
      <c r="D200" s="65">
        <v>36.200000000000003</v>
      </c>
      <c r="E200" s="65">
        <v>0</v>
      </c>
      <c r="F200" s="65">
        <v>36.799999999999997</v>
      </c>
      <c r="G200" s="65">
        <v>37.5</v>
      </c>
      <c r="H200" s="65">
        <v>36</v>
      </c>
      <c r="I200" s="65">
        <v>36.299999999999997</v>
      </c>
      <c r="J200" s="65">
        <v>35.5</v>
      </c>
      <c r="K200" s="65">
        <v>1370.8</v>
      </c>
      <c r="L200" s="65">
        <v>1371.1</v>
      </c>
      <c r="M200" s="65">
        <v>1370.8</v>
      </c>
      <c r="N200" s="65">
        <v>1370.3</v>
      </c>
      <c r="O200" s="65">
        <v>1371.3</v>
      </c>
      <c r="P200" s="65">
        <v>0</v>
      </c>
      <c r="Q200" s="65">
        <v>1024</v>
      </c>
      <c r="R200" s="65">
        <v>4</v>
      </c>
      <c r="S200" s="65">
        <v>2</v>
      </c>
      <c r="Z200" t="str">
        <f t="shared" si="5"/>
        <v>50C</v>
      </c>
    </row>
    <row r="201" spans="1:26" ht="15" x14ac:dyDescent="0.25">
      <c r="A201" t="s">
        <v>359</v>
      </c>
      <c r="B201">
        <v>50</v>
      </c>
      <c r="C201" t="s">
        <v>51</v>
      </c>
      <c r="D201" s="65">
        <v>34.5</v>
      </c>
      <c r="E201" s="65">
        <v>0</v>
      </c>
      <c r="F201" s="65">
        <v>34.9</v>
      </c>
      <c r="G201" s="65">
        <v>35.700000000000003</v>
      </c>
      <c r="H201" s="65">
        <v>34.299999999999997</v>
      </c>
      <c r="I201" s="65">
        <v>34.4</v>
      </c>
      <c r="J201" s="65">
        <v>34</v>
      </c>
      <c r="K201" s="65">
        <v>1370.3</v>
      </c>
      <c r="L201" s="65">
        <v>1371</v>
      </c>
      <c r="M201" s="65">
        <v>1370.4</v>
      </c>
      <c r="N201" s="65">
        <v>1370.5</v>
      </c>
      <c r="O201" s="65">
        <v>1370.2</v>
      </c>
      <c r="P201" s="65">
        <v>0</v>
      </c>
      <c r="Q201" s="65">
        <v>0</v>
      </c>
      <c r="R201" s="65">
        <v>1</v>
      </c>
      <c r="S201" s="65">
        <v>2</v>
      </c>
      <c r="Z201" t="str">
        <f t="shared" si="5"/>
        <v>50B</v>
      </c>
    </row>
    <row r="202" spans="1:26" ht="15" x14ac:dyDescent="0.25">
      <c r="A202" t="s">
        <v>360</v>
      </c>
      <c r="B202">
        <v>50</v>
      </c>
      <c r="C202" t="s">
        <v>52</v>
      </c>
      <c r="D202" s="65">
        <v>34.6</v>
      </c>
      <c r="E202" s="65">
        <v>0</v>
      </c>
      <c r="F202" s="65">
        <v>36.200000000000003</v>
      </c>
      <c r="G202" s="65">
        <v>35.799999999999997</v>
      </c>
      <c r="H202" s="65">
        <v>34.4</v>
      </c>
      <c r="I202" s="65">
        <v>33.9</v>
      </c>
      <c r="J202" s="65">
        <v>34.6</v>
      </c>
      <c r="K202" s="65">
        <v>1370.2</v>
      </c>
      <c r="L202" s="65">
        <v>1370.2</v>
      </c>
      <c r="M202" s="65">
        <v>1370.1</v>
      </c>
      <c r="N202" s="65">
        <v>1370.9</v>
      </c>
      <c r="O202" s="65">
        <v>1370.6</v>
      </c>
      <c r="P202" s="65">
        <v>0</v>
      </c>
      <c r="Q202" s="65">
        <v>0</v>
      </c>
      <c r="R202" s="65">
        <v>1</v>
      </c>
      <c r="S202" s="65">
        <v>2</v>
      </c>
      <c r="Z202" t="str">
        <f t="shared" si="5"/>
        <v>50A</v>
      </c>
    </row>
    <row r="203" spans="1:26" ht="15" x14ac:dyDescent="0.25">
      <c r="A203" t="s">
        <v>361</v>
      </c>
      <c r="B203">
        <v>51</v>
      </c>
      <c r="C203" t="s">
        <v>49</v>
      </c>
      <c r="D203" s="65">
        <v>46.9</v>
      </c>
      <c r="E203" s="65">
        <v>0</v>
      </c>
      <c r="F203" s="65">
        <v>47.9</v>
      </c>
      <c r="G203" s="65">
        <v>46.2</v>
      </c>
      <c r="H203" s="65">
        <v>47.5</v>
      </c>
      <c r="I203" s="65">
        <v>47.8</v>
      </c>
      <c r="J203" s="65">
        <v>47.7</v>
      </c>
      <c r="K203" s="65">
        <v>1371.2</v>
      </c>
      <c r="L203" s="65">
        <v>1370.9</v>
      </c>
      <c r="M203" s="65">
        <v>1370.5</v>
      </c>
      <c r="N203" s="65">
        <v>1371.2</v>
      </c>
      <c r="O203" s="65">
        <v>1370.7</v>
      </c>
      <c r="P203" s="65">
        <v>0</v>
      </c>
      <c r="Q203" s="65">
        <v>0</v>
      </c>
      <c r="R203" s="65">
        <v>1</v>
      </c>
      <c r="S203" s="65">
        <v>2</v>
      </c>
      <c r="Z203" t="str">
        <f t="shared" si="5"/>
        <v>51D</v>
      </c>
    </row>
    <row r="204" spans="1:26" ht="15" x14ac:dyDescent="0.25">
      <c r="A204" t="s">
        <v>362</v>
      </c>
      <c r="B204">
        <v>51</v>
      </c>
      <c r="C204" t="s">
        <v>50</v>
      </c>
      <c r="D204" s="65">
        <v>42.5</v>
      </c>
      <c r="E204" s="65">
        <v>0</v>
      </c>
      <c r="F204" s="65">
        <v>39.5</v>
      </c>
      <c r="G204" s="65">
        <v>46.5</v>
      </c>
      <c r="H204" s="65">
        <v>46.6</v>
      </c>
      <c r="I204" s="65">
        <v>45.8</v>
      </c>
      <c r="J204" s="65">
        <v>39.5</v>
      </c>
      <c r="K204" s="65">
        <v>1370.8</v>
      </c>
      <c r="L204" s="65">
        <v>1371.9</v>
      </c>
      <c r="M204" s="65">
        <v>1371.4</v>
      </c>
      <c r="N204" s="65">
        <v>1371.4</v>
      </c>
      <c r="O204" s="65">
        <v>1371.2</v>
      </c>
      <c r="P204" s="65">
        <v>0</v>
      </c>
      <c r="Q204" s="65">
        <v>0</v>
      </c>
      <c r="R204" s="65">
        <v>1</v>
      </c>
      <c r="S204" s="65">
        <v>2</v>
      </c>
      <c r="Z204" t="str">
        <f t="shared" si="5"/>
        <v>51C</v>
      </c>
    </row>
    <row r="205" spans="1:26" ht="15" x14ac:dyDescent="0.25">
      <c r="A205" t="s">
        <v>363</v>
      </c>
      <c r="B205">
        <v>51</v>
      </c>
      <c r="C205" t="s">
        <v>51</v>
      </c>
      <c r="D205" s="65">
        <v>42.5</v>
      </c>
      <c r="E205" s="65">
        <v>0</v>
      </c>
      <c r="F205" s="65">
        <v>46.2</v>
      </c>
      <c r="G205" s="65">
        <v>45</v>
      </c>
      <c r="H205" s="65">
        <v>39.9</v>
      </c>
      <c r="I205" s="65">
        <v>43.8</v>
      </c>
      <c r="J205" s="65">
        <v>40.9</v>
      </c>
      <c r="K205" s="65">
        <v>1370.3</v>
      </c>
      <c r="L205" s="65">
        <v>1371</v>
      </c>
      <c r="M205" s="65">
        <v>1371.3</v>
      </c>
      <c r="N205" s="65">
        <v>1371.3</v>
      </c>
      <c r="O205" s="65">
        <v>1371</v>
      </c>
      <c r="P205" s="65">
        <v>0</v>
      </c>
      <c r="Q205" s="65">
        <v>0</v>
      </c>
      <c r="R205" s="65">
        <v>1</v>
      </c>
      <c r="S205" s="65">
        <v>2</v>
      </c>
      <c r="Z205" t="str">
        <f t="shared" si="5"/>
        <v>51B</v>
      </c>
    </row>
    <row r="206" spans="1:26" ht="15" x14ac:dyDescent="0.25">
      <c r="A206" t="s">
        <v>364</v>
      </c>
      <c r="B206">
        <v>51</v>
      </c>
      <c r="C206" t="s">
        <v>52</v>
      </c>
      <c r="D206" s="65">
        <v>46</v>
      </c>
      <c r="E206" s="65">
        <v>0</v>
      </c>
      <c r="F206" s="65">
        <v>46.9</v>
      </c>
      <c r="G206" s="65">
        <v>46.1</v>
      </c>
      <c r="H206" s="65">
        <v>45.6</v>
      </c>
      <c r="I206" s="65">
        <v>45.4</v>
      </c>
      <c r="J206" s="65">
        <v>46.8</v>
      </c>
      <c r="K206" s="65">
        <v>1370.5</v>
      </c>
      <c r="L206" s="65">
        <v>1371.3</v>
      </c>
      <c r="M206" s="65">
        <v>1371.3</v>
      </c>
      <c r="N206" s="65">
        <v>1371.9</v>
      </c>
      <c r="O206" s="65">
        <v>1369.5</v>
      </c>
      <c r="P206" s="65">
        <v>0</v>
      </c>
      <c r="Q206" s="65">
        <v>0</v>
      </c>
      <c r="R206" s="65">
        <v>1</v>
      </c>
      <c r="S206" s="65">
        <v>2</v>
      </c>
      <c r="Z206" t="str">
        <f t="shared" si="5"/>
        <v>51A</v>
      </c>
    </row>
    <row r="207" spans="1:26" ht="15" x14ac:dyDescent="0.25">
      <c r="A207" t="s">
        <v>365</v>
      </c>
      <c r="B207">
        <v>52</v>
      </c>
      <c r="C207" t="s">
        <v>49</v>
      </c>
      <c r="D207" s="65">
        <v>38.1</v>
      </c>
      <c r="E207" s="65">
        <v>0</v>
      </c>
      <c r="F207" s="65">
        <v>38.4</v>
      </c>
      <c r="G207" s="65">
        <v>38.5</v>
      </c>
      <c r="H207" s="65">
        <v>38.700000000000003</v>
      </c>
      <c r="I207" s="65">
        <v>37.799999999999997</v>
      </c>
      <c r="J207" s="65">
        <v>38.299999999999997</v>
      </c>
      <c r="K207" s="65">
        <v>1370.9</v>
      </c>
      <c r="L207" s="65">
        <v>1371</v>
      </c>
      <c r="M207" s="65">
        <v>1370.1</v>
      </c>
      <c r="N207" s="65">
        <v>1370.1</v>
      </c>
      <c r="O207" s="65">
        <v>1370.4</v>
      </c>
      <c r="P207" s="65">
        <v>0</v>
      </c>
      <c r="Q207" s="65">
        <v>192</v>
      </c>
      <c r="R207" s="65">
        <v>5</v>
      </c>
      <c r="S207" s="65">
        <v>2</v>
      </c>
      <c r="Z207" t="str">
        <f t="shared" si="5"/>
        <v>52D</v>
      </c>
    </row>
    <row r="208" spans="1:26" ht="15" x14ac:dyDescent="0.25">
      <c r="A208" t="s">
        <v>366</v>
      </c>
      <c r="B208">
        <v>52</v>
      </c>
      <c r="C208" t="s">
        <v>50</v>
      </c>
      <c r="D208" s="65">
        <v>35.799999999999997</v>
      </c>
      <c r="E208" s="65">
        <v>0</v>
      </c>
      <c r="F208" s="65">
        <v>36.4</v>
      </c>
      <c r="G208" s="65">
        <v>36</v>
      </c>
      <c r="H208" s="65">
        <v>35.5</v>
      </c>
      <c r="I208" s="65">
        <v>36.5</v>
      </c>
      <c r="J208" s="65">
        <v>36.4</v>
      </c>
      <c r="K208" s="65">
        <v>1369.9</v>
      </c>
      <c r="L208" s="65">
        <v>1369.9</v>
      </c>
      <c r="M208" s="65">
        <v>1370.8</v>
      </c>
      <c r="N208" s="65">
        <v>1370.3</v>
      </c>
      <c r="O208" s="65">
        <v>1370.2</v>
      </c>
      <c r="P208" s="65">
        <v>0</v>
      </c>
      <c r="Q208" s="65">
        <v>64</v>
      </c>
      <c r="R208" s="65">
        <v>4</v>
      </c>
      <c r="S208" s="65">
        <v>2</v>
      </c>
      <c r="Z208" t="str">
        <f t="shared" si="5"/>
        <v>52C</v>
      </c>
    </row>
    <row r="209" spans="1:26" ht="15" x14ac:dyDescent="0.25">
      <c r="A209" t="s">
        <v>367</v>
      </c>
      <c r="B209">
        <v>52</v>
      </c>
      <c r="C209" t="s">
        <v>51</v>
      </c>
      <c r="D209" s="65">
        <v>34.1</v>
      </c>
      <c r="E209" s="65">
        <v>0</v>
      </c>
      <c r="F209" s="65">
        <v>34.6</v>
      </c>
      <c r="G209" s="65">
        <v>33.799999999999997</v>
      </c>
      <c r="H209" s="65">
        <v>35.1</v>
      </c>
      <c r="I209" s="65">
        <v>34.200000000000003</v>
      </c>
      <c r="J209" s="65">
        <v>33.700000000000003</v>
      </c>
      <c r="K209" s="65">
        <v>1370.4</v>
      </c>
      <c r="L209" s="65">
        <v>1370.4</v>
      </c>
      <c r="M209" s="65">
        <v>1371.3</v>
      </c>
      <c r="N209" s="65">
        <v>1370.6</v>
      </c>
      <c r="O209" s="65">
        <v>1371.2</v>
      </c>
      <c r="P209" s="65">
        <v>0</v>
      </c>
      <c r="Q209" s="65">
        <v>64</v>
      </c>
      <c r="R209" s="65">
        <v>4</v>
      </c>
      <c r="S209" s="65">
        <v>2</v>
      </c>
      <c r="Z209" t="str">
        <f t="shared" si="5"/>
        <v>52B</v>
      </c>
    </row>
    <row r="210" spans="1:26" ht="15" x14ac:dyDescent="0.25">
      <c r="A210" t="s">
        <v>368</v>
      </c>
      <c r="B210">
        <v>52</v>
      </c>
      <c r="C210" t="s">
        <v>52</v>
      </c>
      <c r="D210" s="65">
        <v>36</v>
      </c>
      <c r="E210" s="65">
        <v>0</v>
      </c>
      <c r="F210" s="65">
        <v>36</v>
      </c>
      <c r="G210" s="65">
        <v>37.700000000000003</v>
      </c>
      <c r="H210" s="65">
        <v>35.1</v>
      </c>
      <c r="I210" s="65">
        <v>35.700000000000003</v>
      </c>
      <c r="J210" s="65">
        <v>35.6</v>
      </c>
      <c r="K210" s="65">
        <v>1371.1</v>
      </c>
      <c r="L210" s="65">
        <v>1370.2</v>
      </c>
      <c r="M210" s="65">
        <v>1369.8</v>
      </c>
      <c r="N210" s="65">
        <v>1370.6</v>
      </c>
      <c r="O210" s="65">
        <v>1371.1</v>
      </c>
      <c r="P210" s="65">
        <v>0</v>
      </c>
      <c r="Q210" s="65">
        <v>576</v>
      </c>
      <c r="R210" s="65">
        <v>5</v>
      </c>
      <c r="S210" s="65">
        <v>2</v>
      </c>
      <c r="Z210" t="str">
        <f t="shared" si="5"/>
        <v>52A</v>
      </c>
    </row>
    <row r="211" spans="1:26" ht="15" x14ac:dyDescent="0.25">
      <c r="A211" t="s">
        <v>369</v>
      </c>
      <c r="B211">
        <v>53</v>
      </c>
      <c r="C211" t="s">
        <v>49</v>
      </c>
      <c r="D211" s="65">
        <v>38.200000000000003</v>
      </c>
      <c r="E211" s="65">
        <v>0</v>
      </c>
      <c r="F211" s="65">
        <v>38.9</v>
      </c>
      <c r="G211" s="65">
        <v>38.6</v>
      </c>
      <c r="H211" s="65">
        <v>37.799999999999997</v>
      </c>
      <c r="I211" s="65">
        <v>38.1</v>
      </c>
      <c r="J211" s="65">
        <v>38.299999999999997</v>
      </c>
      <c r="K211" s="65">
        <v>1370.7</v>
      </c>
      <c r="L211" s="65">
        <v>1371</v>
      </c>
      <c r="M211" s="65">
        <v>1371</v>
      </c>
      <c r="N211" s="65">
        <v>1371</v>
      </c>
      <c r="O211" s="65">
        <v>1370.4</v>
      </c>
      <c r="P211" s="65">
        <v>0</v>
      </c>
      <c r="Q211" s="65">
        <v>0</v>
      </c>
      <c r="R211" s="65">
        <v>1</v>
      </c>
      <c r="S211" s="65">
        <v>2</v>
      </c>
      <c r="Z211" t="str">
        <f t="shared" si="5"/>
        <v>53D</v>
      </c>
    </row>
    <row r="212" spans="1:26" ht="15" x14ac:dyDescent="0.25">
      <c r="A212" t="s">
        <v>370</v>
      </c>
      <c r="B212">
        <v>53</v>
      </c>
      <c r="C212" t="s">
        <v>50</v>
      </c>
      <c r="D212" s="65">
        <v>37.799999999999997</v>
      </c>
      <c r="E212" s="65">
        <v>0</v>
      </c>
      <c r="F212" s="65">
        <v>38.4</v>
      </c>
      <c r="G212" s="65">
        <v>38</v>
      </c>
      <c r="H212" s="65">
        <v>37.9</v>
      </c>
      <c r="I212" s="65">
        <v>37.5</v>
      </c>
      <c r="J212" s="65">
        <v>37.6</v>
      </c>
      <c r="K212" s="65">
        <v>1371.3</v>
      </c>
      <c r="L212" s="65">
        <v>1370.2</v>
      </c>
      <c r="M212" s="65">
        <v>1369.6</v>
      </c>
      <c r="N212" s="65">
        <v>1370.5</v>
      </c>
      <c r="O212" s="65">
        <v>1370.5</v>
      </c>
      <c r="P212" s="65">
        <v>0</v>
      </c>
      <c r="Q212" s="65">
        <v>0</v>
      </c>
      <c r="R212" s="65">
        <v>1</v>
      </c>
      <c r="S212" s="65">
        <v>2</v>
      </c>
      <c r="Z212" t="str">
        <f t="shared" si="5"/>
        <v>53C</v>
      </c>
    </row>
    <row r="213" spans="1:26" ht="15" x14ac:dyDescent="0.25">
      <c r="A213" t="s">
        <v>371</v>
      </c>
      <c r="B213">
        <v>53</v>
      </c>
      <c r="C213" t="s">
        <v>51</v>
      </c>
      <c r="D213" s="65">
        <v>38.4</v>
      </c>
      <c r="E213" s="65">
        <v>0</v>
      </c>
      <c r="F213" s="65">
        <v>38.1</v>
      </c>
      <c r="G213" s="65">
        <v>38.5</v>
      </c>
      <c r="H213" s="65">
        <v>38.6</v>
      </c>
      <c r="I213" s="65">
        <v>38.6</v>
      </c>
      <c r="J213" s="65">
        <v>38.9</v>
      </c>
      <c r="K213" s="65">
        <v>1371.2</v>
      </c>
      <c r="L213" s="65">
        <v>1371.3</v>
      </c>
      <c r="M213" s="65">
        <v>1370.3</v>
      </c>
      <c r="N213" s="65">
        <v>1371.1</v>
      </c>
      <c r="O213" s="65">
        <v>1371</v>
      </c>
      <c r="P213" s="65">
        <v>0</v>
      </c>
      <c r="Q213" s="65">
        <v>0</v>
      </c>
      <c r="R213" s="65">
        <v>1</v>
      </c>
      <c r="S213" s="65">
        <v>2</v>
      </c>
      <c r="Z213" t="str">
        <f t="shared" si="5"/>
        <v>53B</v>
      </c>
    </row>
    <row r="214" spans="1:26" ht="15" x14ac:dyDescent="0.25">
      <c r="A214" t="s">
        <v>372</v>
      </c>
      <c r="B214">
        <v>53</v>
      </c>
      <c r="C214" t="s">
        <v>52</v>
      </c>
      <c r="D214" s="65">
        <v>37.6</v>
      </c>
      <c r="E214" s="65">
        <v>0</v>
      </c>
      <c r="F214" s="65">
        <v>38.200000000000003</v>
      </c>
      <c r="G214" s="65">
        <v>37.299999999999997</v>
      </c>
      <c r="H214" s="65">
        <v>38.5</v>
      </c>
      <c r="I214" s="65">
        <v>38.6</v>
      </c>
      <c r="J214" s="65">
        <v>37</v>
      </c>
      <c r="K214" s="65">
        <v>1370.8</v>
      </c>
      <c r="L214" s="65">
        <v>1371.2</v>
      </c>
      <c r="M214" s="65">
        <v>1371.5</v>
      </c>
      <c r="N214" s="65">
        <v>1370.2</v>
      </c>
      <c r="O214" s="65">
        <v>1372.3</v>
      </c>
      <c r="P214" s="65">
        <v>0</v>
      </c>
      <c r="Q214" s="65">
        <v>0</v>
      </c>
      <c r="R214" s="65">
        <v>1</v>
      </c>
      <c r="S214" s="65">
        <v>2</v>
      </c>
      <c r="Z214" t="str">
        <f t="shared" si="5"/>
        <v>53A</v>
      </c>
    </row>
    <row r="215" spans="1:26" ht="15" x14ac:dyDescent="0.25">
      <c r="A215" t="s">
        <v>373</v>
      </c>
      <c r="B215">
        <v>54</v>
      </c>
      <c r="C215" t="s">
        <v>49</v>
      </c>
      <c r="D215" s="65">
        <v>22.3</v>
      </c>
      <c r="E215" s="65">
        <v>0</v>
      </c>
      <c r="F215" s="65">
        <v>21.8</v>
      </c>
      <c r="G215" s="65">
        <v>24.1</v>
      </c>
      <c r="H215" s="65">
        <v>23.6</v>
      </c>
      <c r="I215" s="65">
        <v>23.7</v>
      </c>
      <c r="J215" s="65">
        <v>21.8</v>
      </c>
      <c r="K215" s="65">
        <v>1356.3</v>
      </c>
      <c r="L215" s="65">
        <v>1355.1</v>
      </c>
      <c r="M215" s="65">
        <v>1355.9</v>
      </c>
      <c r="N215" s="65">
        <v>1355.2</v>
      </c>
      <c r="O215" s="65">
        <v>1355.9</v>
      </c>
      <c r="P215" s="65">
        <v>0</v>
      </c>
      <c r="Q215" s="65">
        <v>0</v>
      </c>
      <c r="R215" s="65">
        <v>1</v>
      </c>
      <c r="S215" s="65">
        <v>2</v>
      </c>
      <c r="Z215" t="str">
        <f t="shared" si="5"/>
        <v>54D</v>
      </c>
    </row>
    <row r="216" spans="1:26" ht="15" x14ac:dyDescent="0.25">
      <c r="A216" t="s">
        <v>374</v>
      </c>
      <c r="B216">
        <v>54</v>
      </c>
      <c r="C216" t="s">
        <v>50</v>
      </c>
      <c r="D216" s="65">
        <v>24</v>
      </c>
      <c r="E216" s="65">
        <v>0</v>
      </c>
      <c r="F216" s="65">
        <v>24</v>
      </c>
      <c r="G216" s="65">
        <v>24.2</v>
      </c>
      <c r="H216" s="65">
        <v>24</v>
      </c>
      <c r="I216" s="65">
        <v>24</v>
      </c>
      <c r="J216" s="65">
        <v>24.1</v>
      </c>
      <c r="K216" s="65">
        <v>1356.2</v>
      </c>
      <c r="L216" s="65">
        <v>1354.4</v>
      </c>
      <c r="M216" s="65">
        <v>1354.7</v>
      </c>
      <c r="N216" s="65">
        <v>1356.6</v>
      </c>
      <c r="O216" s="65">
        <v>1355.6</v>
      </c>
      <c r="P216" s="65">
        <v>0</v>
      </c>
      <c r="Q216" s="65">
        <v>0</v>
      </c>
      <c r="R216" s="65">
        <v>1</v>
      </c>
      <c r="S216" s="65">
        <v>2</v>
      </c>
      <c r="Z216" t="str">
        <f t="shared" si="5"/>
        <v>54C</v>
      </c>
    </row>
    <row r="217" spans="1:26" ht="15" x14ac:dyDescent="0.25">
      <c r="A217" t="s">
        <v>375</v>
      </c>
      <c r="B217">
        <v>54</v>
      </c>
      <c r="C217" t="s">
        <v>51</v>
      </c>
      <c r="D217" s="65">
        <v>46.7</v>
      </c>
      <c r="E217" s="65">
        <v>0</v>
      </c>
      <c r="F217" s="65">
        <v>46.9</v>
      </c>
      <c r="G217" s="65">
        <v>46.6</v>
      </c>
      <c r="H217" s="65">
        <v>46.8</v>
      </c>
      <c r="I217" s="65">
        <v>46.8</v>
      </c>
      <c r="J217" s="65">
        <v>46.9</v>
      </c>
      <c r="K217" s="65">
        <v>1374.5</v>
      </c>
      <c r="L217" s="65">
        <v>1371.8</v>
      </c>
      <c r="M217" s="65">
        <v>1371.6</v>
      </c>
      <c r="N217" s="65">
        <v>1371.3</v>
      </c>
      <c r="O217" s="65">
        <v>1370.9</v>
      </c>
      <c r="P217" s="65">
        <v>0</v>
      </c>
      <c r="Q217" s="65">
        <v>0</v>
      </c>
      <c r="R217" s="65">
        <v>1</v>
      </c>
      <c r="S217" s="65">
        <v>2</v>
      </c>
      <c r="Z217" t="str">
        <f t="shared" si="5"/>
        <v>54B</v>
      </c>
    </row>
    <row r="218" spans="1:26" ht="15" x14ac:dyDescent="0.25">
      <c r="A218" t="s">
        <v>376</v>
      </c>
      <c r="B218">
        <v>54</v>
      </c>
      <c r="C218" t="s">
        <v>52</v>
      </c>
      <c r="D218" s="65">
        <v>45.2</v>
      </c>
      <c r="E218" s="65">
        <v>0</v>
      </c>
      <c r="F218" s="65">
        <v>45.6</v>
      </c>
      <c r="G218" s="65">
        <v>45.3</v>
      </c>
      <c r="H218" s="65">
        <v>45.8</v>
      </c>
      <c r="I218" s="65">
        <v>44.8</v>
      </c>
      <c r="J218" s="65">
        <v>44.9</v>
      </c>
      <c r="K218" s="65">
        <v>1371.2</v>
      </c>
      <c r="L218" s="65">
        <v>1369.8</v>
      </c>
      <c r="M218" s="65">
        <v>1371</v>
      </c>
      <c r="N218" s="65">
        <v>1370.5</v>
      </c>
      <c r="O218" s="65">
        <v>1370.1</v>
      </c>
      <c r="P218" s="65">
        <v>0</v>
      </c>
      <c r="Q218" s="65">
        <v>512</v>
      </c>
      <c r="R218" s="65">
        <v>5</v>
      </c>
      <c r="S218" s="65">
        <v>2</v>
      </c>
      <c r="Z218" t="str">
        <f t="shared" si="5"/>
        <v>54A</v>
      </c>
    </row>
    <row r="219" spans="1:26" ht="15" x14ac:dyDescent="0.25">
      <c r="A219" t="s">
        <v>377</v>
      </c>
      <c r="B219">
        <v>55</v>
      </c>
      <c r="C219" t="s">
        <v>49</v>
      </c>
      <c r="D219" s="65">
        <v>66.599999999999994</v>
      </c>
      <c r="E219" s="65">
        <v>1387</v>
      </c>
      <c r="F219" s="65">
        <v>59.2</v>
      </c>
      <c r="G219" s="65">
        <v>57</v>
      </c>
      <c r="H219" s="65">
        <v>59.1</v>
      </c>
      <c r="I219" s="65">
        <v>70.900000000000006</v>
      </c>
      <c r="J219" s="65">
        <v>71.5</v>
      </c>
      <c r="K219" s="65">
        <v>1386.3</v>
      </c>
      <c r="L219" s="65">
        <v>1387.6</v>
      </c>
      <c r="M219" s="65">
        <v>1386.7</v>
      </c>
      <c r="N219" s="65">
        <v>1388.5</v>
      </c>
      <c r="O219" s="65">
        <v>1387.4</v>
      </c>
      <c r="P219" s="65">
        <v>0</v>
      </c>
      <c r="Q219" s="65">
        <v>0</v>
      </c>
      <c r="R219" s="65">
        <v>1</v>
      </c>
      <c r="S219" s="65">
        <v>2</v>
      </c>
      <c r="Z219" t="str">
        <f t="shared" si="5"/>
        <v>55D</v>
      </c>
    </row>
    <row r="220" spans="1:26" ht="15" x14ac:dyDescent="0.25">
      <c r="A220" t="s">
        <v>378</v>
      </c>
      <c r="B220">
        <v>55</v>
      </c>
      <c r="C220" t="s">
        <v>50</v>
      </c>
      <c r="D220" s="65">
        <v>72.099999999999994</v>
      </c>
      <c r="E220" s="65">
        <v>1387.2</v>
      </c>
      <c r="F220" s="65">
        <v>72.3</v>
      </c>
      <c r="G220" s="65">
        <v>72.2</v>
      </c>
      <c r="H220" s="65">
        <v>71.8</v>
      </c>
      <c r="I220" s="65">
        <v>72</v>
      </c>
      <c r="J220" s="65">
        <v>71.900000000000006</v>
      </c>
      <c r="K220" s="65">
        <v>1386.8</v>
      </c>
      <c r="L220" s="65">
        <v>1387.3</v>
      </c>
      <c r="M220" s="65">
        <v>1385.5</v>
      </c>
      <c r="N220" s="65">
        <v>1387.8</v>
      </c>
      <c r="O220" s="65">
        <v>1385.8</v>
      </c>
      <c r="P220" s="65">
        <v>0</v>
      </c>
      <c r="Q220" s="65">
        <v>0</v>
      </c>
      <c r="R220" s="65">
        <v>1</v>
      </c>
      <c r="S220" s="65">
        <v>2</v>
      </c>
      <c r="Z220" t="str">
        <f t="shared" si="5"/>
        <v>55C</v>
      </c>
    </row>
    <row r="221" spans="1:26" ht="15" x14ac:dyDescent="0.25">
      <c r="A221" t="s">
        <v>379</v>
      </c>
      <c r="B221">
        <v>55</v>
      </c>
      <c r="C221" t="s">
        <v>51</v>
      </c>
      <c r="D221" s="65">
        <v>67.7</v>
      </c>
      <c r="E221" s="65">
        <v>1387.4</v>
      </c>
      <c r="F221" s="65">
        <v>59.8</v>
      </c>
      <c r="G221" s="65">
        <v>71.099999999999994</v>
      </c>
      <c r="H221" s="65">
        <v>71.7</v>
      </c>
      <c r="I221" s="65">
        <v>71.099999999999994</v>
      </c>
      <c r="J221" s="65">
        <v>59.5</v>
      </c>
      <c r="K221" s="65">
        <v>1387.6</v>
      </c>
      <c r="L221" s="65">
        <v>1387.5</v>
      </c>
      <c r="M221" s="65">
        <v>1387.6</v>
      </c>
      <c r="N221" s="65">
        <v>1388.4</v>
      </c>
      <c r="O221" s="65">
        <v>1386.9</v>
      </c>
      <c r="P221" s="65">
        <v>0</v>
      </c>
      <c r="Q221" s="65">
        <v>0</v>
      </c>
      <c r="R221" s="65">
        <v>1</v>
      </c>
      <c r="S221" s="65">
        <v>2</v>
      </c>
      <c r="Z221" t="str">
        <f t="shared" si="5"/>
        <v>55B</v>
      </c>
    </row>
    <row r="222" spans="1:26" ht="15" x14ac:dyDescent="0.25">
      <c r="A222" t="s">
        <v>380</v>
      </c>
      <c r="B222">
        <v>55</v>
      </c>
      <c r="C222" t="s">
        <v>52</v>
      </c>
      <c r="D222" s="65">
        <v>57.2</v>
      </c>
      <c r="E222" s="65">
        <v>1380.2</v>
      </c>
      <c r="F222" s="65">
        <v>57.7</v>
      </c>
      <c r="G222" s="65">
        <v>60.1</v>
      </c>
      <c r="H222" s="65">
        <v>58</v>
      </c>
      <c r="I222" s="65">
        <v>60.4</v>
      </c>
      <c r="J222" s="65">
        <v>53.1</v>
      </c>
      <c r="K222" s="65">
        <v>1380.6</v>
      </c>
      <c r="L222" s="65">
        <v>1379.8</v>
      </c>
      <c r="M222" s="65">
        <v>1379.3</v>
      </c>
      <c r="N222" s="65">
        <v>1380.5</v>
      </c>
      <c r="O222" s="65">
        <v>1380.5</v>
      </c>
      <c r="P222" s="65">
        <v>0</v>
      </c>
      <c r="Q222" s="65">
        <v>0</v>
      </c>
      <c r="R222" s="65">
        <v>1</v>
      </c>
      <c r="S222" s="65">
        <v>2</v>
      </c>
      <c r="Z222" t="str">
        <f t="shared" si="5"/>
        <v>55A</v>
      </c>
    </row>
    <row r="223" spans="1:26" ht="15" x14ac:dyDescent="0.25">
      <c r="A223" t="s">
        <v>381</v>
      </c>
      <c r="B223">
        <v>56</v>
      </c>
      <c r="C223" t="s">
        <v>49</v>
      </c>
      <c r="D223" s="65">
        <v>72.400000000000006</v>
      </c>
      <c r="E223" s="65">
        <v>1387.2</v>
      </c>
      <c r="F223" s="65">
        <v>72.7</v>
      </c>
      <c r="G223" s="65">
        <v>72.2</v>
      </c>
      <c r="H223" s="65">
        <v>72.3</v>
      </c>
      <c r="I223" s="65">
        <v>71.7</v>
      </c>
      <c r="J223" s="65">
        <v>71.900000000000006</v>
      </c>
      <c r="K223" s="65">
        <v>1387.9</v>
      </c>
      <c r="L223" s="65">
        <v>1388</v>
      </c>
      <c r="M223" s="65">
        <v>1388.1</v>
      </c>
      <c r="N223" s="65">
        <v>1385.9</v>
      </c>
      <c r="O223" s="65">
        <v>1388</v>
      </c>
      <c r="P223" s="65">
        <v>0</v>
      </c>
      <c r="Q223" s="65">
        <v>0</v>
      </c>
      <c r="R223" s="65">
        <v>1</v>
      </c>
      <c r="S223" s="65">
        <v>2</v>
      </c>
      <c r="Z223" t="str">
        <f t="shared" si="5"/>
        <v>56D</v>
      </c>
    </row>
    <row r="224" spans="1:26" ht="15" x14ac:dyDescent="0.25">
      <c r="A224" t="s">
        <v>382</v>
      </c>
      <c r="B224">
        <v>56</v>
      </c>
      <c r="C224" t="s">
        <v>50</v>
      </c>
      <c r="D224" s="65">
        <v>70.7</v>
      </c>
      <c r="E224" s="65">
        <v>1387.2</v>
      </c>
      <c r="F224" s="65">
        <v>73.2</v>
      </c>
      <c r="G224" s="65">
        <v>64.8</v>
      </c>
      <c r="H224" s="65">
        <v>70.400000000000006</v>
      </c>
      <c r="I224" s="65">
        <v>64.7</v>
      </c>
      <c r="J224" s="65">
        <v>73.2</v>
      </c>
      <c r="K224" s="65">
        <v>1387.4</v>
      </c>
      <c r="L224" s="65">
        <v>1386.9</v>
      </c>
      <c r="M224" s="65">
        <v>1387.9</v>
      </c>
      <c r="N224" s="65">
        <v>1386.6</v>
      </c>
      <c r="O224" s="65">
        <v>1386.6</v>
      </c>
      <c r="P224" s="65">
        <v>0</v>
      </c>
      <c r="Q224" s="65">
        <v>0</v>
      </c>
      <c r="R224" s="65">
        <v>1</v>
      </c>
      <c r="S224" s="65">
        <v>2</v>
      </c>
      <c r="Z224" t="str">
        <f t="shared" si="5"/>
        <v>56C</v>
      </c>
    </row>
    <row r="225" spans="1:26" ht="15" x14ac:dyDescent="0.25">
      <c r="A225" t="s">
        <v>383</v>
      </c>
      <c r="B225">
        <v>56</v>
      </c>
      <c r="C225" t="s">
        <v>51</v>
      </c>
      <c r="D225" s="65">
        <v>60.3</v>
      </c>
      <c r="E225" s="65">
        <v>1387.5</v>
      </c>
      <c r="F225" s="65">
        <v>63.5</v>
      </c>
      <c r="G225" s="65">
        <v>55.5</v>
      </c>
      <c r="H225" s="65">
        <v>63.5</v>
      </c>
      <c r="I225" s="65">
        <v>63.5</v>
      </c>
      <c r="J225" s="65">
        <v>63.4</v>
      </c>
      <c r="K225" s="65">
        <v>1387.9</v>
      </c>
      <c r="L225" s="65">
        <v>1388.2</v>
      </c>
      <c r="M225" s="65">
        <v>1387.3</v>
      </c>
      <c r="N225" s="65">
        <v>1388.4</v>
      </c>
      <c r="O225" s="65">
        <v>1387.8</v>
      </c>
      <c r="P225" s="65">
        <v>0</v>
      </c>
      <c r="Q225" s="65">
        <v>0</v>
      </c>
      <c r="R225" s="65">
        <v>1</v>
      </c>
      <c r="S225" s="65">
        <v>2</v>
      </c>
      <c r="Z225" t="str">
        <f t="shared" si="5"/>
        <v>56B</v>
      </c>
    </row>
    <row r="226" spans="1:26" ht="15" x14ac:dyDescent="0.25">
      <c r="A226" t="s">
        <v>384</v>
      </c>
      <c r="B226">
        <v>56</v>
      </c>
      <c r="C226" t="s">
        <v>52</v>
      </c>
      <c r="D226" s="65">
        <v>60</v>
      </c>
      <c r="E226" s="65">
        <v>1387.4</v>
      </c>
      <c r="F226" s="65">
        <v>60.8</v>
      </c>
      <c r="G226" s="65">
        <v>60.6</v>
      </c>
      <c r="H226" s="65">
        <v>55.4</v>
      </c>
      <c r="I226" s="65">
        <v>63.1</v>
      </c>
      <c r="J226" s="65">
        <v>60.7</v>
      </c>
      <c r="K226" s="65">
        <v>1387.4</v>
      </c>
      <c r="L226" s="65">
        <v>1388</v>
      </c>
      <c r="M226" s="65">
        <v>1387.3</v>
      </c>
      <c r="N226" s="65">
        <v>1387.3</v>
      </c>
      <c r="O226" s="65">
        <v>1386.6</v>
      </c>
      <c r="P226" s="65">
        <v>0</v>
      </c>
      <c r="Q226" s="65">
        <v>0</v>
      </c>
      <c r="R226" s="65">
        <v>1</v>
      </c>
      <c r="S226" s="65">
        <v>2</v>
      </c>
      <c r="Z226" t="str">
        <f t="shared" si="5"/>
        <v>56A</v>
      </c>
    </row>
    <row r="227" spans="1:26" ht="15" x14ac:dyDescent="0.25">
      <c r="A227" t="s">
        <v>385</v>
      </c>
      <c r="B227">
        <v>57</v>
      </c>
      <c r="C227" t="s">
        <v>49</v>
      </c>
      <c r="D227" s="65">
        <v>33.6</v>
      </c>
      <c r="E227" s="65">
        <v>0</v>
      </c>
      <c r="F227" s="65">
        <v>58.7</v>
      </c>
      <c r="G227" s="65">
        <v>26.4</v>
      </c>
      <c r="H227" s="65">
        <v>21.2</v>
      </c>
      <c r="I227" s="65">
        <v>58</v>
      </c>
      <c r="J227" s="65">
        <v>20.9</v>
      </c>
      <c r="K227" s="65">
        <v>1372.2</v>
      </c>
      <c r="L227" s="65">
        <v>1372.3</v>
      </c>
      <c r="M227" s="65">
        <v>1372</v>
      </c>
      <c r="N227" s="65">
        <v>1371.3</v>
      </c>
      <c r="O227" s="65">
        <v>1369.5</v>
      </c>
      <c r="P227" s="65">
        <v>0</v>
      </c>
      <c r="Q227" s="65">
        <v>0</v>
      </c>
      <c r="R227" s="65">
        <v>1</v>
      </c>
      <c r="S227" s="65">
        <v>2</v>
      </c>
      <c r="Z227" t="str">
        <f t="shared" si="5"/>
        <v>57D</v>
      </c>
    </row>
    <row r="228" spans="1:26" ht="15" x14ac:dyDescent="0.25">
      <c r="A228" t="s">
        <v>386</v>
      </c>
      <c r="B228">
        <v>57</v>
      </c>
      <c r="C228" t="s">
        <v>50</v>
      </c>
      <c r="D228" s="65">
        <v>40.1</v>
      </c>
      <c r="E228" s="65">
        <v>0</v>
      </c>
      <c r="F228" s="65">
        <v>27.2</v>
      </c>
      <c r="G228" s="65">
        <v>59.5</v>
      </c>
      <c r="H228" s="65">
        <v>57.8</v>
      </c>
      <c r="I228" s="65">
        <v>27.4</v>
      </c>
      <c r="J228" s="65">
        <v>27.3</v>
      </c>
      <c r="K228" s="65">
        <v>1372.7</v>
      </c>
      <c r="L228" s="65">
        <v>1371.7</v>
      </c>
      <c r="M228" s="65">
        <v>1371.3</v>
      </c>
      <c r="N228" s="65">
        <v>1371.8</v>
      </c>
      <c r="O228" s="65">
        <v>1372.4</v>
      </c>
      <c r="P228" s="65">
        <v>0</v>
      </c>
      <c r="Q228" s="65">
        <v>0</v>
      </c>
      <c r="R228" s="65">
        <v>1</v>
      </c>
      <c r="S228" s="65">
        <v>2</v>
      </c>
      <c r="Z228" t="str">
        <f t="shared" si="5"/>
        <v>57C</v>
      </c>
    </row>
    <row r="229" spans="1:26" ht="15" x14ac:dyDescent="0.25">
      <c r="A229" t="s">
        <v>387</v>
      </c>
      <c r="B229">
        <v>57</v>
      </c>
      <c r="C229" t="s">
        <v>51</v>
      </c>
      <c r="D229" s="65" t="s">
        <v>104</v>
      </c>
      <c r="E229" s="65"/>
      <c r="F229" s="65"/>
      <c r="G229" s="65"/>
      <c r="H229" s="65"/>
      <c r="I229" s="65"/>
      <c r="J229" s="65"/>
      <c r="K229" s="65"/>
      <c r="L229" s="65"/>
      <c r="M229" s="65"/>
      <c r="N229" s="65"/>
      <c r="O229" s="65"/>
      <c r="P229" s="65">
        <v>0</v>
      </c>
      <c r="Q229" s="65"/>
      <c r="R229" s="65"/>
      <c r="S229" s="65">
        <v>2</v>
      </c>
      <c r="Z229" t="str">
        <f t="shared" si="5"/>
        <v>57B</v>
      </c>
    </row>
    <row r="230" spans="1:26" ht="15" x14ac:dyDescent="0.25">
      <c r="A230" t="s">
        <v>388</v>
      </c>
      <c r="B230">
        <v>57</v>
      </c>
      <c r="C230" t="s">
        <v>52</v>
      </c>
      <c r="D230" s="65">
        <v>34.4</v>
      </c>
      <c r="E230" s="65">
        <v>0</v>
      </c>
      <c r="F230" s="65">
        <v>28</v>
      </c>
      <c r="G230" s="65">
        <v>47</v>
      </c>
      <c r="H230" s="65">
        <v>26.8</v>
      </c>
      <c r="I230" s="65">
        <v>49</v>
      </c>
      <c r="J230" s="65">
        <v>27</v>
      </c>
      <c r="K230" s="65">
        <v>1370.4</v>
      </c>
      <c r="L230" s="65">
        <v>1370.5</v>
      </c>
      <c r="M230" s="65">
        <v>1370.2</v>
      </c>
      <c r="N230" s="65">
        <v>1370.8</v>
      </c>
      <c r="O230" s="65">
        <v>1371.3</v>
      </c>
      <c r="P230" s="65">
        <v>0</v>
      </c>
      <c r="Q230" s="65">
        <v>512</v>
      </c>
      <c r="R230" s="65">
        <v>5</v>
      </c>
      <c r="S230" s="65">
        <v>2</v>
      </c>
      <c r="Z230" t="str">
        <f t="shared" si="5"/>
        <v>57A</v>
      </c>
    </row>
    <row r="231" spans="1:26" ht="15" x14ac:dyDescent="0.25">
      <c r="A231" t="s">
        <v>389</v>
      </c>
      <c r="B231">
        <v>58</v>
      </c>
      <c r="C231" t="s">
        <v>49</v>
      </c>
      <c r="D231" s="65">
        <v>70.8</v>
      </c>
      <c r="E231" s="65">
        <v>0</v>
      </c>
      <c r="F231" s="65">
        <v>66.900000000000006</v>
      </c>
      <c r="G231" s="65">
        <v>67</v>
      </c>
      <c r="H231" s="65">
        <v>67</v>
      </c>
      <c r="I231" s="65">
        <v>72.5</v>
      </c>
      <c r="J231" s="65">
        <v>66.900000000000006</v>
      </c>
      <c r="K231" s="65">
        <v>1384.6</v>
      </c>
      <c r="L231" s="65">
        <v>1384.1</v>
      </c>
      <c r="M231" s="65">
        <v>1384.3</v>
      </c>
      <c r="N231" s="65">
        <v>1386.1</v>
      </c>
      <c r="O231" s="65">
        <v>1385.1</v>
      </c>
      <c r="P231" s="65">
        <v>0</v>
      </c>
      <c r="Q231" s="65">
        <v>0</v>
      </c>
      <c r="R231" s="65">
        <v>1</v>
      </c>
      <c r="S231" s="65">
        <v>2</v>
      </c>
      <c r="Z231" t="str">
        <f t="shared" si="5"/>
        <v>58D</v>
      </c>
    </row>
    <row r="232" spans="1:26" ht="15" x14ac:dyDescent="0.25">
      <c r="A232" t="s">
        <v>390</v>
      </c>
      <c r="B232">
        <v>58</v>
      </c>
      <c r="C232" t="s">
        <v>50</v>
      </c>
      <c r="D232" s="65">
        <v>2.7</v>
      </c>
      <c r="E232" s="65">
        <v>0</v>
      </c>
      <c r="F232" s="65">
        <v>1</v>
      </c>
      <c r="G232" s="65">
        <v>64.8</v>
      </c>
      <c r="H232" s="65">
        <v>64.7</v>
      </c>
      <c r="I232" s="65">
        <v>1</v>
      </c>
      <c r="J232" s="65">
        <v>64.8</v>
      </c>
      <c r="K232" s="65">
        <v>1384.7</v>
      </c>
      <c r="L232" s="65">
        <v>1383.9</v>
      </c>
      <c r="M232" s="65">
        <v>1383.6</v>
      </c>
      <c r="N232" s="65">
        <v>1384.4</v>
      </c>
      <c r="O232" s="65">
        <v>1385.2</v>
      </c>
      <c r="P232" s="65">
        <v>0</v>
      </c>
      <c r="Q232" s="65">
        <v>0</v>
      </c>
      <c r="R232" s="65">
        <v>4</v>
      </c>
      <c r="S232" s="65">
        <v>2</v>
      </c>
      <c r="Z232" t="str">
        <f t="shared" si="5"/>
        <v>58C</v>
      </c>
    </row>
    <row r="233" spans="1:26" ht="15" x14ac:dyDescent="0.25">
      <c r="A233" t="s">
        <v>391</v>
      </c>
      <c r="B233">
        <v>58</v>
      </c>
      <c r="C233" t="s">
        <v>51</v>
      </c>
      <c r="D233" s="65">
        <v>2.8</v>
      </c>
      <c r="E233" s="65">
        <v>0</v>
      </c>
      <c r="F233" s="65">
        <v>1</v>
      </c>
      <c r="G233" s="65">
        <v>1</v>
      </c>
      <c r="H233" s="65">
        <v>1</v>
      </c>
      <c r="I233" s="65">
        <v>65.900000000000006</v>
      </c>
      <c r="J233" s="65">
        <v>1</v>
      </c>
      <c r="K233" s="65">
        <v>1383.6</v>
      </c>
      <c r="L233" s="65">
        <v>1384.1</v>
      </c>
      <c r="M233" s="65">
        <v>1384.7</v>
      </c>
      <c r="N233" s="65">
        <v>1383.4</v>
      </c>
      <c r="O233" s="65">
        <v>1384.4</v>
      </c>
      <c r="P233" s="65">
        <v>0</v>
      </c>
      <c r="Q233" s="65">
        <v>0</v>
      </c>
      <c r="R233" s="65">
        <v>4</v>
      </c>
      <c r="S233" s="65">
        <v>2</v>
      </c>
      <c r="Z233" t="str">
        <f t="shared" si="5"/>
        <v>58B</v>
      </c>
    </row>
    <row r="234" spans="1:26" ht="15" x14ac:dyDescent="0.25">
      <c r="A234" t="s">
        <v>392</v>
      </c>
      <c r="B234">
        <v>58</v>
      </c>
      <c r="C234" t="s">
        <v>52</v>
      </c>
      <c r="D234" s="65">
        <v>91.1</v>
      </c>
      <c r="E234" s="65">
        <v>0</v>
      </c>
      <c r="F234" s="65">
        <v>85.7</v>
      </c>
      <c r="G234" s="65">
        <v>91.7</v>
      </c>
      <c r="H234" s="65">
        <v>85.8</v>
      </c>
      <c r="I234" s="65">
        <v>86</v>
      </c>
      <c r="J234" s="65">
        <v>89.2</v>
      </c>
      <c r="K234" s="65">
        <v>1385</v>
      </c>
      <c r="L234" s="65">
        <v>1384.1</v>
      </c>
      <c r="M234" s="65">
        <v>1385.1</v>
      </c>
      <c r="N234" s="65">
        <v>1385.4</v>
      </c>
      <c r="O234" s="65">
        <v>1384.7</v>
      </c>
      <c r="P234" s="65">
        <v>0</v>
      </c>
      <c r="Q234" s="65">
        <v>0</v>
      </c>
      <c r="R234" s="65">
        <v>1</v>
      </c>
      <c r="S234" s="65">
        <v>2</v>
      </c>
      <c r="Z234" t="str">
        <f t="shared" si="5"/>
        <v>58A</v>
      </c>
    </row>
    <row r="235" spans="1:26" ht="15" x14ac:dyDescent="0.25">
      <c r="A235" t="s">
        <v>393</v>
      </c>
      <c r="B235">
        <v>59</v>
      </c>
      <c r="C235" t="s">
        <v>49</v>
      </c>
      <c r="D235" s="65">
        <v>70.8</v>
      </c>
      <c r="E235" s="65">
        <v>0</v>
      </c>
      <c r="F235" s="65">
        <v>70.7</v>
      </c>
      <c r="G235" s="65">
        <v>70.7</v>
      </c>
      <c r="H235" s="65">
        <v>70.900000000000006</v>
      </c>
      <c r="I235" s="65">
        <v>70.900000000000006</v>
      </c>
      <c r="J235" s="65">
        <v>70.900000000000006</v>
      </c>
      <c r="K235" s="65">
        <v>1384.5</v>
      </c>
      <c r="L235" s="65">
        <v>1384.2</v>
      </c>
      <c r="M235" s="65">
        <v>1385.2</v>
      </c>
      <c r="N235" s="65">
        <v>1388</v>
      </c>
      <c r="O235" s="65">
        <v>1384.8</v>
      </c>
      <c r="P235" s="65">
        <v>0</v>
      </c>
      <c r="Q235" s="65">
        <v>0</v>
      </c>
      <c r="R235" s="65">
        <v>1</v>
      </c>
      <c r="S235" s="65">
        <v>2</v>
      </c>
      <c r="Z235" t="str">
        <f t="shared" si="5"/>
        <v>59D</v>
      </c>
    </row>
    <row r="236" spans="1:26" ht="15" x14ac:dyDescent="0.25">
      <c r="A236" t="s">
        <v>394</v>
      </c>
      <c r="B236">
        <v>59</v>
      </c>
      <c r="C236" t="s">
        <v>50</v>
      </c>
      <c r="D236" s="65">
        <v>70.2</v>
      </c>
      <c r="E236" s="65">
        <v>0</v>
      </c>
      <c r="F236" s="65">
        <v>70.400000000000006</v>
      </c>
      <c r="G236" s="65">
        <v>69.900000000000006</v>
      </c>
      <c r="H236" s="65">
        <v>70.400000000000006</v>
      </c>
      <c r="I236" s="65">
        <v>70.400000000000006</v>
      </c>
      <c r="J236" s="65">
        <v>70.400000000000006</v>
      </c>
      <c r="K236" s="65">
        <v>1384.1</v>
      </c>
      <c r="L236" s="65">
        <v>1384</v>
      </c>
      <c r="M236" s="65">
        <v>1385.3</v>
      </c>
      <c r="N236" s="65">
        <v>1384.8</v>
      </c>
      <c r="O236" s="65">
        <v>1386.1</v>
      </c>
      <c r="P236" s="65">
        <v>0</v>
      </c>
      <c r="Q236" s="65">
        <v>0</v>
      </c>
      <c r="R236" s="65">
        <v>1</v>
      </c>
      <c r="S236" s="65">
        <v>2</v>
      </c>
      <c r="Z236" t="str">
        <f t="shared" si="5"/>
        <v>59C</v>
      </c>
    </row>
    <row r="237" spans="1:26" ht="15" x14ac:dyDescent="0.25">
      <c r="A237" t="s">
        <v>395</v>
      </c>
      <c r="B237">
        <v>59</v>
      </c>
      <c r="C237" t="s">
        <v>51</v>
      </c>
      <c r="D237" s="65">
        <v>57.5</v>
      </c>
      <c r="E237" s="65">
        <v>0</v>
      </c>
      <c r="F237" s="65">
        <v>58.1</v>
      </c>
      <c r="G237" s="65">
        <v>64.599999999999994</v>
      </c>
      <c r="H237" s="65">
        <v>64.599999999999994</v>
      </c>
      <c r="I237" s="65">
        <v>64.599999999999994</v>
      </c>
      <c r="J237" s="65">
        <v>48</v>
      </c>
      <c r="K237" s="65">
        <v>1384.9</v>
      </c>
      <c r="L237" s="65">
        <v>1385.8</v>
      </c>
      <c r="M237" s="65">
        <v>1385</v>
      </c>
      <c r="N237" s="65">
        <v>1385.1</v>
      </c>
      <c r="O237" s="65">
        <v>1384.7</v>
      </c>
      <c r="P237" s="65">
        <v>0</v>
      </c>
      <c r="Q237" s="65">
        <v>0</v>
      </c>
      <c r="R237" s="65">
        <v>1</v>
      </c>
      <c r="S237" s="65">
        <v>2</v>
      </c>
      <c r="Z237" t="str">
        <f t="shared" si="5"/>
        <v>59B</v>
      </c>
    </row>
    <row r="238" spans="1:26" ht="15" x14ac:dyDescent="0.25">
      <c r="A238" t="s">
        <v>396</v>
      </c>
      <c r="B238">
        <v>59</v>
      </c>
      <c r="C238" t="s">
        <v>52</v>
      </c>
      <c r="D238" s="65">
        <v>90</v>
      </c>
      <c r="E238" s="65">
        <v>0</v>
      </c>
      <c r="F238" s="65">
        <v>90</v>
      </c>
      <c r="G238" s="65">
        <v>90</v>
      </c>
      <c r="H238" s="65">
        <v>90</v>
      </c>
      <c r="I238" s="65">
        <v>90</v>
      </c>
      <c r="J238" s="65">
        <v>90</v>
      </c>
      <c r="K238" s="65">
        <v>1384.7</v>
      </c>
      <c r="L238" s="65">
        <v>1384.5</v>
      </c>
      <c r="M238" s="65">
        <v>1385</v>
      </c>
      <c r="N238" s="65">
        <v>1384.6</v>
      </c>
      <c r="O238" s="65">
        <v>1383.9</v>
      </c>
      <c r="P238" s="65">
        <v>128</v>
      </c>
      <c r="Q238" s="65">
        <v>512</v>
      </c>
      <c r="R238" s="65">
        <v>5</v>
      </c>
      <c r="S238" s="65">
        <v>2</v>
      </c>
      <c r="Z238" t="str">
        <f t="shared" si="5"/>
        <v>59A</v>
      </c>
    </row>
    <row r="239" spans="1:26" ht="15" x14ac:dyDescent="0.25">
      <c r="A239" t="s">
        <v>397</v>
      </c>
      <c r="B239">
        <v>60</v>
      </c>
      <c r="C239" t="s">
        <v>49</v>
      </c>
      <c r="D239" s="65">
        <v>54.4</v>
      </c>
      <c r="E239" s="65">
        <v>1374.8</v>
      </c>
      <c r="F239" s="65">
        <v>45.4</v>
      </c>
      <c r="G239" s="65">
        <v>62.7</v>
      </c>
      <c r="H239" s="65">
        <v>44.5</v>
      </c>
      <c r="I239" s="65">
        <v>62.8</v>
      </c>
      <c r="J239" s="65">
        <v>44.5</v>
      </c>
      <c r="K239" s="65">
        <v>1375.1</v>
      </c>
      <c r="L239" s="65">
        <v>1375.1</v>
      </c>
      <c r="M239" s="65">
        <v>1374.3</v>
      </c>
      <c r="N239" s="65">
        <v>1375.5</v>
      </c>
      <c r="O239" s="65">
        <v>1373.8</v>
      </c>
      <c r="P239" s="65">
        <v>0</v>
      </c>
      <c r="Q239" s="65">
        <v>0</v>
      </c>
      <c r="R239" s="65">
        <v>1</v>
      </c>
      <c r="S239" s="65">
        <v>2</v>
      </c>
      <c r="Z239" t="str">
        <f t="shared" si="5"/>
        <v>60D</v>
      </c>
    </row>
    <row r="240" spans="1:26" ht="15" x14ac:dyDescent="0.25">
      <c r="A240" t="s">
        <v>398</v>
      </c>
      <c r="B240">
        <v>60</v>
      </c>
      <c r="C240" t="s">
        <v>50</v>
      </c>
      <c r="D240" s="65">
        <v>61.8</v>
      </c>
      <c r="E240" s="65">
        <v>1376.1</v>
      </c>
      <c r="F240" s="65">
        <v>58.9</v>
      </c>
      <c r="G240" s="65">
        <v>59.5</v>
      </c>
      <c r="H240" s="65">
        <v>59.6</v>
      </c>
      <c r="I240" s="65">
        <v>63.6</v>
      </c>
      <c r="J240" s="65">
        <v>59.7</v>
      </c>
      <c r="K240" s="65">
        <v>1374.6</v>
      </c>
      <c r="L240" s="65">
        <v>1375.5</v>
      </c>
      <c r="M240" s="65">
        <v>1375.7</v>
      </c>
      <c r="N240" s="65">
        <v>1375.8</v>
      </c>
      <c r="O240" s="65">
        <v>1376.9</v>
      </c>
      <c r="P240" s="65">
        <v>0</v>
      </c>
      <c r="Q240" s="65">
        <v>0</v>
      </c>
      <c r="R240" s="65">
        <v>1</v>
      </c>
      <c r="S240" s="65">
        <v>2</v>
      </c>
      <c r="Z240" t="str">
        <f t="shared" si="5"/>
        <v>60C</v>
      </c>
    </row>
    <row r="241" spans="1:26" ht="15" x14ac:dyDescent="0.25">
      <c r="A241" t="s">
        <v>399</v>
      </c>
      <c r="B241">
        <v>60</v>
      </c>
      <c r="C241" t="s">
        <v>51</v>
      </c>
      <c r="D241" s="65">
        <v>58.1</v>
      </c>
      <c r="E241" s="65">
        <v>1374.9</v>
      </c>
      <c r="F241" s="65">
        <v>56.1</v>
      </c>
      <c r="G241" s="65">
        <v>56.8</v>
      </c>
      <c r="H241" s="65">
        <v>59.6</v>
      </c>
      <c r="I241" s="65">
        <v>56.6</v>
      </c>
      <c r="J241" s="65">
        <v>56.1</v>
      </c>
      <c r="K241" s="65">
        <v>1375.5</v>
      </c>
      <c r="L241" s="65">
        <v>1375.5</v>
      </c>
      <c r="M241" s="65">
        <v>1374.7</v>
      </c>
      <c r="N241" s="65">
        <v>1373.7</v>
      </c>
      <c r="O241" s="65">
        <v>1375.5</v>
      </c>
      <c r="P241" s="65">
        <v>0</v>
      </c>
      <c r="Q241" s="65">
        <v>0</v>
      </c>
      <c r="R241" s="65">
        <v>1</v>
      </c>
      <c r="S241" s="65">
        <v>2</v>
      </c>
      <c r="Z241" t="str">
        <f t="shared" si="5"/>
        <v>60B</v>
      </c>
    </row>
    <row r="242" spans="1:26" ht="15" x14ac:dyDescent="0.25">
      <c r="A242" t="s">
        <v>400</v>
      </c>
      <c r="B242">
        <v>60</v>
      </c>
      <c r="C242" t="s">
        <v>52</v>
      </c>
      <c r="D242" s="65">
        <v>56.8</v>
      </c>
      <c r="E242" s="65">
        <v>1375.6</v>
      </c>
      <c r="F242" s="65">
        <v>53.6</v>
      </c>
      <c r="G242" s="65">
        <v>59.8</v>
      </c>
      <c r="H242" s="65">
        <v>53.3</v>
      </c>
      <c r="I242" s="65">
        <v>58.2</v>
      </c>
      <c r="J242" s="65">
        <v>52.9</v>
      </c>
      <c r="K242" s="65">
        <v>1376</v>
      </c>
      <c r="L242" s="65">
        <v>1374.7</v>
      </c>
      <c r="M242" s="65">
        <v>1374.2</v>
      </c>
      <c r="N242" s="65">
        <v>1374.4</v>
      </c>
      <c r="O242" s="65">
        <v>1377</v>
      </c>
      <c r="P242" s="65">
        <v>0</v>
      </c>
      <c r="Q242" s="65">
        <v>0</v>
      </c>
      <c r="R242" s="65">
        <v>1</v>
      </c>
      <c r="S242" s="65">
        <v>2</v>
      </c>
      <c r="Z242" t="str">
        <f t="shared" si="5"/>
        <v>60A</v>
      </c>
    </row>
    <row r="243" spans="1:26" ht="15" x14ac:dyDescent="0.25">
      <c r="A243" t="s">
        <v>401</v>
      </c>
      <c r="B243">
        <v>61</v>
      </c>
      <c r="C243" t="s">
        <v>49</v>
      </c>
      <c r="D243" s="65">
        <v>63.8</v>
      </c>
      <c r="E243" s="65">
        <v>0</v>
      </c>
      <c r="F243" s="65">
        <v>68.3</v>
      </c>
      <c r="G243" s="65">
        <v>57.5</v>
      </c>
      <c r="H243" s="65">
        <v>57</v>
      </c>
      <c r="I243" s="65">
        <v>56.1</v>
      </c>
      <c r="J243" s="65">
        <v>57.3</v>
      </c>
      <c r="K243" s="65">
        <v>1386.3</v>
      </c>
      <c r="L243" s="65">
        <v>1386.6</v>
      </c>
      <c r="M243" s="65">
        <v>1386.9</v>
      </c>
      <c r="N243" s="65">
        <v>1386.4</v>
      </c>
      <c r="O243" s="65">
        <v>1385.7</v>
      </c>
      <c r="P243" s="65">
        <v>0</v>
      </c>
      <c r="Q243" s="65">
        <v>0</v>
      </c>
      <c r="R243" s="65">
        <v>1</v>
      </c>
      <c r="S243" s="65">
        <v>2</v>
      </c>
      <c r="Z243" t="str">
        <f t="shared" si="5"/>
        <v>61D</v>
      </c>
    </row>
    <row r="244" spans="1:26" ht="15" x14ac:dyDescent="0.25">
      <c r="A244" t="s">
        <v>402</v>
      </c>
      <c r="B244">
        <v>61</v>
      </c>
      <c r="C244" t="s">
        <v>50</v>
      </c>
      <c r="D244" s="65">
        <v>66.3</v>
      </c>
      <c r="E244" s="65">
        <v>0</v>
      </c>
      <c r="F244" s="65">
        <v>66.7</v>
      </c>
      <c r="G244" s="65">
        <v>66.400000000000006</v>
      </c>
      <c r="H244" s="65">
        <v>66.3</v>
      </c>
      <c r="I244" s="65">
        <v>65.8</v>
      </c>
      <c r="J244" s="65">
        <v>66.3</v>
      </c>
      <c r="K244" s="65">
        <v>1386.8</v>
      </c>
      <c r="L244" s="65">
        <v>1385.9</v>
      </c>
      <c r="M244" s="65">
        <v>1384.9</v>
      </c>
      <c r="N244" s="65">
        <v>1385.4</v>
      </c>
      <c r="O244" s="65">
        <v>1385.7</v>
      </c>
      <c r="P244" s="65">
        <v>0</v>
      </c>
      <c r="Q244" s="65">
        <v>0</v>
      </c>
      <c r="R244" s="65">
        <v>4</v>
      </c>
      <c r="S244" s="65">
        <v>2</v>
      </c>
      <c r="Z244" t="str">
        <f t="shared" si="5"/>
        <v>61C</v>
      </c>
    </row>
    <row r="245" spans="1:26" ht="15" x14ac:dyDescent="0.25">
      <c r="A245" t="s">
        <v>403</v>
      </c>
      <c r="B245">
        <v>61</v>
      </c>
      <c r="C245" t="s">
        <v>51</v>
      </c>
      <c r="D245" s="65">
        <v>60.4</v>
      </c>
      <c r="E245" s="65">
        <v>0</v>
      </c>
      <c r="F245" s="65">
        <v>64.7</v>
      </c>
      <c r="G245" s="65">
        <v>64.8</v>
      </c>
      <c r="H245" s="65">
        <v>64.7</v>
      </c>
      <c r="I245" s="65">
        <v>55.2</v>
      </c>
      <c r="J245" s="65">
        <v>53.8</v>
      </c>
      <c r="K245" s="65">
        <v>1386</v>
      </c>
      <c r="L245" s="65">
        <v>1387</v>
      </c>
      <c r="M245" s="65">
        <v>1386.9</v>
      </c>
      <c r="N245" s="65">
        <v>1385.8</v>
      </c>
      <c r="O245" s="65">
        <v>1386.5</v>
      </c>
      <c r="P245" s="65">
        <v>0</v>
      </c>
      <c r="Q245" s="65">
        <v>0</v>
      </c>
      <c r="R245" s="65">
        <v>1</v>
      </c>
      <c r="S245" s="65">
        <v>2</v>
      </c>
      <c r="Z245" t="str">
        <f t="shared" si="5"/>
        <v>61B</v>
      </c>
    </row>
    <row r="246" spans="1:26" ht="15" x14ac:dyDescent="0.25">
      <c r="A246" t="s">
        <v>404</v>
      </c>
      <c r="B246">
        <v>61</v>
      </c>
      <c r="C246" t="s">
        <v>52</v>
      </c>
      <c r="D246" s="65">
        <v>64.3</v>
      </c>
      <c r="E246" s="65">
        <v>0</v>
      </c>
      <c r="F246" s="65">
        <v>68.3</v>
      </c>
      <c r="G246" s="65">
        <v>67.5</v>
      </c>
      <c r="H246" s="65">
        <v>57.1</v>
      </c>
      <c r="I246" s="65">
        <v>57.3</v>
      </c>
      <c r="J246" s="65">
        <v>67.7</v>
      </c>
      <c r="K246" s="65">
        <v>1387.3</v>
      </c>
      <c r="L246" s="65">
        <v>1387.5</v>
      </c>
      <c r="M246" s="65">
        <v>1385.9</v>
      </c>
      <c r="N246" s="65">
        <v>1386.8</v>
      </c>
      <c r="O246" s="65">
        <v>1385.5</v>
      </c>
      <c r="P246" s="65">
        <v>0</v>
      </c>
      <c r="Q246" s="65">
        <v>0</v>
      </c>
      <c r="R246" s="65">
        <v>1</v>
      </c>
      <c r="S246" s="65">
        <v>2</v>
      </c>
      <c r="Z246" t="str">
        <f t="shared" si="5"/>
        <v>61A</v>
      </c>
    </row>
    <row r="247" spans="1:26" ht="15" x14ac:dyDescent="0.25">
      <c r="A247" t="s">
        <v>147</v>
      </c>
      <c r="B247">
        <v>62</v>
      </c>
      <c r="C247" t="s">
        <v>49</v>
      </c>
      <c r="D247" s="65" t="s">
        <v>104</v>
      </c>
      <c r="E247" s="65"/>
      <c r="F247" s="65"/>
      <c r="G247" s="65"/>
      <c r="H247" s="65"/>
      <c r="I247" s="65"/>
      <c r="J247" s="65"/>
      <c r="K247" s="65"/>
      <c r="L247" s="65"/>
      <c r="M247" s="65"/>
      <c r="N247" s="65"/>
      <c r="O247" s="65"/>
      <c r="P247" s="65">
        <v>0</v>
      </c>
      <c r="Q247" s="65"/>
      <c r="R247" s="65"/>
      <c r="S247" s="65">
        <v>2</v>
      </c>
      <c r="Z247" t="str">
        <f t="shared" si="5"/>
        <v>62D</v>
      </c>
    </row>
    <row r="248" spans="1:26" ht="15" x14ac:dyDescent="0.25">
      <c r="A248" t="s">
        <v>405</v>
      </c>
      <c r="B248">
        <v>62</v>
      </c>
      <c r="C248" t="s">
        <v>50</v>
      </c>
      <c r="D248" s="65" t="s">
        <v>104</v>
      </c>
      <c r="E248" s="65"/>
      <c r="F248" s="65"/>
      <c r="G248" s="65"/>
      <c r="H248" s="65"/>
      <c r="I248" s="65"/>
      <c r="J248" s="65"/>
      <c r="K248" s="65"/>
      <c r="L248" s="65"/>
      <c r="M248" s="65"/>
      <c r="N248" s="65"/>
      <c r="O248" s="65"/>
      <c r="P248" s="65">
        <v>0</v>
      </c>
      <c r="Q248" s="65"/>
      <c r="R248" s="65"/>
      <c r="S248" s="65">
        <v>2</v>
      </c>
      <c r="Z248" t="str">
        <f t="shared" si="5"/>
        <v>62C</v>
      </c>
    </row>
    <row r="249" spans="1:26" ht="15" x14ac:dyDescent="0.25">
      <c r="A249" t="s">
        <v>406</v>
      </c>
      <c r="B249">
        <v>62</v>
      </c>
      <c r="C249" t="s">
        <v>51</v>
      </c>
      <c r="D249" s="65" t="s">
        <v>104</v>
      </c>
      <c r="E249" s="65"/>
      <c r="F249" s="65"/>
      <c r="G249" s="65"/>
      <c r="H249" s="65"/>
      <c r="I249" s="65"/>
      <c r="J249" s="65"/>
      <c r="K249" s="65"/>
      <c r="L249" s="65"/>
      <c r="M249" s="65"/>
      <c r="N249" s="65"/>
      <c r="O249" s="65"/>
      <c r="P249" s="65">
        <v>0</v>
      </c>
      <c r="Q249" s="65"/>
      <c r="R249" s="65"/>
      <c r="S249" s="65">
        <v>2</v>
      </c>
      <c r="Z249" t="str">
        <f t="shared" si="5"/>
        <v>62B</v>
      </c>
    </row>
    <row r="250" spans="1:26" ht="15" x14ac:dyDescent="0.25">
      <c r="A250" t="s">
        <v>407</v>
      </c>
      <c r="B250">
        <v>62</v>
      </c>
      <c r="C250" t="s">
        <v>52</v>
      </c>
      <c r="D250" s="65" t="s">
        <v>104</v>
      </c>
      <c r="E250" s="65"/>
      <c r="F250" s="65"/>
      <c r="G250" s="65"/>
      <c r="H250" s="65"/>
      <c r="I250" s="65"/>
      <c r="J250" s="65"/>
      <c r="K250" s="65"/>
      <c r="L250" s="65"/>
      <c r="M250" s="65"/>
      <c r="N250" s="65"/>
      <c r="O250" s="65"/>
      <c r="P250" s="65">
        <v>0</v>
      </c>
      <c r="Q250" s="65"/>
      <c r="R250" s="65"/>
      <c r="S250" s="65">
        <v>2</v>
      </c>
      <c r="Z250" t="str">
        <f t="shared" si="5"/>
        <v>62A</v>
      </c>
    </row>
    <row r="251" spans="1:26" ht="15" x14ac:dyDescent="0.25">
      <c r="A251" t="s">
        <v>408</v>
      </c>
      <c r="B251">
        <v>63</v>
      </c>
      <c r="C251" t="s">
        <v>49</v>
      </c>
      <c r="D251" s="65">
        <v>50.3</v>
      </c>
      <c r="E251" s="65">
        <v>1387.8</v>
      </c>
      <c r="F251" s="65">
        <v>22.3</v>
      </c>
      <c r="G251" s="65">
        <v>78</v>
      </c>
      <c r="H251" s="65">
        <v>21.9</v>
      </c>
      <c r="I251" s="65">
        <v>23.2</v>
      </c>
      <c r="J251" s="65">
        <v>78.400000000000006</v>
      </c>
      <c r="K251" s="65">
        <v>1388.1</v>
      </c>
      <c r="L251" s="65">
        <v>1387.7</v>
      </c>
      <c r="M251" s="65">
        <v>1389</v>
      </c>
      <c r="N251" s="65">
        <v>1387.5</v>
      </c>
      <c r="O251" s="65">
        <v>1387.8</v>
      </c>
      <c r="P251" s="65">
        <v>0</v>
      </c>
      <c r="Q251" s="65">
        <v>0</v>
      </c>
      <c r="R251" s="65">
        <v>1</v>
      </c>
      <c r="S251" s="65">
        <v>2</v>
      </c>
      <c r="Z251" t="str">
        <f t="shared" si="5"/>
        <v>63D</v>
      </c>
    </row>
    <row r="252" spans="1:26" ht="15" x14ac:dyDescent="0.25">
      <c r="A252" t="s">
        <v>409</v>
      </c>
      <c r="B252">
        <v>63</v>
      </c>
      <c r="C252" t="s">
        <v>50</v>
      </c>
      <c r="D252" s="65">
        <v>49</v>
      </c>
      <c r="E252" s="65">
        <v>1388.4</v>
      </c>
      <c r="F252" s="65">
        <v>17.8</v>
      </c>
      <c r="G252" s="65">
        <v>24.5</v>
      </c>
      <c r="H252" s="65">
        <v>22.8</v>
      </c>
      <c r="I252" s="65">
        <v>24.2</v>
      </c>
      <c r="J252" s="65">
        <v>81.5</v>
      </c>
      <c r="K252" s="65">
        <v>1388.6</v>
      </c>
      <c r="L252" s="65">
        <v>1388.6</v>
      </c>
      <c r="M252" s="65">
        <v>1388.7</v>
      </c>
      <c r="N252" s="65">
        <v>1388.6</v>
      </c>
      <c r="O252" s="65">
        <v>1388.9</v>
      </c>
      <c r="P252" s="65">
        <v>0</v>
      </c>
      <c r="Q252" s="65">
        <v>0</v>
      </c>
      <c r="R252" s="65">
        <v>1</v>
      </c>
      <c r="S252" s="65">
        <v>2</v>
      </c>
      <c r="Z252" t="str">
        <f t="shared" si="5"/>
        <v>63C</v>
      </c>
    </row>
    <row r="253" spans="1:26" ht="15" x14ac:dyDescent="0.25">
      <c r="A253" t="s">
        <v>410</v>
      </c>
      <c r="B253">
        <v>63</v>
      </c>
      <c r="C253" t="s">
        <v>51</v>
      </c>
      <c r="D253" s="65">
        <v>50.4</v>
      </c>
      <c r="E253" s="65">
        <v>1387.2</v>
      </c>
      <c r="F253" s="65">
        <v>81.5</v>
      </c>
      <c r="G253" s="65">
        <v>23.4</v>
      </c>
      <c r="H253" s="65">
        <v>20</v>
      </c>
      <c r="I253" s="65">
        <v>24.3</v>
      </c>
      <c r="J253" s="65">
        <v>18.8</v>
      </c>
      <c r="K253" s="65">
        <v>1388.2</v>
      </c>
      <c r="L253" s="65">
        <v>1386.4</v>
      </c>
      <c r="M253" s="65">
        <v>1389.1</v>
      </c>
      <c r="N253" s="65">
        <v>1387.6</v>
      </c>
      <c r="O253" s="65">
        <v>1388.4</v>
      </c>
      <c r="P253" s="65">
        <v>0</v>
      </c>
      <c r="Q253" s="65">
        <v>0</v>
      </c>
      <c r="R253" s="65">
        <v>1</v>
      </c>
      <c r="S253" s="65">
        <v>2</v>
      </c>
      <c r="Z253" t="str">
        <f t="shared" si="5"/>
        <v>63B</v>
      </c>
    </row>
    <row r="254" spans="1:26" ht="15" x14ac:dyDescent="0.25">
      <c r="A254" t="s">
        <v>411</v>
      </c>
      <c r="B254">
        <v>63</v>
      </c>
      <c r="C254" t="s">
        <v>52</v>
      </c>
      <c r="D254" s="65">
        <v>24</v>
      </c>
      <c r="E254" s="65">
        <v>1388.1</v>
      </c>
      <c r="F254" s="65">
        <v>24.4</v>
      </c>
      <c r="G254" s="65">
        <v>24.7</v>
      </c>
      <c r="H254" s="65">
        <v>23.9</v>
      </c>
      <c r="I254" s="65">
        <v>24.5</v>
      </c>
      <c r="J254" s="65">
        <v>24.4</v>
      </c>
      <c r="K254" s="65">
        <v>1387.9</v>
      </c>
      <c r="L254" s="65">
        <v>1387.6</v>
      </c>
      <c r="M254" s="65">
        <v>1388.1</v>
      </c>
      <c r="N254" s="65">
        <v>1387.4</v>
      </c>
      <c r="O254" s="65">
        <v>1387.8</v>
      </c>
      <c r="P254" s="65">
        <v>0</v>
      </c>
      <c r="Q254" s="65">
        <v>0</v>
      </c>
      <c r="R254" s="65">
        <v>1</v>
      </c>
      <c r="S254" s="65">
        <v>2</v>
      </c>
      <c r="Z254" t="str">
        <f t="shared" si="5"/>
        <v>63A</v>
      </c>
    </row>
    <row r="255" spans="1:26" ht="15" x14ac:dyDescent="0.25">
      <c r="A255" t="s">
        <v>66</v>
      </c>
      <c r="B255">
        <v>64</v>
      </c>
      <c r="C255" t="s">
        <v>49</v>
      </c>
      <c r="D255" s="65" t="s">
        <v>104</v>
      </c>
      <c r="E255" s="65"/>
      <c r="F255" s="65"/>
      <c r="G255" s="65"/>
      <c r="H255" s="65"/>
      <c r="I255" s="65"/>
      <c r="J255" s="65"/>
      <c r="K255" s="65"/>
      <c r="L255" s="65"/>
      <c r="M255" s="65"/>
      <c r="N255" s="65"/>
      <c r="O255" s="65"/>
      <c r="P255" s="65">
        <v>0</v>
      </c>
      <c r="Q255" s="65"/>
      <c r="R255" s="65"/>
      <c r="S255" s="65">
        <v>2</v>
      </c>
      <c r="Z255" t="str">
        <f t="shared" si="5"/>
        <v>64D</v>
      </c>
    </row>
    <row r="256" spans="1:26" ht="15" x14ac:dyDescent="0.25">
      <c r="A256" t="s">
        <v>67</v>
      </c>
      <c r="B256">
        <v>64</v>
      </c>
      <c r="C256" t="s">
        <v>50</v>
      </c>
      <c r="D256" s="65" t="s">
        <v>104</v>
      </c>
      <c r="E256" s="65"/>
      <c r="F256" s="65"/>
      <c r="G256" s="65"/>
      <c r="H256" s="65"/>
      <c r="I256" s="65"/>
      <c r="J256" s="65"/>
      <c r="K256" s="65"/>
      <c r="L256" s="65"/>
      <c r="M256" s="65"/>
      <c r="N256" s="65"/>
      <c r="O256" s="65"/>
      <c r="P256" s="65">
        <v>0</v>
      </c>
      <c r="Q256" s="65"/>
      <c r="R256" s="65"/>
      <c r="S256" s="65">
        <v>2</v>
      </c>
      <c r="Z256" t="str">
        <f t="shared" si="5"/>
        <v>64C</v>
      </c>
    </row>
    <row r="257" spans="1:26" ht="15" x14ac:dyDescent="0.25">
      <c r="A257" t="s">
        <v>68</v>
      </c>
      <c r="B257">
        <v>64</v>
      </c>
      <c r="C257" t="s">
        <v>51</v>
      </c>
      <c r="D257" s="65" t="s">
        <v>104</v>
      </c>
      <c r="E257" s="65"/>
      <c r="F257" s="65"/>
      <c r="G257" s="65"/>
      <c r="H257" s="65"/>
      <c r="I257" s="65"/>
      <c r="J257" s="65"/>
      <c r="K257" s="65"/>
      <c r="L257" s="65"/>
      <c r="M257" s="65"/>
      <c r="N257" s="65"/>
      <c r="O257" s="65"/>
      <c r="P257" s="65">
        <v>0</v>
      </c>
      <c r="Q257" s="65"/>
      <c r="R257" s="65"/>
      <c r="S257" s="65">
        <v>2</v>
      </c>
      <c r="Z257" t="str">
        <f t="shared" si="5"/>
        <v>64B</v>
      </c>
    </row>
    <row r="258" spans="1:26" ht="15" x14ac:dyDescent="0.25">
      <c r="A258" t="s">
        <v>69</v>
      </c>
      <c r="B258">
        <v>64</v>
      </c>
      <c r="C258" t="s">
        <v>52</v>
      </c>
      <c r="D258" s="65" t="s">
        <v>104</v>
      </c>
      <c r="E258" s="65"/>
      <c r="F258" s="65"/>
      <c r="G258" s="65"/>
      <c r="H258" s="65"/>
      <c r="I258" s="65"/>
      <c r="J258" s="65"/>
      <c r="K258" s="65"/>
      <c r="L258" s="65"/>
      <c r="M258" s="65"/>
      <c r="N258" s="65"/>
      <c r="O258" s="65"/>
      <c r="P258" s="65">
        <v>0</v>
      </c>
      <c r="Q258" s="65"/>
      <c r="R258" s="65"/>
      <c r="S258" s="65">
        <v>2</v>
      </c>
      <c r="Z258" t="str">
        <f t="shared" si="5"/>
        <v>64A</v>
      </c>
    </row>
    <row r="259" spans="1:26" ht="15" x14ac:dyDescent="0.25">
      <c r="A259" t="s">
        <v>70</v>
      </c>
      <c r="B259">
        <v>65</v>
      </c>
      <c r="C259" t="s">
        <v>49</v>
      </c>
      <c r="D259" s="65">
        <v>96</v>
      </c>
      <c r="E259" s="65">
        <v>0</v>
      </c>
      <c r="F259" s="65">
        <v>93</v>
      </c>
      <c r="G259" s="65">
        <v>90.4</v>
      </c>
      <c r="H259" s="65">
        <v>96.3</v>
      </c>
      <c r="I259" s="65">
        <v>93</v>
      </c>
      <c r="J259" s="65">
        <v>90.3</v>
      </c>
      <c r="K259" s="65">
        <v>1385.2</v>
      </c>
      <c r="L259" s="65">
        <v>1386</v>
      </c>
      <c r="M259" s="65">
        <v>1385.9</v>
      </c>
      <c r="N259" s="65">
        <v>1385.7</v>
      </c>
      <c r="O259" s="65">
        <v>1385.2</v>
      </c>
      <c r="P259" s="65">
        <v>0</v>
      </c>
      <c r="Q259" s="65">
        <v>0</v>
      </c>
      <c r="R259" s="65">
        <v>1</v>
      </c>
      <c r="S259" s="65">
        <v>2</v>
      </c>
      <c r="Z259" t="str">
        <f t="shared" si="5"/>
        <v>65D</v>
      </c>
    </row>
    <row r="260" spans="1:26" ht="15" x14ac:dyDescent="0.25">
      <c r="A260" t="s">
        <v>71</v>
      </c>
      <c r="B260">
        <v>65</v>
      </c>
      <c r="C260" t="s">
        <v>50</v>
      </c>
      <c r="D260" s="65">
        <v>88.1</v>
      </c>
      <c r="E260" s="65">
        <v>0</v>
      </c>
      <c r="F260" s="65">
        <v>96.9</v>
      </c>
      <c r="G260" s="65">
        <v>96.9</v>
      </c>
      <c r="H260" s="65">
        <v>96.9</v>
      </c>
      <c r="I260" s="65">
        <v>23</v>
      </c>
      <c r="J260" s="65">
        <v>92.5</v>
      </c>
      <c r="K260" s="65">
        <v>1386</v>
      </c>
      <c r="L260" s="65">
        <v>1385.8</v>
      </c>
      <c r="M260" s="65">
        <v>1385.4</v>
      </c>
      <c r="N260" s="65">
        <v>1386.2</v>
      </c>
      <c r="O260" s="65">
        <v>1386.5</v>
      </c>
      <c r="P260" s="65">
        <v>0</v>
      </c>
      <c r="Q260" s="65">
        <v>0</v>
      </c>
      <c r="R260" s="65">
        <v>1</v>
      </c>
      <c r="S260" s="65">
        <v>2</v>
      </c>
      <c r="Z260" t="str">
        <f t="shared" ref="Z260:Z290" si="6">TEXT(B260,"00")&amp;C260</f>
        <v>65C</v>
      </c>
    </row>
    <row r="261" spans="1:26" ht="15" x14ac:dyDescent="0.25">
      <c r="A261" t="s">
        <v>72</v>
      </c>
      <c r="B261">
        <v>65</v>
      </c>
      <c r="C261" t="s">
        <v>51</v>
      </c>
      <c r="D261" s="65">
        <v>49.8</v>
      </c>
      <c r="E261" s="65">
        <v>0</v>
      </c>
      <c r="F261" s="65">
        <v>77</v>
      </c>
      <c r="G261" s="65">
        <v>72.7</v>
      </c>
      <c r="H261" s="65">
        <v>73</v>
      </c>
      <c r="I261" s="65">
        <v>22.9</v>
      </c>
      <c r="J261" s="65">
        <v>73.3</v>
      </c>
      <c r="K261" s="65">
        <v>1384.7</v>
      </c>
      <c r="L261" s="65">
        <v>1387</v>
      </c>
      <c r="M261" s="65">
        <v>1385.8</v>
      </c>
      <c r="N261" s="65">
        <v>1385.4</v>
      </c>
      <c r="O261" s="65">
        <v>1385.1</v>
      </c>
      <c r="P261" s="65">
        <v>0</v>
      </c>
      <c r="Q261" s="65">
        <v>0</v>
      </c>
      <c r="R261" s="65">
        <v>1</v>
      </c>
      <c r="S261" s="65">
        <v>2</v>
      </c>
      <c r="Z261" t="str">
        <f t="shared" si="6"/>
        <v>65B</v>
      </c>
    </row>
    <row r="262" spans="1:26" ht="15" x14ac:dyDescent="0.25">
      <c r="A262" t="s">
        <v>73</v>
      </c>
      <c r="B262">
        <v>65</v>
      </c>
      <c r="C262" t="s">
        <v>52</v>
      </c>
      <c r="D262" s="65">
        <v>96.8</v>
      </c>
      <c r="E262" s="65">
        <v>0</v>
      </c>
      <c r="F262" s="65">
        <v>97</v>
      </c>
      <c r="G262" s="65">
        <v>96.7</v>
      </c>
      <c r="H262" s="65">
        <v>91.7</v>
      </c>
      <c r="I262" s="65">
        <v>96.9</v>
      </c>
      <c r="J262" s="65">
        <v>96.5</v>
      </c>
      <c r="K262" s="65">
        <v>1386.8</v>
      </c>
      <c r="L262" s="65">
        <v>1386.3</v>
      </c>
      <c r="M262" s="65">
        <v>1385</v>
      </c>
      <c r="N262" s="65">
        <v>1386.4</v>
      </c>
      <c r="O262" s="65">
        <v>1386.1</v>
      </c>
      <c r="P262" s="65">
        <v>0</v>
      </c>
      <c r="Q262" s="65">
        <v>0</v>
      </c>
      <c r="R262" s="65">
        <v>1</v>
      </c>
      <c r="S262" s="65">
        <v>2</v>
      </c>
      <c r="Z262" t="str">
        <f t="shared" si="6"/>
        <v>65A</v>
      </c>
    </row>
    <row r="263" spans="1:26" ht="15" x14ac:dyDescent="0.25">
      <c r="A263" t="s">
        <v>74</v>
      </c>
      <c r="B263">
        <v>66</v>
      </c>
      <c r="C263" t="s">
        <v>49</v>
      </c>
      <c r="D263" s="65">
        <v>96.9</v>
      </c>
      <c r="E263" s="65">
        <v>0</v>
      </c>
      <c r="F263" s="65">
        <v>96.9</v>
      </c>
      <c r="G263" s="65">
        <v>97</v>
      </c>
      <c r="H263" s="65">
        <v>96.6</v>
      </c>
      <c r="I263" s="65">
        <v>97</v>
      </c>
      <c r="J263" s="65">
        <v>97</v>
      </c>
      <c r="K263" s="65">
        <v>1385</v>
      </c>
      <c r="L263" s="65">
        <v>1385.5</v>
      </c>
      <c r="M263" s="65">
        <v>1384.7</v>
      </c>
      <c r="N263" s="65">
        <v>1385</v>
      </c>
      <c r="O263" s="65">
        <v>1385.6</v>
      </c>
      <c r="P263" s="65">
        <v>0</v>
      </c>
      <c r="Q263" s="65">
        <v>64</v>
      </c>
      <c r="R263" s="65">
        <v>4</v>
      </c>
      <c r="S263" s="65">
        <v>2</v>
      </c>
      <c r="Z263" t="str">
        <f t="shared" si="6"/>
        <v>66D</v>
      </c>
    </row>
    <row r="264" spans="1:26" ht="15" x14ac:dyDescent="0.25">
      <c r="A264" t="s">
        <v>75</v>
      </c>
      <c r="B264">
        <v>66</v>
      </c>
      <c r="C264" t="s">
        <v>50</v>
      </c>
      <c r="D264" s="65">
        <v>71.599999999999994</v>
      </c>
      <c r="E264" s="65">
        <v>0</v>
      </c>
      <c r="F264" s="65">
        <v>72.5</v>
      </c>
      <c r="G264" s="65">
        <v>71.7</v>
      </c>
      <c r="H264" s="65">
        <v>70.900000000000006</v>
      </c>
      <c r="I264" s="65">
        <v>70.599999999999994</v>
      </c>
      <c r="J264" s="65">
        <v>69.599999999999994</v>
      </c>
      <c r="K264" s="65">
        <v>1385.5</v>
      </c>
      <c r="L264" s="65">
        <v>1385.6</v>
      </c>
      <c r="M264" s="65">
        <v>1387.1</v>
      </c>
      <c r="N264" s="65">
        <v>1386.9</v>
      </c>
      <c r="O264" s="65">
        <v>1385.3</v>
      </c>
      <c r="P264" s="65">
        <v>0</v>
      </c>
      <c r="Q264" s="65">
        <v>64</v>
      </c>
      <c r="R264" s="65">
        <v>4</v>
      </c>
      <c r="S264" s="65">
        <v>2</v>
      </c>
      <c r="Z264" t="str">
        <f t="shared" si="6"/>
        <v>66C</v>
      </c>
    </row>
    <row r="265" spans="1:26" ht="15" x14ac:dyDescent="0.25">
      <c r="A265" t="s">
        <v>76</v>
      </c>
      <c r="B265">
        <v>66</v>
      </c>
      <c r="C265" t="s">
        <v>51</v>
      </c>
      <c r="D265" s="65">
        <v>70</v>
      </c>
      <c r="E265" s="65">
        <v>0</v>
      </c>
      <c r="F265" s="65">
        <v>69</v>
      </c>
      <c r="G265" s="65">
        <v>68</v>
      </c>
      <c r="H265" s="65">
        <v>70.5</v>
      </c>
      <c r="I265" s="65">
        <v>70.900000000000006</v>
      </c>
      <c r="J265" s="65">
        <v>68</v>
      </c>
      <c r="K265" s="65">
        <v>1385.5</v>
      </c>
      <c r="L265" s="65">
        <v>1385.2</v>
      </c>
      <c r="M265" s="65">
        <v>1386.1</v>
      </c>
      <c r="N265" s="65">
        <v>1386.6</v>
      </c>
      <c r="O265" s="65">
        <v>1385.8</v>
      </c>
      <c r="P265" s="65">
        <v>0</v>
      </c>
      <c r="Q265" s="65">
        <v>64</v>
      </c>
      <c r="R265" s="65">
        <v>4</v>
      </c>
      <c r="S265" s="65">
        <v>2</v>
      </c>
      <c r="Z265" t="str">
        <f t="shared" si="6"/>
        <v>66B</v>
      </c>
    </row>
    <row r="266" spans="1:26" ht="15" x14ac:dyDescent="0.25">
      <c r="A266" t="s">
        <v>77</v>
      </c>
      <c r="B266">
        <v>66</v>
      </c>
      <c r="C266" t="s">
        <v>52</v>
      </c>
      <c r="D266" s="65">
        <v>88.4</v>
      </c>
      <c r="E266" s="65">
        <v>0</v>
      </c>
      <c r="F266" s="65">
        <v>96.8</v>
      </c>
      <c r="G266" s="65">
        <v>23</v>
      </c>
      <c r="H266" s="65">
        <v>96.6</v>
      </c>
      <c r="I266" s="65">
        <v>23</v>
      </c>
      <c r="J266" s="65">
        <v>97</v>
      </c>
      <c r="K266" s="65">
        <v>1386.2</v>
      </c>
      <c r="L266" s="65">
        <v>1385.6</v>
      </c>
      <c r="M266" s="65">
        <v>1385.6</v>
      </c>
      <c r="N266" s="65">
        <v>1385.3</v>
      </c>
      <c r="O266" s="65">
        <v>1384.8</v>
      </c>
      <c r="P266" s="65">
        <v>0</v>
      </c>
      <c r="Q266" s="65">
        <v>64</v>
      </c>
      <c r="R266" s="65">
        <v>4</v>
      </c>
      <c r="S266" s="65">
        <v>2</v>
      </c>
      <c r="Z266" t="str">
        <f t="shared" si="6"/>
        <v>66A</v>
      </c>
    </row>
    <row r="267" spans="1:26" ht="15" x14ac:dyDescent="0.25">
      <c r="A267" t="s">
        <v>78</v>
      </c>
      <c r="B267">
        <v>67</v>
      </c>
      <c r="C267" t="s">
        <v>49</v>
      </c>
      <c r="D267" s="65">
        <v>94.3</v>
      </c>
      <c r="E267" s="65">
        <v>0</v>
      </c>
      <c r="F267" s="65">
        <v>91.4</v>
      </c>
      <c r="G267" s="65">
        <v>90.3</v>
      </c>
      <c r="H267" s="65">
        <v>94.6</v>
      </c>
      <c r="I267" s="65">
        <v>94.4</v>
      </c>
      <c r="J267" s="65">
        <v>92</v>
      </c>
      <c r="K267" s="65">
        <v>1386.3</v>
      </c>
      <c r="L267" s="65">
        <v>1386</v>
      </c>
      <c r="M267" s="65">
        <v>1384.6</v>
      </c>
      <c r="N267" s="65">
        <v>1386.3</v>
      </c>
      <c r="O267" s="65">
        <v>1385.9</v>
      </c>
      <c r="P267" s="65">
        <v>0</v>
      </c>
      <c r="Q267" s="65">
        <v>0</v>
      </c>
      <c r="R267" s="65">
        <v>1</v>
      </c>
      <c r="S267" s="65">
        <v>2</v>
      </c>
      <c r="Z267" t="str">
        <f t="shared" si="6"/>
        <v>67D</v>
      </c>
    </row>
    <row r="268" spans="1:26" ht="15" x14ac:dyDescent="0.25">
      <c r="A268" t="s">
        <v>79</v>
      </c>
      <c r="B268">
        <v>67</v>
      </c>
      <c r="C268" t="s">
        <v>50</v>
      </c>
      <c r="D268" s="65">
        <v>96.1</v>
      </c>
      <c r="E268" s="65">
        <v>0</v>
      </c>
      <c r="F268" s="65">
        <v>84.9</v>
      </c>
      <c r="G268" s="65">
        <v>96.7</v>
      </c>
      <c r="H268" s="65">
        <v>83.5</v>
      </c>
      <c r="I268" s="65">
        <v>86.5</v>
      </c>
      <c r="J268" s="65">
        <v>96.7</v>
      </c>
      <c r="K268" s="65">
        <v>1385.8</v>
      </c>
      <c r="L268" s="65">
        <v>1384.2</v>
      </c>
      <c r="M268" s="65">
        <v>1384.9</v>
      </c>
      <c r="N268" s="65">
        <v>1385.6</v>
      </c>
      <c r="O268" s="65">
        <v>1385.4</v>
      </c>
      <c r="P268" s="65">
        <v>0</v>
      </c>
      <c r="Q268" s="65">
        <v>0</v>
      </c>
      <c r="R268" s="65">
        <v>1</v>
      </c>
      <c r="S268" s="65">
        <v>2</v>
      </c>
      <c r="Z268" t="str">
        <f t="shared" si="6"/>
        <v>67C</v>
      </c>
    </row>
    <row r="269" spans="1:26" ht="15" x14ac:dyDescent="0.25">
      <c r="A269" t="s">
        <v>80</v>
      </c>
      <c r="B269">
        <v>67</v>
      </c>
      <c r="C269" t="s">
        <v>51</v>
      </c>
      <c r="D269" s="65">
        <v>96.1</v>
      </c>
      <c r="E269" s="65">
        <v>0</v>
      </c>
      <c r="F269" s="65">
        <v>85.9</v>
      </c>
      <c r="G269" s="65">
        <v>86.9</v>
      </c>
      <c r="H269" s="65">
        <v>86.9</v>
      </c>
      <c r="I269" s="65">
        <v>96.6</v>
      </c>
      <c r="J269" s="65">
        <v>85.9</v>
      </c>
      <c r="K269" s="65">
        <v>1386.2</v>
      </c>
      <c r="L269" s="65">
        <v>1386</v>
      </c>
      <c r="M269" s="65">
        <v>1386.3</v>
      </c>
      <c r="N269" s="65">
        <v>1386.2</v>
      </c>
      <c r="O269" s="65">
        <v>1385.5</v>
      </c>
      <c r="P269" s="65">
        <v>0</v>
      </c>
      <c r="Q269" s="65">
        <v>0</v>
      </c>
      <c r="R269" s="65">
        <v>1</v>
      </c>
      <c r="S269" s="65">
        <v>2</v>
      </c>
      <c r="Z269" t="str">
        <f t="shared" si="6"/>
        <v>67B</v>
      </c>
    </row>
    <row r="270" spans="1:26" ht="15" x14ac:dyDescent="0.25">
      <c r="A270" t="s">
        <v>81</v>
      </c>
      <c r="B270">
        <v>67</v>
      </c>
      <c r="C270" t="s">
        <v>52</v>
      </c>
      <c r="D270" s="65">
        <v>96.8</v>
      </c>
      <c r="E270" s="65">
        <v>0</v>
      </c>
      <c r="F270" s="65">
        <v>96.7</v>
      </c>
      <c r="G270" s="65">
        <v>96.7</v>
      </c>
      <c r="H270" s="65">
        <v>96.9</v>
      </c>
      <c r="I270" s="65">
        <v>96.7</v>
      </c>
      <c r="J270" s="65">
        <v>96.7</v>
      </c>
      <c r="K270" s="65">
        <v>1384.8</v>
      </c>
      <c r="L270" s="65">
        <v>1385.3</v>
      </c>
      <c r="M270" s="65">
        <v>1384.8</v>
      </c>
      <c r="N270" s="65">
        <v>1385.8</v>
      </c>
      <c r="O270" s="65">
        <v>1384.8</v>
      </c>
      <c r="P270" s="65">
        <v>0</v>
      </c>
      <c r="Q270" s="65">
        <v>0</v>
      </c>
      <c r="R270" s="65">
        <v>1</v>
      </c>
      <c r="S270" s="65">
        <v>2</v>
      </c>
      <c r="Z270" t="str">
        <f t="shared" si="6"/>
        <v>67A</v>
      </c>
    </row>
    <row r="271" spans="1:26" ht="15" x14ac:dyDescent="0.25">
      <c r="A271" t="s">
        <v>82</v>
      </c>
      <c r="B271">
        <v>68</v>
      </c>
      <c r="C271" t="s">
        <v>49</v>
      </c>
      <c r="D271" s="65" t="s">
        <v>104</v>
      </c>
      <c r="E271" s="65"/>
      <c r="F271" s="65"/>
      <c r="G271" s="65"/>
      <c r="H271" s="65"/>
      <c r="I271" s="65"/>
      <c r="J271" s="65"/>
      <c r="K271" s="65"/>
      <c r="L271" s="65"/>
      <c r="M271" s="65"/>
      <c r="N271" s="65"/>
      <c r="O271" s="65"/>
      <c r="P271" s="65">
        <v>0</v>
      </c>
      <c r="Q271" s="65"/>
      <c r="R271" s="65"/>
      <c r="S271" s="65">
        <v>2</v>
      </c>
      <c r="Z271" t="str">
        <f t="shared" si="6"/>
        <v>68D</v>
      </c>
    </row>
    <row r="272" spans="1:26" ht="15" x14ac:dyDescent="0.25">
      <c r="A272" t="s">
        <v>83</v>
      </c>
      <c r="B272">
        <v>68</v>
      </c>
      <c r="C272" t="s">
        <v>50</v>
      </c>
      <c r="D272" s="65" t="s">
        <v>104</v>
      </c>
      <c r="E272" s="65"/>
      <c r="F272" s="65"/>
      <c r="G272" s="65"/>
      <c r="H272" s="65"/>
      <c r="I272" s="65"/>
      <c r="J272" s="65"/>
      <c r="K272" s="65"/>
      <c r="L272" s="65"/>
      <c r="M272" s="65"/>
      <c r="N272" s="65"/>
      <c r="O272" s="65"/>
      <c r="P272" s="65">
        <v>0</v>
      </c>
      <c r="Q272" s="65"/>
      <c r="R272" s="65"/>
      <c r="S272" s="65">
        <v>2</v>
      </c>
      <c r="Z272" t="str">
        <f t="shared" si="6"/>
        <v>68C</v>
      </c>
    </row>
    <row r="273" spans="1:26" ht="15" x14ac:dyDescent="0.25">
      <c r="A273" t="s">
        <v>84</v>
      </c>
      <c r="B273">
        <v>68</v>
      </c>
      <c r="C273" t="s">
        <v>51</v>
      </c>
      <c r="D273" s="65">
        <v>42.3</v>
      </c>
      <c r="E273" s="65">
        <v>0</v>
      </c>
      <c r="F273" s="65">
        <v>44.3</v>
      </c>
      <c r="G273" s="65">
        <v>43.4</v>
      </c>
      <c r="H273" s="65">
        <v>41.8</v>
      </c>
      <c r="I273" s="65">
        <v>40.9</v>
      </c>
      <c r="J273" s="65">
        <v>42.8</v>
      </c>
      <c r="K273" s="65">
        <v>1370.9</v>
      </c>
      <c r="L273" s="65">
        <v>1370.5</v>
      </c>
      <c r="M273" s="65">
        <v>1370.4</v>
      </c>
      <c r="N273" s="65">
        <v>1369.9</v>
      </c>
      <c r="O273" s="65">
        <v>1369.8</v>
      </c>
      <c r="P273" s="65">
        <v>0</v>
      </c>
      <c r="Q273" s="65">
        <v>0</v>
      </c>
      <c r="R273" s="65">
        <v>1</v>
      </c>
      <c r="S273" s="65">
        <v>2</v>
      </c>
      <c r="Z273" t="str">
        <f t="shared" si="6"/>
        <v>68B</v>
      </c>
    </row>
    <row r="274" spans="1:26" ht="15" x14ac:dyDescent="0.25">
      <c r="A274" t="s">
        <v>85</v>
      </c>
      <c r="B274">
        <v>68</v>
      </c>
      <c r="C274" t="s">
        <v>52</v>
      </c>
      <c r="D274" s="65">
        <v>45.3</v>
      </c>
      <c r="E274" s="65">
        <v>0</v>
      </c>
      <c r="F274" s="65">
        <v>46.6</v>
      </c>
      <c r="G274" s="65">
        <v>45.2</v>
      </c>
      <c r="H274" s="65">
        <v>44.3</v>
      </c>
      <c r="I274" s="65">
        <v>45</v>
      </c>
      <c r="J274" s="65">
        <v>44.8</v>
      </c>
      <c r="K274" s="65">
        <v>1370.8</v>
      </c>
      <c r="L274" s="65">
        <v>1372.3</v>
      </c>
      <c r="M274" s="65">
        <v>1370.6</v>
      </c>
      <c r="N274" s="65">
        <v>1370.4</v>
      </c>
      <c r="O274" s="65">
        <v>1369.4</v>
      </c>
      <c r="P274" s="65">
        <v>0</v>
      </c>
      <c r="Q274" s="65">
        <v>0</v>
      </c>
      <c r="R274" s="65">
        <v>1</v>
      </c>
      <c r="S274" s="65">
        <v>2</v>
      </c>
      <c r="Z274" t="str">
        <f t="shared" si="6"/>
        <v>68A</v>
      </c>
    </row>
    <row r="275" spans="1:26" ht="15" x14ac:dyDescent="0.25">
      <c r="A275" t="s">
        <v>86</v>
      </c>
      <c r="B275">
        <v>69</v>
      </c>
      <c r="C275" t="s">
        <v>49</v>
      </c>
      <c r="D275" s="65">
        <v>85.8</v>
      </c>
      <c r="E275" s="65">
        <v>0</v>
      </c>
      <c r="F275" s="65">
        <v>85.9</v>
      </c>
      <c r="G275" s="65">
        <v>85.7</v>
      </c>
      <c r="H275" s="65">
        <v>85.7</v>
      </c>
      <c r="I275" s="65">
        <v>85.4</v>
      </c>
      <c r="J275" s="65">
        <v>85.5</v>
      </c>
      <c r="K275" s="65">
        <v>1385.3</v>
      </c>
      <c r="L275" s="65">
        <v>1385.9</v>
      </c>
      <c r="M275" s="65">
        <v>1385</v>
      </c>
      <c r="N275" s="65">
        <v>1386.3</v>
      </c>
      <c r="O275" s="65">
        <v>1385.3</v>
      </c>
      <c r="P275" s="65">
        <v>0</v>
      </c>
      <c r="Q275" s="65">
        <v>64</v>
      </c>
      <c r="R275" s="65">
        <v>4</v>
      </c>
      <c r="S275" s="65">
        <v>2</v>
      </c>
      <c r="Z275" t="str">
        <f t="shared" si="6"/>
        <v>69D</v>
      </c>
    </row>
    <row r="276" spans="1:26" ht="15" x14ac:dyDescent="0.25">
      <c r="A276" t="s">
        <v>87</v>
      </c>
      <c r="B276">
        <v>69</v>
      </c>
      <c r="C276" t="s">
        <v>50</v>
      </c>
      <c r="D276" s="65" t="s">
        <v>104</v>
      </c>
      <c r="E276" s="65"/>
      <c r="F276" s="65"/>
      <c r="G276" s="65"/>
      <c r="H276" s="65"/>
      <c r="I276" s="65"/>
      <c r="J276" s="65"/>
      <c r="K276" s="65"/>
      <c r="L276" s="65"/>
      <c r="M276" s="65"/>
      <c r="N276" s="65"/>
      <c r="O276" s="65"/>
      <c r="P276" s="65">
        <v>0</v>
      </c>
      <c r="Q276" s="65"/>
      <c r="R276" s="65"/>
      <c r="S276" s="65">
        <v>2</v>
      </c>
      <c r="Z276" t="str">
        <f t="shared" si="6"/>
        <v>69C</v>
      </c>
    </row>
    <row r="277" spans="1:26" ht="15" x14ac:dyDescent="0.25">
      <c r="A277" t="s">
        <v>88</v>
      </c>
      <c r="B277">
        <v>69</v>
      </c>
      <c r="C277" t="s">
        <v>51</v>
      </c>
      <c r="D277" s="65" t="s">
        <v>104</v>
      </c>
      <c r="E277" s="65"/>
      <c r="F277" s="65"/>
      <c r="G277" s="65"/>
      <c r="H277" s="65"/>
      <c r="I277" s="65"/>
      <c r="J277" s="65"/>
      <c r="K277" s="65"/>
      <c r="L277" s="65"/>
      <c r="M277" s="65"/>
      <c r="N277" s="65"/>
      <c r="O277" s="65"/>
      <c r="P277" s="65">
        <v>0</v>
      </c>
      <c r="Q277" s="65"/>
      <c r="R277" s="65"/>
      <c r="S277" s="65">
        <v>2</v>
      </c>
      <c r="Z277" t="str">
        <f t="shared" si="6"/>
        <v>69B</v>
      </c>
    </row>
    <row r="278" spans="1:26" ht="15" x14ac:dyDescent="0.25">
      <c r="A278" t="s">
        <v>89</v>
      </c>
      <c r="B278">
        <v>69</v>
      </c>
      <c r="C278" t="s">
        <v>52</v>
      </c>
      <c r="D278" s="65" t="s">
        <v>104</v>
      </c>
      <c r="E278" s="65"/>
      <c r="F278" s="65"/>
      <c r="G278" s="65"/>
      <c r="H278" s="65"/>
      <c r="I278" s="65"/>
      <c r="J278" s="65"/>
      <c r="K278" s="65"/>
      <c r="L278" s="65"/>
      <c r="M278" s="65"/>
      <c r="N278" s="65"/>
      <c r="O278" s="65"/>
      <c r="P278" s="65">
        <v>0</v>
      </c>
      <c r="Q278" s="65"/>
      <c r="R278" s="65"/>
      <c r="S278" s="65">
        <v>2</v>
      </c>
      <c r="Z278" t="str">
        <f t="shared" si="6"/>
        <v>69A</v>
      </c>
    </row>
    <row r="279" spans="1:26" ht="15" x14ac:dyDescent="0.25">
      <c r="A279" t="s">
        <v>90</v>
      </c>
      <c r="B279">
        <v>70</v>
      </c>
      <c r="C279" t="s">
        <v>49</v>
      </c>
      <c r="D279" s="65">
        <v>96.4</v>
      </c>
      <c r="E279" s="65">
        <v>0</v>
      </c>
      <c r="F279" s="65">
        <v>91.2</v>
      </c>
      <c r="G279" s="65">
        <v>90</v>
      </c>
      <c r="H279" s="65">
        <v>96.7</v>
      </c>
      <c r="I279" s="65">
        <v>96.7</v>
      </c>
      <c r="J279" s="65">
        <v>90</v>
      </c>
      <c r="K279" s="65">
        <v>1385.2</v>
      </c>
      <c r="L279" s="65">
        <v>1386.1</v>
      </c>
      <c r="M279" s="65">
        <v>1387</v>
      </c>
      <c r="N279" s="65">
        <v>1385.9</v>
      </c>
      <c r="O279" s="65">
        <v>1386</v>
      </c>
      <c r="P279" s="65">
        <v>0</v>
      </c>
      <c r="Q279" s="65">
        <v>0</v>
      </c>
      <c r="R279" s="65">
        <v>1</v>
      </c>
      <c r="S279" s="65">
        <v>2</v>
      </c>
      <c r="Z279" t="str">
        <f t="shared" si="6"/>
        <v>70D</v>
      </c>
    </row>
    <row r="280" spans="1:26" ht="15" x14ac:dyDescent="0.25">
      <c r="A280" t="s">
        <v>91</v>
      </c>
      <c r="B280">
        <v>70</v>
      </c>
      <c r="C280" t="s">
        <v>50</v>
      </c>
      <c r="D280" s="65">
        <v>97.1</v>
      </c>
      <c r="E280" s="65">
        <v>0</v>
      </c>
      <c r="F280" s="65">
        <v>96.7</v>
      </c>
      <c r="G280" s="65">
        <v>96.4</v>
      </c>
      <c r="H280" s="65">
        <v>96.6</v>
      </c>
      <c r="I280" s="65">
        <v>96.6</v>
      </c>
      <c r="J280" s="65">
        <v>97.2</v>
      </c>
      <c r="K280" s="65">
        <v>1385</v>
      </c>
      <c r="L280" s="65">
        <v>1385.7</v>
      </c>
      <c r="M280" s="65">
        <v>1385.9</v>
      </c>
      <c r="N280" s="65">
        <v>1385</v>
      </c>
      <c r="O280" s="65">
        <v>1385.6</v>
      </c>
      <c r="P280" s="65">
        <v>0</v>
      </c>
      <c r="Q280" s="65">
        <v>0</v>
      </c>
      <c r="R280" s="65">
        <v>1</v>
      </c>
      <c r="S280" s="65">
        <v>2</v>
      </c>
      <c r="Z280" t="str">
        <f t="shared" si="6"/>
        <v>70C</v>
      </c>
    </row>
    <row r="281" spans="1:26" ht="15" x14ac:dyDescent="0.25">
      <c r="A281" t="s">
        <v>92</v>
      </c>
      <c r="B281">
        <v>70</v>
      </c>
      <c r="C281" t="s">
        <v>51</v>
      </c>
      <c r="D281" s="65">
        <v>96.7</v>
      </c>
      <c r="E281" s="65">
        <v>0</v>
      </c>
      <c r="F281" s="65">
        <v>97</v>
      </c>
      <c r="G281" s="65">
        <v>88.8</v>
      </c>
      <c r="H281" s="65">
        <v>89.8</v>
      </c>
      <c r="I281" s="65">
        <v>96.9</v>
      </c>
      <c r="J281" s="65">
        <v>92.2</v>
      </c>
      <c r="K281" s="65">
        <v>1386.6</v>
      </c>
      <c r="L281" s="65">
        <v>1386.2</v>
      </c>
      <c r="M281" s="65">
        <v>1385.5</v>
      </c>
      <c r="N281" s="65">
        <v>1386.2</v>
      </c>
      <c r="O281" s="65">
        <v>1385.8</v>
      </c>
      <c r="P281" s="65">
        <v>0</v>
      </c>
      <c r="Q281" s="65">
        <v>0</v>
      </c>
      <c r="R281" s="65">
        <v>1</v>
      </c>
      <c r="S281" s="65">
        <v>2</v>
      </c>
      <c r="Z281" t="str">
        <f t="shared" si="6"/>
        <v>70B</v>
      </c>
    </row>
    <row r="282" spans="1:26" ht="15" x14ac:dyDescent="0.25">
      <c r="A282" t="s">
        <v>93</v>
      </c>
      <c r="B282">
        <v>70</v>
      </c>
      <c r="C282" t="s">
        <v>52</v>
      </c>
      <c r="D282" s="65">
        <v>92.7</v>
      </c>
      <c r="E282" s="65">
        <v>0</v>
      </c>
      <c r="F282" s="65">
        <v>90.7</v>
      </c>
      <c r="G282" s="65">
        <v>90.6</v>
      </c>
      <c r="H282" s="65">
        <v>90.2</v>
      </c>
      <c r="I282" s="65">
        <v>92.9</v>
      </c>
      <c r="J282" s="65">
        <v>92.7</v>
      </c>
      <c r="K282" s="65">
        <v>1386.3</v>
      </c>
      <c r="L282" s="65">
        <v>1386</v>
      </c>
      <c r="M282" s="65">
        <v>1386.9</v>
      </c>
      <c r="N282" s="65">
        <v>1386.1</v>
      </c>
      <c r="O282" s="65">
        <v>1385</v>
      </c>
      <c r="P282" s="65">
        <v>0</v>
      </c>
      <c r="Q282" s="65">
        <v>0</v>
      </c>
      <c r="R282" s="65">
        <v>1</v>
      </c>
      <c r="S282" s="65">
        <v>2</v>
      </c>
      <c r="Z282" t="str">
        <f t="shared" si="6"/>
        <v>70A</v>
      </c>
    </row>
    <row r="283" spans="1:26" ht="15" x14ac:dyDescent="0.25">
      <c r="A283" t="s">
        <v>94</v>
      </c>
      <c r="B283">
        <v>71</v>
      </c>
      <c r="C283" t="s">
        <v>49</v>
      </c>
      <c r="D283" s="65">
        <v>96.3</v>
      </c>
      <c r="E283" s="65">
        <v>0</v>
      </c>
      <c r="F283" s="65">
        <v>95.6</v>
      </c>
      <c r="G283" s="65">
        <v>96.4</v>
      </c>
      <c r="H283" s="65">
        <v>94</v>
      </c>
      <c r="I283" s="65">
        <v>94</v>
      </c>
      <c r="J283" s="65">
        <v>94</v>
      </c>
      <c r="K283" s="65">
        <v>1385.7</v>
      </c>
      <c r="L283" s="65">
        <v>1385.9</v>
      </c>
      <c r="M283" s="65">
        <v>1385.1</v>
      </c>
      <c r="N283" s="65">
        <v>1385.5</v>
      </c>
      <c r="O283" s="65">
        <v>1386</v>
      </c>
      <c r="P283" s="65">
        <v>0</v>
      </c>
      <c r="Q283" s="65">
        <v>0</v>
      </c>
      <c r="R283" s="65">
        <v>1</v>
      </c>
      <c r="S283" s="65">
        <v>2</v>
      </c>
      <c r="Z283" t="str">
        <f t="shared" si="6"/>
        <v>71D</v>
      </c>
    </row>
    <row r="284" spans="1:26" ht="15" x14ac:dyDescent="0.25">
      <c r="A284" t="s">
        <v>95</v>
      </c>
      <c r="B284">
        <v>71</v>
      </c>
      <c r="C284" t="s">
        <v>50</v>
      </c>
      <c r="D284" s="65">
        <v>96.3</v>
      </c>
      <c r="E284" s="65">
        <v>0</v>
      </c>
      <c r="F284" s="65">
        <v>96.1</v>
      </c>
      <c r="G284" s="65">
        <v>92.8</v>
      </c>
      <c r="H284" s="65">
        <v>96.5</v>
      </c>
      <c r="I284" s="65">
        <v>94.8</v>
      </c>
      <c r="J284" s="65">
        <v>94.1</v>
      </c>
      <c r="K284" s="65">
        <v>1383.5</v>
      </c>
      <c r="L284" s="65">
        <v>1385.5</v>
      </c>
      <c r="M284" s="65">
        <v>1385</v>
      </c>
      <c r="N284" s="65">
        <v>1385.4</v>
      </c>
      <c r="O284" s="65">
        <v>1385.5</v>
      </c>
      <c r="P284" s="65">
        <v>0</v>
      </c>
      <c r="Q284" s="65">
        <v>0</v>
      </c>
      <c r="R284" s="65">
        <v>1</v>
      </c>
      <c r="S284" s="65">
        <v>2</v>
      </c>
      <c r="Z284" t="str">
        <f t="shared" si="6"/>
        <v>71C</v>
      </c>
    </row>
    <row r="285" spans="1:26" ht="15" x14ac:dyDescent="0.25">
      <c r="A285" t="s">
        <v>96</v>
      </c>
      <c r="B285">
        <v>71</v>
      </c>
      <c r="C285" t="s">
        <v>51</v>
      </c>
      <c r="D285" s="65">
        <v>98.9</v>
      </c>
      <c r="E285" s="65">
        <v>0</v>
      </c>
      <c r="F285" s="65">
        <v>96</v>
      </c>
      <c r="G285" s="65">
        <v>99</v>
      </c>
      <c r="H285" s="65">
        <v>96</v>
      </c>
      <c r="I285" s="65">
        <v>96</v>
      </c>
      <c r="J285" s="65">
        <v>96.9</v>
      </c>
      <c r="K285" s="65">
        <v>1384.5</v>
      </c>
      <c r="L285" s="65">
        <v>1384.2</v>
      </c>
      <c r="M285" s="65">
        <v>1386.4</v>
      </c>
      <c r="N285" s="65">
        <v>1385.8</v>
      </c>
      <c r="O285" s="65">
        <v>1385.4</v>
      </c>
      <c r="P285" s="65">
        <v>0</v>
      </c>
      <c r="Q285" s="65">
        <v>0</v>
      </c>
      <c r="R285" s="65">
        <v>1</v>
      </c>
      <c r="S285" s="65">
        <v>2</v>
      </c>
      <c r="Z285" t="str">
        <f t="shared" si="6"/>
        <v>71B</v>
      </c>
    </row>
    <row r="286" spans="1:26" ht="15" x14ac:dyDescent="0.25">
      <c r="A286" t="s">
        <v>97</v>
      </c>
      <c r="B286">
        <v>71</v>
      </c>
      <c r="C286" t="s">
        <v>52</v>
      </c>
      <c r="D286" s="65">
        <v>99.2</v>
      </c>
      <c r="E286" s="65">
        <v>0</v>
      </c>
      <c r="F286" s="65">
        <v>99.3</v>
      </c>
      <c r="G286" s="65">
        <v>95.5</v>
      </c>
      <c r="H286" s="65">
        <v>95</v>
      </c>
      <c r="I286" s="65">
        <v>93.4</v>
      </c>
      <c r="J286" s="65">
        <v>99.1</v>
      </c>
      <c r="K286" s="65">
        <v>1385.7</v>
      </c>
      <c r="L286" s="65">
        <v>1386</v>
      </c>
      <c r="M286" s="65">
        <v>1385.5</v>
      </c>
      <c r="N286" s="65">
        <v>1385.6</v>
      </c>
      <c r="O286" s="65">
        <v>1385.1</v>
      </c>
      <c r="P286" s="65">
        <v>0</v>
      </c>
      <c r="Q286" s="65">
        <v>0</v>
      </c>
      <c r="R286" s="65">
        <v>1</v>
      </c>
      <c r="S286" s="65">
        <v>2</v>
      </c>
      <c r="Z286" t="str">
        <f t="shared" si="6"/>
        <v>71A</v>
      </c>
    </row>
    <row r="287" spans="1:26" ht="15" x14ac:dyDescent="0.25">
      <c r="A287" t="s">
        <v>98</v>
      </c>
      <c r="B287">
        <v>72</v>
      </c>
      <c r="C287" t="s">
        <v>49</v>
      </c>
      <c r="D287" s="65">
        <v>83.3</v>
      </c>
      <c r="E287" s="65">
        <v>0</v>
      </c>
      <c r="F287" s="65">
        <v>94.3</v>
      </c>
      <c r="G287" s="65">
        <v>95.8</v>
      </c>
      <c r="H287" s="65">
        <v>95.8</v>
      </c>
      <c r="I287" s="65">
        <v>95</v>
      </c>
      <c r="J287" s="65">
        <v>21.1</v>
      </c>
      <c r="K287" s="65">
        <v>1386.4</v>
      </c>
      <c r="L287" s="65">
        <v>1385.5</v>
      </c>
      <c r="M287" s="65">
        <v>1385</v>
      </c>
      <c r="N287" s="65">
        <v>1385.6</v>
      </c>
      <c r="O287" s="65">
        <v>1385.2</v>
      </c>
      <c r="P287" s="65">
        <v>0</v>
      </c>
      <c r="Q287" s="65">
        <v>0</v>
      </c>
      <c r="R287" s="65">
        <v>1</v>
      </c>
      <c r="S287" s="65">
        <v>2</v>
      </c>
      <c r="Z287" t="str">
        <f t="shared" si="6"/>
        <v>72D</v>
      </c>
    </row>
    <row r="288" spans="1:26" ht="15" x14ac:dyDescent="0.25">
      <c r="A288" t="s">
        <v>99</v>
      </c>
      <c r="B288">
        <v>72</v>
      </c>
      <c r="C288" t="s">
        <v>50</v>
      </c>
      <c r="D288" s="65">
        <v>98.2</v>
      </c>
      <c r="E288" s="65">
        <v>0</v>
      </c>
      <c r="F288" s="65">
        <v>99.6</v>
      </c>
      <c r="G288" s="65">
        <v>99.6</v>
      </c>
      <c r="H288" s="65">
        <v>99.6</v>
      </c>
      <c r="I288" s="65">
        <v>99.1</v>
      </c>
      <c r="J288" s="65">
        <v>22.6</v>
      </c>
      <c r="K288" s="65">
        <v>1384.6</v>
      </c>
      <c r="L288" s="65">
        <v>1384.7</v>
      </c>
      <c r="M288" s="65">
        <v>1385.1</v>
      </c>
      <c r="N288" s="65">
        <v>1386.3</v>
      </c>
      <c r="O288" s="65">
        <v>1384.8</v>
      </c>
      <c r="P288" s="65">
        <v>0</v>
      </c>
      <c r="Q288" s="65">
        <v>0</v>
      </c>
      <c r="R288" s="65">
        <v>1</v>
      </c>
      <c r="S288" s="65">
        <v>2</v>
      </c>
      <c r="Z288" t="str">
        <f t="shared" si="6"/>
        <v>72C</v>
      </c>
    </row>
    <row r="289" spans="1:26" ht="15" x14ac:dyDescent="0.25">
      <c r="A289" t="s">
        <v>100</v>
      </c>
      <c r="B289">
        <v>72</v>
      </c>
      <c r="C289" t="s">
        <v>51</v>
      </c>
      <c r="D289" s="65">
        <v>94.9</v>
      </c>
      <c r="E289" s="65">
        <v>0</v>
      </c>
      <c r="F289" s="65">
        <v>94.9</v>
      </c>
      <c r="G289" s="65">
        <v>94.5</v>
      </c>
      <c r="H289" s="65">
        <v>94.5</v>
      </c>
      <c r="I289" s="65">
        <v>95</v>
      </c>
      <c r="J289" s="65">
        <v>94.6</v>
      </c>
      <c r="K289" s="65">
        <v>1384.7</v>
      </c>
      <c r="L289" s="65">
        <v>1385.5</v>
      </c>
      <c r="M289" s="65">
        <v>1384.9</v>
      </c>
      <c r="N289" s="65">
        <v>1384.8</v>
      </c>
      <c r="O289" s="65">
        <v>1385.7</v>
      </c>
      <c r="P289" s="65">
        <v>0</v>
      </c>
      <c r="Q289" s="65">
        <v>0</v>
      </c>
      <c r="R289" s="65">
        <v>1</v>
      </c>
      <c r="S289" s="65">
        <v>2</v>
      </c>
      <c r="Z289" t="str">
        <f t="shared" si="6"/>
        <v>72B</v>
      </c>
    </row>
    <row r="290" spans="1:26" ht="15" x14ac:dyDescent="0.25">
      <c r="A290" t="s">
        <v>101</v>
      </c>
      <c r="B290">
        <v>72</v>
      </c>
      <c r="C290" t="s">
        <v>52</v>
      </c>
      <c r="D290" s="65">
        <v>75.599999999999994</v>
      </c>
      <c r="E290" s="65">
        <v>0</v>
      </c>
      <c r="F290" s="65">
        <v>74</v>
      </c>
      <c r="G290" s="65">
        <v>76.2</v>
      </c>
      <c r="H290" s="65">
        <v>76.099999999999994</v>
      </c>
      <c r="I290" s="65">
        <v>76</v>
      </c>
      <c r="J290" s="65">
        <v>76</v>
      </c>
      <c r="K290" s="65">
        <v>1387.5</v>
      </c>
      <c r="L290" s="65">
        <v>1385.2</v>
      </c>
      <c r="M290" s="65">
        <v>1384.7</v>
      </c>
      <c r="N290" s="65">
        <v>1386.1</v>
      </c>
      <c r="O290" s="65">
        <v>1386.9</v>
      </c>
      <c r="P290" s="65">
        <v>0</v>
      </c>
      <c r="Q290" s="65">
        <v>0</v>
      </c>
      <c r="R290" s="65">
        <v>1</v>
      </c>
      <c r="S290" s="65">
        <v>2</v>
      </c>
      <c r="Z290" t="str">
        <f t="shared" si="6"/>
        <v>72A</v>
      </c>
    </row>
  </sheetData>
  <autoFilter ref="A1:S290" xr:uid="{286D9AFB-1845-4BA5-959C-7CDB3EC5AE01}"/>
  <phoneticPr fontId="1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adSOC">
                <anchor>
                  <from>
                    <xdr:col>19</xdr:col>
                    <xdr:colOff>171450</xdr:colOff>
                    <xdr:row>1</xdr:row>
                    <xdr:rowOff>28575</xdr:rowOff>
                  </from>
                  <to>
                    <xdr:col>20</xdr:col>
                    <xdr:colOff>381000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HotComm</vt:lpstr>
      <vt:lpstr>ReadETH</vt:lpstr>
      <vt:lpstr>OnlineTest</vt:lpstr>
      <vt:lpstr>ReadTest</vt:lpstr>
      <vt:lpstr>ReadSOC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玮 王</dc:creator>
  <cp:lastModifiedBy>玮 王</cp:lastModifiedBy>
  <cp:lastPrinted>2024-07-18T07:37:16Z</cp:lastPrinted>
  <dcterms:created xsi:type="dcterms:W3CDTF">2024-07-04T13:48:16Z</dcterms:created>
  <dcterms:modified xsi:type="dcterms:W3CDTF">2024-11-27T09:57:57Z</dcterms:modified>
</cp:coreProperties>
</file>