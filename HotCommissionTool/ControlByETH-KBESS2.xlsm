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6A4B6DB2-49D6-4F03-8AF9-9A8A8B74EF14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集成工具" sheetId="1" r:id="rId1"/>
    <sheet name="批量读" sheetId="2" r:id="rId2"/>
  </sheets>
  <functionGroups builtInGroupCount="19"/>
  <definedNames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B2" i="1"/>
  <c r="B3" i="1"/>
  <c r="B4" i="1"/>
  <c r="D1" i="1"/>
  <c r="S1" i="1"/>
  <c r="R1" i="1"/>
  <c r="K1" i="1"/>
  <c r="A4" i="1"/>
  <c r="A3" i="1"/>
  <c r="A2" i="1"/>
  <c r="R10" i="1"/>
  <c r="R11" i="1"/>
  <c r="R12" i="1"/>
  <c r="R9" i="1"/>
  <c r="H17" i="1" a="1"/>
  <c r="H17" i="1" s="1"/>
  <c r="G17" i="1" a="1"/>
  <c r="G17" i="1" s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R2" i="1" l="1"/>
  <c r="S2" i="1"/>
  <c r="R3" i="1"/>
  <c r="S3" i="1"/>
  <c r="R4" i="1"/>
  <c r="S4" i="1"/>
  <c r="E18" i="1"/>
  <c r="P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王玮</author>
  </authors>
  <commentList>
    <comment ref="B17" authorId="0" shapeId="0" xr:uid="{559FC1C4-167D-4E6E-B8B2-232D7EE02EFF}">
      <text>
        <r>
          <rPr>
            <b/>
            <sz val="9"/>
            <color indexed="81"/>
            <rFont val="Tahoma"/>
            <family val="2"/>
          </rPr>
          <t>王玮:</t>
        </r>
        <r>
          <rPr>
            <sz val="9"/>
            <color indexed="81"/>
            <rFont val="Tahoma"/>
            <family val="2"/>
          </rPr>
          <t xml:space="preserve">
0 - I &amp; SOC
1- all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<sst xmlns="http://schemas.openxmlformats.org/spreadsheetml/2006/main" count="178" uniqueCount="134">
  <si>
    <t>Register</t>
  </si>
  <si>
    <t>Data</t>
  </si>
  <si>
    <t>HeartBeat</t>
  </si>
  <si>
    <t>HV Relay On</t>
  </si>
  <si>
    <t>HV Relay OFF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</si>
  <si>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</si>
  <si>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</si>
  <si>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</si>
  <si>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</si>
  <si>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</si>
  <si>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</si>
  <si>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</si>
  <si>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</si>
  <si>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</si>
  <si>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</si>
  <si>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</si>
  <si>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Read Limit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</si>
  <si>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</si>
  <si>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</si>
  <si>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</si>
  <si>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</si>
  <si>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</si>
  <si>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</si>
  <si>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</si>
  <si>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</si>
  <si>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</si>
  <si>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</si>
  <si>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</si>
  <si>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</si>
  <si>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</si>
  <si>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</si>
  <si>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</si>
  <si>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</si>
  <si>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</si>
  <si>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</si>
  <si>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</si>
  <si>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</si>
  <si>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</si>
  <si>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</si>
  <si>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Reg</t>
  </si>
  <si>
    <t>IP</t>
  </si>
  <si>
    <t>PI</t>
  </si>
  <si>
    <t>VALUE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</si>
  <si>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</si>
  <si>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</si>
  <si>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</si>
  <si>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</si>
  <si>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</si>
  <si>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</si>
  <si>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</si>
  <si>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</si>
  <si>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</si>
  <si>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</si>
  <si>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</si>
  <si>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</si>
  <si>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</si>
  <si>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</si>
  <si>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</si>
  <si>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</si>
  <si>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</si>
  <si>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</si>
  <si>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</si>
  <si>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</si>
  <si>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</si>
  <si>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最高最低单体电压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</si>
  <si>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</si>
  <si>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</si>
  <si>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</si>
  <si>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</si>
  <si>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</si>
  <si>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</si>
  <si>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</si>
  <si>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</si>
  <si>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</si>
  <si>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</si>
  <si>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</si>
  <si>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</si>
  <si>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</si>
  <si>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</si>
  <si>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</si>
  <si>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</si>
  <si>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</si>
  <si>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</si>
  <si>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</si>
  <si>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</si>
  <si>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</si>
  <si>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</si>
  <si>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</si>
  <si>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</si>
  <si>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</si>
  <si>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</si>
  <si>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</si>
  <si>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</si>
  <si>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</si>
  <si>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</si>
  <si>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</si>
  <si>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</si>
  <si>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</si>
  <si>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</si>
  <si>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</si>
  <si>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</si>
  <si>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16,17</t>
  </si>
  <si>
    <t>bmu和消防告警</t>
  </si>
  <si>
    <t xml:space="preserve"> </t>
  </si>
  <si>
    <t>46A</t>
  </si>
  <si>
    <t>46b</t>
  </si>
  <si>
    <t>告警码</t>
  </si>
  <si>
    <t>cell压差</t>
  </si>
  <si>
    <t>47abc</t>
  </si>
  <si>
    <t>48abc</t>
  </si>
  <si>
    <t>49C</t>
  </si>
  <si>
    <t>连不上</t>
  </si>
  <si>
    <t>50ab</t>
  </si>
  <si>
    <t>51abc</t>
  </si>
  <si>
    <t>52abc</t>
  </si>
  <si>
    <t>52b 43mv</t>
  </si>
  <si>
    <t>53abc</t>
  </si>
  <si>
    <t>54abcd</t>
  </si>
  <si>
    <t>气溶胶</t>
  </si>
  <si>
    <t>E-stop+气溶胶</t>
  </si>
  <si>
    <t>Reg 16 冷机</t>
  </si>
  <si>
    <t>Reg 17消防</t>
  </si>
  <si>
    <t>隔离开关状态</t>
  </si>
  <si>
    <t>系统状态</t>
  </si>
  <si>
    <t>1正常5故障</t>
  </si>
  <si>
    <t>2_x000D_</t>
  </si>
  <si>
    <t>10.238.7.36</t>
  </si>
  <si>
    <t>3249_x000D_</t>
  </si>
  <si>
    <t>3257_x000D_</t>
  </si>
  <si>
    <t>1_x000D_</t>
  </si>
  <si>
    <t>3261_x000D_</t>
  </si>
  <si>
    <t>3244_x000D_</t>
  </si>
  <si>
    <t>3259_x000D_</t>
  </si>
  <si>
    <t>3242_x000D_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</si>
</sst>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/yyyy\ h:mm:ss"/>
  </numFmts>
  <fonts count="19" x14ac:knownFonts="1">
    <font>
      <sz val="11"/>
      <color theme="1"/>
      <name val="Aptos Narrow"/>
      <family val="2"/>
      <charset val="134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20"/>
      <color theme="1"/>
      <name val="Arial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61">
    <xf numFmtId="0" fontId="0" fillId="0" borderId="0" xfId="0">
      <alignment vertical="center"/>
    </xf>
    <xf numFmtId="0" fontId="8" fillId="6" borderId="10" xfId="0" applyFont="1" applyFill="1" applyBorder="1">
      <alignment vertical="center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>
      <alignment vertical="center"/>
    </xf>
    <xf numFmtId="0" fontId="9" fillId="7" borderId="10" xfId="0" applyFont="1" applyFill="1" applyBorder="1">
      <alignment vertical="center"/>
    </xf>
    <xf numFmtId="164" fontId="9" fillId="7" borderId="11" xfId="0" applyNumberFormat="1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0" borderId="10" xfId="0" applyFont="1" applyBorder="1">
      <alignment vertical="center"/>
    </xf>
    <xf numFmtId="164" fontId="9" fillId="0" borderId="11" xfId="0" applyNumberFormat="1" applyFont="1" applyBorder="1">
      <alignment vertical="center"/>
    </xf>
    <xf numFmtId="0" fontId="9" fillId="0" borderId="12" xfId="0" applyFont="1" applyBorder="1">
      <alignment vertical="center"/>
    </xf>
    <xf numFmtId="0" fontId="9" fillId="0" borderId="1" xfId="0" applyFont="1" applyBorder="1">
      <alignment vertical="center"/>
    </xf>
    <xf numFmtId="164" fontId="9" fillId="0" borderId="2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8" fillId="8" borderId="4" xfId="0" applyFont="1" applyFill="1" applyBorder="1">
      <alignment vertical="center"/>
    </xf>
    <xf numFmtId="0" fontId="8" fillId="8" borderId="5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10" fillId="0" borderId="4" xfId="0" applyFont="1" applyBorder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>
      <alignment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11" xfId="0" applyFont="1" applyFill="1" applyBorder="1">
      <alignment vertical="center"/>
    </xf>
    <xf numFmtId="0" fontId="7" fillId="4" borderId="1" xfId="3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8" fillId="6" borderId="0" xfId="0" applyFont="1" applyFill="1">
      <alignment vertical="center"/>
    </xf>
    <xf numFmtId="165" fontId="0" fillId="0" borderId="0" xfId="0" applyNumberForma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5" fillId="9" borderId="0" xfId="1" applyFill="1" applyAlignment="1" applyProtection="1">
      <alignment vertical="center"/>
      <protection locked="0"/>
    </xf>
    <xf numFmtId="0" fontId="7" fillId="4" borderId="1" xfId="3" applyBorder="1" applyAlignment="1" applyProtection="1">
      <alignment horizontal="center" vertical="center"/>
      <protection locked="0"/>
    </xf>
    <xf numFmtId="0" fontId="9" fillId="7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9" fillId="2" borderId="12" xfId="0" applyNumberFormat="1" applyFont="1" applyFill="1" applyBorder="1" applyAlignment="1">
      <alignment horizontal="center" vertical="center"/>
    </xf>
    <xf numFmtId="1" fontId="9" fillId="7" borderId="10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1" fontId="9" fillId="7" borderId="12" xfId="0" applyNumberFormat="1" applyFont="1" applyFill="1" applyBorder="1">
      <alignment vertical="center"/>
    </xf>
    <xf numFmtId="1" fontId="9" fillId="0" borderId="12" xfId="0" applyNumberFormat="1" applyFont="1" applyBorder="1">
      <alignment vertical="center"/>
    </xf>
    <xf numFmtId="1" fontId="9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6" fillId="6" borderId="10" xfId="0" applyFont="1" applyFill="1" applyBorder="1">
      <alignment vertical="center"/>
    </xf>
    <xf numFmtId="0" fontId="16" fillId="6" borderId="11" xfId="0" applyFont="1" applyFill="1" applyBorder="1">
      <alignment vertical="center"/>
    </xf>
    <xf numFmtId="0" fontId="16" fillId="6" borderId="12" xfId="0" applyFont="1" applyFill="1" applyBorder="1">
      <alignment vertical="center"/>
    </xf>
    <xf numFmtId="0" fontId="16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8" fillId="0" borderId="0" xfId="0" applyFont="1">
      <alignment vertical="center"/>
    </xf>
    <xf numFmtId="0" fontId="9" fillId="9" borderId="0" xfId="0" applyFont="1" applyFill="1">
      <alignment vertical="center"/>
    </xf>
    <xf numFmtId="166" fontId="0" fillId="0" borderId="0" xfId="0" applyNumberFormat="1">
      <alignment vertical="center"/>
    </xf>
    <xf numFmtId="0" fontId="0" fillId="12" borderId="0" xfId="0" applyFill="1">
      <alignment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5"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集成工具!$C$20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集成工具!$C$21:$C$40</c:f>
              <c:numCache>
                <c:formatCode>0.0</c:formatCode>
                <c:ptCount val="2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23.3</c:v>
                </c:pt>
                <c:pt idx="6">
                  <c:v>23.2</c:v>
                </c:pt>
                <c:pt idx="7">
                  <c:v>23.2</c:v>
                </c:pt>
                <c:pt idx="8">
                  <c:v>23.2</c:v>
                </c:pt>
                <c:pt idx="9">
                  <c:v>23.2</c:v>
                </c:pt>
                <c:pt idx="10">
                  <c:v>24</c:v>
                </c:pt>
                <c:pt idx="11">
                  <c:v>23.8</c:v>
                </c:pt>
                <c:pt idx="12">
                  <c:v>23.8</c:v>
                </c:pt>
                <c:pt idx="13">
                  <c:v>23.7</c:v>
                </c:pt>
                <c:pt idx="14">
                  <c:v>23.9</c:v>
                </c:pt>
                <c:pt idx="15">
                  <c:v>21.6</c:v>
                </c:pt>
                <c:pt idx="16">
                  <c:v>21.3</c:v>
                </c:pt>
                <c:pt idx="17">
                  <c:v>21.3</c:v>
                </c:pt>
                <c:pt idx="18">
                  <c:v>21.3</c:v>
                </c:pt>
                <c:pt idx="19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集成工具!$B$20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集成工具!$A$21:$A$40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集成工具!$B$21:$B$40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-105.1</c:v>
                </c:pt>
                <c:pt idx="6">
                  <c:v>-102.4</c:v>
                </c:pt>
                <c:pt idx="7">
                  <c:v>-101.5</c:v>
                </c:pt>
                <c:pt idx="8">
                  <c:v>-100.7</c:v>
                </c:pt>
                <c:pt idx="9">
                  <c:v>-100.9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</xdr:row>
          <xdr:rowOff>180975</xdr:rowOff>
        </xdr:from>
        <xdr:to>
          <xdr:col>5</xdr:col>
          <xdr:colOff>285750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4</xdr:row>
          <xdr:rowOff>180975</xdr:rowOff>
        </xdr:from>
        <xdr:to>
          <xdr:col>5</xdr:col>
          <xdr:colOff>285750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7</xdr:row>
          <xdr:rowOff>180975</xdr:rowOff>
        </xdr:from>
        <xdr:to>
          <xdr:col>5</xdr:col>
          <xdr:colOff>285750</xdr:colOff>
          <xdr:row>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10</xdr:row>
          <xdr:rowOff>152400</xdr:rowOff>
        </xdr:from>
        <xdr:to>
          <xdr:col>5</xdr:col>
          <xdr:colOff>276225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133350</xdr:colOff>
          <xdr:row>4</xdr:row>
          <xdr:rowOff>95250</xdr:rowOff>
        </xdr:from>
        <xdr:to>
          <xdr:col>16</xdr:col>
          <xdr:colOff>123825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15</xdr:row>
          <xdr:rowOff>161925</xdr:rowOff>
        </xdr:from>
        <xdr:to>
          <xdr:col>3</xdr:col>
          <xdr:colOff>428625</xdr:colOff>
          <xdr:row>17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681036</xdr:colOff>
      <xdr:row>20</xdr:row>
      <xdr:rowOff>9525</xdr:rowOff>
    </xdr:from>
    <xdr:to>
      <xdr:col>18</xdr:col>
      <xdr:colOff>123824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666750</xdr:colOff>
          <xdr:row>5</xdr:row>
          <xdr:rowOff>47625</xdr:rowOff>
        </xdr:from>
        <xdr:to>
          <xdr:col>18</xdr:col>
          <xdr:colOff>190500</xdr:colOff>
          <xdr:row>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</xdr:row>
          <xdr:rowOff>123825</xdr:rowOff>
        </xdr:from>
        <xdr:to>
          <xdr:col>5</xdr:col>
          <xdr:colOff>304800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5</xdr:row>
          <xdr:rowOff>161925</xdr:rowOff>
        </xdr:from>
        <xdr:to>
          <xdr:col>5</xdr:col>
          <xdr:colOff>314325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/>
    <tableColumn id="2" xr3:uid="{5439F5C0-F0B2-48FB-AB6B-FB86820C3444}" name="VALUE" dataDxfId="2"/>
    <tableColumn id="4" xr3:uid="{A2B1FA6A-B545-420E-A549-FC37C36A5448}" name="PI" dataDxfId="1">
      <calculatedColumnFormula>MID(Table1[[#This Row],[IP]],LEN(Table1[[#This Row],[IP]])-1,1)+45</calculatedColumnFormula>
    </tableColumn>
    <tableColumn id="5" xr3:uid="{13F536C0-4C92-4BCE-B560-261020941708}" name="Flag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W40"/>
  <sheetViews>
    <sheetView tabSelected="1" workbookViewId="0">
      <selection activeCell="K11" sqref="K11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20.125" bestFit="1" customWidth="1"/>
    <col min="14" max="14" width="11.5" customWidth="1"/>
    <col min="15" max="15" width="12.375" customWidth="1"/>
    <col min="16" max="16" width="11.875" bestFit="1" customWidth="1"/>
  </cols>
  <sheetData>
    <row r="1" spans="1:23" ht="25.5" x14ac:dyDescent="0.15">
      <c r="A1" s="33" t="s">
        <v>14</v>
      </c>
      <c r="B1" s="38" t="s">
        <v>126</v>
      </c>
      <c r="C1" s="32" t="s">
        <v>35</v>
      </c>
      <c r="D1" s="31">
        <f>(MID(B1,8,1)-1)*9+QUOTIENT(RIGHT(B1,2),10)</f>
        <v>57</v>
      </c>
      <c r="K1" s="59">
        <f ca="1">NOW()</f>
        <v>45596.420061342593</v>
      </c>
      <c r="R1">
        <f t="shared" ref="R1:R4" si="0">(MID(B1,8,1)-1)*9+QUOTIENT(RIGHT(B1,2),10)</f>
        <v>57</v>
      </c>
      <c r="S1" t="str">
        <f>VLOOKUP(--RIGHT(B1,1),{9,"A";8,"B";7,"C";6,"D"},2,0)</f>
        <v>D</v>
      </c>
    </row>
    <row r="2" spans="1:23" ht="15" x14ac:dyDescent="0.15">
      <c r="A2" s="57" t="str">
        <f>REPLACE($B$1,LEN($B$1),1,"7")</f>
        <v>10.238.7.37</v>
      </c>
      <c r="B2" s="57" t="str">
        <f>REPLACE($B$1,LEN($B$1),1,"7")</f>
        <v>10.238.7.37</v>
      </c>
      <c r="G2" s="22" t="s">
        <v>12</v>
      </c>
      <c r="H2" s="23" t="s">
        <v>15</v>
      </c>
      <c r="I2" s="24" t="s">
        <v>13</v>
      </c>
      <c r="M2" s="1" t="s">
        <v>7</v>
      </c>
      <c r="N2" s="27" t="s">
        <v>8</v>
      </c>
      <c r="O2" s="2" t="s">
        <v>9</v>
      </c>
      <c r="P2" s="3" t="s">
        <v>30</v>
      </c>
      <c r="R2">
        <f t="shared" si="0"/>
        <v>57</v>
      </c>
      <c r="S2" t="str">
        <f>VLOOKUP(--RIGHT(B2,1),{9,"A";8,"B";7,"C";6,"D"},2,0)</f>
        <v>C</v>
      </c>
    </row>
    <row r="3" spans="1:23" ht="15" x14ac:dyDescent="0.15">
      <c r="A3" s="57" t="str">
        <f>REPLACE($B$1,LEN($B$1),1,"8")</f>
        <v>10.238.7.38</v>
      </c>
      <c r="B3" s="57" t="str">
        <f>REPLACE($B$1,LEN($B$1),1,"8")</f>
        <v>10.238.7.38</v>
      </c>
      <c r="G3" s="39">
        <f>INT(ABS(MAX(D21:D24))-ABS(MIN(B21:B24)))</f>
        <v>298</v>
      </c>
      <c r="H3" s="25">
        <v>9</v>
      </c>
      <c r="I3" s="26">
        <f>G3*H3*1.4</f>
        <v>3754.7999999999997</v>
      </c>
      <c r="M3" s="43">
        <v>1350.9</v>
      </c>
      <c r="N3" s="36">
        <v>4</v>
      </c>
      <c r="O3" s="29">
        <f t="shared" ref="O3:O6" si="1">ABS(INT(M3*N3/1000))</f>
        <v>5</v>
      </c>
      <c r="P3" s="42">
        <f>SUM(O3:O6)/1000</f>
        <v>1.4E-2</v>
      </c>
      <c r="R3">
        <f t="shared" si="0"/>
        <v>57</v>
      </c>
      <c r="S3" t="str">
        <f>VLOOKUP(--RIGHT(B3,1),{9,"A";8,"B";7,"C";6,"D"},2,0)</f>
        <v>B</v>
      </c>
    </row>
    <row r="4" spans="1:23" ht="14.25" x14ac:dyDescent="0.15">
      <c r="A4" s="57" t="str">
        <f>REPLACE($B$1,LEN($B$1),1,"9")</f>
        <v>10.238.7.39</v>
      </c>
      <c r="B4" s="57" t="str">
        <f>REPLACE($B$1,LEN($B$1),1,"9")</f>
        <v>10.238.7.39</v>
      </c>
      <c r="M4" s="44">
        <v>1352.7</v>
      </c>
      <c r="N4" s="37">
        <v>0</v>
      </c>
      <c r="O4" s="29">
        <f t="shared" si="1"/>
        <v>0</v>
      </c>
      <c r="P4" s="30"/>
      <c r="R4">
        <f t="shared" si="0"/>
        <v>57</v>
      </c>
      <c r="S4" t="str">
        <f>VLOOKUP(--RIGHT(B4,1),{9,"A";8,"B";7,"C";6,"D"},2,0)</f>
        <v>A</v>
      </c>
    </row>
    <row r="5" spans="1:23" ht="15" x14ac:dyDescent="0.15">
      <c r="G5" s="22" t="s">
        <v>32</v>
      </c>
      <c r="H5" s="23" t="s">
        <v>8</v>
      </c>
      <c r="M5" s="43">
        <v>1351.9</v>
      </c>
      <c r="N5" s="36">
        <v>4</v>
      </c>
      <c r="O5" s="29">
        <f t="shared" si="1"/>
        <v>5</v>
      </c>
    </row>
    <row r="6" spans="1:23" ht="15" x14ac:dyDescent="0.15">
      <c r="A6" s="13" t="s">
        <v>0</v>
      </c>
      <c r="B6" s="14" t="s">
        <v>1</v>
      </c>
      <c r="C6" s="15" t="s">
        <v>19</v>
      </c>
      <c r="G6" s="39">
        <v>18031</v>
      </c>
      <c r="H6" s="25">
        <f>(G6-20000)/10</f>
        <v>-196.9</v>
      </c>
      <c r="M6" s="44">
        <v>1351.6</v>
      </c>
      <c r="N6" s="37">
        <v>3</v>
      </c>
      <c r="O6" s="29">
        <f t="shared" si="1"/>
        <v>4</v>
      </c>
    </row>
    <row r="7" spans="1:23" ht="15" x14ac:dyDescent="0.15">
      <c r="A7" s="16">
        <v>896</v>
      </c>
      <c r="B7" s="17" t="s">
        <v>6</v>
      </c>
      <c r="C7" s="18" t="s">
        <v>2</v>
      </c>
    </row>
    <row r="8" spans="1:23" ht="15" x14ac:dyDescent="0.15">
      <c r="A8" s="16">
        <v>897</v>
      </c>
      <c r="B8" s="17" t="s">
        <v>18</v>
      </c>
      <c r="C8" s="18" t="s">
        <v>3</v>
      </c>
      <c r="G8" s="22" t="s">
        <v>33</v>
      </c>
      <c r="H8" s="23" t="s">
        <v>34</v>
      </c>
      <c r="M8" s="22" t="s">
        <v>39</v>
      </c>
      <c r="N8" s="23">
        <v>36</v>
      </c>
      <c r="O8" s="23">
        <v>37</v>
      </c>
      <c r="P8" s="23">
        <v>907</v>
      </c>
      <c r="Q8" s="23">
        <v>770</v>
      </c>
    </row>
    <row r="9" spans="1:23" ht="15" x14ac:dyDescent="0.15">
      <c r="A9" s="16">
        <v>897</v>
      </c>
      <c r="B9" s="17">
        <v>3</v>
      </c>
      <c r="C9" s="18" t="s">
        <v>4</v>
      </c>
      <c r="G9" s="39">
        <v>384</v>
      </c>
      <c r="H9" s="25">
        <f>HEX2DEC(G9)</f>
        <v>900</v>
      </c>
      <c r="N9" s="40" t="s">
        <v>132</v>
      </c>
      <c r="O9" s="40" t="s">
        <v>133</v>
      </c>
      <c r="P9" s="40" t="s">
        <v>125</v>
      </c>
      <c r="Q9" s="40" t="s">
        <v>129</v>
      </c>
      <c r="R9">
        <f>CLEAN(N9)*1-CLEAN(O9)*1</f>
        <v>17</v>
      </c>
    </row>
    <row r="10" spans="1:23" ht="15" x14ac:dyDescent="0.15">
      <c r="A10" s="16">
        <v>908</v>
      </c>
      <c r="B10" s="17" t="s">
        <v>17</v>
      </c>
      <c r="C10" s="18" t="s">
        <v>5</v>
      </c>
      <c r="G10" s="23" t="s">
        <v>34</v>
      </c>
      <c r="H10" s="22" t="s">
        <v>33</v>
      </c>
      <c r="N10" s="40" t="s">
        <v>130</v>
      </c>
      <c r="O10" s="40" t="s">
        <v>131</v>
      </c>
      <c r="P10" s="40" t="s">
        <v>125</v>
      </c>
      <c r="Q10" s="40" t="s">
        <v>129</v>
      </c>
      <c r="R10">
        <f t="shared" ref="R10:R12" si="2">CLEAN(N10)*1-CLEAN(O10)*1</f>
        <v>17</v>
      </c>
    </row>
    <row r="11" spans="1:23" ht="15" x14ac:dyDescent="0.15">
      <c r="A11" s="19" t="s">
        <v>63</v>
      </c>
      <c r="B11" s="20"/>
      <c r="C11" s="21" t="s">
        <v>64</v>
      </c>
      <c r="G11" s="39">
        <v>1073</v>
      </c>
      <c r="H11" s="25" t="str">
        <f>DEC2HEX(G11)</f>
        <v>431</v>
      </c>
      <c r="N11" s="40" t="s">
        <v>128</v>
      </c>
      <c r="O11" s="40" t="s">
        <v>127</v>
      </c>
      <c r="P11" s="40" t="s">
        <v>125</v>
      </c>
      <c r="Q11" s="40" t="s">
        <v>129</v>
      </c>
      <c r="R11">
        <f t="shared" si="2"/>
        <v>8</v>
      </c>
    </row>
    <row r="12" spans="1:23" ht="15" x14ac:dyDescent="0.15">
      <c r="A12" s="19" t="s">
        <v>101</v>
      </c>
      <c r="B12" s="20"/>
      <c r="C12" s="21" t="s">
        <v>102</v>
      </c>
      <c r="N12" s="40" t="s">
        <v>128</v>
      </c>
      <c r="O12" s="40" t="s">
        <v>133</v>
      </c>
      <c r="P12" s="40" t="s">
        <v>125</v>
      </c>
      <c r="Q12" s="40" t="s">
        <v>129</v>
      </c>
      <c r="R12">
        <f t="shared" si="2"/>
        <v>15</v>
      </c>
    </row>
    <row r="13" spans="1:23" ht="15" x14ac:dyDescent="0.15">
      <c r="A13" s="19">
        <v>5</v>
      </c>
      <c r="B13" s="20"/>
      <c r="C13" s="21" t="s">
        <v>122</v>
      </c>
      <c r="L13" t="s">
        <v>103</v>
      </c>
    </row>
    <row r="14" spans="1:23" ht="15" x14ac:dyDescent="0.15">
      <c r="A14" s="19">
        <v>770</v>
      </c>
      <c r="B14" s="20" t="s">
        <v>124</v>
      </c>
      <c r="C14" s="21" t="s">
        <v>123</v>
      </c>
      <c r="V14" t="s">
        <v>106</v>
      </c>
      <c r="W14" t="s">
        <v>107</v>
      </c>
    </row>
    <row r="15" spans="1:23" x14ac:dyDescent="0.15">
      <c r="G15" s="35"/>
      <c r="U15" t="s">
        <v>104</v>
      </c>
      <c r="V15">
        <v>192</v>
      </c>
      <c r="W15">
        <v>38</v>
      </c>
    </row>
    <row r="16" spans="1:23" x14ac:dyDescent="0.15">
      <c r="E16" s="51" t="s">
        <v>59</v>
      </c>
      <c r="F16" s="52" t="s">
        <v>60</v>
      </c>
      <c r="G16" s="53" t="s">
        <v>61</v>
      </c>
      <c r="H16" s="54" t="s">
        <v>58</v>
      </c>
      <c r="U16" t="s">
        <v>105</v>
      </c>
      <c r="V16">
        <v>192</v>
      </c>
    </row>
    <row r="17" spans="1:23" ht="15" x14ac:dyDescent="0.15">
      <c r="A17" s="28" t="s">
        <v>16</v>
      </c>
      <c r="B17" s="25">
        <v>1</v>
      </c>
      <c r="E17" s="48" cm="1">
        <f t="array" ref="E17">MAX(IF(ABS(B21:B40)&gt;1,B21:B40))</f>
        <v>-100.7</v>
      </c>
      <c r="F17" s="49" cm="1">
        <f t="array" ref="F17">MIN(IF(ABS(B21:B40)&gt;1,B21:B40))</f>
        <v>-105.1</v>
      </c>
      <c r="G17" s="50" cm="1">
        <f t="array" ref="G17">MEDIAN(IF(ABS(B21:B40)&gt;1,B21:B40))</f>
        <v>-101.5</v>
      </c>
      <c r="H17" s="55" cm="1">
        <f t="array" ref="H17">_xlfn.STDEV.P(IF(ABS(B21:B40)&gt;1,B21:B40))</f>
        <v>1.6029971927611071</v>
      </c>
      <c r="U17" t="s">
        <v>108</v>
      </c>
      <c r="V17">
        <v>64</v>
      </c>
    </row>
    <row r="18" spans="1:23" ht="14.25" x14ac:dyDescent="0.15">
      <c r="E18" s="58">
        <f>E17-F17</f>
        <v>4.3999999999999915</v>
      </c>
      <c r="U18" t="s">
        <v>109</v>
      </c>
      <c r="V18">
        <v>192</v>
      </c>
    </row>
    <row r="19" spans="1:23" x14ac:dyDescent="0.15">
      <c r="U19" s="60" t="s">
        <v>110</v>
      </c>
      <c r="V19" s="60" t="s">
        <v>111</v>
      </c>
    </row>
    <row r="20" spans="1:23" ht="15" x14ac:dyDescent="0.15">
      <c r="A20" s="1" t="s">
        <v>38</v>
      </c>
      <c r="B20" s="2" t="s">
        <v>11</v>
      </c>
      <c r="C20" s="2" t="s">
        <v>10</v>
      </c>
      <c r="D20" s="3" t="s">
        <v>31</v>
      </c>
      <c r="E20" s="3" t="s">
        <v>7</v>
      </c>
      <c r="F20" s="34" t="s">
        <v>36</v>
      </c>
      <c r="G20" s="34" t="s">
        <v>37</v>
      </c>
      <c r="U20" t="s">
        <v>112</v>
      </c>
      <c r="V20">
        <v>192</v>
      </c>
    </row>
    <row r="21" spans="1:23" ht="14.25" x14ac:dyDescent="0.15">
      <c r="A21" s="4" t="s">
        <v>20</v>
      </c>
      <c r="B21" s="5">
        <v>0</v>
      </c>
      <c r="C21" s="5">
        <v>23</v>
      </c>
      <c r="D21" s="45">
        <v>-298.8</v>
      </c>
      <c r="E21" s="45">
        <v>1362.7</v>
      </c>
      <c r="F21" s="6">
        <v>24</v>
      </c>
      <c r="G21" s="6">
        <f>INT(E21*B21/1000)</f>
        <v>0</v>
      </c>
      <c r="U21" t="s">
        <v>113</v>
      </c>
      <c r="V21">
        <v>192</v>
      </c>
    </row>
    <row r="22" spans="1:23" ht="14.25" x14ac:dyDescent="0.15">
      <c r="A22" s="7" t="s">
        <v>21</v>
      </c>
      <c r="B22" s="8">
        <v>0</v>
      </c>
      <c r="C22" s="8">
        <v>23</v>
      </c>
      <c r="D22" s="46">
        <v>-298.5</v>
      </c>
      <c r="E22" s="46">
        <v>1364.2</v>
      </c>
      <c r="F22" s="9">
        <v>23</v>
      </c>
      <c r="G22" s="6">
        <f t="shared" ref="G22:G40" si="3">INT(E22*B22/1000)</f>
        <v>0</v>
      </c>
      <c r="U22" t="s">
        <v>114</v>
      </c>
      <c r="V22">
        <v>192</v>
      </c>
      <c r="W22" t="s">
        <v>115</v>
      </c>
    </row>
    <row r="23" spans="1:23" ht="14.25" x14ac:dyDescent="0.15">
      <c r="A23" s="4" t="s">
        <v>22</v>
      </c>
      <c r="B23" s="5">
        <v>0</v>
      </c>
      <c r="C23" s="5">
        <v>23</v>
      </c>
      <c r="D23" s="45">
        <v>-299.10000000000002</v>
      </c>
      <c r="E23" s="45">
        <v>1361.4</v>
      </c>
      <c r="F23" s="6">
        <v>23</v>
      </c>
      <c r="G23" s="6">
        <f t="shared" si="3"/>
        <v>0</v>
      </c>
      <c r="U23" t="s">
        <v>116</v>
      </c>
      <c r="V23">
        <v>192</v>
      </c>
    </row>
    <row r="24" spans="1:23" ht="14.25" x14ac:dyDescent="0.15">
      <c r="A24" s="7" t="s">
        <v>23</v>
      </c>
      <c r="B24" s="8">
        <v>0</v>
      </c>
      <c r="C24" s="8">
        <v>23</v>
      </c>
      <c r="D24" s="46">
        <v>-299</v>
      </c>
      <c r="E24" s="46">
        <v>1362.2</v>
      </c>
      <c r="F24" s="9">
        <v>23</v>
      </c>
      <c r="G24" s="6">
        <f t="shared" si="3"/>
        <v>0</v>
      </c>
      <c r="U24" t="s">
        <v>117</v>
      </c>
      <c r="V24">
        <v>192</v>
      </c>
    </row>
    <row r="25" spans="1:23" ht="14.25" x14ac:dyDescent="0.15">
      <c r="A25" s="4" t="s">
        <v>24</v>
      </c>
      <c r="B25" s="5">
        <v>0</v>
      </c>
      <c r="C25" s="5">
        <v>23</v>
      </c>
      <c r="D25" s="45">
        <v>-298.60000000000002</v>
      </c>
      <c r="E25" s="45">
        <v>1363.8</v>
      </c>
      <c r="F25" s="6">
        <v>23</v>
      </c>
      <c r="G25" s="6">
        <f t="shared" si="3"/>
        <v>0</v>
      </c>
    </row>
    <row r="26" spans="1:23" ht="14.25" x14ac:dyDescent="0.15">
      <c r="A26" s="7" t="s">
        <v>25</v>
      </c>
      <c r="B26" s="8">
        <v>-105.1</v>
      </c>
      <c r="C26" s="8">
        <v>23.3</v>
      </c>
      <c r="D26" s="46">
        <v>-294.10000000000002</v>
      </c>
      <c r="E26" s="46">
        <v>1384.5</v>
      </c>
      <c r="F26" s="9">
        <v>24</v>
      </c>
      <c r="G26" s="6">
        <f t="shared" si="3"/>
        <v>-146</v>
      </c>
    </row>
    <row r="27" spans="1:23" ht="14.25" x14ac:dyDescent="0.15">
      <c r="A27" s="4" t="s">
        <v>26</v>
      </c>
      <c r="B27" s="5">
        <v>-102.4</v>
      </c>
      <c r="C27" s="5">
        <v>23.2</v>
      </c>
      <c r="D27" s="45">
        <v>-294.10000000000002</v>
      </c>
      <c r="E27" s="45">
        <v>1384.5</v>
      </c>
      <c r="F27" s="6">
        <v>24</v>
      </c>
      <c r="G27" s="6">
        <f t="shared" si="3"/>
        <v>-142</v>
      </c>
    </row>
    <row r="28" spans="1:23" ht="14.25" x14ac:dyDescent="0.15">
      <c r="A28" s="7" t="s">
        <v>27</v>
      </c>
      <c r="B28" s="8">
        <v>-101.5</v>
      </c>
      <c r="C28" s="8">
        <v>23.2</v>
      </c>
      <c r="D28" s="46">
        <v>-294.2</v>
      </c>
      <c r="E28" s="46">
        <v>1384.2</v>
      </c>
      <c r="F28" s="9">
        <v>23</v>
      </c>
      <c r="G28" s="6">
        <f t="shared" si="3"/>
        <v>-141</v>
      </c>
    </row>
    <row r="29" spans="1:23" ht="14.25" x14ac:dyDescent="0.15">
      <c r="A29" s="4" t="s">
        <v>28</v>
      </c>
      <c r="B29" s="5">
        <v>-100.7</v>
      </c>
      <c r="C29" s="5">
        <v>23.2</v>
      </c>
      <c r="D29" s="45">
        <v>-294.2</v>
      </c>
      <c r="E29" s="45">
        <v>1384.4</v>
      </c>
      <c r="F29" s="6">
        <v>24</v>
      </c>
      <c r="G29" s="6">
        <f t="shared" si="3"/>
        <v>-140</v>
      </c>
    </row>
    <row r="30" spans="1:23" ht="14.25" x14ac:dyDescent="0.15">
      <c r="A30" s="10" t="s">
        <v>29</v>
      </c>
      <c r="B30" s="11">
        <v>-100.9</v>
      </c>
      <c r="C30" s="11">
        <v>23.2</v>
      </c>
      <c r="D30" s="47">
        <v>-294.2</v>
      </c>
      <c r="E30" s="47">
        <v>1384.1</v>
      </c>
      <c r="F30" s="12">
        <v>23</v>
      </c>
      <c r="G30" s="6">
        <f t="shared" si="3"/>
        <v>-140</v>
      </c>
    </row>
    <row r="31" spans="1:23" ht="14.25" x14ac:dyDescent="0.15">
      <c r="A31" s="4" t="s">
        <v>43</v>
      </c>
      <c r="B31" s="5">
        <v>0</v>
      </c>
      <c r="C31" s="5">
        <v>24</v>
      </c>
      <c r="D31" s="45">
        <v>-297.89999999999998</v>
      </c>
      <c r="E31" s="45">
        <v>1367</v>
      </c>
      <c r="F31" s="6">
        <v>24</v>
      </c>
      <c r="G31" s="6">
        <f t="shared" si="3"/>
        <v>0</v>
      </c>
    </row>
    <row r="32" spans="1:23" ht="14.25" x14ac:dyDescent="0.15">
      <c r="A32" s="10" t="s">
        <v>44</v>
      </c>
      <c r="B32" s="11">
        <v>0</v>
      </c>
      <c r="C32" s="11">
        <v>23.8</v>
      </c>
      <c r="D32" s="47">
        <v>-297.89999999999998</v>
      </c>
      <c r="E32" s="47">
        <v>1367</v>
      </c>
      <c r="F32" s="12">
        <v>23</v>
      </c>
      <c r="G32" s="6">
        <f t="shared" si="3"/>
        <v>0</v>
      </c>
    </row>
    <row r="33" spans="1:7" ht="14.25" x14ac:dyDescent="0.15">
      <c r="A33" s="4" t="s">
        <v>45</v>
      </c>
      <c r="B33" s="5">
        <v>0</v>
      </c>
      <c r="C33" s="5">
        <v>23.8</v>
      </c>
      <c r="D33" s="45">
        <v>-298.2</v>
      </c>
      <c r="E33" s="45">
        <v>1365.7</v>
      </c>
      <c r="F33" s="6">
        <v>23</v>
      </c>
      <c r="G33" s="6">
        <f t="shared" si="3"/>
        <v>0</v>
      </c>
    </row>
    <row r="34" spans="1:7" ht="14.25" x14ac:dyDescent="0.15">
      <c r="A34" s="10" t="s">
        <v>46</v>
      </c>
      <c r="B34" s="11">
        <v>0</v>
      </c>
      <c r="C34" s="11">
        <v>23.7</v>
      </c>
      <c r="D34" s="47">
        <v>-298</v>
      </c>
      <c r="E34" s="47">
        <v>1366.6</v>
      </c>
      <c r="F34" s="12">
        <v>23</v>
      </c>
      <c r="G34" s="6">
        <f t="shared" si="3"/>
        <v>0</v>
      </c>
    </row>
    <row r="35" spans="1:7" ht="14.25" x14ac:dyDescent="0.15">
      <c r="A35" s="4" t="s">
        <v>47</v>
      </c>
      <c r="B35" s="5">
        <v>0</v>
      </c>
      <c r="C35" s="5">
        <v>23.9</v>
      </c>
      <c r="D35" s="45">
        <v>-298.2</v>
      </c>
      <c r="E35" s="45">
        <v>1365.7</v>
      </c>
      <c r="F35" s="6">
        <v>23</v>
      </c>
      <c r="G35" s="6">
        <f t="shared" si="3"/>
        <v>0</v>
      </c>
    </row>
    <row r="36" spans="1:7" ht="14.25" x14ac:dyDescent="0.15">
      <c r="A36" s="10" t="s">
        <v>48</v>
      </c>
      <c r="B36" s="11">
        <v>0</v>
      </c>
      <c r="C36" s="11">
        <v>21.6</v>
      </c>
      <c r="D36" s="47">
        <v>-301.10000000000002</v>
      </c>
      <c r="E36" s="47">
        <v>1352.6</v>
      </c>
      <c r="F36" s="12">
        <v>24</v>
      </c>
      <c r="G36" s="6">
        <f t="shared" si="3"/>
        <v>0</v>
      </c>
    </row>
    <row r="37" spans="1:7" ht="14.25" x14ac:dyDescent="0.15">
      <c r="A37" s="4" t="s">
        <v>49</v>
      </c>
      <c r="B37" s="5">
        <v>0</v>
      </c>
      <c r="C37" s="5">
        <v>21.3</v>
      </c>
      <c r="D37" s="45">
        <v>-301.39999999999998</v>
      </c>
      <c r="E37" s="45">
        <v>1351</v>
      </c>
      <c r="F37" s="6">
        <v>23</v>
      </c>
      <c r="G37" s="6">
        <f t="shared" si="3"/>
        <v>0</v>
      </c>
    </row>
    <row r="38" spans="1:7" ht="14.25" x14ac:dyDescent="0.15">
      <c r="A38" s="10" t="s">
        <v>50</v>
      </c>
      <c r="B38" s="11">
        <v>0</v>
      </c>
      <c r="C38" s="11">
        <v>21.3</v>
      </c>
      <c r="D38" s="47">
        <v>-301.39999999999998</v>
      </c>
      <c r="E38" s="47">
        <v>1351.2</v>
      </c>
      <c r="F38" s="12">
        <v>23</v>
      </c>
      <c r="G38" s="6">
        <f t="shared" si="3"/>
        <v>0</v>
      </c>
    </row>
    <row r="39" spans="1:7" ht="14.25" x14ac:dyDescent="0.15">
      <c r="A39" s="4" t="s">
        <v>51</v>
      </c>
      <c r="B39" s="5">
        <v>0</v>
      </c>
      <c r="C39" s="5">
        <v>21.3</v>
      </c>
      <c r="D39" s="45">
        <v>-301.39999999999998</v>
      </c>
      <c r="E39" s="45">
        <v>1351.2</v>
      </c>
      <c r="F39" s="6">
        <v>23</v>
      </c>
      <c r="G39" s="6">
        <f t="shared" si="3"/>
        <v>0</v>
      </c>
    </row>
    <row r="40" spans="1:7" ht="14.25" x14ac:dyDescent="0.15">
      <c r="A40" s="10" t="s">
        <v>52</v>
      </c>
      <c r="B40" s="11">
        <v>0</v>
      </c>
      <c r="C40" s="11">
        <v>21.2</v>
      </c>
      <c r="D40" s="47">
        <v>-301.39999999999998</v>
      </c>
      <c r="E40" s="47">
        <v>1351.1</v>
      </c>
      <c r="F40" s="12">
        <v>23</v>
      </c>
      <c r="G40" s="6">
        <f t="shared" si="3"/>
        <v>0</v>
      </c>
    </row>
  </sheetData>
  <phoneticPr fontId="1" type="noConversion"/>
  <conditionalFormatting sqref="B21:B40">
    <cfRule type="expression" dxfId="4" priority="1">
      <formula>AND(ABS(B21)&gt;100,ABS(B21)&gt;ABS(D21*0.9))</formula>
    </cfRule>
    <cfRule type="expression" dxfId="3" priority="2">
      <formula>AND(ABS(B21)&gt;100,ABS(B21)&gt;ABS(D21*0.8))</formula>
    </cfRule>
  </conditionalFormatting>
  <dataValidations count="2">
    <dataValidation type="list" allowBlank="1" showInputMessage="1" showErrorMessage="1" sqref="B17" xr:uid="{B46CE7A3-2D48-4A34-A2C5-671E725EC878}">
      <formula1>"0,1"</formula1>
    </dataValidation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76200</xdr:colOff>
                    <xdr:row>1</xdr:row>
                    <xdr:rowOff>180975</xdr:rowOff>
                  </from>
                  <to>
                    <xdr:col>5</xdr:col>
                    <xdr:colOff>285750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76200</xdr:colOff>
                    <xdr:row>4</xdr:row>
                    <xdr:rowOff>180975</xdr:rowOff>
                  </from>
                  <to>
                    <xdr:col>5</xdr:col>
                    <xdr:colOff>285750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76200</xdr:colOff>
                    <xdr:row>7</xdr:row>
                    <xdr:rowOff>180975</xdr:rowOff>
                  </from>
                  <to>
                    <xdr:col>5</xdr:col>
                    <xdr:colOff>285750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66675</xdr:colOff>
                    <xdr:row>10</xdr:row>
                    <xdr:rowOff>152400</xdr:rowOff>
                  </from>
                  <to>
                    <xdr:col>5</xdr:col>
                    <xdr:colOff>276225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133350</xdr:colOff>
                    <xdr:row>4</xdr:row>
                    <xdr:rowOff>95250</xdr:rowOff>
                  </from>
                  <to>
                    <xdr:col>16</xdr:col>
                    <xdr:colOff>123825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15</xdr:row>
                    <xdr:rowOff>161925</xdr:rowOff>
                  </from>
                  <to>
                    <xdr:col>3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16</xdr:col>
                    <xdr:colOff>666750</xdr:colOff>
                    <xdr:row>5</xdr:row>
                    <xdr:rowOff>47625</xdr:rowOff>
                  </from>
                  <to>
                    <xdr:col>18</xdr:col>
                    <xdr:colOff>190500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K37"/>
  <sheetViews>
    <sheetView workbookViewId="0">
      <pane ySplit="1" topLeftCell="A2" activePane="bottomLeft" state="frozen"/>
      <selection pane="bottomLeft" activeCell="H2" sqref="H2"/>
    </sheetView>
  </sheetViews>
  <sheetFormatPr defaultRowHeight="13.5" x14ac:dyDescent="0.15"/>
  <cols>
    <col min="1" max="1" width="13.5" customWidth="1"/>
    <col min="2" max="2" width="18" customWidth="1"/>
    <col min="9" max="9" width="13.625" bestFit="1" customWidth="1"/>
  </cols>
  <sheetData>
    <row r="1" spans="1:11" x14ac:dyDescent="0.15">
      <c r="A1" t="s">
        <v>40</v>
      </c>
      <c r="B1" t="s">
        <v>42</v>
      </c>
      <c r="C1" t="s">
        <v>41</v>
      </c>
      <c r="D1" t="s">
        <v>57</v>
      </c>
      <c r="G1" t="s">
        <v>62</v>
      </c>
      <c r="H1" s="56">
        <v>903</v>
      </c>
    </row>
    <row r="2" spans="1:11" x14ac:dyDescent="0.15">
      <c r="A2" t="s">
        <v>65</v>
      </c>
      <c r="B2" s="41">
        <v>7</v>
      </c>
      <c r="C2">
        <f>MID(Table1[[#This Row],[IP]],LEN(Table1[[#This Row],[IP]])-1,1)+45</f>
        <v>46</v>
      </c>
      <c r="D2" t="s">
        <v>53</v>
      </c>
    </row>
    <row r="3" spans="1:11" x14ac:dyDescent="0.15">
      <c r="A3" t="s">
        <v>66</v>
      </c>
      <c r="B3" s="41">
        <v>7</v>
      </c>
      <c r="C3">
        <f>MID(Table1[[#This Row],[IP]],LEN(Table1[[#This Row],[IP]])-1,1)+45</f>
        <v>46</v>
      </c>
      <c r="D3" t="s">
        <v>54</v>
      </c>
    </row>
    <row r="4" spans="1:11" x14ac:dyDescent="0.15">
      <c r="A4" t="s">
        <v>67</v>
      </c>
      <c r="B4" s="41">
        <v>7</v>
      </c>
      <c r="C4">
        <f>MID(Table1[[#This Row],[IP]],LEN(Table1[[#This Row],[IP]])-1,1)+45</f>
        <v>46</v>
      </c>
      <c r="D4" t="s">
        <v>55</v>
      </c>
    </row>
    <row r="5" spans="1:11" x14ac:dyDescent="0.15">
      <c r="A5" t="s">
        <v>68</v>
      </c>
      <c r="B5" s="41">
        <v>7</v>
      </c>
      <c r="C5">
        <f>MID(Table1[[#This Row],[IP]],LEN(Table1[[#This Row],[IP]])-1,1)+45</f>
        <v>46</v>
      </c>
      <c r="D5" t="s">
        <v>56</v>
      </c>
    </row>
    <row r="6" spans="1:11" x14ac:dyDescent="0.15">
      <c r="A6" t="s">
        <v>69</v>
      </c>
      <c r="B6" s="41">
        <v>7</v>
      </c>
      <c r="C6">
        <f>MID(Table1[[#This Row],[IP]],LEN(Table1[[#This Row],[IP]])-1,1)+45</f>
        <v>47</v>
      </c>
      <c r="D6" t="s">
        <v>53</v>
      </c>
    </row>
    <row r="7" spans="1:11" x14ac:dyDescent="0.15">
      <c r="A7" t="s">
        <v>70</v>
      </c>
      <c r="B7" s="41">
        <v>7</v>
      </c>
      <c r="C7">
        <f>MID(Table1[[#This Row],[IP]],LEN(Table1[[#This Row],[IP]])-1,1)+45</f>
        <v>47</v>
      </c>
      <c r="D7" t="s">
        <v>54</v>
      </c>
    </row>
    <row r="8" spans="1:11" x14ac:dyDescent="0.15">
      <c r="A8" t="s">
        <v>71</v>
      </c>
      <c r="B8" s="41">
        <v>7</v>
      </c>
      <c r="C8">
        <f>MID(Table1[[#This Row],[IP]],LEN(Table1[[#This Row],[IP]])-1,1)+45</f>
        <v>47</v>
      </c>
      <c r="D8" t="s">
        <v>55</v>
      </c>
    </row>
    <row r="9" spans="1:11" x14ac:dyDescent="0.15">
      <c r="A9" t="s">
        <v>72</v>
      </c>
      <c r="B9" s="41">
        <v>7</v>
      </c>
      <c r="C9">
        <f>MID(Table1[[#This Row],[IP]],LEN(Table1[[#This Row],[IP]])-1,1)+45</f>
        <v>47</v>
      </c>
      <c r="D9" t="s">
        <v>56</v>
      </c>
    </row>
    <row r="10" spans="1:11" x14ac:dyDescent="0.15">
      <c r="A10" t="s">
        <v>73</v>
      </c>
      <c r="B10" s="41">
        <v>8</v>
      </c>
      <c r="C10">
        <f>MID(Table1[[#This Row],[IP]],LEN(Table1[[#This Row],[IP]])-1,1)+45</f>
        <v>48</v>
      </c>
      <c r="D10" t="s">
        <v>53</v>
      </c>
      <c r="H10" t="s">
        <v>121</v>
      </c>
      <c r="K10" t="s">
        <v>120</v>
      </c>
    </row>
    <row r="11" spans="1:11" x14ac:dyDescent="0.15">
      <c r="A11" t="s">
        <v>74</v>
      </c>
      <c r="B11" s="41">
        <v>8</v>
      </c>
      <c r="C11">
        <f>MID(Table1[[#This Row],[IP]],LEN(Table1[[#This Row],[IP]])-1,1)+45</f>
        <v>48</v>
      </c>
      <c r="D11" t="s">
        <v>54</v>
      </c>
      <c r="H11">
        <v>64</v>
      </c>
      <c r="I11" t="s">
        <v>118</v>
      </c>
    </row>
    <row r="12" spans="1:11" x14ac:dyDescent="0.15">
      <c r="A12" t="s">
        <v>75</v>
      </c>
      <c r="B12" s="41">
        <v>8</v>
      </c>
      <c r="C12">
        <f>MID(Table1[[#This Row],[IP]],LEN(Table1[[#This Row],[IP]])-1,1)+45</f>
        <v>48</v>
      </c>
      <c r="D12" t="s">
        <v>55</v>
      </c>
      <c r="H12">
        <v>192</v>
      </c>
      <c r="I12" t="s">
        <v>119</v>
      </c>
    </row>
    <row r="13" spans="1:11" x14ac:dyDescent="0.15">
      <c r="A13" t="s">
        <v>76</v>
      </c>
      <c r="B13" s="41">
        <v>8</v>
      </c>
      <c r="C13">
        <f>MID(Table1[[#This Row],[IP]],LEN(Table1[[#This Row],[IP]])-1,1)+45</f>
        <v>48</v>
      </c>
      <c r="D13" t="s">
        <v>56</v>
      </c>
    </row>
    <row r="14" spans="1:11" x14ac:dyDescent="0.15">
      <c r="A14" t="s">
        <v>77</v>
      </c>
      <c r="B14" s="41">
        <v>1</v>
      </c>
      <c r="C14">
        <f>MID(Table1[[#This Row],[IP]],LEN(Table1[[#This Row],[IP]])-1,1)+45</f>
        <v>49</v>
      </c>
      <c r="D14" t="s">
        <v>53</v>
      </c>
    </row>
    <row r="15" spans="1:11" x14ac:dyDescent="0.15">
      <c r="A15" t="s">
        <v>78</v>
      </c>
      <c r="B15" s="41">
        <v>1</v>
      </c>
      <c r="C15">
        <f>MID(Table1[[#This Row],[IP]],LEN(Table1[[#This Row],[IP]])-1,1)+45</f>
        <v>49</v>
      </c>
      <c r="D15" t="s">
        <v>54</v>
      </c>
    </row>
    <row r="16" spans="1:11" x14ac:dyDescent="0.15">
      <c r="A16" t="s">
        <v>79</v>
      </c>
      <c r="B16" s="41">
        <v>1</v>
      </c>
      <c r="C16">
        <f>MID(Table1[[#This Row],[IP]],LEN(Table1[[#This Row],[IP]])-1,1)+45</f>
        <v>49</v>
      </c>
      <c r="D16" t="s">
        <v>55</v>
      </c>
    </row>
    <row r="17" spans="1:4" x14ac:dyDescent="0.15">
      <c r="A17" t="s">
        <v>80</v>
      </c>
      <c r="B17" s="41">
        <v>1</v>
      </c>
      <c r="C17">
        <f>MID(Table1[[#This Row],[IP]],LEN(Table1[[#This Row],[IP]])-1,1)+45</f>
        <v>49</v>
      </c>
      <c r="D17" t="s">
        <v>56</v>
      </c>
    </row>
    <row r="18" spans="1:4" x14ac:dyDescent="0.15">
      <c r="A18" t="s">
        <v>81</v>
      </c>
      <c r="B18" s="41">
        <v>7</v>
      </c>
      <c r="C18">
        <f>MID(Table1[[#This Row],[IP]],LEN(Table1[[#This Row],[IP]])-1,1)+45</f>
        <v>50</v>
      </c>
      <c r="D18" t="s">
        <v>53</v>
      </c>
    </row>
    <row r="19" spans="1:4" x14ac:dyDescent="0.15">
      <c r="A19" t="s">
        <v>82</v>
      </c>
      <c r="B19" s="41">
        <v>7</v>
      </c>
      <c r="C19">
        <f>MID(Table1[[#This Row],[IP]],LEN(Table1[[#This Row],[IP]])-1,1)+45</f>
        <v>50</v>
      </c>
      <c r="D19" t="s">
        <v>54</v>
      </c>
    </row>
    <row r="20" spans="1:4" x14ac:dyDescent="0.15">
      <c r="A20" t="s">
        <v>83</v>
      </c>
      <c r="B20" s="41">
        <v>7</v>
      </c>
      <c r="C20">
        <f>MID(Table1[[#This Row],[IP]],LEN(Table1[[#This Row],[IP]])-1,1)+45</f>
        <v>50</v>
      </c>
      <c r="D20" t="s">
        <v>55</v>
      </c>
    </row>
    <row r="21" spans="1:4" x14ac:dyDescent="0.15">
      <c r="A21" t="s">
        <v>84</v>
      </c>
      <c r="B21" s="41">
        <v>7</v>
      </c>
      <c r="C21">
        <f>MID(Table1[[#This Row],[IP]],LEN(Table1[[#This Row],[IP]])-1,1)+45</f>
        <v>50</v>
      </c>
      <c r="D21" t="s">
        <v>56</v>
      </c>
    </row>
    <row r="22" spans="1:4" x14ac:dyDescent="0.15">
      <c r="A22" t="s">
        <v>85</v>
      </c>
      <c r="B22" s="41">
        <v>7</v>
      </c>
      <c r="C22">
        <f>MID(Table1[[#This Row],[IP]],LEN(Table1[[#This Row],[IP]])-1,1)+45</f>
        <v>51</v>
      </c>
      <c r="D22" t="s">
        <v>53</v>
      </c>
    </row>
    <row r="23" spans="1:4" x14ac:dyDescent="0.15">
      <c r="A23" t="s">
        <v>86</v>
      </c>
      <c r="B23" s="41">
        <v>7</v>
      </c>
      <c r="C23">
        <f>MID(Table1[[#This Row],[IP]],LEN(Table1[[#This Row],[IP]])-1,1)+45</f>
        <v>51</v>
      </c>
      <c r="D23" t="s">
        <v>54</v>
      </c>
    </row>
    <row r="24" spans="1:4" x14ac:dyDescent="0.15">
      <c r="A24" t="s">
        <v>87</v>
      </c>
      <c r="B24" s="41">
        <v>7</v>
      </c>
      <c r="C24">
        <f>MID(Table1[[#This Row],[IP]],LEN(Table1[[#This Row],[IP]])-1,1)+45</f>
        <v>51</v>
      </c>
      <c r="D24" t="s">
        <v>55</v>
      </c>
    </row>
    <row r="25" spans="1:4" x14ac:dyDescent="0.15">
      <c r="A25" t="s">
        <v>88</v>
      </c>
      <c r="B25" s="41">
        <v>7</v>
      </c>
      <c r="C25">
        <f>MID(Table1[[#This Row],[IP]],LEN(Table1[[#This Row],[IP]])-1,1)+45</f>
        <v>51</v>
      </c>
      <c r="D25" t="s">
        <v>56</v>
      </c>
    </row>
    <row r="26" spans="1:4" x14ac:dyDescent="0.15">
      <c r="A26" t="s">
        <v>89</v>
      </c>
      <c r="B26" s="41">
        <v>8</v>
      </c>
      <c r="C26">
        <f>MID(Table1[[#This Row],[IP]],LEN(Table1[[#This Row],[IP]])-1,1)+45</f>
        <v>52</v>
      </c>
      <c r="D26" t="s">
        <v>53</v>
      </c>
    </row>
    <row r="27" spans="1:4" x14ac:dyDescent="0.15">
      <c r="A27" t="s">
        <v>90</v>
      </c>
      <c r="B27" s="41">
        <v>8</v>
      </c>
      <c r="C27">
        <f>MID(Table1[[#This Row],[IP]],LEN(Table1[[#This Row],[IP]])-1,1)+45</f>
        <v>52</v>
      </c>
      <c r="D27" t="s">
        <v>54</v>
      </c>
    </row>
    <row r="28" spans="1:4" x14ac:dyDescent="0.15">
      <c r="A28" t="s">
        <v>91</v>
      </c>
      <c r="B28" s="41">
        <v>8</v>
      </c>
      <c r="C28">
        <f>MID(Table1[[#This Row],[IP]],LEN(Table1[[#This Row],[IP]])-1,1)+45</f>
        <v>52</v>
      </c>
      <c r="D28" t="s">
        <v>55</v>
      </c>
    </row>
    <row r="29" spans="1:4" x14ac:dyDescent="0.15">
      <c r="A29" t="s">
        <v>92</v>
      </c>
      <c r="B29" s="41">
        <v>8</v>
      </c>
      <c r="C29">
        <f>MID(Table1[[#This Row],[IP]],LEN(Table1[[#This Row],[IP]])-1,1)+45</f>
        <v>52</v>
      </c>
      <c r="D29" t="s">
        <v>56</v>
      </c>
    </row>
    <row r="30" spans="1:4" x14ac:dyDescent="0.15">
      <c r="A30" t="s">
        <v>93</v>
      </c>
      <c r="B30" s="41">
        <v>7</v>
      </c>
      <c r="C30">
        <f>MID(Table1[[#This Row],[IP]],LEN(Table1[[#This Row],[IP]])-1,1)+45</f>
        <v>53</v>
      </c>
      <c r="D30" t="s">
        <v>53</v>
      </c>
    </row>
    <row r="31" spans="1:4" x14ac:dyDescent="0.15">
      <c r="A31" t="s">
        <v>94</v>
      </c>
      <c r="B31" s="41">
        <v>7</v>
      </c>
      <c r="C31">
        <f>MID(Table1[[#This Row],[IP]],LEN(Table1[[#This Row],[IP]])-1,1)+45</f>
        <v>53</v>
      </c>
      <c r="D31" t="s">
        <v>54</v>
      </c>
    </row>
    <row r="32" spans="1:4" x14ac:dyDescent="0.15">
      <c r="A32" t="s">
        <v>95</v>
      </c>
      <c r="B32" s="41">
        <v>7</v>
      </c>
      <c r="C32">
        <f>MID(Table1[[#This Row],[IP]],LEN(Table1[[#This Row],[IP]])-1,1)+45</f>
        <v>53</v>
      </c>
      <c r="D32" t="s">
        <v>55</v>
      </c>
    </row>
    <row r="33" spans="1:4" x14ac:dyDescent="0.15">
      <c r="A33" t="s">
        <v>96</v>
      </c>
      <c r="B33" s="41">
        <v>7</v>
      </c>
      <c r="C33">
        <f>MID(Table1[[#This Row],[IP]],LEN(Table1[[#This Row],[IP]])-1,1)+45</f>
        <v>53</v>
      </c>
      <c r="D33" t="s">
        <v>56</v>
      </c>
    </row>
    <row r="34" spans="1:4" x14ac:dyDescent="0.15">
      <c r="A34" t="s">
        <v>97</v>
      </c>
      <c r="B34" s="41">
        <v>7</v>
      </c>
      <c r="C34">
        <f>MID(Table1[[#This Row],[IP]],LEN(Table1[[#This Row],[IP]])-1,1)+45</f>
        <v>54</v>
      </c>
      <c r="D34" t="s">
        <v>53</v>
      </c>
    </row>
    <row r="35" spans="1:4" x14ac:dyDescent="0.15">
      <c r="A35" t="s">
        <v>98</v>
      </c>
      <c r="B35" s="41">
        <v>7</v>
      </c>
      <c r="C35">
        <f>MID(Table1[[#This Row],[IP]],LEN(Table1[[#This Row],[IP]])-1,1)+45</f>
        <v>54</v>
      </c>
      <c r="D35" t="s">
        <v>54</v>
      </c>
    </row>
    <row r="36" spans="1:4" x14ac:dyDescent="0.15">
      <c r="A36" t="s">
        <v>99</v>
      </c>
      <c r="B36" s="41">
        <v>7</v>
      </c>
      <c r="C36">
        <f>MID(Table1[[#This Row],[IP]],LEN(Table1[[#This Row],[IP]])-1,1)+45</f>
        <v>54</v>
      </c>
      <c r="D36" t="s">
        <v>55</v>
      </c>
    </row>
    <row r="37" spans="1:4" x14ac:dyDescent="0.15">
      <c r="A37" t="s">
        <v>100</v>
      </c>
      <c r="B37" s="41">
        <v>7</v>
      </c>
      <c r="C37">
        <f>MID(Table1[[#This Row],[IP]],LEN(Table1[[#This Row],[IP]])-1,1)+45</f>
        <v>54</v>
      </c>
      <c r="D37" t="s">
        <v>56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95250</xdr:colOff>
                    <xdr:row>1</xdr:row>
                    <xdr:rowOff>123825</xdr:rowOff>
                  </from>
                  <to>
                    <xdr:col>5</xdr:col>
                    <xdr:colOff>304800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104775</xdr:colOff>
                    <xdr:row>5</xdr:row>
                    <xdr:rowOff>161925</xdr:rowOff>
                  </from>
                  <to>
                    <xdr:col>5</xdr:col>
                    <xdr:colOff>314325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集成工具</vt:lpstr>
      <vt:lpstr>批量读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2024-10-31T09:16:24Z</dcterms:modified>
</cp:coreProperties>
</file>