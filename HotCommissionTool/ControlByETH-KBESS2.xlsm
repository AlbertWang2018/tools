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3.xml" ContentType="application/vnd.openxmlformats-officedocument.drawing+xml"/>
  <Override PartName="/xl/ctrlProps/ctrlProp29.xml" ContentType="application/vnd.ms-excel.controlproperties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ctrlProps/ctrlProp30.xml" ContentType="application/vnd.ms-excel.controlproperties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7429621F-D1C2-425A-92E8-EE1B9B9FCC6D}" xr6:coauthVersionLast="47" xr6:coauthVersionMax="47" xr10:uidLastSave="{00000000-0000-0000-0000-000000000000}"/>
  <bookViews>
    <workbookView xWindow="-120" yWindow="-120" windowWidth="29040" windowHeight="15720" activeTab="1" xr2:uid="{69402E6D-338B-4842-BCA5-C578EAE77A3E}"/>
  </bookViews>
  <sheets>
    <sheet name="Overview" sheetId="3" r:id="rId1"/>
    <sheet name="HotComm" sheetId="1" r:id="rId2"/>
    <sheet name="ReadETH" sheetId="2" r:id="rId3"/>
    <sheet name="CPG1" sheetId="8" r:id="rId4"/>
    <sheet name="CPG2" sheetId="10" r:id="rId5"/>
    <sheet name="CPG3" sheetId="11" r:id="rId6"/>
    <sheet name="CPG4" sheetId="9" r:id="rId7"/>
    <sheet name="CPG5" sheetId="12" r:id="rId8"/>
    <sheet name="CPG6" sheetId="13" r:id="rId9"/>
    <sheet name="CPG7" sheetId="14" r:id="rId10"/>
    <sheet name="CPG8" sheetId="15" r:id="rId11"/>
    <sheet name="ReadSOC" sheetId="5" r:id="rId12"/>
    <sheet name="ReadRegs" sheetId="6" r:id="rId13"/>
    <sheet name="ReadTest" sheetId="4" r:id="rId14"/>
    <sheet name="WriteReg" sheetId="7" r:id="rId15"/>
  </sheets>
  <functionGroups builtInGroupCount="19"/>
  <definedNames>
    <definedName name="_xlnm._FilterDatabase" localSheetId="12" hidden="1">ReadRegs!$A$1:$S$290</definedName>
    <definedName name="_xlnm._FilterDatabase" localSheetId="11" hidden="1">ReadSOC!$A$1:$S$290</definedName>
    <definedName name="_xleta.AND" hidden="1" xlm="1">#NAME?</definedName>
    <definedName name="_xleta.LEFT" hidden="1" xlm="1">#NAME?</definedName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" i="5" l="1" a="1"/>
  <c r="AJ2" i="5" s="1"/>
  <c r="H1" i="1"/>
  <c r="G1" i="1"/>
  <c r="B1" i="1" s="1"/>
  <c r="I31" i="11" a="1"/>
  <c r="I31" i="11" s="1"/>
  <c r="M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2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2" i="10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I35" i="12" a="1"/>
  <c r="I35" i="12" s="1"/>
  <c r="I2" i="15" a="1"/>
  <c r="I2" i="15" s="1"/>
  <c r="I3" i="15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2" i="14" a="1"/>
  <c r="I2" i="14" s="1"/>
  <c r="I3" i="14" a="1"/>
  <c r="I3" i="14" s="1"/>
  <c r="I4" i="14" a="1"/>
  <c r="I4" i="14" s="1"/>
  <c r="I5" i="14" a="1"/>
  <c r="I5" i="14" s="1"/>
  <c r="I6" i="14" a="1"/>
  <c r="I6" i="14" s="1"/>
  <c r="I7" i="14" a="1"/>
  <c r="I7" i="14" s="1"/>
  <c r="I8" i="14" a="1"/>
  <c r="I8" i="14" s="1"/>
  <c r="I9" i="14" a="1"/>
  <c r="I9" i="14" s="1"/>
  <c r="I10" i="14" a="1"/>
  <c r="I10" i="14" s="1"/>
  <c r="I11" i="14" a="1"/>
  <c r="I11" i="14" s="1"/>
  <c r="I12" i="14" a="1"/>
  <c r="I12" i="14" s="1"/>
  <c r="I13" i="14" a="1"/>
  <c r="I13" i="14" s="1"/>
  <c r="I14" i="14" a="1"/>
  <c r="I14" i="14" s="1"/>
  <c r="I15" i="14" a="1"/>
  <c r="I15" i="14" s="1"/>
  <c r="I16" i="14" a="1"/>
  <c r="I16" i="14" s="1"/>
  <c r="I17" i="14" a="1"/>
  <c r="I17" i="14" s="1"/>
  <c r="I18" i="14" a="1"/>
  <c r="I18" i="14" s="1"/>
  <c r="I19" i="14" a="1"/>
  <c r="I19" i="14" s="1"/>
  <c r="I20" i="14" a="1"/>
  <c r="I20" i="14" s="1"/>
  <c r="I21" i="14" a="1"/>
  <c r="I21" i="14" s="1"/>
  <c r="I22" i="14" a="1"/>
  <c r="I22" i="14" s="1"/>
  <c r="I23" i="14" a="1"/>
  <c r="I23" i="14" s="1"/>
  <c r="I24" i="14" a="1"/>
  <c r="I24" i="14" s="1"/>
  <c r="I25" i="14" a="1"/>
  <c r="I25" i="14" s="1"/>
  <c r="I26" i="14" a="1"/>
  <c r="I26" i="14" s="1"/>
  <c r="I27" i="14" a="1"/>
  <c r="I27" i="14" s="1"/>
  <c r="I28" i="14" a="1"/>
  <c r="I28" i="14" s="1"/>
  <c r="I29" i="14" a="1"/>
  <c r="I29" i="14" s="1"/>
  <c r="I30" i="14" a="1"/>
  <c r="I30" i="14" s="1"/>
  <c r="I31" i="14" a="1"/>
  <c r="I31" i="14" s="1"/>
  <c r="I32" i="14" a="1"/>
  <c r="I32" i="14" s="1"/>
  <c r="I33" i="14" a="1"/>
  <c r="I33" i="14" s="1"/>
  <c r="I34" i="14" a="1"/>
  <c r="I34" i="14" s="1"/>
  <c r="I35" i="14" a="1"/>
  <c r="I35" i="14" s="1"/>
  <c r="I36" i="14" a="1"/>
  <c r="I36" i="14" s="1"/>
  <c r="I37" i="14" a="1"/>
  <c r="I37" i="14" s="1"/>
  <c r="I2" i="12" a="1"/>
  <c r="I2" i="12" s="1"/>
  <c r="I3" i="12" a="1"/>
  <c r="I3" i="12" s="1"/>
  <c r="I4" i="12" a="1"/>
  <c r="I4" i="12" s="1"/>
  <c r="I5" i="12" a="1"/>
  <c r="I5" i="12" s="1"/>
  <c r="I6" i="12" a="1"/>
  <c r="I6" i="12" s="1"/>
  <c r="I7" i="12" a="1"/>
  <c r="I7" i="12" s="1"/>
  <c r="I8" i="12" a="1"/>
  <c r="I8" i="12" s="1"/>
  <c r="I9" i="12" a="1"/>
  <c r="I9" i="12" s="1"/>
  <c r="I10" i="12" a="1"/>
  <c r="I10" i="12" s="1"/>
  <c r="I11" i="12" a="1"/>
  <c r="I11" i="12" s="1"/>
  <c r="I12" i="12" a="1"/>
  <c r="I12" i="12" s="1"/>
  <c r="I13" i="12" a="1"/>
  <c r="I13" i="12" s="1"/>
  <c r="I14" i="12" a="1"/>
  <c r="I14" i="12" s="1"/>
  <c r="I15" i="12" a="1"/>
  <c r="I15" i="12" s="1"/>
  <c r="I16" i="12" a="1"/>
  <c r="I16" i="12" s="1"/>
  <c r="I17" i="12" a="1"/>
  <c r="I17" i="12" s="1"/>
  <c r="I18" i="12" a="1"/>
  <c r="I18" i="12" s="1"/>
  <c r="I19" i="12" a="1"/>
  <c r="I19" i="12" s="1"/>
  <c r="I20" i="12" a="1"/>
  <c r="I20" i="12" s="1"/>
  <c r="I21" i="12" a="1"/>
  <c r="I21" i="12" s="1"/>
  <c r="I22" i="12" a="1"/>
  <c r="I22" i="12" s="1"/>
  <c r="I23" i="12" a="1"/>
  <c r="I23" i="12" s="1"/>
  <c r="I24" i="12" a="1"/>
  <c r="I24" i="12" s="1"/>
  <c r="I25" i="12" a="1"/>
  <c r="I25" i="12" s="1"/>
  <c r="I26" i="12" a="1"/>
  <c r="I26" i="12" s="1"/>
  <c r="I27" i="12" a="1"/>
  <c r="I27" i="12" s="1"/>
  <c r="I28" i="12" a="1"/>
  <c r="I28" i="12" s="1"/>
  <c r="I29" i="12" a="1"/>
  <c r="I29" i="12" s="1"/>
  <c r="I30" i="12" a="1"/>
  <c r="I30" i="12" s="1"/>
  <c r="I31" i="12" a="1"/>
  <c r="I31" i="12" s="1"/>
  <c r="I32" i="12" a="1"/>
  <c r="I32" i="12" s="1"/>
  <c r="I33" i="12" a="1"/>
  <c r="I33" i="12" s="1"/>
  <c r="I34" i="12" a="1"/>
  <c r="I34" i="12" s="1"/>
  <c r="I36" i="12" a="1"/>
  <c r="I36" i="12" s="1"/>
  <c r="I37" i="12" a="1"/>
  <c r="I37" i="12" s="1"/>
  <c r="I2" i="9" a="1"/>
  <c r="I2" i="9" s="1"/>
  <c r="I3" i="9" a="1"/>
  <c r="I3" i="9" s="1"/>
  <c r="I4" i="9" a="1"/>
  <c r="I4" i="9" s="1"/>
  <c r="I5" i="9" a="1"/>
  <c r="I5" i="9" s="1"/>
  <c r="I6" i="9" a="1"/>
  <c r="I6" i="9" s="1"/>
  <c r="I7" i="9" a="1"/>
  <c r="I7" i="9" s="1"/>
  <c r="I8" i="9" a="1"/>
  <c r="I8" i="9" s="1"/>
  <c r="I9" i="9" a="1"/>
  <c r="I9" i="9" s="1"/>
  <c r="I10" i="9" a="1"/>
  <c r="I10" i="9" s="1"/>
  <c r="I11" i="9" a="1"/>
  <c r="I11" i="9" s="1"/>
  <c r="I12" i="9" a="1"/>
  <c r="I12" i="9" s="1"/>
  <c r="I13" i="9" a="1"/>
  <c r="I13" i="9" s="1"/>
  <c r="I14" i="9" a="1"/>
  <c r="I14" i="9" s="1"/>
  <c r="I15" i="9" a="1"/>
  <c r="I15" i="9" s="1"/>
  <c r="I16" i="9" a="1"/>
  <c r="I16" i="9" s="1"/>
  <c r="I17" i="9" a="1"/>
  <c r="I17" i="9" s="1"/>
  <c r="I18" i="9" a="1"/>
  <c r="I18" i="9" s="1"/>
  <c r="I19" i="9" a="1"/>
  <c r="I19" i="9" s="1"/>
  <c r="I20" i="9" a="1"/>
  <c r="I20" i="9" s="1"/>
  <c r="I21" i="9" a="1"/>
  <c r="I21" i="9" s="1"/>
  <c r="I22" i="9" a="1"/>
  <c r="I22" i="9" s="1"/>
  <c r="I23" i="9" a="1"/>
  <c r="I23" i="9" s="1"/>
  <c r="I24" i="9" a="1"/>
  <c r="I24" i="9" s="1"/>
  <c r="I25" i="9" a="1"/>
  <c r="I25" i="9" s="1"/>
  <c r="I26" i="9" a="1"/>
  <c r="I26" i="9" s="1"/>
  <c r="I27" i="9" a="1"/>
  <c r="I27" i="9" s="1"/>
  <c r="I28" i="9" a="1"/>
  <c r="I28" i="9" s="1"/>
  <c r="I29" i="9" a="1"/>
  <c r="I29" i="9" s="1"/>
  <c r="I30" i="9" a="1"/>
  <c r="I30" i="9" s="1"/>
  <c r="I31" i="9" a="1"/>
  <c r="I31" i="9" s="1"/>
  <c r="I32" i="9" a="1"/>
  <c r="I32" i="9" s="1"/>
  <c r="I33" i="9" a="1"/>
  <c r="I33" i="9" s="1"/>
  <c r="I34" i="9" a="1"/>
  <c r="I34" i="9" s="1"/>
  <c r="I35" i="9" a="1"/>
  <c r="I35" i="9" s="1"/>
  <c r="I36" i="9" a="1"/>
  <c r="I36" i="9" s="1"/>
  <c r="I37" i="9" a="1"/>
  <c r="I37" i="9" s="1"/>
  <c r="I2" i="11" a="1"/>
  <c r="I2" i="11" s="1"/>
  <c r="I3" i="11" a="1"/>
  <c r="I3" i="11" s="1"/>
  <c r="I4" i="11" a="1"/>
  <c r="I4" i="11" s="1"/>
  <c r="I5" i="11" a="1"/>
  <c r="I5" i="11" s="1"/>
  <c r="I6" i="11" a="1"/>
  <c r="I6" i="11" s="1"/>
  <c r="I7" i="11" a="1"/>
  <c r="I7" i="11" s="1"/>
  <c r="I8" i="11" a="1"/>
  <c r="I8" i="11" s="1"/>
  <c r="I9" i="11" a="1"/>
  <c r="I9" i="11" s="1"/>
  <c r="I10" i="11" a="1"/>
  <c r="I10" i="11" s="1"/>
  <c r="I11" i="11" a="1"/>
  <c r="I11" i="11" s="1"/>
  <c r="I12" i="11" a="1"/>
  <c r="I12" i="11" s="1"/>
  <c r="I13" i="11" a="1"/>
  <c r="I13" i="11" s="1"/>
  <c r="I14" i="11" a="1"/>
  <c r="I14" i="11" s="1"/>
  <c r="I15" i="11" a="1"/>
  <c r="I15" i="11" s="1"/>
  <c r="I16" i="11" a="1"/>
  <c r="I16" i="11" s="1"/>
  <c r="I17" i="11" a="1"/>
  <c r="I17" i="11" s="1"/>
  <c r="I18" i="11" a="1"/>
  <c r="I18" i="11" s="1"/>
  <c r="I19" i="11" a="1"/>
  <c r="I19" i="11" s="1"/>
  <c r="I20" i="11" a="1"/>
  <c r="I20" i="11" s="1"/>
  <c r="I21" i="11" a="1"/>
  <c r="I21" i="11" s="1"/>
  <c r="I22" i="11" a="1"/>
  <c r="I22" i="11" s="1"/>
  <c r="I23" i="11" a="1"/>
  <c r="I23" i="11" s="1"/>
  <c r="I24" i="11" a="1"/>
  <c r="I24" i="11" s="1"/>
  <c r="I25" i="11" a="1"/>
  <c r="I25" i="11" s="1"/>
  <c r="I26" i="11" a="1"/>
  <c r="I26" i="11" s="1"/>
  <c r="I27" i="11" a="1"/>
  <c r="I27" i="11" s="1"/>
  <c r="I28" i="11" a="1"/>
  <c r="I28" i="11" s="1"/>
  <c r="I29" i="11" a="1"/>
  <c r="I29" i="11" s="1"/>
  <c r="I30" i="11" a="1"/>
  <c r="I30" i="11" s="1"/>
  <c r="I32" i="11" a="1"/>
  <c r="I32" i="11" s="1"/>
  <c r="I33" i="11" a="1"/>
  <c r="I33" i="11" s="1"/>
  <c r="I34" i="11" a="1"/>
  <c r="I34" i="11" s="1"/>
  <c r="I35" i="11" a="1"/>
  <c r="I35" i="11" s="1"/>
  <c r="I36" i="11" a="1"/>
  <c r="I36" i="11" s="1"/>
  <c r="I37" i="11" a="1"/>
  <c r="I37" i="11" s="1"/>
  <c r="I2" i="10" a="1"/>
  <c r="I2" i="10" s="1"/>
  <c r="I3" i="10" a="1"/>
  <c r="I3" i="10" s="1"/>
  <c r="I4" i="10" a="1"/>
  <c r="I4" i="10" s="1"/>
  <c r="I5" i="10" a="1"/>
  <c r="I5" i="10" s="1"/>
  <c r="I6" i="10" a="1"/>
  <c r="I6" i="10" s="1"/>
  <c r="I7" i="10" a="1"/>
  <c r="I7" i="10" s="1"/>
  <c r="I8" i="10" a="1"/>
  <c r="I8" i="10" s="1"/>
  <c r="I9" i="10" a="1"/>
  <c r="I9" i="10" s="1"/>
  <c r="I10" i="10" a="1"/>
  <c r="I10" i="10" s="1"/>
  <c r="I11" i="10" a="1"/>
  <c r="I11" i="10" s="1"/>
  <c r="I12" i="10" a="1"/>
  <c r="I12" i="10" s="1"/>
  <c r="I13" i="10" a="1"/>
  <c r="I13" i="10" s="1"/>
  <c r="I14" i="10" a="1"/>
  <c r="I14" i="10" s="1"/>
  <c r="I15" i="10" a="1"/>
  <c r="I15" i="10" s="1"/>
  <c r="I16" i="10" a="1"/>
  <c r="I16" i="10" s="1"/>
  <c r="I17" i="10" a="1"/>
  <c r="I17" i="10" s="1"/>
  <c r="I18" i="10" a="1"/>
  <c r="I18" i="10" s="1"/>
  <c r="I19" i="10" a="1"/>
  <c r="I19" i="10" s="1"/>
  <c r="I20" i="10" a="1"/>
  <c r="I20" i="10" s="1"/>
  <c r="I21" i="10" a="1"/>
  <c r="I21" i="10" s="1"/>
  <c r="I22" i="10" a="1"/>
  <c r="I22" i="10" s="1"/>
  <c r="I23" i="10" a="1"/>
  <c r="I23" i="10" s="1"/>
  <c r="I24" i="10" a="1"/>
  <c r="I24" i="10" s="1"/>
  <c r="I25" i="10" a="1"/>
  <c r="I25" i="10" s="1"/>
  <c r="I26" i="10" a="1"/>
  <c r="I26" i="10" s="1"/>
  <c r="I27" i="10" a="1"/>
  <c r="I27" i="10" s="1"/>
  <c r="I28" i="10" a="1"/>
  <c r="I28" i="10" s="1"/>
  <c r="I29" i="10" a="1"/>
  <c r="I29" i="10" s="1"/>
  <c r="I30" i="10" a="1"/>
  <c r="I30" i="10" s="1"/>
  <c r="I31" i="10" a="1"/>
  <c r="I31" i="10" s="1"/>
  <c r="I32" i="10" a="1"/>
  <c r="I32" i="10" s="1"/>
  <c r="I33" i="10" a="1"/>
  <c r="I33" i="10" s="1"/>
  <c r="I34" i="10" a="1"/>
  <c r="I34" i="10" s="1"/>
  <c r="I35" i="10" a="1"/>
  <c r="I35" i="10" s="1"/>
  <c r="I36" i="10" a="1"/>
  <c r="I36" i="10" s="1"/>
  <c r="I37" i="10" a="1"/>
  <c r="I37" i="10" s="1"/>
  <c r="I2" i="13" a="1"/>
  <c r="I2" i="13" s="1"/>
  <c r="I3" i="13" a="1"/>
  <c r="I3" i="13" s="1"/>
  <c r="I4" i="13" a="1"/>
  <c r="I4" i="13" s="1"/>
  <c r="I5" i="13" a="1"/>
  <c r="I5" i="13" s="1"/>
  <c r="I6" i="13" a="1"/>
  <c r="I6" i="13" s="1"/>
  <c r="I7" i="13" a="1"/>
  <c r="I7" i="13" s="1"/>
  <c r="I8" i="13" a="1"/>
  <c r="I8" i="13" s="1"/>
  <c r="I9" i="13" a="1"/>
  <c r="I9" i="13" s="1"/>
  <c r="I10" i="13" a="1"/>
  <c r="I10" i="13" s="1"/>
  <c r="I11" i="13" a="1"/>
  <c r="I11" i="13" s="1"/>
  <c r="I12" i="13" a="1"/>
  <c r="I12" i="13" s="1"/>
  <c r="I13" i="13" a="1"/>
  <c r="I13" i="13" s="1"/>
  <c r="I14" i="13" a="1"/>
  <c r="I14" i="13" s="1"/>
  <c r="I15" i="13" a="1"/>
  <c r="I15" i="13" s="1"/>
  <c r="I16" i="13" a="1"/>
  <c r="I16" i="13" s="1"/>
  <c r="I17" i="13" a="1"/>
  <c r="I17" i="13" s="1"/>
  <c r="I18" i="13" a="1"/>
  <c r="I18" i="13" s="1"/>
  <c r="I19" i="13" a="1"/>
  <c r="I19" i="13" s="1"/>
  <c r="I20" i="13" a="1"/>
  <c r="I20" i="13" s="1"/>
  <c r="I21" i="13" a="1"/>
  <c r="I21" i="13" s="1"/>
  <c r="I22" i="13" a="1"/>
  <c r="I22" i="13" s="1"/>
  <c r="I23" i="13" a="1"/>
  <c r="I23" i="13" s="1"/>
  <c r="I24" i="13" a="1"/>
  <c r="I24" i="13" s="1"/>
  <c r="I25" i="13" a="1"/>
  <c r="I25" i="13" s="1"/>
  <c r="I26" i="13" a="1"/>
  <c r="I26" i="13" s="1"/>
  <c r="I27" i="13" a="1"/>
  <c r="I27" i="13" s="1"/>
  <c r="I28" i="13" a="1"/>
  <c r="I28" i="13" s="1"/>
  <c r="I29" i="13" a="1"/>
  <c r="I29" i="13" s="1"/>
  <c r="I30" i="13" a="1"/>
  <c r="I30" i="13" s="1"/>
  <c r="I31" i="13" a="1"/>
  <c r="I31" i="13" s="1"/>
  <c r="I32" i="13" a="1"/>
  <c r="I32" i="13" s="1"/>
  <c r="I33" i="13" a="1"/>
  <c r="I33" i="13" s="1"/>
  <c r="I34" i="13" a="1"/>
  <c r="I34" i="13" s="1"/>
  <c r="I35" i="13" a="1"/>
  <c r="I35" i="13" s="1"/>
  <c r="I36" i="13" a="1"/>
  <c r="I36" i="13" s="1"/>
  <c r="I37" i="13" a="1"/>
  <c r="I37" i="13" s="1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D2" i="15"/>
  <c r="AD3" i="15" s="1"/>
  <c r="AD4" i="15" s="1"/>
  <c r="AD5" i="15" s="1"/>
  <c r="AD6" i="15" s="1"/>
  <c r="A2" i="15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D2" i="14"/>
  <c r="AD3" i="14" s="1"/>
  <c r="AD4" i="14" s="1"/>
  <c r="AD5" i="14" s="1"/>
  <c r="AD6" i="14" s="1"/>
  <c r="A2" i="14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D2" i="13"/>
  <c r="AD3" i="13" s="1"/>
  <c r="AD4" i="13" s="1"/>
  <c r="AD5" i="13" s="1"/>
  <c r="AD6" i="13" s="1"/>
  <c r="A2" i="13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D2" i="12"/>
  <c r="AD3" i="12" s="1"/>
  <c r="AD4" i="12" s="1"/>
  <c r="AD5" i="12" s="1"/>
  <c r="AD6" i="12" s="1"/>
  <c r="A2" i="12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D2" i="11"/>
  <c r="AD3" i="11" s="1"/>
  <c r="AD4" i="11" s="1"/>
  <c r="AD5" i="11" s="1"/>
  <c r="AD6" i="11" s="1"/>
  <c r="A2" i="11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D2" i="10"/>
  <c r="AD3" i="10" s="1"/>
  <c r="AD4" i="10" s="1"/>
  <c r="AD5" i="10" s="1"/>
  <c r="AD6" i="10" s="1"/>
  <c r="A2" i="10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D2" i="9"/>
  <c r="AD3" i="9" s="1"/>
  <c r="AD4" i="9" s="1"/>
  <c r="AD5" i="9" s="1"/>
  <c r="AD6" i="9" s="1"/>
  <c r="A2" i="9"/>
  <c r="AD2" i="8"/>
  <c r="AD3" i="8" s="1"/>
  <c r="AD4" i="8" s="1"/>
  <c r="AD5" i="8" s="1"/>
  <c r="AD6" i="8" s="1"/>
  <c r="A37" i="8"/>
  <c r="B37" i="8" s="1"/>
  <c r="A36" i="8"/>
  <c r="B36" i="8" s="1"/>
  <c r="A35" i="8"/>
  <c r="B35" i="8" s="1"/>
  <c r="A34" i="8"/>
  <c r="B34" i="8" s="1"/>
  <c r="A33" i="8"/>
  <c r="B33" i="8" s="1"/>
  <c r="A32" i="8"/>
  <c r="B32" i="8" s="1"/>
  <c r="A31" i="8"/>
  <c r="B31" i="8" s="1"/>
  <c r="A30" i="8"/>
  <c r="B30" i="8" s="1"/>
  <c r="A29" i="8"/>
  <c r="B29" i="8" s="1"/>
  <c r="A28" i="8"/>
  <c r="B28" i="8" s="1"/>
  <c r="A27" i="8"/>
  <c r="B27" i="8" s="1"/>
  <c r="A26" i="8"/>
  <c r="B26" i="8" s="1"/>
  <c r="A25" i="8"/>
  <c r="B25" i="8" s="1"/>
  <c r="A24" i="8"/>
  <c r="B24" i="8" s="1"/>
  <c r="A23" i="8"/>
  <c r="B23" i="8" s="1"/>
  <c r="A22" i="8"/>
  <c r="B22" i="8" s="1"/>
  <c r="A21" i="8"/>
  <c r="B21" i="8" s="1"/>
  <c r="A20" i="8"/>
  <c r="B20" i="8" s="1"/>
  <c r="A19" i="8"/>
  <c r="B19" i="8" s="1"/>
  <c r="A18" i="8"/>
  <c r="B18" i="8" s="1"/>
  <c r="A17" i="8"/>
  <c r="B17" i="8" s="1"/>
  <c r="A16" i="8"/>
  <c r="B16" i="8" s="1"/>
  <c r="A15" i="8"/>
  <c r="B15" i="8" s="1"/>
  <c r="A14" i="8"/>
  <c r="B14" i="8" s="1"/>
  <c r="A13" i="8"/>
  <c r="B13" i="8" s="1"/>
  <c r="A12" i="8"/>
  <c r="B12" i="8" s="1"/>
  <c r="A11" i="8"/>
  <c r="B11" i="8" s="1"/>
  <c r="A10" i="8"/>
  <c r="B10" i="8" s="1"/>
  <c r="A9" i="8"/>
  <c r="B9" i="8" s="1"/>
  <c r="A8" i="8"/>
  <c r="A7" i="8"/>
  <c r="B7" i="8" s="1"/>
  <c r="A6" i="8"/>
  <c r="A5" i="8"/>
  <c r="B5" i="8" s="1"/>
  <c r="A4" i="8"/>
  <c r="B4" i="8" s="1"/>
  <c r="A3" i="8"/>
  <c r="B3" i="8" s="1"/>
  <c r="A2" i="8"/>
  <c r="B2" i="8" s="1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T3" i="5"/>
  <c r="AB1" i="5"/>
  <c r="M2" i="7"/>
  <c r="H170" i="4"/>
  <c r="H162" i="4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C164" i="4"/>
  <c r="C165" i="4"/>
  <c r="C166" i="4"/>
  <c r="C167" i="4"/>
  <c r="C168" i="4"/>
  <c r="C169" i="4"/>
  <c r="C170" i="4"/>
  <c r="C163" i="4"/>
  <c r="C156" i="4"/>
  <c r="C157" i="4"/>
  <c r="C158" i="4"/>
  <c r="C159" i="4"/>
  <c r="C160" i="4"/>
  <c r="C161" i="4"/>
  <c r="C162" i="4"/>
  <c r="C155" i="4"/>
  <c r="L76" i="6"/>
  <c r="M76" i="6"/>
  <c r="N76" i="6"/>
  <c r="O76" i="6"/>
  <c r="P76" i="6"/>
  <c r="Q76" i="6"/>
  <c r="R76" i="6"/>
  <c r="S76" i="6"/>
  <c r="T76" i="6"/>
  <c r="U76" i="6"/>
  <c r="V76" i="6"/>
  <c r="AB76" i="6" s="1"/>
  <c r="W76" i="6"/>
  <c r="X76" i="6"/>
  <c r="Y76" i="6"/>
  <c r="Z76" i="6"/>
  <c r="AA76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B77" i="6" s="1"/>
  <c r="AA77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L79" i="6"/>
  <c r="M79" i="6"/>
  <c r="N79" i="6"/>
  <c r="O79" i="6"/>
  <c r="W79" i="6" s="1"/>
  <c r="AB79" i="6" s="1"/>
  <c r="P79" i="6"/>
  <c r="Q79" i="6"/>
  <c r="R79" i="6"/>
  <c r="S79" i="6"/>
  <c r="T79" i="6"/>
  <c r="U79" i="6"/>
  <c r="V79" i="6"/>
  <c r="X79" i="6"/>
  <c r="Y79" i="6"/>
  <c r="Z79" i="6"/>
  <c r="AA79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AB80" i="6" s="1"/>
  <c r="Z80" i="6"/>
  <c r="AA80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L82" i="6"/>
  <c r="M82" i="6"/>
  <c r="N82" i="6"/>
  <c r="V82" i="6" s="1"/>
  <c r="O82" i="6"/>
  <c r="P82" i="6"/>
  <c r="Q82" i="6"/>
  <c r="R82" i="6"/>
  <c r="S82" i="6"/>
  <c r="T82" i="6"/>
  <c r="U82" i="6"/>
  <c r="W82" i="6"/>
  <c r="X82" i="6"/>
  <c r="Y82" i="6"/>
  <c r="Z82" i="6"/>
  <c r="AA82" i="6"/>
  <c r="L83" i="6"/>
  <c r="T83" i="6" s="1"/>
  <c r="M83" i="6"/>
  <c r="U83" i="6" s="1"/>
  <c r="N83" i="6"/>
  <c r="O83" i="6"/>
  <c r="P83" i="6"/>
  <c r="X83" i="6" s="1"/>
  <c r="AB83" i="6" s="1"/>
  <c r="Q83" i="6"/>
  <c r="R83" i="6"/>
  <c r="S83" i="6"/>
  <c r="V83" i="6"/>
  <c r="W83" i="6"/>
  <c r="Y83" i="6"/>
  <c r="Z83" i="6"/>
  <c r="AA83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 s="1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L86" i="6"/>
  <c r="T86" i="6" s="1"/>
  <c r="M86" i="6"/>
  <c r="N86" i="6"/>
  <c r="O86" i="6"/>
  <c r="P86" i="6"/>
  <c r="Q86" i="6"/>
  <c r="R86" i="6"/>
  <c r="S86" i="6"/>
  <c r="U86" i="6"/>
  <c r="V86" i="6"/>
  <c r="W86" i="6"/>
  <c r="X86" i="6"/>
  <c r="Y86" i="6"/>
  <c r="Z86" i="6"/>
  <c r="AA86" i="6"/>
  <c r="L87" i="6"/>
  <c r="M87" i="6"/>
  <c r="N87" i="6"/>
  <c r="O87" i="6"/>
  <c r="W87" i="6" s="1"/>
  <c r="P87" i="6"/>
  <c r="X87" i="6" s="1"/>
  <c r="Q87" i="6"/>
  <c r="Y87" i="6" s="1"/>
  <c r="R87" i="6"/>
  <c r="Z87" i="6" s="1"/>
  <c r="S87" i="6"/>
  <c r="AA87" i="6" s="1"/>
  <c r="T87" i="6"/>
  <c r="U87" i="6"/>
  <c r="V87" i="6"/>
  <c r="L88" i="6"/>
  <c r="M88" i="6"/>
  <c r="N88" i="6"/>
  <c r="V88" i="6" s="1"/>
  <c r="O88" i="6"/>
  <c r="P88" i="6"/>
  <c r="Q88" i="6"/>
  <c r="R88" i="6"/>
  <c r="S88" i="6"/>
  <c r="T88" i="6"/>
  <c r="U88" i="6"/>
  <c r="AB88" i="6" s="1"/>
  <c r="W88" i="6"/>
  <c r="X88" i="6"/>
  <c r="Y88" i="6"/>
  <c r="Z88" i="6"/>
  <c r="AA88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L90" i="6"/>
  <c r="M90" i="6"/>
  <c r="U90" i="6" s="1"/>
  <c r="N90" i="6"/>
  <c r="O90" i="6"/>
  <c r="P90" i="6"/>
  <c r="Q90" i="6"/>
  <c r="R90" i="6"/>
  <c r="S90" i="6"/>
  <c r="T90" i="6"/>
  <c r="V90" i="6"/>
  <c r="W90" i="6"/>
  <c r="X90" i="6"/>
  <c r="Y90" i="6"/>
  <c r="Z90" i="6"/>
  <c r="AA90" i="6"/>
  <c r="L91" i="6"/>
  <c r="M91" i="6"/>
  <c r="U91" i="6" s="1"/>
  <c r="AB91" i="6" s="1"/>
  <c r="N91" i="6"/>
  <c r="O91" i="6"/>
  <c r="P91" i="6"/>
  <c r="Q91" i="6"/>
  <c r="R91" i="6"/>
  <c r="S91" i="6"/>
  <c r="T91" i="6"/>
  <c r="V91" i="6"/>
  <c r="W91" i="6"/>
  <c r="X91" i="6"/>
  <c r="Y91" i="6"/>
  <c r="Z91" i="6"/>
  <c r="AA91" i="6"/>
  <c r="L92" i="6"/>
  <c r="M92" i="6"/>
  <c r="N92" i="6"/>
  <c r="O92" i="6"/>
  <c r="P92" i="6"/>
  <c r="Q92" i="6"/>
  <c r="Y92" i="6" s="1"/>
  <c r="R92" i="6"/>
  <c r="S92" i="6"/>
  <c r="T92" i="6"/>
  <c r="U92" i="6"/>
  <c r="V92" i="6"/>
  <c r="W92" i="6"/>
  <c r="X92" i="6"/>
  <c r="Z92" i="6"/>
  <c r="AA92" i="6"/>
  <c r="L93" i="6"/>
  <c r="M93" i="6"/>
  <c r="N93" i="6"/>
  <c r="O93" i="6"/>
  <c r="P93" i="6"/>
  <c r="X93" i="6" s="1"/>
  <c r="Q93" i="6"/>
  <c r="R93" i="6"/>
  <c r="S93" i="6"/>
  <c r="T93" i="6"/>
  <c r="U93" i="6"/>
  <c r="V93" i="6"/>
  <c r="W93" i="6"/>
  <c r="Y93" i="6"/>
  <c r="Z93" i="6"/>
  <c r="AA93" i="6"/>
  <c r="L94" i="6"/>
  <c r="T94" i="6" s="1"/>
  <c r="AB94" i="6" s="1"/>
  <c r="M94" i="6"/>
  <c r="N94" i="6"/>
  <c r="O94" i="6"/>
  <c r="P94" i="6"/>
  <c r="Q94" i="6"/>
  <c r="R94" i="6"/>
  <c r="S94" i="6"/>
  <c r="U94" i="6"/>
  <c r="V94" i="6"/>
  <c r="W94" i="6"/>
  <c r="X94" i="6"/>
  <c r="Y94" i="6"/>
  <c r="Z94" i="6"/>
  <c r="AA94" i="6"/>
  <c r="L95" i="6"/>
  <c r="M95" i="6"/>
  <c r="N95" i="6"/>
  <c r="V95" i="6" s="1"/>
  <c r="O95" i="6"/>
  <c r="P95" i="6"/>
  <c r="Q95" i="6"/>
  <c r="R95" i="6"/>
  <c r="S95" i="6"/>
  <c r="T95" i="6"/>
  <c r="U95" i="6"/>
  <c r="W95" i="6"/>
  <c r="X95" i="6"/>
  <c r="Y95" i="6"/>
  <c r="AB95" i="6" s="1"/>
  <c r="Z95" i="6"/>
  <c r="AA95" i="6"/>
  <c r="L96" i="6"/>
  <c r="M96" i="6"/>
  <c r="N96" i="6"/>
  <c r="O96" i="6"/>
  <c r="P96" i="6"/>
  <c r="X96" i="6" s="1"/>
  <c r="Q96" i="6"/>
  <c r="Y96" i="6" s="1"/>
  <c r="R96" i="6"/>
  <c r="Z96" i="6" s="1"/>
  <c r="S96" i="6"/>
  <c r="T96" i="6"/>
  <c r="U96" i="6"/>
  <c r="V96" i="6"/>
  <c r="W96" i="6"/>
  <c r="AA96" i="6"/>
  <c r="L97" i="6"/>
  <c r="M97" i="6"/>
  <c r="N97" i="6"/>
  <c r="O97" i="6"/>
  <c r="P97" i="6"/>
  <c r="Q97" i="6"/>
  <c r="R97" i="6"/>
  <c r="S97" i="6"/>
  <c r="T97" i="6"/>
  <c r="U97" i="6"/>
  <c r="V97" i="6"/>
  <c r="W97" i="6"/>
  <c r="AB97" i="6" s="1"/>
  <c r="X97" i="6"/>
  <c r="Y97" i="6"/>
  <c r="Z97" i="6"/>
  <c r="AA97" i="6"/>
  <c r="L98" i="6"/>
  <c r="M98" i="6"/>
  <c r="N98" i="6"/>
  <c r="O98" i="6"/>
  <c r="P98" i="6"/>
  <c r="Q98" i="6"/>
  <c r="R98" i="6"/>
  <c r="S98" i="6"/>
  <c r="AA98" i="6" s="1"/>
  <c r="T98" i="6"/>
  <c r="U98" i="6"/>
  <c r="V98" i="6"/>
  <c r="W98" i="6"/>
  <c r="X98" i="6"/>
  <c r="Y98" i="6"/>
  <c r="AB98" i="6" s="1"/>
  <c r="Z98" i="6"/>
  <c r="L99" i="6"/>
  <c r="T99" i="6" s="1"/>
  <c r="M99" i="6"/>
  <c r="U99" i="6" s="1"/>
  <c r="N99" i="6"/>
  <c r="V99" i="6" s="1"/>
  <c r="O99" i="6"/>
  <c r="W99" i="6" s="1"/>
  <c r="P99" i="6"/>
  <c r="X99" i="6" s="1"/>
  <c r="Q99" i="6"/>
  <c r="Y99" i="6" s="1"/>
  <c r="R99" i="6"/>
  <c r="S99" i="6"/>
  <c r="Z99" i="6"/>
  <c r="AA99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L102" i="6"/>
  <c r="M102" i="6"/>
  <c r="N102" i="6"/>
  <c r="O102" i="6"/>
  <c r="P102" i="6"/>
  <c r="X102" i="6" s="1"/>
  <c r="Q102" i="6"/>
  <c r="R102" i="6"/>
  <c r="S102" i="6"/>
  <c r="T102" i="6"/>
  <c r="U102" i="6"/>
  <c r="V102" i="6"/>
  <c r="W102" i="6"/>
  <c r="AB102" i="6" s="1"/>
  <c r="Y102" i="6"/>
  <c r="Z102" i="6"/>
  <c r="AA102" i="6"/>
  <c r="L103" i="6"/>
  <c r="M103" i="6"/>
  <c r="N103" i="6"/>
  <c r="O103" i="6"/>
  <c r="W103" i="6" s="1"/>
  <c r="P103" i="6"/>
  <c r="Q103" i="6"/>
  <c r="R103" i="6"/>
  <c r="S103" i="6"/>
  <c r="T103" i="6"/>
  <c r="U103" i="6"/>
  <c r="V103" i="6"/>
  <c r="X103" i="6"/>
  <c r="Y103" i="6"/>
  <c r="Z103" i="6"/>
  <c r="AA103" i="6"/>
  <c r="AB103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AB105" i="6" s="1"/>
  <c r="Y105" i="6"/>
  <c r="Z105" i="6"/>
  <c r="AA105" i="6"/>
  <c r="L106" i="6"/>
  <c r="M106" i="6"/>
  <c r="N106" i="6"/>
  <c r="V106" i="6" s="1"/>
  <c r="O106" i="6"/>
  <c r="P106" i="6"/>
  <c r="Q106" i="6"/>
  <c r="R106" i="6"/>
  <c r="S106" i="6"/>
  <c r="T106" i="6"/>
  <c r="U106" i="6"/>
  <c r="W106" i="6"/>
  <c r="X106" i="6"/>
  <c r="Y106" i="6"/>
  <c r="Z106" i="6"/>
  <c r="AA106" i="6"/>
  <c r="L107" i="6"/>
  <c r="M107" i="6"/>
  <c r="N107" i="6"/>
  <c r="V107" i="6" s="1"/>
  <c r="O107" i="6"/>
  <c r="P107" i="6"/>
  <c r="Q107" i="6"/>
  <c r="R107" i="6"/>
  <c r="S107" i="6"/>
  <c r="T107" i="6"/>
  <c r="U107" i="6"/>
  <c r="W107" i="6"/>
  <c r="X107" i="6"/>
  <c r="Y107" i="6"/>
  <c r="AB107" i="6" s="1"/>
  <c r="Z107" i="6"/>
  <c r="AA107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L109" i="6"/>
  <c r="M109" i="6"/>
  <c r="U109" i="6" s="1"/>
  <c r="N109" i="6"/>
  <c r="O109" i="6"/>
  <c r="W109" i="6" s="1"/>
  <c r="P109" i="6"/>
  <c r="Q109" i="6"/>
  <c r="R109" i="6"/>
  <c r="S109" i="6"/>
  <c r="T109" i="6"/>
  <c r="V109" i="6"/>
  <c r="X109" i="6"/>
  <c r="Y109" i="6"/>
  <c r="Z109" i="6"/>
  <c r="AA109" i="6"/>
  <c r="L110" i="6"/>
  <c r="T110" i="6" s="1"/>
  <c r="M110" i="6"/>
  <c r="U110" i="6" s="1"/>
  <c r="N110" i="6"/>
  <c r="V110" i="6" s="1"/>
  <c r="O110" i="6"/>
  <c r="W110" i="6" s="1"/>
  <c r="P110" i="6"/>
  <c r="X110" i="6" s="1"/>
  <c r="Q110" i="6"/>
  <c r="Y110" i="6" s="1"/>
  <c r="R110" i="6"/>
  <c r="Z110" i="6" s="1"/>
  <c r="S110" i="6"/>
  <c r="AA110" i="6" s="1"/>
  <c r="M75" i="6"/>
  <c r="U75" i="6" s="1"/>
  <c r="N75" i="6"/>
  <c r="V75" i="6" s="1"/>
  <c r="O75" i="6"/>
  <c r="W75" i="6" s="1"/>
  <c r="P75" i="6"/>
  <c r="X75" i="6" s="1"/>
  <c r="Q75" i="6"/>
  <c r="Y75" i="6" s="1"/>
  <c r="R75" i="6"/>
  <c r="Z75" i="6" s="1"/>
  <c r="S75" i="6"/>
  <c r="AA75" i="6" s="1"/>
  <c r="L75" i="6"/>
  <c r="T75" i="6" s="1"/>
  <c r="AB75" i="6" s="1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44" i="4"/>
  <c r="C45" i="4"/>
  <c r="C46" i="4"/>
  <c r="C47" i="4"/>
  <c r="C48" i="4"/>
  <c r="C49" i="4"/>
  <c r="C50" i="4"/>
  <c r="C60" i="4"/>
  <c r="C61" i="4"/>
  <c r="C62" i="4"/>
  <c r="C63" i="4"/>
  <c r="C64" i="4"/>
  <c r="C65" i="4"/>
  <c r="C66" i="4"/>
  <c r="C76" i="4"/>
  <c r="C77" i="4"/>
  <c r="C78" i="4"/>
  <c r="C79" i="4"/>
  <c r="C98" i="4"/>
  <c r="C99" i="4"/>
  <c r="C114" i="4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A19" i="4"/>
  <c r="A35" i="4" s="1"/>
  <c r="A20" i="4"/>
  <c r="A36" i="4" s="1"/>
  <c r="A21" i="4"/>
  <c r="A37" i="4" s="1"/>
  <c r="A22" i="4"/>
  <c r="A38" i="4" s="1"/>
  <c r="A23" i="4"/>
  <c r="A39" i="4" s="1"/>
  <c r="A24" i="4"/>
  <c r="A40" i="4" s="1"/>
  <c r="A25" i="4"/>
  <c r="A41" i="4" s="1"/>
  <c r="A26" i="4"/>
  <c r="A42" i="4" s="1"/>
  <c r="A27" i="4"/>
  <c r="A43" i="4" s="1"/>
  <c r="A28" i="4"/>
  <c r="A44" i="4" s="1"/>
  <c r="A60" i="4" s="1"/>
  <c r="A76" i="4" s="1"/>
  <c r="A92" i="4" s="1"/>
  <c r="C92" i="4" s="1"/>
  <c r="A29" i="4"/>
  <c r="A45" i="4" s="1"/>
  <c r="A61" i="4" s="1"/>
  <c r="A77" i="4" s="1"/>
  <c r="A93" i="4" s="1"/>
  <c r="C93" i="4" s="1"/>
  <c r="A30" i="4"/>
  <c r="A46" i="4" s="1"/>
  <c r="A62" i="4" s="1"/>
  <c r="A78" i="4" s="1"/>
  <c r="A94" i="4" s="1"/>
  <c r="C94" i="4" s="1"/>
  <c r="A31" i="4"/>
  <c r="A47" i="4" s="1"/>
  <c r="A63" i="4" s="1"/>
  <c r="A79" i="4" s="1"/>
  <c r="A95" i="4" s="1"/>
  <c r="C95" i="4" s="1"/>
  <c r="A32" i="4"/>
  <c r="A48" i="4" s="1"/>
  <c r="A64" i="4" s="1"/>
  <c r="A80" i="4" s="1"/>
  <c r="A33" i="4"/>
  <c r="A49" i="4" s="1"/>
  <c r="A65" i="4" s="1"/>
  <c r="A81" i="4" s="1"/>
  <c r="A34" i="4"/>
  <c r="A50" i="4" s="1"/>
  <c r="A66" i="4" s="1"/>
  <c r="A82" i="4" s="1"/>
  <c r="C82" i="4" s="1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M3" i="3"/>
  <c r="N3" i="3"/>
  <c r="O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3" i="3"/>
  <c r="G3" i="3"/>
  <c r="L3" i="3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3" i="3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C18" i="2"/>
  <c r="C19" i="2"/>
  <c r="C21" i="2"/>
  <c r="C26" i="2"/>
  <c r="K1" i="1"/>
  <c r="V10" i="1"/>
  <c r="V11" i="1"/>
  <c r="V12" i="1"/>
  <c r="V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B2" i="1" l="1"/>
  <c r="B4" i="1"/>
  <c r="B3" i="1"/>
  <c r="A2" i="1"/>
  <c r="A3" i="1"/>
  <c r="A4" i="1"/>
  <c r="R1" i="1"/>
  <c r="S1" i="1"/>
  <c r="D1" i="1"/>
  <c r="E1" i="1"/>
  <c r="X2" i="14"/>
  <c r="B2" i="14"/>
  <c r="B21" i="12"/>
  <c r="X21" i="12"/>
  <c r="X20" i="12"/>
  <c r="B20" i="12"/>
  <c r="X14" i="11"/>
  <c r="B14" i="11"/>
  <c r="X10" i="13"/>
  <c r="B10" i="13"/>
  <c r="B37" i="15"/>
  <c r="X37" i="15"/>
  <c r="X36" i="15"/>
  <c r="B36" i="15"/>
  <c r="B35" i="15"/>
  <c r="X35" i="15"/>
  <c r="X34" i="15"/>
  <c r="B34" i="15"/>
  <c r="B33" i="15"/>
  <c r="X33" i="15"/>
  <c r="B32" i="15"/>
  <c r="X32" i="15"/>
  <c r="B31" i="15"/>
  <c r="X31" i="15"/>
  <c r="X30" i="15"/>
  <c r="B30" i="15"/>
  <c r="B29" i="15"/>
  <c r="X29" i="15"/>
  <c r="B28" i="15"/>
  <c r="X28" i="15"/>
  <c r="X27" i="15"/>
  <c r="B27" i="15"/>
  <c r="X26" i="15"/>
  <c r="B26" i="15"/>
  <c r="B25" i="15"/>
  <c r="X25" i="15"/>
  <c r="X24" i="15"/>
  <c r="B24" i="15"/>
  <c r="B23" i="15"/>
  <c r="X23" i="15"/>
  <c r="X22" i="15"/>
  <c r="B22" i="15"/>
  <c r="B21" i="15"/>
  <c r="X21" i="15"/>
  <c r="B20" i="15"/>
  <c r="X20" i="15"/>
  <c r="X19" i="15"/>
  <c r="B19" i="15"/>
  <c r="X18" i="15"/>
  <c r="B18" i="15"/>
  <c r="B17" i="15"/>
  <c r="X17" i="15"/>
  <c r="X16" i="15"/>
  <c r="B16" i="15"/>
  <c r="B15" i="15"/>
  <c r="X15" i="15"/>
  <c r="B14" i="15"/>
  <c r="X14" i="15"/>
  <c r="X13" i="15"/>
  <c r="B13" i="15"/>
  <c r="X12" i="15"/>
  <c r="B12" i="15"/>
  <c r="B11" i="15"/>
  <c r="X11" i="15"/>
  <c r="B10" i="15"/>
  <c r="X10" i="15"/>
  <c r="B9" i="15"/>
  <c r="X9" i="15"/>
  <c r="B8" i="15"/>
  <c r="X8" i="15"/>
  <c r="X7" i="15"/>
  <c r="B7" i="15"/>
  <c r="X6" i="15"/>
  <c r="B6" i="15"/>
  <c r="B5" i="15"/>
  <c r="X5" i="15"/>
  <c r="X4" i="15"/>
  <c r="B4" i="15"/>
  <c r="X3" i="15"/>
  <c r="B3" i="15"/>
  <c r="X2" i="15"/>
  <c r="B2" i="15"/>
  <c r="X37" i="14"/>
  <c r="B37" i="14"/>
  <c r="B36" i="14"/>
  <c r="X36" i="14"/>
  <c r="B35" i="14"/>
  <c r="X35" i="14"/>
  <c r="X34" i="14"/>
  <c r="B34" i="14"/>
  <c r="X33" i="14"/>
  <c r="B33" i="14"/>
  <c r="X32" i="14"/>
  <c r="B32" i="14"/>
  <c r="X31" i="14"/>
  <c r="B31" i="14"/>
  <c r="B30" i="14"/>
  <c r="X30" i="14"/>
  <c r="X29" i="14"/>
  <c r="B29" i="14"/>
  <c r="B28" i="14"/>
  <c r="X28" i="14"/>
  <c r="B27" i="14"/>
  <c r="X27" i="14"/>
  <c r="X26" i="14"/>
  <c r="B26" i="14"/>
  <c r="B25" i="14"/>
  <c r="X25" i="14"/>
  <c r="B24" i="14"/>
  <c r="X24" i="14"/>
  <c r="B23" i="14"/>
  <c r="X23" i="14"/>
  <c r="X22" i="14"/>
  <c r="B22" i="14"/>
  <c r="B21" i="14"/>
  <c r="X21" i="14"/>
  <c r="X20" i="14"/>
  <c r="B20" i="14"/>
  <c r="B19" i="14"/>
  <c r="X19" i="14"/>
  <c r="X18" i="14"/>
  <c r="B18" i="14"/>
  <c r="X17" i="14"/>
  <c r="B17" i="14"/>
  <c r="B16" i="14"/>
  <c r="X16" i="14"/>
  <c r="X15" i="14"/>
  <c r="B15" i="14"/>
  <c r="B14" i="14"/>
  <c r="X14" i="14"/>
  <c r="B13" i="14"/>
  <c r="X13" i="14"/>
  <c r="X12" i="14"/>
  <c r="B12" i="14"/>
  <c r="B11" i="14"/>
  <c r="X11" i="14"/>
  <c r="X10" i="14"/>
  <c r="B10" i="14"/>
  <c r="X9" i="14"/>
  <c r="B9" i="14"/>
  <c r="X8" i="14"/>
  <c r="B8" i="14"/>
  <c r="X7" i="14"/>
  <c r="B7" i="14"/>
  <c r="B6" i="14"/>
  <c r="X6" i="14"/>
  <c r="X5" i="14"/>
  <c r="B5" i="14"/>
  <c r="X4" i="14"/>
  <c r="B4" i="14"/>
  <c r="B3" i="14"/>
  <c r="X3" i="14"/>
  <c r="X37" i="13"/>
  <c r="B37" i="13"/>
  <c r="X36" i="13"/>
  <c r="B36" i="13"/>
  <c r="X35" i="13"/>
  <c r="B35" i="13"/>
  <c r="X34" i="13"/>
  <c r="B34" i="13"/>
  <c r="X33" i="13"/>
  <c r="B33" i="13"/>
  <c r="X32" i="13"/>
  <c r="B32" i="13"/>
  <c r="X31" i="13"/>
  <c r="B31" i="13"/>
  <c r="X30" i="13"/>
  <c r="B30" i="13"/>
  <c r="B29" i="13"/>
  <c r="X29" i="13"/>
  <c r="X28" i="13"/>
  <c r="B28" i="13"/>
  <c r="B27" i="13"/>
  <c r="X27" i="13"/>
  <c r="X26" i="13"/>
  <c r="B26" i="13"/>
  <c r="X25" i="13"/>
  <c r="B25" i="13"/>
  <c r="B24" i="13"/>
  <c r="X24" i="13"/>
  <c r="X23" i="13"/>
  <c r="B23" i="13"/>
  <c r="B22" i="13"/>
  <c r="X22" i="13"/>
  <c r="X21" i="13"/>
  <c r="B21" i="13"/>
  <c r="X20" i="13"/>
  <c r="B20" i="13"/>
  <c r="B19" i="13"/>
  <c r="X19" i="13"/>
  <c r="B18" i="13"/>
  <c r="X18" i="13"/>
  <c r="B17" i="13"/>
  <c r="X17" i="13"/>
  <c r="X16" i="13"/>
  <c r="B16" i="13"/>
  <c r="X15" i="13"/>
  <c r="B15" i="13"/>
  <c r="X14" i="13"/>
  <c r="B14" i="13"/>
  <c r="X13" i="13"/>
  <c r="B13" i="13"/>
  <c r="X12" i="13"/>
  <c r="B12" i="13"/>
  <c r="X11" i="13"/>
  <c r="B11" i="13"/>
  <c r="X9" i="13"/>
  <c r="B9" i="13"/>
  <c r="B8" i="13"/>
  <c r="X8" i="13"/>
  <c r="B7" i="13"/>
  <c r="X7" i="13"/>
  <c r="B6" i="13"/>
  <c r="B5" i="13"/>
  <c r="X5" i="13"/>
  <c r="X4" i="13"/>
  <c r="B4" i="13"/>
  <c r="X3" i="13"/>
  <c r="B3" i="13"/>
  <c r="X2" i="13"/>
  <c r="B2" i="13"/>
  <c r="X37" i="12"/>
  <c r="B37" i="12"/>
  <c r="X36" i="12"/>
  <c r="B36" i="12"/>
  <c r="X35" i="12"/>
  <c r="B35" i="12"/>
  <c r="X34" i="12"/>
  <c r="B34" i="12"/>
  <c r="X33" i="12"/>
  <c r="B33" i="12"/>
  <c r="X32" i="12"/>
  <c r="B32" i="12"/>
  <c r="X31" i="12"/>
  <c r="B31" i="12"/>
  <c r="B30" i="12"/>
  <c r="X30" i="12"/>
  <c r="X29" i="12"/>
  <c r="B29" i="12"/>
  <c r="X28" i="12"/>
  <c r="B28" i="12"/>
  <c r="B27" i="12"/>
  <c r="X27" i="12"/>
  <c r="B26" i="12"/>
  <c r="X26" i="12"/>
  <c r="B25" i="12"/>
  <c r="X25" i="12"/>
  <c r="X24" i="12"/>
  <c r="B24" i="12"/>
  <c r="B23" i="12"/>
  <c r="X23" i="12"/>
  <c r="B22" i="12"/>
  <c r="X22" i="12"/>
  <c r="X19" i="12"/>
  <c r="B19" i="12"/>
  <c r="X18" i="12"/>
  <c r="B18" i="12"/>
  <c r="B17" i="12"/>
  <c r="X17" i="12"/>
  <c r="B16" i="12"/>
  <c r="X16" i="12"/>
  <c r="X15" i="12"/>
  <c r="B15" i="12"/>
  <c r="B14" i="12"/>
  <c r="X14" i="12"/>
  <c r="B13" i="12"/>
  <c r="X13" i="12"/>
  <c r="B12" i="12"/>
  <c r="X12" i="12"/>
  <c r="X11" i="12"/>
  <c r="B11" i="12"/>
  <c r="B10" i="12"/>
  <c r="X10" i="12"/>
  <c r="B9" i="12"/>
  <c r="X9" i="12"/>
  <c r="X8" i="12"/>
  <c r="B8" i="12"/>
  <c r="X7" i="12"/>
  <c r="B7" i="12"/>
  <c r="B6" i="12"/>
  <c r="X6" i="12"/>
  <c r="B5" i="12"/>
  <c r="X5" i="12"/>
  <c r="B4" i="12"/>
  <c r="X4" i="12"/>
  <c r="B3" i="12"/>
  <c r="X3" i="12"/>
  <c r="B2" i="12"/>
  <c r="X2" i="12"/>
  <c r="X37" i="11"/>
  <c r="B37" i="11"/>
  <c r="X36" i="11"/>
  <c r="B36" i="11"/>
  <c r="B35" i="11"/>
  <c r="X35" i="11"/>
  <c r="B34" i="11"/>
  <c r="X34" i="11"/>
  <c r="X33" i="11"/>
  <c r="B33" i="11"/>
  <c r="B32" i="11"/>
  <c r="X32" i="11"/>
  <c r="B31" i="11"/>
  <c r="X31" i="11"/>
  <c r="B30" i="11"/>
  <c r="X30" i="11"/>
  <c r="B29" i="11"/>
  <c r="X29" i="11"/>
  <c r="B28" i="11"/>
  <c r="X28" i="11"/>
  <c r="X27" i="11"/>
  <c r="B27" i="11"/>
  <c r="B26" i="11"/>
  <c r="X26" i="11"/>
  <c r="X25" i="11"/>
  <c r="B25" i="11"/>
  <c r="X24" i="11"/>
  <c r="B24" i="11"/>
  <c r="X23" i="11"/>
  <c r="B23" i="11"/>
  <c r="B22" i="11"/>
  <c r="X22" i="11"/>
  <c r="X21" i="11"/>
  <c r="B21" i="11"/>
  <c r="B20" i="11"/>
  <c r="X20" i="11"/>
  <c r="X19" i="11"/>
  <c r="B19" i="11"/>
  <c r="B18" i="11"/>
  <c r="X18" i="11"/>
  <c r="B17" i="11"/>
  <c r="X17" i="11"/>
  <c r="X16" i="11"/>
  <c r="B16" i="11"/>
  <c r="B15" i="11"/>
  <c r="X15" i="11"/>
  <c r="X13" i="11"/>
  <c r="B13" i="11"/>
  <c r="X12" i="11"/>
  <c r="B12" i="11"/>
  <c r="X11" i="11"/>
  <c r="B11" i="11"/>
  <c r="X10" i="11"/>
  <c r="B10" i="11"/>
  <c r="B9" i="11"/>
  <c r="X9" i="11"/>
  <c r="X8" i="11"/>
  <c r="B8" i="11"/>
  <c r="X7" i="11"/>
  <c r="B7" i="11"/>
  <c r="B6" i="11"/>
  <c r="X6" i="11"/>
  <c r="X5" i="11"/>
  <c r="B5" i="11"/>
  <c r="X4" i="11"/>
  <c r="B4" i="11"/>
  <c r="X3" i="11"/>
  <c r="B3" i="11"/>
  <c r="X2" i="11"/>
  <c r="B2" i="11"/>
  <c r="B37" i="10"/>
  <c r="X37" i="10"/>
  <c r="B36" i="10"/>
  <c r="X36" i="10"/>
  <c r="B35" i="10"/>
  <c r="X35" i="10"/>
  <c r="X34" i="10"/>
  <c r="B34" i="10"/>
  <c r="X33" i="10"/>
  <c r="B33" i="10"/>
  <c r="B32" i="10"/>
  <c r="X32" i="10"/>
  <c r="B31" i="10"/>
  <c r="X31" i="10"/>
  <c r="B30" i="10"/>
  <c r="X30" i="10"/>
  <c r="X29" i="10"/>
  <c r="B29" i="10"/>
  <c r="X28" i="10"/>
  <c r="B28" i="10"/>
  <c r="X27" i="10"/>
  <c r="B27" i="10"/>
  <c r="X26" i="10"/>
  <c r="B26" i="10"/>
  <c r="X25" i="10"/>
  <c r="B25" i="10"/>
  <c r="B24" i="10"/>
  <c r="X24" i="10"/>
  <c r="B23" i="10"/>
  <c r="X23" i="10"/>
  <c r="B22" i="10"/>
  <c r="X22" i="10"/>
  <c r="B21" i="10"/>
  <c r="X21" i="10"/>
  <c r="X20" i="10"/>
  <c r="B20" i="10"/>
  <c r="X19" i="10"/>
  <c r="B19" i="10"/>
  <c r="X18" i="10"/>
  <c r="B18" i="10"/>
  <c r="X17" i="10"/>
  <c r="B17" i="10"/>
  <c r="B16" i="10"/>
  <c r="X16" i="10"/>
  <c r="B15" i="10"/>
  <c r="X15" i="10"/>
  <c r="B14" i="10"/>
  <c r="X14" i="10"/>
  <c r="X13" i="10"/>
  <c r="B13" i="10"/>
  <c r="X12" i="10"/>
  <c r="B12" i="10"/>
  <c r="X11" i="10"/>
  <c r="B11" i="10"/>
  <c r="X10" i="10"/>
  <c r="B10" i="10"/>
  <c r="B9" i="10"/>
  <c r="X9" i="10"/>
  <c r="X8" i="10"/>
  <c r="B8" i="10"/>
  <c r="X7" i="10"/>
  <c r="B7" i="10"/>
  <c r="X6" i="10"/>
  <c r="B6" i="10"/>
  <c r="B5" i="10"/>
  <c r="X5" i="10"/>
  <c r="X4" i="10"/>
  <c r="B4" i="10"/>
  <c r="X3" i="10"/>
  <c r="B3" i="10"/>
  <c r="X2" i="10"/>
  <c r="B2" i="10"/>
  <c r="B3" i="9"/>
  <c r="X3" i="9"/>
  <c r="B37" i="9"/>
  <c r="X37" i="9"/>
  <c r="X36" i="9"/>
  <c r="B36" i="9"/>
  <c r="B35" i="9"/>
  <c r="X35" i="9"/>
  <c r="X34" i="9"/>
  <c r="B34" i="9"/>
  <c r="B33" i="9"/>
  <c r="X33" i="9"/>
  <c r="X32" i="9"/>
  <c r="B32" i="9"/>
  <c r="B31" i="9"/>
  <c r="X31" i="9"/>
  <c r="B30" i="9"/>
  <c r="X30" i="9"/>
  <c r="X29" i="9"/>
  <c r="B29" i="9"/>
  <c r="B28" i="9"/>
  <c r="X28" i="9"/>
  <c r="B27" i="9"/>
  <c r="X27" i="9"/>
  <c r="X26" i="9"/>
  <c r="B26" i="9"/>
  <c r="B25" i="9"/>
  <c r="X25" i="9"/>
  <c r="B24" i="9"/>
  <c r="X24" i="9"/>
  <c r="X23" i="9"/>
  <c r="B23" i="9"/>
  <c r="X22" i="9"/>
  <c r="B22" i="9"/>
  <c r="X21" i="9"/>
  <c r="B21" i="9"/>
  <c r="X20" i="9"/>
  <c r="B20" i="9"/>
  <c r="X19" i="9"/>
  <c r="B19" i="9"/>
  <c r="B18" i="9"/>
  <c r="X18" i="9"/>
  <c r="X17" i="9"/>
  <c r="B17" i="9"/>
  <c r="B16" i="9"/>
  <c r="X16" i="9"/>
  <c r="X15" i="9"/>
  <c r="B15" i="9"/>
  <c r="B14" i="9"/>
  <c r="X14" i="9"/>
  <c r="X13" i="9"/>
  <c r="B13" i="9"/>
  <c r="B12" i="9"/>
  <c r="X12" i="9"/>
  <c r="X11" i="9"/>
  <c r="B11" i="9"/>
  <c r="X10" i="9"/>
  <c r="B10" i="9"/>
  <c r="B9" i="9"/>
  <c r="X9" i="9"/>
  <c r="X8" i="9"/>
  <c r="B8" i="9"/>
  <c r="X7" i="9"/>
  <c r="B7" i="9"/>
  <c r="B6" i="9"/>
  <c r="X6" i="9"/>
  <c r="B5" i="9"/>
  <c r="X5" i="9"/>
  <c r="X4" i="9"/>
  <c r="B4" i="9"/>
  <c r="B2" i="9"/>
  <c r="X2" i="9"/>
  <c r="X8" i="8"/>
  <c r="B8" i="8"/>
  <c r="B6" i="8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T4" i="1"/>
  <c r="T3" i="1"/>
  <c r="T2" i="1"/>
  <c r="T1" i="1"/>
  <c r="H106" i="4"/>
  <c r="H154" i="4"/>
  <c r="AB110" i="6"/>
  <c r="AB109" i="6"/>
  <c r="AB108" i="6"/>
  <c r="AB104" i="6"/>
  <c r="AB96" i="6"/>
  <c r="AB93" i="6"/>
  <c r="AB92" i="6"/>
  <c r="AB90" i="6"/>
  <c r="AB86" i="6"/>
  <c r="AB82" i="6"/>
  <c r="AB106" i="6"/>
  <c r="AB87" i="6"/>
  <c r="AB99" i="6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A96" i="4"/>
  <c r="C96" i="4" s="1"/>
  <c r="C80" i="4"/>
  <c r="A97" i="4"/>
  <c r="C97" i="4" s="1"/>
  <c r="C81" i="4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L2" i="5"/>
  <c r="M2" i="5" s="1"/>
  <c r="N2" i="5" s="1"/>
  <c r="Y4" i="5"/>
  <c r="Y3" i="5"/>
  <c r="AA4" i="5"/>
  <c r="AA3" i="5"/>
  <c r="X2" i="5"/>
  <c r="Z2" i="5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E18" i="1"/>
  <c r="P3" i="1"/>
  <c r="D2" i="1" l="1"/>
  <c r="R2" i="1"/>
  <c r="S2" i="1"/>
  <c r="E2" i="1"/>
  <c r="E4" i="1"/>
  <c r="R4" i="1"/>
  <c r="S4" i="1"/>
  <c r="D4" i="1"/>
  <c r="E3" i="1"/>
  <c r="D3" i="1"/>
  <c r="R3" i="1"/>
  <c r="S3" i="1"/>
  <c r="C138" i="4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1" i="4"/>
  <c r="A67" i="4"/>
  <c r="C52" i="4"/>
  <c r="A68" i="4"/>
  <c r="C53" i="4"/>
  <c r="A69" i="4"/>
  <c r="C54" i="4"/>
  <c r="A70" i="4"/>
  <c r="C55" i="4"/>
  <c r="A71" i="4"/>
  <c r="C56" i="4"/>
  <c r="A72" i="4"/>
  <c r="C57" i="4"/>
  <c r="A73" i="4"/>
  <c r="C58" i="4"/>
  <c r="A74" i="4"/>
  <c r="C59" i="4"/>
  <c r="A75" i="4"/>
  <c r="C146" i="4" l="1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0" i="4"/>
  <c r="A86" i="4"/>
  <c r="C86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<sst xmlns="http://schemas.openxmlformats.org/spreadsheetml/2006/main" count="3085" uniqueCount="798">
  <si>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</si>
  <si>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</si>
  <si>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</si>
  <si>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</si>
  <si>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</si>
  <si>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</si>
  <si>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</si>
  <si>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</si>
  <si>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</si>
  <si>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</si>
  <si>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</si>
  <si>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</si>
  <si>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</si>
  <si>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</si>
  <si>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</si>
  <si>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</si>
  <si>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</si>
  <si>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</si>
  <si>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</si>
  <si>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</si>
  <si>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</si>
  <si>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</si>
  <si>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</si>
  <si>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</si>
  <si>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</si>
  <si>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</si>
  <si>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</si>
  <si>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</si>
  <si>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</si>
  <si>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</si>
  <si>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</si>
  <si>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</si>
  <si>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</si>
  <si>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</si>
  <si>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</si>
  <si>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</si>
  <si>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</si>
  <si>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</si>
  <si>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</si>
  <si>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</si>
  <si>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</si>
  <si>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</si>
  <si>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</si>
  <si>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</si>
  <si>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</si>
  <si>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</si>
  <si>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</si>
  <si>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</si>
  <si>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</si>
  <si>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</si>
  <si>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</si>
  <si>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</si>
  <si>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</si>
  <si>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</si>
  <si>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</si>
  <si>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</si>
  <si>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</si>
  <si>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</si>
  <si>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</si>
  <si>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</si>
  <si>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</si>
  <si>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</si>
  <si>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</si>
  <si>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</si>
  <si>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</si>
  <si>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</si>
  <si>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</si>
  <si>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</si>
  <si>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</si>
  <si>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</si>
  <si>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</si>
  <si>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</si>
  <si>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</si>
  <si>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</si>
  <si>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</si>
  <si>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</si>
  <si>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</si>
  <si>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</si>
  <si>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</si>
  <si>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</si>
  <si>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</si>
  <si>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</si>
  <si>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</si>
  <si>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</si>
  <si>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</si>
  <si>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</si>
  <si>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</si>
  <si>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</si>
  <si>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</si>
  <si>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</si>
  <si>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</si>
  <si>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</si>
  <si>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</si>
  <si>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</si>
  <si>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</si>
  <si>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</si>
  <si>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</si>
  <si>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</si>
  <si>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</si>
  <si>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</si>
  <si>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</si>
  <si>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</si>
  <si>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</si>
  <si>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</si>
  <si>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</si>
  <si>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</si>
  <si>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</si>
  <si>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</si>
  <si>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</si>
  <si>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</si>
  <si>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</si>
  <si>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</si>
  <si>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</si>
  <si>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</si>
  <si>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</si>
  <si>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</si>
  <si>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</si>
  <si>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</si>
  <si>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</si>
  <si>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</si>
  <si>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</si>
  <si>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</si>
  <si>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</si>
  <si>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</si>
  <si>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</si>
  <si>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</si>
  <si>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</si>
  <si>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</si>
  <si>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</si>
  <si>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</si>
  <si>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</si>
  <si>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</si>
  <si>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</si>
  <si>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</si>
  <si>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</si>
  <si>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</si>
  <si>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</si>
  <si>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</si>
  <si>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</si>
  <si>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</si>
  <si>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</si>
  <si>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</si>
  <si>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</si>
  <si>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</si>
  <si>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</si>
  <si>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</si>
  <si>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</si>
  <si>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</si>
  <si>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</si>
  <si>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</si>
  <si>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</si>
  <si>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</si>
  <si>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</si>
  <si>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</si>
  <si>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</si>
  <si>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</si>
  <si>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</si>
  <si>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</si>
  <si>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</si>
  <si>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</si>
  <si>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</si>
  <si>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</si>
  <si>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</si>
  <si>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</si>
  <si>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</si>
  <si>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</si>
  <si>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</si>
  <si>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</si>
  <si>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</si>
  <si>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</si>
  <si>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</si>
  <si>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</si>
  <si>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</si>
  <si>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</si>
  <si>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</si>
  <si>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</si>
  <si>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</si>
  <si>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</si>
  <si>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</si>
  <si>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</si>
  <si>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</si>
  <si>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</si>
  <si>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</si>
  <si>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</si>
  <si>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</si>
  <si>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</si>
  <si>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</si>
  <si>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</si>
  <si>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</si>
  <si>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</si>
  <si>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</si>
  <si>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</si>
  <si>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</si>
  <si>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</si>
  <si>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</si>
  <si>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</si>
  <si>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</si>
  <si>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</si>
  <si>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</si>
  <si>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</si>
  <si>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</si>
  <si>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</si>
  <si>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</si>
  <si>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</si>
  <si>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</si>
  <si>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</si>
  <si>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</si>
  <si>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</si>
  <si>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</si>
  <si>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</si>
  <si>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</si>
  <si>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</si>
  <si>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</si>
  <si>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</si>
  <si>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</si>
  <si>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</si>
  <si>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</si>
  <si>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</si>
  <si>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</si>
  <si>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</si>
  <si>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</si>
  <si>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</si>
  <si>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</si>
  <si>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</si>
  <si>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</si>
  <si>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</si>
  <si>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</si>
  <si>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</si>
  <si>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</si>
  <si>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</si>
  <si>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</si>
  <si>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</si>
  <si>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</si>
  <si>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</si>
  <si>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</si>
  <si>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</si>
  <si>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</si>
  <si>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</si>
  <si>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</si>
  <si>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</si>
  <si>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</si>
  <si>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</si>
  <si>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</si>
  <si>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</si>
  <si>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</si>
  <si>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</si>
  <si>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</si>
  <si>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</si>
  <si>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</si>
  <si>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</si>
  <si>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</si>
  <si>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</si>
  <si>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</si>
  <si>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</si>
  <si>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</si>
  <si>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</si>
  <si>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</si>
  <si>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</si>
  <si>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</si>
  <si>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</si>
  <si>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</si>
  <si>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</si>
  <si>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</si>
  <si>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</si>
  <si>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</si>
  <si>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</si>
  <si>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</si>
  <si>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</si>
  <si>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</si>
  <si>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</si>
  <si>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</si>
  <si>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</si>
  <si>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</si>
  <si>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</si>
  <si>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</si>
  <si>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</si>
  <si>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</si>
  <si>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</si>
  <si>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</si>
  <si>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</si>
  <si>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</si>
  <si>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</si>
  <si>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</si>
  <si>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</si>
  <si>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</si>
  <si>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</si>
  <si>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</si>
  <si>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</si>
  <si>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</si>
  <si>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</si>
  <si>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</si>
  <si>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</si>
  <si>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</si>
  <si>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</si>
  <si>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</si>
  <si>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</si>
  <si>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</si>
  <si>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</si>
  <si>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</si>
  <si>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</si>
  <si>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</si>
  <si>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</si>
  <si>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</si>
  <si>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</si>
  <si>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</si>
  <si>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</si>
  <si>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</si>
  <si>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</si>
  <si>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</si>
  <si>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</si>
  <si>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</si>
  <si>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</si>
  <si>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</si>
  <si>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</si>
  <si>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</si>
  <si>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</si>
  <si>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</si>
  <si>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</si>
  <si>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</si>
  <si>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</si>
  <si>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</si>
  <si>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</si>
  <si>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</si>
  <si>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</si>
  <si>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</si>
  <si>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</si>
  <si>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</si>
  <si>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</si>
  <si>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</si>
  <si>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</si>
  <si>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</si>
  <si>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</si>
  <si>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</si>
  <si>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</si>
  <si>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</si>
  <si>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</si>
  <si>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</si>
  <si>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</si>
  <si>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</si>
  <si>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</si>
  <si>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</si>
  <si>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</si>
  <si>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</si>
  <si>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</si>
  <si>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</si>
  <si>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</si>
  <si>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</si>
  <si>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</si>
  <si>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</si>
  <si>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</si>
  <si>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</si>
  <si>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</si>
  <si>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</si>
  <si>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</si>
  <si>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</si>
  <si>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</si>
  <si>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</si>
  <si>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</si>
  <si>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</si>
  <si>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</si>
  <si>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</si>
  <si>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</si>
  <si>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</si>
  <si>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</si>
  <si>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</si>
  <si>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</si>
  <si>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</si>
  <si>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</si>
  <si>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</si>
  <si>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</si>
  <si>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</si>
  <si>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</si>
  <si>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</si>
  <si>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</si>
  <si>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</si>
  <si>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</si>
  <si>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</si>
  <si>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</si>
  <si>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</si>
  <si>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</si>
  <si>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</si>
  <si>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</si>
  <si>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</si>
  <si>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</si>
  <si>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</si>
  <si>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</si>
  <si>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</si>
  <si>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</si>
  <si>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</si>
  <si>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</si>
  <si>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</si>
  <si>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</si>
  <si>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</si>
  <si>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</si>
  <si>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</si>
  <si>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</si>
  <si>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</si>
  <si>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</si>
  <si>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</si>
  <si>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</si>
  <si>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</si>
  <si>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</si>
  <si>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</si>
  <si>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</si>
  <si>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</si>
  <si>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</si>
  <si>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</si>
  <si>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</si>
  <si>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</si>
  <si>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</si>
  <si>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</si>
  <si>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</si>
  <si>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</si>
  <si>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</si>
  <si>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</si>
  <si>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</si>
  <si>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</si>
  <si>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</si>
  <si>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</si>
  <si>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</si>
  <si>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</si>
  <si>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</si>
  <si>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</si>
  <si>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</si>
  <si>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</si>
  <si>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</si>
  <si>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</si>
  <si>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</si>
  <si>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</si>
  <si>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</si>
  <si>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</si>
  <si>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</si>
  <si>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</si>
  <si>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</si>
  <si>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</si>
  <si>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</si>
  <si>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</si>
  <si>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</si>
  <si>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</si>
  <si>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</si>
  <si>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</si>
  <si>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</si>
  <si>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</si>
  <si>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</si>
  <si>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</si>
  <si>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</si>
  <si>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</si>
  <si>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</si>
  <si>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</si>
  <si>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</si>
  <si>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</si>
  <si>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</si>
  <si>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</si>
  <si>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</si>
  <si>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</si>
  <si>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</si>
  <si>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</si>
  <si>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</si>
  <si>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</si>
  <si>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</si>
  <si>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</si>
  <si>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</si>
  <si>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</si>
  <si>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</si>
  <si>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</si>
  <si>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</si>
  <si>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</si>
  <si>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</si>
  <si>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</si>
  <si>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</si>
  <si>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</si>
  <si>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</si>
  <si>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</si>
  <si>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</si>
  <si>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</si>
  <si>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</si>
  <si>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</si>
  <si>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</si>
  <si>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</si>
  <si>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</si>
  <si>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</si>
  <si>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</si>
  <si>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</si>
  <si>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</si>
  <si>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</si>
  <si>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</si>
  <si>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</si>
  <si>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</si>
  <si>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</si>
  <si>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</si>
  <si>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</si>
  <si>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</si>
  <si>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</si>
  <si>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</si>
  <si>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</si>
  <si>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</si>
  <si>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</si>
  <si>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</si>
  <si>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</si>
  <si>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</si>
  <si>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</si>
  <si>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</si>
  <si>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</si>
  <si>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</si>
  <si>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</si>
  <si>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</si>
  <si>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</si>
  <si>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</si>
  <si>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</si>
  <si>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</si>
  <si>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</si>
  <si>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</si>
  <si>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</si>
  <si>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</si>
  <si>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</si>
  <si>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</si>
  <si>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</si>
  <si>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</si>
  <si>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</si>
  <si>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</si>
  <si>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</si>
  <si>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</si>
  <si>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</si>
  <si>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</si>
  <si>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</si>
  <si>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</si>
  <si>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</si>
  <si>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</si>
  <si>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</si>
  <si>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</si>
  <si>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</si>
  <si>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</si>
  <si>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</si>
  <si>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</si>
  <si>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</si>
  <si>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</si>
  <si>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</si>
  <si>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</si>
  <si>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</si>
  <si>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</si>
  <si>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</si>
  <si>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</si>
  <si>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</si>
  <si>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</si>
  <si>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</si>
  <si>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</si>
  <si>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</si>
  <si>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</si>
  <si>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</si>
  <si>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</si>
  <si>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</si>
  <si>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</si>
  <si>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</si>
  <si>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</si>
  <si>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</si>
  <si>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</si>
  <si>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</si>
  <si>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</si>
  <si>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</si>
  <si>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</si>
  <si>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</si>
  <si>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</si>
  <si>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</si>
  <si>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</si>
  <si>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</si>
  <si>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</si>
  <si>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</si>
  <si>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</si>
  <si>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</si>
  <si>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</si>
  <si>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</si>
  <si>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</si>
  <si>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</si>
  <si>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</si>
  <si>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</si>
  <si>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</si>
  <si>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</si>
  <si>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</si>
  <si>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</si>
  <si>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</si>
  <si>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</si>
  <si>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</si>
  <si>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</si>
  <si>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</si>
  <si>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</si>
  <si>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</si>
  <si>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</si>
  <si>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</si>
  <si>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</si>
  <si>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</si>
  <si>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</si>
  <si>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</si>
  <si>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</si>
  <si>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</si>
  <si>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</si>
  <si>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</si>
  <si>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</si>
  <si>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</si>
  <si>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</si>
  <si>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</si>
  <si>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</si>
  <si>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</si>
  <si>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</si>
  <si>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</si>
  <si>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</si>
  <si>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</si>
  <si>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</si>
  <si>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</si>
  <si>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</si>
  <si>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</si>
  <si>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</si>
  <si>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</si>
  <si>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</si>
  <si>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</si>
  <si>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</si>
  <si>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</si>
  <si>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</si>
  <si>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</si>
  <si>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</si>
  <si>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</si>
  <si>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</si>
  <si>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</si>
  <si>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</si>
  <si>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</si>
  <si>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</si>
  <si>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</si>
  <si>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</si>
  <si>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</si>
  <si>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</si>
  <si>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</si>
  <si>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</si>
  <si>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</si>
  <si>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</si>
  <si>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</si>
  <si>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</si>
  <si>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</si>
  <si>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</si>
  <si>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</si>
  <si>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</si>
  <si>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</si>
  <si>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</si>
  <si>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</si>
  <si>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</si>
  <si>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</si>
  <si>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</si>
  <si>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</si>
  <si>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</si>
  <si>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</si>
  <si>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</si>
  <si>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</si>
  <si>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</si>
  <si>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</si>
  <si>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</si>
  <si>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</si>
  <si>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</si>
  <si>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</si>
  <si>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</si>
  <si>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</si>
  <si>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</si>
  <si>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</si>
  <si>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</si>
  <si>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</si>
  <si>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</si>
  <si>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</si>
  <si>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</si>
  <si>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</si>
  <si>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</si>
  <si>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</si>
  <si>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</si>
  <si>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</si>
  <si>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</si>
  <si>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</si>
  <si>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</si>
  <si>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</si>
  <si>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</si>
  <si>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</si>
  <si>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</si>
  <si>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</si>
  <si>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</si>
  <si>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</si>
  <si>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</si>
  <si>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</si>
  <si>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</si>
  <si>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</si>
  <si>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</si>
  <si>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</si>
  <si>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</si>
  <si>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</si>
  <si>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</si>
  <si>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</si>
  <si>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</si>
  <si>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</si>
  <si>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</si>
  <si>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</si>
  <si>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</si>
  <si>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</si>
  <si>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</si>
  <si>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</si>
  <si>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</si>
  <si>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</si>
  <si>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</si>
  <si>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</si>
  <si>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</si>
  <si>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</si>
  <si>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</si>
  <si>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</si>
  <si>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</si>
  <si>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</si>
  <si>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</si>
  <si>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</si>
  <si>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</si>
  <si>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</si>
  <si>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</si>
  <si>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</si>
  <si>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</si>
  <si>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</si>
  <si>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</si>
  <si>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</si>
  <si>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</si>
  <si>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</si>
  <si>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</si>
  <si>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</si>
  <si>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</si>
  <si>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</si>
  <si>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</si>
  <si>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</si>
  <si>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</si>
  <si>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</si>
  <si>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</si>
  <si>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</si>
  <si>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</si>
  <si>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</si>
  <si>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</si>
  <si>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</si>
  <si>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</si>
  <si>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</si>
  <si>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</si>
  <si>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</si>
  <si>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</si>
  <si>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</si>
  <si>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</si>
  <si>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</si>
  <si>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</si>
  <si>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</si>
  <si>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</si>
  <si>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</si>
  <si>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</si>
  <si>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</si>
  <si>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</si>
  <si>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</si>
  <si>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</si>
  <si>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ETHVer1</t>
  </si>
  <si>
    <t>ETHVer2</t>
  </si>
  <si>
    <t>ETHVer3</t>
  </si>
  <si>
    <t>ETHVer4</t>
  </si>
  <si>
    <t>ETHVer5</t>
  </si>
  <si>
    <t>ETHVer6</t>
  </si>
  <si>
    <t>ETHVer7</t>
  </si>
  <si>
    <t>ETHVer8</t>
  </si>
  <si>
    <t>IMM ver</t>
  </si>
  <si>
    <t>CSC Ver</t>
  </si>
  <si>
    <t>Reg</t>
  </si>
  <si>
    <t>SBMU01</t>
  </si>
  <si>
    <t>SBMU02</t>
  </si>
  <si>
    <t>SBMU03</t>
  </si>
  <si>
    <t>SBMU04</t>
  </si>
  <si>
    <t>SBMU05</t>
  </si>
  <si>
    <t>Enable</t>
  </si>
  <si>
    <t>Disable</t>
  </si>
  <si>
    <t xml:space="preserve"> Connect fail</t>
  </si>
  <si>
    <t>read</t>
  </si>
  <si>
    <t>RackEn</t>
  </si>
  <si>
    <t>No</t>
  </si>
  <si>
    <t>WriteValue</t>
  </si>
  <si>
    <t>ReadValue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</si>
  <si>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</si>
  <si>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</si>
  <si>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</si>
  <si>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</si>
  <si>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</si>
  <si>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</si>
  <si>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</si>
  <si>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</si>
  <si>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lastWrite</t>
  </si>
  <si>
    <t>MiniChart</t>
  </si>
  <si>
    <t>OK</t>
  </si>
  <si>
    <t>softCharge issue</t>
  </si>
  <si>
    <t>Column1</t>
  </si>
  <si>
    <t>soft</t>
  </si>
  <si>
    <t>softChrg issue</t>
  </si>
  <si>
    <t>softcharge issue</t>
  </si>
  <si>
    <t>softchrg issue</t>
  </si>
  <si>
    <t>softcharge</t>
  </si>
  <si>
    <t>SF6 gas</t>
  </si>
  <si>
    <t>closed</t>
  </si>
  <si>
    <t xml:space="preserve"> Set OK</t>
  </si>
  <si>
    <t>SocCalibrated</t>
  </si>
  <si>
    <t>SocVolt-20250120-075252.csv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</si>
</sst>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3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  <font>
      <b/>
      <sz val="16"/>
      <color theme="1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4">
    <xf numFmtId="0" fontId="0" fillId="0" borderId="0">
      <alignment vertical="center"/>
    </xf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</cellStyleXfs>
  <cellXfs count="111">
    <xf numFmtId="0" fontId="0" fillId="0" borderId="0" xfId="0">
      <alignment vertical="center"/>
    </xf>
    <xf numFmtId="0" fontId="7" fillId="6" borderId="10" xfId="0" applyFont="1" applyFill="1" applyBorder="1">
      <alignment vertical="center"/>
    </xf>
    <xf numFmtId="0" fontId="7" fillId="6" borderId="11" xfId="0" applyFont="1" applyFill="1" applyBorder="1" applyAlignment="1">
      <alignment vertical="center" wrapText="1"/>
    </xf>
    <xf numFmtId="0" fontId="7" fillId="6" borderId="12" xfId="0" applyFont="1" applyFill="1" applyBorder="1">
      <alignment vertical="center"/>
    </xf>
    <xf numFmtId="0" fontId="8" fillId="7" borderId="10" xfId="0" applyFont="1" applyFill="1" applyBorder="1">
      <alignment vertical="center"/>
    </xf>
    <xf numFmtId="164" fontId="8" fillId="7" borderId="11" xfId="0" applyNumberFormat="1" applyFont="1" applyFill="1" applyBorder="1">
      <alignment vertical="center"/>
    </xf>
    <xf numFmtId="0" fontId="8" fillId="7" borderId="12" xfId="0" applyFont="1" applyFill="1" applyBorder="1">
      <alignment vertical="center"/>
    </xf>
    <xf numFmtId="0" fontId="8" fillId="0" borderId="10" xfId="0" applyFont="1" applyBorder="1">
      <alignment vertical="center"/>
    </xf>
    <xf numFmtId="164" fontId="8" fillId="0" borderId="11" xfId="0" applyNumberFormat="1" applyFont="1" applyBorder="1">
      <alignment vertical="center"/>
    </xf>
    <xf numFmtId="0" fontId="8" fillId="0" borderId="12" xfId="0" applyFont="1" applyBorder="1">
      <alignment vertical="center"/>
    </xf>
    <xf numFmtId="0" fontId="8" fillId="0" borderId="1" xfId="0" applyFont="1" applyBorder="1">
      <alignment vertical="center"/>
    </xf>
    <xf numFmtId="164" fontId="8" fillId="0" borderId="2" xfId="0" applyNumberFormat="1" applyFont="1" applyBorder="1">
      <alignment vertical="center"/>
    </xf>
    <xf numFmtId="0" fontId="8" fillId="0" borderId="3" xfId="0" applyFont="1" applyBorder="1">
      <alignment vertical="center"/>
    </xf>
    <xf numFmtId="0" fontId="7" fillId="8" borderId="4" xfId="0" applyFont="1" applyFill="1" applyBorder="1">
      <alignment vertical="center"/>
    </xf>
    <xf numFmtId="0" fontId="7" fillId="8" borderId="5" xfId="0" applyFont="1" applyFill="1" applyBorder="1">
      <alignment vertical="center"/>
    </xf>
    <xf numFmtId="0" fontId="7" fillId="8" borderId="6" xfId="0" applyFont="1" applyFill="1" applyBorder="1">
      <alignment vertical="center"/>
    </xf>
    <xf numFmtId="0" fontId="9" fillId="0" borderId="6" xfId="0" applyFont="1" applyBorder="1">
      <alignment vertical="center"/>
    </xf>
    <xf numFmtId="0" fontId="9" fillId="0" borderId="9" xfId="0" applyFont="1" applyBorder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7" fillId="6" borderId="11" xfId="0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1" fillId="5" borderId="0" xfId="2" applyFont="1" applyFill="1" applyBorder="1" applyAlignment="1">
      <alignment horizontal="right" vertical="center"/>
    </xf>
    <xf numFmtId="0" fontId="10" fillId="5" borderId="0" xfId="2" applyFont="1" applyFill="1" applyBorder="1" applyAlignment="1">
      <alignment vertical="center"/>
    </xf>
    <xf numFmtId="0" fontId="7" fillId="6" borderId="0" xfId="0" applyFont="1" applyFill="1">
      <alignment vertical="center"/>
    </xf>
    <xf numFmtId="165" fontId="0" fillId="0" borderId="0" xfId="0" applyNumberForma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4" fillId="9" borderId="0" xfId="1" applyFill="1" applyAlignment="1" applyProtection="1">
      <alignment vertical="center"/>
      <protection locked="0"/>
    </xf>
    <xf numFmtId="0" fontId="6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" fontId="8" fillId="7" borderId="10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1" fontId="8" fillId="7" borderId="12" xfId="0" applyNumberFormat="1" applyFont="1" applyFill="1" applyBorder="1">
      <alignment vertical="center"/>
    </xf>
    <xf numFmtId="1" fontId="8" fillId="0" borderId="12" xfId="0" applyNumberFormat="1" applyFont="1" applyBorder="1">
      <alignment vertical="center"/>
    </xf>
    <xf numFmtId="1" fontId="8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2" fillId="6" borderId="10" xfId="0" applyFont="1" applyFill="1" applyBorder="1">
      <alignment vertical="center"/>
    </xf>
    <xf numFmtId="0" fontId="12" fillId="6" borderId="11" xfId="0" applyFont="1" applyFill="1" applyBorder="1">
      <alignment vertical="center"/>
    </xf>
    <xf numFmtId="0" fontId="12" fillId="6" borderId="12" xfId="0" applyFont="1" applyFill="1" applyBorder="1">
      <alignment vertical="center"/>
    </xf>
    <xf numFmtId="0" fontId="12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4" fillId="0" borderId="0" xfId="0" applyFont="1">
      <alignment vertical="center"/>
    </xf>
    <xf numFmtId="0" fontId="8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6" fillId="0" borderId="0" xfId="0" applyFont="1" applyAlignment="1"/>
    <xf numFmtId="0" fontId="15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9" fillId="0" borderId="5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17" borderId="1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19" xfId="0" applyFont="1" applyFill="1" applyBorder="1" applyAlignment="1">
      <alignment horizontal="center" vertical="center"/>
    </xf>
    <xf numFmtId="0" fontId="8" fillId="17" borderId="20" xfId="0" applyFont="1" applyFill="1" applyBorder="1" applyAlignment="1">
      <alignment horizontal="center" vertical="center"/>
    </xf>
    <xf numFmtId="0" fontId="8" fillId="17" borderId="21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/>
    </xf>
    <xf numFmtId="0" fontId="8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8" fillId="17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8" fillId="9" borderId="19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 applyAlignment="1"/>
    <xf numFmtId="0" fontId="18" fillId="0" borderId="0" xfId="0" applyFont="1" applyAlignment="1">
      <alignment horizontal="center"/>
    </xf>
    <xf numFmtId="0" fontId="0" fillId="19" borderId="0" xfId="0" applyFill="1">
      <alignment vertical="center"/>
    </xf>
    <xf numFmtId="0" fontId="8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9" borderId="22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0" borderId="14" xfId="0" applyBorder="1">
      <alignment vertical="center"/>
    </xf>
    <xf numFmtId="0" fontId="12" fillId="8" borderId="24" xfId="0" applyFont="1" applyFill="1" applyBorder="1">
      <alignment vertical="center"/>
    </xf>
    <xf numFmtId="0" fontId="12" fillId="8" borderId="25" xfId="0" applyFont="1" applyFill="1" applyBorder="1">
      <alignment vertical="center"/>
    </xf>
    <xf numFmtId="0" fontId="12" fillId="8" borderId="26" xfId="0" applyFont="1" applyFill="1" applyBorder="1">
      <alignment vertical="center"/>
    </xf>
    <xf numFmtId="0" fontId="0" fillId="12" borderId="24" xfId="0" applyFill="1" applyBorder="1">
      <alignment vertical="center"/>
    </xf>
    <xf numFmtId="0" fontId="0" fillId="12" borderId="25" xfId="0" applyFill="1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12" borderId="15" xfId="0" applyFont="1" applyFill="1" applyBorder="1">
      <alignment vertical="center"/>
    </xf>
    <xf numFmtId="0" fontId="22" fillId="13" borderId="0" xfId="0" applyFont="1" applyFill="1" applyAlignment="1">
      <alignment horizontal="center" vertical="center"/>
    </xf>
    <xf numFmtId="0" fontId="8" fillId="9" borderId="23" xfId="0" applyFont="1" applyFill="1" applyBorder="1" applyAlignment="1">
      <alignment horizontal="center"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138">
    <dxf>
      <numFmt numFmtId="0" formatCode="General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4.5999999999999996</c:v>
                </c:pt>
                <c:pt idx="1">
                  <c:v>5.5</c:v>
                </c:pt>
                <c:pt idx="2">
                  <c:v>6.2</c:v>
                </c:pt>
                <c:pt idx="3">
                  <c:v>4.5</c:v>
                </c:pt>
                <c:pt idx="4">
                  <c:v>89</c:v>
                </c:pt>
                <c:pt idx="5">
                  <c:v>0.3</c:v>
                </c:pt>
                <c:pt idx="6">
                  <c:v>5.4</c:v>
                </c:pt>
                <c:pt idx="7">
                  <c:v>7.1</c:v>
                </c:pt>
                <c:pt idx="8">
                  <c:v>5</c:v>
                </c:pt>
                <c:pt idx="9">
                  <c:v>5.4</c:v>
                </c:pt>
                <c:pt idx="10">
                  <c:v>87.3</c:v>
                </c:pt>
                <c:pt idx="11">
                  <c:v>86.8</c:v>
                </c:pt>
                <c:pt idx="12">
                  <c:v>87</c:v>
                </c:pt>
                <c:pt idx="13">
                  <c:v>86.7</c:v>
                </c:pt>
                <c:pt idx="14">
                  <c:v>86.5</c:v>
                </c:pt>
                <c:pt idx="15">
                  <c:v>5.7</c:v>
                </c:pt>
                <c:pt idx="16">
                  <c:v>3.6</c:v>
                </c:pt>
                <c:pt idx="17">
                  <c:v>3.3</c:v>
                </c:pt>
                <c:pt idx="18">
                  <c:v>50.7</c:v>
                </c:pt>
                <c:pt idx="19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1.3</c:v>
                </c:pt>
                <c:pt idx="1">
                  <c:v>1.7</c:v>
                </c:pt>
                <c:pt idx="2">
                  <c:v>1.4</c:v>
                </c:pt>
                <c:pt idx="3">
                  <c:v>0.9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1</c:v>
                </c:pt>
                <c:pt idx="1">
                  <c:v>7</c:v>
                </c:pt>
                <c:pt idx="2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7409</xdr:rowOff>
        </xdr:from>
        <xdr:to>
          <xdr:col>5</xdr:col>
          <xdr:colOff>381000</xdr:colOff>
          <xdr:row>5</xdr:row>
          <xdr:rowOff>102659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6</xdr:row>
          <xdr:rowOff>74084</xdr:rowOff>
        </xdr:from>
        <xdr:to>
          <xdr:col>5</xdr:col>
          <xdr:colOff>381000</xdr:colOff>
          <xdr:row>7</xdr:row>
          <xdr:rowOff>178859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8</xdr:row>
          <xdr:rowOff>140759</xdr:rowOff>
        </xdr:from>
        <xdr:to>
          <xdr:col>5</xdr:col>
          <xdr:colOff>381000</xdr:colOff>
          <xdr:row>10</xdr:row>
          <xdr:rowOff>45509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11</xdr:row>
          <xdr:rowOff>16934</xdr:rowOff>
        </xdr:from>
        <xdr:to>
          <xdr:col>5</xdr:col>
          <xdr:colOff>381000</xdr:colOff>
          <xdr:row>12</xdr:row>
          <xdr:rowOff>112184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396875</xdr:colOff>
          <xdr:row>1</xdr:row>
          <xdr:rowOff>112184</xdr:rowOff>
        </xdr:from>
        <xdr:to>
          <xdr:col>17</xdr:col>
          <xdr:colOff>606425</xdr:colOff>
          <xdr:row>3</xdr:row>
          <xdr:rowOff>35984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16</xdr:row>
          <xdr:rowOff>45508</xdr:rowOff>
        </xdr:from>
        <xdr:to>
          <xdr:col>3</xdr:col>
          <xdr:colOff>428625</xdr:colOff>
          <xdr:row>17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9525</xdr:rowOff>
    </xdr:from>
    <xdr:to>
      <xdr:col>18</xdr:col>
      <xdr:colOff>676275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0</xdr:rowOff>
        </xdr:from>
        <xdr:to>
          <xdr:col>19</xdr:col>
          <xdr:colOff>228600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3</xdr:row>
          <xdr:rowOff>9525</xdr:rowOff>
        </xdr:from>
        <xdr:to>
          <xdr:col>8</xdr:col>
          <xdr:colOff>19050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7</xdr:row>
          <xdr:rowOff>38100</xdr:rowOff>
        </xdr:from>
        <xdr:to>
          <xdr:col>8</xdr:col>
          <xdr:colOff>19050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514350</xdr:colOff>
          <xdr:row>1</xdr:row>
          <xdr:rowOff>114300</xdr:rowOff>
        </xdr:from>
        <xdr:to>
          <xdr:col>16</xdr:col>
          <xdr:colOff>38100</xdr:colOff>
          <xdr:row>3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514350</xdr:colOff>
          <xdr:row>5</xdr:row>
          <xdr:rowOff>57150</xdr:rowOff>
        </xdr:from>
        <xdr:to>
          <xdr:col>16</xdr:col>
          <xdr:colOff>38100</xdr:colOff>
          <xdr:row>7</xdr:row>
          <xdr:rowOff>95250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114300</xdr:rowOff>
        </xdr:from>
        <xdr:to>
          <xdr:col>15</xdr:col>
          <xdr:colOff>247650</xdr:colOff>
          <xdr:row>3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5</xdr:row>
          <xdr:rowOff>57150</xdr:rowOff>
        </xdr:from>
        <xdr:to>
          <xdr:col>15</xdr:col>
          <xdr:colOff>247650</xdr:colOff>
          <xdr:row>7</xdr:row>
          <xdr:rowOff>95250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209550</xdr:colOff>
          <xdr:row>1</xdr:row>
          <xdr:rowOff>0</xdr:rowOff>
        </xdr:from>
        <xdr:to>
          <xdr:col>30</xdr:col>
          <xdr:colOff>419100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94</xdr:row>
          <xdr:rowOff>95250</xdr:rowOff>
        </xdr:from>
        <xdr:to>
          <xdr:col>35</xdr:col>
          <xdr:colOff>333375</xdr:colOff>
          <xdr:row>119</xdr:row>
          <xdr:rowOff>114300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4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744200" y="1314450"/>
              <a:ext cx="8924925" cy="4305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438150</xdr:colOff>
          <xdr:row>1</xdr:row>
          <xdr:rowOff>0</xdr:rowOff>
        </xdr:from>
        <xdr:to>
          <xdr:col>34</xdr:col>
          <xdr:colOff>647700</xdr:colOff>
          <xdr:row>3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95250</xdr:rowOff>
        </xdr:from>
        <xdr:to>
          <xdr:col>6</xdr:col>
          <xdr:colOff>180975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134"/>
    <tableColumn id="4" xr3:uid="{A2B1FA6A-B545-420E-A549-FC37C36A5448}" name="PI" dataDxfId="133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13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M37" totalsRowShown="0">
  <tableColumns count="13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129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128"/>
    <tableColumn id="2" xr3:uid="{4D830C53-96D4-4064-9F8E-FD143E2BD378}" name="SBMU01" dataDxfId="127"/>
    <tableColumn id="3" xr3:uid="{77C00579-1858-43E6-81A6-F7D88017D042}" name="SBMU02" dataDxfId="126"/>
    <tableColumn id="6" xr3:uid="{D14FA460-C871-43F6-BFD4-44137C3900CC}" name="SBMU03" dataDxfId="125"/>
    <tableColumn id="7" xr3:uid="{EABF08BC-BE37-484F-95EA-57CE24C3977E}" name="SBMU04" dataDxfId="124"/>
    <tableColumn id="8" xr3:uid="{3E2DC931-5BB6-4CE9-A92D-91E2B370EA7F}" name="SBMU05" dataDxfId="123"/>
    <tableColumn id="9" xr3:uid="{E4D3E3B5-5B20-4C72-8B25-30F661AD138E}" name="WriteValue" dataDxfId="122">
      <calculatedColumnFormula array="1">IF(SUM(Table18[[#This Row],[SBMU01]:[SBMU05]])=0,0,SUMPRODUCT(IF(Table18[[#This Row],[SBMU01]:[SBMU05]]=0,1,0),{1,2,4,8,16}))</calculatedColumnFormula>
    </tableColumn>
    <tableColumn id="10" xr3:uid="{C51BD675-D564-4D02-993E-7B6BEA172E38}" name="ReadValue"/>
    <tableColumn id="11" xr3:uid="{834459DC-7591-4A7E-A83E-75918FB4524E}" name="lastWrite"/>
    <tableColumn id="12" xr3:uid="{4E03E88F-9FD5-4AA8-9B34-3B5683FBA350}" name="MiniChart"/>
    <tableColumn id="13" xr3:uid="{515A2160-17CD-4FFC-BCF2-B8B0A90E19C5}" name="Column1" dataDxfId="9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18F9C4-D021-4C4E-B9EA-814F6F60410A}" name="Table18911" displayName="Table18911" ref="A1:M37" totalsRowShown="0">
  <tableColumns count="13">
    <tableColumn id="1" xr3:uid="{8EA4232F-47FE-4C32-89BA-8EAB6C9AFB83}" name="IP">
      <calculatedColumnFormula>SUBSTITUTE(V2,".8.","."&amp;$R$1&amp;".")</calculatedColumnFormula>
    </tableColumn>
    <tableColumn id="4" xr3:uid="{51913CD8-E3C0-4C2D-84CD-8842B706CB90}" name="PI" dataDxfId="117">
      <calculatedColumnFormula>MID(Table18911[[#This Row],[IP]],LEN(Table18911[[#This Row],[IP]])-1,1)+(--MID(Table18911[[#This Row],[IP]],8,1)-1)*9</calculatedColumnFormula>
    </tableColumn>
    <tableColumn id="5" xr3:uid="{B8BC0478-6CF3-41E0-A4BF-5EB0D07BB1C0}" name="No" dataDxfId="116"/>
    <tableColumn id="2" xr3:uid="{A2FC72AF-36B2-4A40-B751-97A133D2DEF3}" name="SBMU01" dataDxfId="115"/>
    <tableColumn id="3" xr3:uid="{F624E206-9161-49EC-B6DB-72A05402C76A}" name="SBMU02" dataDxfId="114"/>
    <tableColumn id="6" xr3:uid="{77572D9C-1C9E-4C6E-84E5-4D8908A73C33}" name="SBMU03" dataDxfId="113"/>
    <tableColumn id="7" xr3:uid="{B412A291-9CF7-46F3-BBA6-7947FFFF58E7}" name="SBMU04" dataDxfId="112"/>
    <tableColumn id="8" xr3:uid="{3A18B918-B6DB-4E9E-B627-A6290B63C3BC}" name="SBMU05" dataDxfId="111"/>
    <tableColumn id="9" xr3:uid="{EEFE901A-3421-406C-9693-E2977A814898}" name="WriteValue" dataDxfId="110">
      <calculatedColumnFormula array="1">IF(SUM(Table18911[[#This Row],[SBMU01]:[SBMU05]])=0,0,SUMPRODUCT(IF(Table18911[[#This Row],[SBMU01]:[SBMU05]]=0,1,0),{1,2,4,8,16}))</calculatedColumnFormula>
    </tableColumn>
    <tableColumn id="10" xr3:uid="{FC39772D-5E35-478A-B1B8-E0746E5F04C9}" name="ReadValue"/>
    <tableColumn id="11" xr3:uid="{66FE5335-93B0-45A1-A08E-B14BF493B7FC}" name="lastWrite"/>
    <tableColumn id="12" xr3:uid="{28D45A69-BBFF-48D0-81AF-FA2C1C3B1E71}" name="MiniChart"/>
    <tableColumn id="13" xr3:uid="{5B800158-799B-4957-B1DA-FAEEEAA7B3FE}" name="Column1" dataDxfId="6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FB5FE0-2A6C-4B47-AD2B-6BBCF6D8CEA4}" name="Table189" displayName="Table189" ref="A1:M37" totalsRowShown="0">
  <tableColumns count="13">
    <tableColumn id="1" xr3:uid="{6A4A381F-8FC5-4CC2-8568-AE023CB10393}" name="IP">
      <calculatedColumnFormula>SUBSTITUTE(V2,".8.","."&amp;$R$1&amp;".")</calculatedColumnFormula>
    </tableColumn>
    <tableColumn id="4" xr3:uid="{9E3C97A3-2A27-4481-8ADF-0CF79EEF1228}" name="PI" dataDxfId="107">
      <calculatedColumnFormula>MID(Table189[[#This Row],[IP]],LEN(Table189[[#This Row],[IP]])-1,1)+(--MID(Table189[[#This Row],[IP]],8,1)-1)*9</calculatedColumnFormula>
    </tableColumn>
    <tableColumn id="5" xr3:uid="{3F83FBD5-02E0-4BD8-865D-A9B021730EA2}" name="No" dataDxfId="106"/>
    <tableColumn id="2" xr3:uid="{BE1090A0-FCE1-41C6-BDDA-30C617F2ED67}" name="SBMU01" dataDxfId="105"/>
    <tableColumn id="3" xr3:uid="{DAC14E32-2FDF-4DA1-899B-7FE5F352BA52}" name="SBMU02" dataDxfId="104"/>
    <tableColumn id="6" xr3:uid="{3B3A1DD9-08A3-4E6E-AD64-66E5FA8CE5FD}" name="SBMU03" dataDxfId="103"/>
    <tableColumn id="7" xr3:uid="{0939F8C9-FEC1-455A-A318-DB596C96DF39}" name="SBMU04" dataDxfId="102"/>
    <tableColumn id="8" xr3:uid="{961F1C2D-AD81-4E65-8C17-D454A70E51F9}" name="SBMU05" dataDxfId="101"/>
    <tableColumn id="9" xr3:uid="{6F89E611-73F2-459F-809B-A736FD263FB9}" name="WriteValue" dataDxfId="100">
      <calculatedColumnFormula array="1">IF(SUM(Table189[[#This Row],[SBMU01]:[SBMU05]])=0,0,SUMPRODUCT(IF(Table189[[#This Row],[SBMU01]:[SBMU05]]=0,1,0),{1,2,4,8,16}))</calculatedColumnFormula>
    </tableColumn>
    <tableColumn id="10" xr3:uid="{18BD9553-A2EA-4AFD-8D30-596795153279}" name="ReadValue"/>
    <tableColumn id="11" xr3:uid="{63F72C24-8F23-460B-B08E-431A7C03C909}" name="lastWrite"/>
    <tableColumn id="12" xr3:uid="{7EB77C88-1AF6-423E-BFA7-EFC7F93C6316}" name="MiniChart"/>
    <tableColumn id="13" xr3:uid="{5D0F58DE-9EE6-4146-9555-EA30D16D81F4}" name="Column1" dataDxfId="4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5F37B41-8AB7-4C0B-B7C9-47AC686C90DC}" name="Table18912" displayName="Table18912" ref="A1:M37" totalsRowShown="0">
  <tableColumns count="13">
    <tableColumn id="1" xr3:uid="{EFCB46C0-E7A7-474B-AE26-FCF3559B643B}" name="IP">
      <calculatedColumnFormula>SUBSTITUTE(V2,".8.","."&amp;$R$1&amp;".")</calculatedColumnFormula>
    </tableColumn>
    <tableColumn id="4" xr3:uid="{9E065320-8D79-41FE-9F9C-0C6EF8581012}" name="PI" dataDxfId="97">
      <calculatedColumnFormula>MID(Table18912[[#This Row],[IP]],LEN(Table18912[[#This Row],[IP]])-1,1)+(--MID(Table18912[[#This Row],[IP]],8,1)-1)*9</calculatedColumnFormula>
    </tableColumn>
    <tableColumn id="5" xr3:uid="{88C9CA2B-4A09-4BCF-B66C-11BAC49515DA}" name="No" dataDxfId="96"/>
    <tableColumn id="2" xr3:uid="{C46E9CBE-B884-41BC-90FA-3621CBC0FD42}" name="SBMU01" dataDxfId="95"/>
    <tableColumn id="3" xr3:uid="{18CB54C0-51E8-45A9-8246-C2F7EF8A7098}" name="SBMU02" dataDxfId="94"/>
    <tableColumn id="6" xr3:uid="{5F21BB86-5AC7-47A9-A1EF-CC56D4AAA533}" name="SBMU03" dataDxfId="93"/>
    <tableColumn id="7" xr3:uid="{FCB8134F-BC49-420E-A465-42D44162F2E4}" name="SBMU04" dataDxfId="92"/>
    <tableColumn id="8" xr3:uid="{26CE329C-98B2-4E12-BB5C-73EDBE215CFB}" name="SBMU05" dataDxfId="91"/>
    <tableColumn id="9" xr3:uid="{E34957B7-7CE7-49CB-A8F1-0567A88D77AD}" name="WriteValue" dataDxfId="90">
      <calculatedColumnFormula array="1">IF(SUM(Table18912[[#This Row],[SBMU01]:[SBMU05]])=0,0,SUMPRODUCT(IF(Table18912[[#This Row],[SBMU01]:[SBMU05]]=0,1,0),{1,2,4,8,16}))</calculatedColumnFormula>
    </tableColumn>
    <tableColumn id="10" xr3:uid="{59464B54-32AC-4425-841C-B4853224E08F}" name="ReadValue"/>
    <tableColumn id="11" xr3:uid="{CCA658FF-648D-4993-BEDC-12BA852D0758}" name="lastWrite"/>
    <tableColumn id="12" xr3:uid="{E0452637-5CBF-4B01-B68B-AE2D92A96E1A}" name="MiniChart"/>
    <tableColumn id="13" xr3:uid="{F2910410-D30B-407A-97E1-598ABF97CB95}" name="Column1" dataDxfId="2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A8F46C-075D-4E5E-8D86-9DD63ACF1B57}" name="Table1891213" displayName="Table1891213" ref="A1:M37" totalsRowShown="0">
  <tableColumns count="13">
    <tableColumn id="1" xr3:uid="{53EA8D69-6133-4A2F-94FF-D49AF5BC5CF3}" name="IP">
      <calculatedColumnFormula>SUBSTITUTE(V2,".8.","."&amp;$R$1&amp;".")</calculatedColumnFormula>
    </tableColumn>
    <tableColumn id="4" xr3:uid="{6F05010D-CBD9-4794-BCF4-973978EF4463}" name="PI" dataDxfId="87">
      <calculatedColumnFormula>MID(Table1891213[[#This Row],[IP]],LEN(Table1891213[[#This Row],[IP]])-1,1)+(--MID(Table1891213[[#This Row],[IP]],8,1)-1)*9</calculatedColumnFormula>
    </tableColumn>
    <tableColumn id="5" xr3:uid="{690406E2-4CEE-4C84-AF61-A4864F02EF24}" name="No" dataDxfId="86"/>
    <tableColumn id="2" xr3:uid="{70141A37-E0C9-4287-AB39-B80A6F026963}" name="SBMU01" dataDxfId="85"/>
    <tableColumn id="3" xr3:uid="{B44596DE-DD24-4BA1-AC99-6B2F11D9635C}" name="SBMU02" dataDxfId="84"/>
    <tableColumn id="6" xr3:uid="{74DA7E69-69A6-43A7-93DE-96458F70344C}" name="SBMU03" dataDxfId="83"/>
    <tableColumn id="7" xr3:uid="{10DFA285-B83A-4434-9606-E986150A1AF7}" name="SBMU04" dataDxfId="82"/>
    <tableColumn id="8" xr3:uid="{979DC3E4-3D82-486F-964D-1001D2F9B179}" name="SBMU05" dataDxfId="81"/>
    <tableColumn id="9" xr3:uid="{A37DC7E1-45B2-4D8E-BA24-57EE140116D6}" name="WriteValue" dataDxfId="80">
      <calculatedColumnFormula array="1">IF(SUM(Table1891213[[#This Row],[SBMU01]:[SBMU05]])=0,0,SUMPRODUCT(IF(Table1891213[[#This Row],[SBMU01]:[SBMU05]]=0,1,0),{1,2,4,8,16}))</calculatedColumnFormula>
    </tableColumn>
    <tableColumn id="10" xr3:uid="{AAC8C7DA-4354-4A41-8E56-BFF5F4D6574F}" name="ReadValue"/>
    <tableColumn id="11" xr3:uid="{13F5F257-AB70-4024-B266-502B641FDE35}" name="lastWrite"/>
    <tableColumn id="12" xr3:uid="{84CCE297-FC19-4FC3-B95C-25964DEFED92}" name="MiniChart"/>
    <tableColumn id="13" xr3:uid="{0DF9F095-75F7-480A-9578-515C586109FD}" name="Column1" dataDxfId="0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43B9F6-18FD-4852-8E51-B6ECA1BE63D4}" name="Table189121314" displayName="Table189121314" ref="A1:M37" totalsRowShown="0">
  <tableColumns count="13">
    <tableColumn id="1" xr3:uid="{EE129C96-4853-4176-A906-D4BE8380EB07}" name="IP">
      <calculatedColumnFormula>SUBSTITUTE(V2,".8.","."&amp;$R$1&amp;".")</calculatedColumnFormula>
    </tableColumn>
    <tableColumn id="4" xr3:uid="{78FB24C2-7B89-4165-AA99-01B9D3CBC07E}" name="PI" dataDxfId="77">
      <calculatedColumnFormula>MID(Table189121314[[#This Row],[IP]],LEN(Table189121314[[#This Row],[IP]])-1,1)+(--MID(Table189121314[[#This Row],[IP]],8,1)-1)*9</calculatedColumnFormula>
    </tableColumn>
    <tableColumn id="5" xr3:uid="{3CB2DF30-A47B-4309-909E-0CD0121C85A2}" name="No" dataDxfId="76"/>
    <tableColumn id="2" xr3:uid="{AEA0EFEF-2B05-461A-B4B9-3D003866852A}" name="SBMU01" dataDxfId="75"/>
    <tableColumn id="3" xr3:uid="{851A46DF-DDC4-435D-9052-5420770CA6A8}" name="SBMU02" dataDxfId="74"/>
    <tableColumn id="6" xr3:uid="{CA98D979-65A7-47FD-A85C-DC1329947974}" name="SBMU03" dataDxfId="73"/>
    <tableColumn id="7" xr3:uid="{ABD1BB5A-55FB-43B6-AE93-DD7CAAF5A588}" name="SBMU04" dataDxfId="72"/>
    <tableColumn id="8" xr3:uid="{6F53FED8-097A-4677-A6E6-68CBCD2E2A89}" name="SBMU05" dataDxfId="71"/>
    <tableColumn id="9" xr3:uid="{B0A15B83-DCB4-4D11-B7B7-2EEB1570AE48}" name="WriteValue" dataDxfId="70">
      <calculatedColumnFormula array="1">IF(SUM(Table189121314[[#This Row],[SBMU01]:[SBMU05]])=0,0,SUMPRODUCT(IF(Table189121314[[#This Row],[SBMU01]:[SBMU05]]=0,1,0),{1,2,4,8,16}))</calculatedColumnFormula>
    </tableColumn>
    <tableColumn id="10" xr3:uid="{A2AE71A2-D79C-4948-909C-8B1FBA6D0210}" name="ReadValue"/>
    <tableColumn id="11" xr3:uid="{48D0A693-A239-476E-8087-F0B498DE0EAA}" name="lastWrite"/>
    <tableColumn id="12" xr3:uid="{A9D94310-2134-476E-9001-847CC8C3D9AD}" name="MiniChart"/>
    <tableColumn id="14" xr3:uid="{8C43A307-D776-4BFC-92F9-9C31BD659780}" name="Column1" dataDxfId="11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7218006-07CC-488A-B8EA-64055B455705}" name="Table18912131415" displayName="Table18912131415" ref="A1:M37" totalsRowShown="0">
  <tableColumns count="13">
    <tableColumn id="1" xr3:uid="{9408C694-6330-42AB-A54C-5CE9DB0B4D9E}" name="IP">
      <calculatedColumnFormula>SUBSTITUTE(V2,".8.","."&amp;$R$1&amp;".")</calculatedColumnFormula>
    </tableColumn>
    <tableColumn id="4" xr3:uid="{FE02FA0D-1E04-4BD2-988C-D8635DF01C4E}" name="PI" dataDxfId="69">
      <calculatedColumnFormula>MID(Table18912131415[[#This Row],[IP]],LEN(Table18912131415[[#This Row],[IP]])-1,1)+(--MID(Table18912131415[[#This Row],[IP]],8,1)-1)*9</calculatedColumnFormula>
    </tableColumn>
    <tableColumn id="5" xr3:uid="{5B33ACE0-F3E2-436D-B306-D30EEDC4D7AB}" name="No" dataDxfId="68"/>
    <tableColumn id="2" xr3:uid="{5CE84D1A-0A96-4C3C-BBB8-5104350F1C67}" name="SBMU01" dataDxfId="67"/>
    <tableColumn id="3" xr3:uid="{0D890F04-9F6A-4FB8-A318-6607F8F3B1B5}" name="SBMU02" dataDxfId="66"/>
    <tableColumn id="6" xr3:uid="{EDD1B020-8B55-446A-85F1-D876D527572A}" name="SBMU03" dataDxfId="65"/>
    <tableColumn id="7" xr3:uid="{5D6EECD3-50BC-4978-ADE3-49F31957F2C7}" name="SBMU04" dataDxfId="64"/>
    <tableColumn id="8" xr3:uid="{6B41A914-2051-4308-960D-F84F305645B4}" name="SBMU05" dataDxfId="63"/>
    <tableColumn id="9" xr3:uid="{E03CAEFE-8103-4724-B769-D73B4D83B70C}" name="WriteValue" dataDxfId="62">
      <calculatedColumnFormula array="1">IF(SUM(Table18912131415[[#This Row],[SBMU01]:[SBMU05]])=0,0,SUMPRODUCT(IF(Table18912131415[[#This Row],[SBMU01]:[SBMU05]]=0,1,0),{1,2,4,8,16}))</calculatedColumnFormula>
    </tableColumn>
    <tableColumn id="10" xr3:uid="{D6009144-D044-4BA0-9188-6447F6E49536}" name="ReadValue"/>
    <tableColumn id="11" xr3:uid="{EB390E97-D100-4F1D-B66D-AD30DC520331}" name="lastWrite"/>
    <tableColumn id="12" xr3:uid="{D9FC8CA8-5FB8-4929-8BC5-70D9E34EF9A2}" name="SocCalibrated"/>
    <tableColumn id="13" xr3:uid="{A5201BB7-B7AF-439A-B24A-FD6ED2C99E15}" name="Column1" dataDxfId="14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T290" totalsRowShown="0" headerRowDxfId="61" dataDxfId="60">
  <tableColumns count="20">
    <tableColumn id="1" xr3:uid="{F3DBCFFA-E7E4-4BAA-B00B-D02CB9A0BB3A}" name="IP"/>
    <tableColumn id="2" xr3:uid="{58A779C5-2473-40A2-A8F3-F8860947CE1D}" name="PI"/>
    <tableColumn id="3" xr3:uid="{CA941A5E-61B8-4A56-BB03-7220F958D439}" name="soc" dataDxfId="59"/>
    <tableColumn id="4" xr3:uid="{0934FFEF-AEA4-4AFA-84A9-03971CB51DCD}" name="volt" dataDxfId="58"/>
    <tableColumn id="5" xr3:uid="{97CC8103-0533-4DFE-8FDC-C9D655A38AE2}" name="soc-sbmu1" dataDxfId="57"/>
    <tableColumn id="6" xr3:uid="{B35101E3-E05E-436A-AA4B-ACC7B3E1657D}" name="soc-sbmu2" dataDxfId="56"/>
    <tableColumn id="7" xr3:uid="{E5161365-7F69-468C-9136-D274F404B8D0}" name="soc-sbmu3" dataDxfId="55"/>
    <tableColumn id="8" xr3:uid="{F636EADD-9846-4BCE-B8F7-B95773DD7A55}" name="soc-sbmu4" dataDxfId="54"/>
    <tableColumn id="9" xr3:uid="{7F9457CF-55AF-440E-8B34-2EA455A25D6A}" name="soc-sbmu5" dataDxfId="53"/>
    <tableColumn id="10" xr3:uid="{C4B4BDDD-6A70-4832-B519-1578833F4F00}" name="volt-sbmu1" dataDxfId="52"/>
    <tableColumn id="11" xr3:uid="{8E5CC521-3908-4F8B-9A75-32E462A58E77}" name="volt-sbmu2" dataDxfId="51"/>
    <tableColumn id="12" xr3:uid="{BBABF8EA-DEED-46DA-A0AE-01285656C7D5}" name="volt-sbmu3" dataDxfId="50"/>
    <tableColumn id="13" xr3:uid="{4C12796D-17F3-48CC-BD9D-C0714EE6772E}" name="volt-sbmu4" dataDxfId="49"/>
    <tableColumn id="14" xr3:uid="{73F3D9ED-096A-4BEE-8DDA-26FE3E417E22}" name="volt-sbmu5" dataDxfId="48"/>
    <tableColumn id="15" xr3:uid="{27093570-A5A7-449C-AD8D-65A525575503}" name="MBMU-w1" dataDxfId="47"/>
    <tableColumn id="16" xr3:uid="{669FE3B6-FB06-4893-AC5B-2494821F77EC}" name="MBMU-w2" dataDxfId="46"/>
    <tableColumn id="17" xr3:uid="{F8FAD4FD-300B-47A9-B5C7-135217218542}" name="SysSta" dataDxfId="45"/>
    <tableColumn id="18" xr3:uid="{0E7845DD-6EE1-4990-8BC3-CC23539C2002}" name="EnvTemp" dataDxfId="44"/>
    <tableColumn id="19" xr3:uid="{A05774A1-7577-44B8-958E-E4D37836E4FB}" name="VoltDif" dataDxfId="43">
      <calculatedColumnFormula>_xlfn.STDEV.P(Table2[[#This Row],[volt-sbmu1]:[volt-sbmu5]])</calculatedColumnFormula>
    </tableColumn>
    <tableColumn id="20" xr3:uid="{F92E5734-D65F-4A22-86EE-030264255FB2}" name="SocDif" dataDxfId="42">
      <calculatedColumnFormula>MAX(Table2[[#This Row],[soc-sbmu1]:[soc-sbmu5]])-MIN(Table2[[#This Row],[soc-sbmu1]:[soc-sbmu5]])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J290" totalsRowShown="0" headerRowDxfId="41" dataDxfId="40">
  <tableColumns count="10">
    <tableColumn id="1" xr3:uid="{34D02EE5-3B82-452D-B270-83BA0F38CB4B}" name="IP"/>
    <tableColumn id="2" xr3:uid="{12557C64-D24F-46A4-8589-E3ADAB212A98}" name="PI"/>
    <tableColumn id="3" xr3:uid="{84994ABA-7B75-4D8B-8AB4-02D8E6ACA53A}" name="ETHVer1" dataDxfId="39"/>
    <tableColumn id="4" xr3:uid="{B3B7D8BE-9D1F-4A19-B003-A4FAEFAB3F58}" name="ETHVer2" dataDxfId="38"/>
    <tableColumn id="5" xr3:uid="{386C01C2-4978-4918-8374-E86C84158063}" name="ETHVer3" dataDxfId="37"/>
    <tableColumn id="6" xr3:uid="{1D2C7DFF-5E32-4DFE-8773-E14E2E051C90}" name="ETHVer4" dataDxfId="36"/>
    <tableColumn id="7" xr3:uid="{B0BF21DE-6253-4E4F-A638-A1CA6EA6E556}" name="ETHVer5" dataDxfId="35"/>
    <tableColumn id="8" xr3:uid="{AB948932-6A17-4511-B3A6-C14F8640159F}" name="ETHVer6" dataDxfId="34"/>
    <tableColumn id="9" xr3:uid="{D7FF23A6-5568-49F4-997D-51A88B78C0CA}" name="ETHVer7" dataDxfId="33"/>
    <tableColumn id="10" xr3:uid="{F6F6B019-6255-4C5E-9161-59797D0B1F74}" name="ETHVer8" dataDxf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70" totalsRowShown="0">
  <autoFilter ref="A1:C170" xr:uid="{6BF01A80-F4C1-4B54-9E66-CB02343A45E2}"/>
  <tableColumns count="3">
    <tableColumn id="1" xr3:uid="{FCD3BE6D-E329-4356-9875-78E237BAA940}" name="Register"/>
    <tableColumn id="2" xr3:uid="{518E3209-C8C1-4828-A9B2-E04B105710F3}" name="Value" dataDxfId="30"/>
    <tableColumn id="3" xr3:uid="{881F40ED-3DA4-4E62-893B-D8DAA9B5F037}" name="RegHex" dataDxfId="29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9583E8-C05B-45D5-91F9-AE0A5329E71E}" name="Table5" displayName="Table5" ref="H1:M2" totalsRowShown="0" headerRowDxfId="28" dataDxfId="27">
  <tableColumns count="6">
    <tableColumn id="1" xr3:uid="{8A9FFF26-61DC-48BC-AC68-DE69D2DE492C}" name="SBMU01" dataDxfId="26"/>
    <tableColumn id="2" xr3:uid="{3E23E6FA-3F68-45BD-BA88-6BCC672BE4EA}" name="SBMU02" dataDxfId="25"/>
    <tableColumn id="3" xr3:uid="{E2FFCF14-DB6F-410D-9C21-E7799594DB8B}" name="SBMU03" dataDxfId="24"/>
    <tableColumn id="4" xr3:uid="{9744C8F1-3572-4407-ADF8-D5D7CD469A0D}" name="SBMU04" dataDxfId="23"/>
    <tableColumn id="5" xr3:uid="{AC145B2C-BDD9-41DC-9EB8-1ABEC211C71C}" name="SBMU05" dataDxfId="22"/>
    <tableColumn id="6" xr3:uid="{F3ABFCE8-13E4-4C39-A5D6-CA8A4F33E055}" name="Value" dataDxfId="21">
      <calculatedColumnFormula>H2+2*I2+2^2*J2+2^3*K2+2^4*L2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2F274E-2018-4214-902B-B978E7EAE582}" name="Table6" displayName="Table6" ref="A1:D2" totalsRowShown="0" headerRowDxfId="20" dataDxfId="19">
  <tableColumns count="4">
    <tableColumn id="1" xr3:uid="{0F7C5574-1266-4CF5-B0AC-78D85E1A09BD}" name="IP" dataDxfId="18"/>
    <tableColumn id="2" xr3:uid="{2CC5E4DF-5CA7-4828-89CB-CB16544FC611}" name="Reg" dataDxfId="17"/>
    <tableColumn id="3" xr3:uid="{F0F53577-4DDB-4FF6-ACDC-7B7265FD413B}" name="Value" dataDxfId="16"/>
    <tableColumn id="4" xr3:uid="{8C56727A-F1CB-4862-AED5-9145C589D4BC}" name="read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workbookViewId="0">
      <selection activeCell="J17" sqref="J17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2" t="s">
        <v>437</v>
      </c>
      <c r="H1" s="92" t="s">
        <v>736</v>
      </c>
      <c r="K1" t="s">
        <v>436</v>
      </c>
      <c r="M1" s="92" t="s">
        <v>735</v>
      </c>
      <c r="R1" s="92" t="s">
        <v>439</v>
      </c>
    </row>
    <row r="2" spans="2:25" ht="14.25">
      <c r="B2" s="69" t="s">
        <v>427</v>
      </c>
      <c r="C2" s="70" t="s">
        <v>426</v>
      </c>
      <c r="D2" s="70" t="s">
        <v>425</v>
      </c>
      <c r="E2" s="71" t="s">
        <v>424</v>
      </c>
      <c r="F2" s="82"/>
      <c r="G2" s="69" t="s">
        <v>423</v>
      </c>
      <c r="H2" s="70" t="s">
        <v>422</v>
      </c>
      <c r="I2" s="70" t="s">
        <v>421</v>
      </c>
      <c r="J2" s="71" t="s">
        <v>420</v>
      </c>
      <c r="K2" s="82"/>
      <c r="L2" s="69" t="s">
        <v>435</v>
      </c>
      <c r="M2" s="70" t="s">
        <v>434</v>
      </c>
      <c r="N2" s="70" t="s">
        <v>433</v>
      </c>
      <c r="O2" s="71" t="s">
        <v>432</v>
      </c>
      <c r="P2" s="82"/>
      <c r="Q2" s="69" t="s">
        <v>431</v>
      </c>
      <c r="R2" s="70" t="s">
        <v>430</v>
      </c>
      <c r="S2" s="70" t="s">
        <v>429</v>
      </c>
      <c r="T2" s="71" t="s">
        <v>428</v>
      </c>
    </row>
    <row r="3" spans="2:25" ht="14.25">
      <c r="B3" s="72" t="str">
        <f>TEXT(LEFT(B2,2)+1,"00")&amp;RIGHT(B2,1)</f>
        <v>56D</v>
      </c>
      <c r="C3" s="78" t="str">
        <f t="shared" ref="C3:E18" si="0">TEXT(LEFT(C2,2)+1,"00")&amp;RIGHT(C2,1)</f>
        <v>56C</v>
      </c>
      <c r="D3" s="78" t="str">
        <f t="shared" si="0"/>
        <v>56B</v>
      </c>
      <c r="E3" s="73" t="str">
        <f t="shared" si="0"/>
        <v>56A</v>
      </c>
      <c r="F3" s="82"/>
      <c r="G3" s="72" t="str">
        <f>TEXT(LEFT(G2,2)+1,"00")&amp;RIGHT(G2,1)</f>
        <v>38A</v>
      </c>
      <c r="H3" s="78" t="str">
        <f t="shared" ref="H3:J18" si="1">TEXT(LEFT(H2,2)+1,"00")&amp;RIGHT(H2,1)</f>
        <v>38B</v>
      </c>
      <c r="I3" s="78" t="str">
        <f t="shared" si="1"/>
        <v>38C</v>
      </c>
      <c r="J3" s="73" t="str">
        <f t="shared" si="1"/>
        <v>38D</v>
      </c>
      <c r="K3" s="82"/>
      <c r="L3" s="72" t="str">
        <f>TEXT(LEFT(L2,2)+1,"00")&amp;RIGHT(L2,1)</f>
        <v>20D</v>
      </c>
      <c r="M3" s="78" t="str">
        <f t="shared" ref="M3:O3" si="2">TEXT(LEFT(M2,2)+1,"00")&amp;RIGHT(M2,1)</f>
        <v>20C</v>
      </c>
      <c r="N3" s="78" t="str">
        <f t="shared" si="2"/>
        <v>20B</v>
      </c>
      <c r="O3" s="73" t="str">
        <f t="shared" si="2"/>
        <v>20A</v>
      </c>
      <c r="P3" s="82"/>
      <c r="Q3" s="72" t="str">
        <f>TEXT(LEFT(Q2,2)+1,"00")&amp;RIGHT(Q2,1)</f>
        <v>02A</v>
      </c>
      <c r="R3" s="78" t="str">
        <f t="shared" ref="R3:T18" si="3">TEXT(LEFT(R2,2)+1,"00")&amp;RIGHT(R2,1)</f>
        <v>02B</v>
      </c>
      <c r="S3" s="78" t="str">
        <f t="shared" si="3"/>
        <v>02C</v>
      </c>
      <c r="T3" s="73" t="str">
        <f t="shared" si="3"/>
        <v>02D</v>
      </c>
    </row>
    <row r="4" spans="2:25" ht="14.25">
      <c r="B4" s="72" t="str">
        <f t="shared" ref="B4:B19" si="4">TEXT(LEFT(B3,2)+1,"00")&amp;RIGHT(B3,1)</f>
        <v>57D</v>
      </c>
      <c r="C4" s="78" t="str">
        <f t="shared" si="0"/>
        <v>57C</v>
      </c>
      <c r="D4" s="78" t="str">
        <f t="shared" si="0"/>
        <v>57B</v>
      </c>
      <c r="E4" s="73" t="str">
        <f t="shared" si="0"/>
        <v>57A</v>
      </c>
      <c r="F4" s="82"/>
      <c r="G4" s="72" t="str">
        <f t="shared" ref="G4:G19" si="5">TEXT(LEFT(G3,2)+1,"00")&amp;RIGHT(G3,1)</f>
        <v>39A</v>
      </c>
      <c r="H4" s="78" t="str">
        <f t="shared" si="1"/>
        <v>39B</v>
      </c>
      <c r="I4" s="78" t="str">
        <f t="shared" si="1"/>
        <v>39C</v>
      </c>
      <c r="J4" s="73" t="str">
        <f t="shared" si="1"/>
        <v>39D</v>
      </c>
      <c r="K4" s="82"/>
      <c r="L4" s="72" t="str">
        <f t="shared" ref="L4:L19" si="6">TEXT(LEFT(L3,2)+1,"00")&amp;RIGHT(L3,1)</f>
        <v>21D</v>
      </c>
      <c r="M4" s="78" t="str">
        <f t="shared" ref="M4:M19" si="7">TEXT(LEFT(M3,2)+1,"00")&amp;RIGHT(M3,1)</f>
        <v>21C</v>
      </c>
      <c r="N4" s="78" t="str">
        <f t="shared" ref="N4:N19" si="8">TEXT(LEFT(N3,2)+1,"00")&amp;RIGHT(N3,1)</f>
        <v>21B</v>
      </c>
      <c r="O4" s="73" t="str">
        <f t="shared" ref="O4:O19" si="9">TEXT(LEFT(O3,2)+1,"00")&amp;RIGHT(O3,1)</f>
        <v>21A</v>
      </c>
      <c r="P4" s="82"/>
      <c r="Q4" s="72" t="str">
        <f t="shared" ref="Q4:Q19" si="10">TEXT(LEFT(Q3,2)+1,"00")&amp;RIGHT(Q3,1)</f>
        <v>03A</v>
      </c>
      <c r="R4" s="78" t="str">
        <f t="shared" si="3"/>
        <v>03B</v>
      </c>
      <c r="S4" s="78" t="str">
        <f t="shared" si="3"/>
        <v>03C</v>
      </c>
      <c r="T4" s="73" t="str">
        <f t="shared" si="3"/>
        <v>03D</v>
      </c>
    </row>
    <row r="5" spans="2:25" ht="14.25">
      <c r="B5" s="72" t="str">
        <f t="shared" si="4"/>
        <v>58D</v>
      </c>
      <c r="C5" s="78" t="str">
        <f t="shared" si="0"/>
        <v>58C</v>
      </c>
      <c r="D5" s="78" t="str">
        <f t="shared" si="0"/>
        <v>58B</v>
      </c>
      <c r="E5" s="73" t="str">
        <f t="shared" si="0"/>
        <v>58A</v>
      </c>
      <c r="F5" s="82"/>
      <c r="G5" s="72" t="str">
        <f t="shared" si="5"/>
        <v>40A</v>
      </c>
      <c r="H5" s="78" t="str">
        <f t="shared" si="1"/>
        <v>40B</v>
      </c>
      <c r="I5" s="78" t="str">
        <f t="shared" si="1"/>
        <v>40C</v>
      </c>
      <c r="J5" s="73" t="str">
        <f t="shared" si="1"/>
        <v>40D</v>
      </c>
      <c r="K5" s="82"/>
      <c r="L5" s="72" t="str">
        <f t="shared" si="6"/>
        <v>22D</v>
      </c>
      <c r="M5" s="78" t="str">
        <f t="shared" si="7"/>
        <v>22C</v>
      </c>
      <c r="N5" s="78" t="str">
        <f t="shared" si="8"/>
        <v>22B</v>
      </c>
      <c r="O5" s="73" t="str">
        <f t="shared" si="9"/>
        <v>22A</v>
      </c>
      <c r="P5" s="82"/>
      <c r="Q5" s="72" t="str">
        <f t="shared" si="10"/>
        <v>04A</v>
      </c>
      <c r="R5" s="78" t="str">
        <f t="shared" si="3"/>
        <v>04B</v>
      </c>
      <c r="S5" s="78" t="str">
        <f t="shared" si="3"/>
        <v>04C</v>
      </c>
      <c r="T5" s="73" t="str">
        <f t="shared" si="3"/>
        <v>04D</v>
      </c>
      <c r="X5" s="78"/>
      <c r="Y5" t="s">
        <v>404</v>
      </c>
    </row>
    <row r="6" spans="2:25" ht="14.25">
      <c r="B6" s="72" t="str">
        <f t="shared" si="4"/>
        <v>59D</v>
      </c>
      <c r="C6" s="78" t="str">
        <f t="shared" si="0"/>
        <v>59C</v>
      </c>
      <c r="D6" s="78" t="str">
        <f t="shared" si="0"/>
        <v>59B</v>
      </c>
      <c r="E6" s="73" t="str">
        <f t="shared" si="0"/>
        <v>59A</v>
      </c>
      <c r="F6" s="82"/>
      <c r="G6" s="72" t="str">
        <f t="shared" si="5"/>
        <v>41A</v>
      </c>
      <c r="H6" s="78" t="str">
        <f t="shared" si="1"/>
        <v>41B</v>
      </c>
      <c r="I6" s="78" t="str">
        <f t="shared" si="1"/>
        <v>41C</v>
      </c>
      <c r="J6" s="73" t="str">
        <f t="shared" si="1"/>
        <v>41D</v>
      </c>
      <c r="K6" s="82"/>
      <c r="L6" s="72" t="str">
        <f t="shared" si="6"/>
        <v>23D</v>
      </c>
      <c r="M6" s="78" t="str">
        <f t="shared" si="7"/>
        <v>23C</v>
      </c>
      <c r="N6" s="78" t="str">
        <f t="shared" si="8"/>
        <v>23B</v>
      </c>
      <c r="O6" s="73" t="str">
        <f t="shared" si="9"/>
        <v>23A</v>
      </c>
      <c r="P6" s="82"/>
      <c r="Q6" s="72" t="str">
        <f t="shared" si="10"/>
        <v>05A</v>
      </c>
      <c r="R6" s="78" t="str">
        <f t="shared" si="3"/>
        <v>05B</v>
      </c>
      <c r="S6" s="78" t="str">
        <f t="shared" si="3"/>
        <v>05C</v>
      </c>
      <c r="T6" s="73" t="str">
        <f t="shared" si="3"/>
        <v>05D</v>
      </c>
      <c r="X6" s="79"/>
      <c r="Y6" t="s">
        <v>403</v>
      </c>
    </row>
    <row r="7" spans="2:25" ht="14.25">
      <c r="B7" s="72" t="str">
        <f t="shared" si="4"/>
        <v>60D</v>
      </c>
      <c r="C7" s="78" t="str">
        <f t="shared" si="0"/>
        <v>60C</v>
      </c>
      <c r="D7" s="78" t="str">
        <f t="shared" si="0"/>
        <v>60B</v>
      </c>
      <c r="E7" s="73" t="str">
        <f t="shared" si="0"/>
        <v>60A</v>
      </c>
      <c r="F7" s="82"/>
      <c r="G7" s="72" t="str">
        <f t="shared" si="5"/>
        <v>42A</v>
      </c>
      <c r="H7" s="78" t="str">
        <f t="shared" si="1"/>
        <v>42B</v>
      </c>
      <c r="I7" s="78" t="str">
        <f t="shared" si="1"/>
        <v>42C</v>
      </c>
      <c r="J7" s="73" t="str">
        <f t="shared" si="1"/>
        <v>42D</v>
      </c>
      <c r="K7" s="82"/>
      <c r="L7" s="72" t="str">
        <f t="shared" si="6"/>
        <v>24D</v>
      </c>
      <c r="M7" s="78" t="str">
        <f t="shared" si="7"/>
        <v>24C</v>
      </c>
      <c r="N7" s="78" t="str">
        <f t="shared" si="8"/>
        <v>24B</v>
      </c>
      <c r="O7" s="73" t="str">
        <f t="shared" si="9"/>
        <v>24A</v>
      </c>
      <c r="P7" s="82"/>
      <c r="Q7" s="86" t="str">
        <f t="shared" si="10"/>
        <v>06A</v>
      </c>
      <c r="R7" s="78" t="str">
        <f t="shared" si="3"/>
        <v>06B</v>
      </c>
      <c r="S7" s="79" t="str">
        <f t="shared" si="3"/>
        <v>06C</v>
      </c>
      <c r="T7" s="91" t="str">
        <f t="shared" si="3"/>
        <v>06D</v>
      </c>
      <c r="X7" s="80"/>
      <c r="Y7" t="s">
        <v>402</v>
      </c>
    </row>
    <row r="8" spans="2:25" ht="14.25">
      <c r="B8" s="72" t="str">
        <f t="shared" si="4"/>
        <v>61D</v>
      </c>
      <c r="C8" s="78" t="str">
        <f t="shared" si="0"/>
        <v>61C</v>
      </c>
      <c r="D8" s="78" t="str">
        <f t="shared" si="0"/>
        <v>61B</v>
      </c>
      <c r="E8" s="73" t="str">
        <f t="shared" si="0"/>
        <v>61A</v>
      </c>
      <c r="F8" s="82"/>
      <c r="G8" s="72" t="str">
        <f t="shared" si="5"/>
        <v>43A</v>
      </c>
      <c r="H8" s="78" t="str">
        <f t="shared" si="1"/>
        <v>43B</v>
      </c>
      <c r="I8" s="78" t="str">
        <f t="shared" si="1"/>
        <v>43C</v>
      </c>
      <c r="J8" s="73" t="str">
        <f t="shared" si="1"/>
        <v>43D</v>
      </c>
      <c r="K8" s="82"/>
      <c r="L8" s="72" t="str">
        <f t="shared" si="6"/>
        <v>25D</v>
      </c>
      <c r="M8" s="78" t="str">
        <f t="shared" si="7"/>
        <v>25C</v>
      </c>
      <c r="N8" s="78" t="str">
        <f t="shared" si="8"/>
        <v>25B</v>
      </c>
      <c r="O8" s="73" t="str">
        <f t="shared" si="9"/>
        <v>25A</v>
      </c>
      <c r="P8" s="82"/>
      <c r="Q8" s="72" t="str">
        <f t="shared" si="10"/>
        <v>07A</v>
      </c>
      <c r="R8" s="78" t="str">
        <f t="shared" si="3"/>
        <v>07B</v>
      </c>
      <c r="S8" s="78" t="str">
        <f t="shared" si="3"/>
        <v>07C</v>
      </c>
      <c r="T8" s="73" t="str">
        <f t="shared" si="3"/>
        <v>07D</v>
      </c>
      <c r="X8" s="81"/>
      <c r="Y8" t="s">
        <v>419</v>
      </c>
    </row>
    <row r="9" spans="2:25" ht="14.25">
      <c r="B9" s="72" t="str">
        <f t="shared" si="4"/>
        <v>62D</v>
      </c>
      <c r="C9" s="78" t="str">
        <f t="shared" si="0"/>
        <v>62C</v>
      </c>
      <c r="D9" s="78" t="str">
        <f t="shared" si="0"/>
        <v>62B</v>
      </c>
      <c r="E9" s="73" t="str">
        <f t="shared" si="0"/>
        <v>62A</v>
      </c>
      <c r="F9" s="82"/>
      <c r="G9" s="72" t="str">
        <f t="shared" si="5"/>
        <v>44A</v>
      </c>
      <c r="H9" s="78" t="str">
        <f t="shared" si="1"/>
        <v>44B</v>
      </c>
      <c r="I9" s="78" t="str">
        <f t="shared" si="1"/>
        <v>44C</v>
      </c>
      <c r="J9" s="73" t="str">
        <f t="shared" si="1"/>
        <v>44D</v>
      </c>
      <c r="K9" s="82"/>
      <c r="L9" s="72" t="str">
        <f t="shared" si="6"/>
        <v>26D</v>
      </c>
      <c r="M9" s="79" t="str">
        <f t="shared" si="7"/>
        <v>26C</v>
      </c>
      <c r="N9" s="78" t="str">
        <f t="shared" si="8"/>
        <v>26B</v>
      </c>
      <c r="O9" s="73" t="str">
        <f t="shared" si="9"/>
        <v>26A</v>
      </c>
      <c r="P9" s="82"/>
      <c r="Q9" s="72" t="str">
        <f t="shared" si="10"/>
        <v>08A</v>
      </c>
      <c r="R9" s="78" t="str">
        <f t="shared" si="3"/>
        <v>08B</v>
      </c>
      <c r="S9" s="78" t="str">
        <f t="shared" si="3"/>
        <v>08C</v>
      </c>
      <c r="T9" s="73" t="str">
        <f t="shared" si="3"/>
        <v>08D</v>
      </c>
    </row>
    <row r="10" spans="2:25" ht="15" thickBot="1">
      <c r="B10" s="74" t="str">
        <f t="shared" si="4"/>
        <v>63D</v>
      </c>
      <c r="C10" s="75" t="str">
        <f t="shared" si="0"/>
        <v>63C</v>
      </c>
      <c r="D10" s="75" t="str">
        <f t="shared" si="0"/>
        <v>63B</v>
      </c>
      <c r="E10" s="76" t="str">
        <f t="shared" si="0"/>
        <v>63A</v>
      </c>
      <c r="F10" s="82"/>
      <c r="G10" s="74" t="str">
        <f t="shared" si="5"/>
        <v>45A</v>
      </c>
      <c r="H10" s="75" t="str">
        <f t="shared" si="1"/>
        <v>45B</v>
      </c>
      <c r="I10" s="75" t="str">
        <f t="shared" si="1"/>
        <v>45C</v>
      </c>
      <c r="J10" s="76" t="str">
        <f t="shared" si="1"/>
        <v>45D</v>
      </c>
      <c r="K10" s="82"/>
      <c r="L10" s="74" t="str">
        <f t="shared" si="6"/>
        <v>27D</v>
      </c>
      <c r="M10" s="75" t="str">
        <f t="shared" si="7"/>
        <v>27C</v>
      </c>
      <c r="N10" s="75" t="str">
        <f t="shared" si="8"/>
        <v>27B</v>
      </c>
      <c r="O10" s="76" t="str">
        <f t="shared" si="9"/>
        <v>27A</v>
      </c>
      <c r="P10" s="82"/>
      <c r="Q10" s="74" t="str">
        <f t="shared" si="10"/>
        <v>09A</v>
      </c>
      <c r="R10" s="75" t="str">
        <f t="shared" si="3"/>
        <v>09B</v>
      </c>
      <c r="S10" s="75" t="str">
        <f t="shared" si="3"/>
        <v>09C</v>
      </c>
      <c r="T10" s="76" t="str">
        <f t="shared" si="3"/>
        <v>09D</v>
      </c>
    </row>
    <row r="11" spans="2:25" ht="14.25">
      <c r="B11" s="69" t="str">
        <f t="shared" si="4"/>
        <v>64D</v>
      </c>
      <c r="C11" s="70" t="str">
        <f t="shared" si="0"/>
        <v>64C</v>
      </c>
      <c r="D11" s="70" t="str">
        <f t="shared" si="0"/>
        <v>64B</v>
      </c>
      <c r="E11" s="71" t="str">
        <f t="shared" si="0"/>
        <v>64A</v>
      </c>
      <c r="F11" s="82"/>
      <c r="G11" s="69" t="str">
        <f t="shared" si="5"/>
        <v>46A</v>
      </c>
      <c r="H11" s="70" t="str">
        <f t="shared" si="1"/>
        <v>46B</v>
      </c>
      <c r="I11" s="70" t="str">
        <f t="shared" si="1"/>
        <v>46C</v>
      </c>
      <c r="J11" s="71" t="str">
        <f t="shared" si="1"/>
        <v>46D</v>
      </c>
      <c r="K11" s="82"/>
      <c r="L11" s="69" t="str">
        <f t="shared" si="6"/>
        <v>28D</v>
      </c>
      <c r="M11" s="70" t="str">
        <f t="shared" si="7"/>
        <v>28C</v>
      </c>
      <c r="N11" s="70" t="str">
        <f t="shared" si="8"/>
        <v>28B</v>
      </c>
      <c r="O11" s="71" t="str">
        <f t="shared" si="9"/>
        <v>28A</v>
      </c>
      <c r="P11" s="82"/>
      <c r="Q11" s="69" t="str">
        <f t="shared" si="10"/>
        <v>10A</v>
      </c>
      <c r="R11" s="70" t="str">
        <f t="shared" si="3"/>
        <v>10B</v>
      </c>
      <c r="S11" s="70" t="str">
        <f t="shared" si="3"/>
        <v>10C</v>
      </c>
      <c r="T11" s="71" t="str">
        <f t="shared" si="3"/>
        <v>10D</v>
      </c>
    </row>
    <row r="12" spans="2:25" ht="14.25">
      <c r="B12" s="72" t="str">
        <f t="shared" si="4"/>
        <v>65D</v>
      </c>
      <c r="C12" s="78" t="str">
        <f t="shared" si="0"/>
        <v>65C</v>
      </c>
      <c r="D12" s="78" t="str">
        <f t="shared" si="0"/>
        <v>65B</v>
      </c>
      <c r="E12" s="73" t="str">
        <f t="shared" si="0"/>
        <v>65A</v>
      </c>
      <c r="F12" s="82"/>
      <c r="G12" s="72" t="str">
        <f t="shared" si="5"/>
        <v>47A</v>
      </c>
      <c r="H12" s="78" t="str">
        <f t="shared" si="1"/>
        <v>47B</v>
      </c>
      <c r="I12" s="78" t="str">
        <f t="shared" si="1"/>
        <v>47C</v>
      </c>
      <c r="J12" s="73" t="str">
        <f t="shared" si="1"/>
        <v>47D</v>
      </c>
      <c r="K12" s="82"/>
      <c r="L12" s="72" t="str">
        <f t="shared" si="6"/>
        <v>29D</v>
      </c>
      <c r="M12" s="78" t="str">
        <f t="shared" si="7"/>
        <v>29C</v>
      </c>
      <c r="N12" s="78" t="str">
        <f t="shared" si="8"/>
        <v>29B</v>
      </c>
      <c r="O12" s="73" t="str">
        <f t="shared" si="9"/>
        <v>29A</v>
      </c>
      <c r="P12" s="82"/>
      <c r="Q12" s="72" t="str">
        <f t="shared" si="10"/>
        <v>11A</v>
      </c>
      <c r="R12" s="78" t="str">
        <f t="shared" si="3"/>
        <v>11B</v>
      </c>
      <c r="S12" s="78" t="str">
        <f t="shared" si="3"/>
        <v>11C</v>
      </c>
      <c r="T12" s="73" t="str">
        <f t="shared" si="3"/>
        <v>11D</v>
      </c>
    </row>
    <row r="13" spans="2:25" ht="14.25">
      <c r="B13" s="72" t="str">
        <f t="shared" si="4"/>
        <v>66D</v>
      </c>
      <c r="C13" s="78" t="str">
        <f t="shared" si="0"/>
        <v>66C</v>
      </c>
      <c r="D13" s="78" t="str">
        <f t="shared" si="0"/>
        <v>66B</v>
      </c>
      <c r="E13" s="73" t="str">
        <f t="shared" si="0"/>
        <v>66A</v>
      </c>
      <c r="F13" s="82"/>
      <c r="G13" s="72" t="str">
        <f t="shared" si="5"/>
        <v>48A</v>
      </c>
      <c r="H13" s="78" t="str">
        <f t="shared" si="1"/>
        <v>48B</v>
      </c>
      <c r="I13" s="78" t="str">
        <f t="shared" si="1"/>
        <v>48C</v>
      </c>
      <c r="J13" s="73" t="str">
        <f t="shared" si="1"/>
        <v>48D</v>
      </c>
      <c r="K13" s="82"/>
      <c r="L13" s="72" t="str">
        <f t="shared" si="6"/>
        <v>30D</v>
      </c>
      <c r="M13" s="78" t="str">
        <f t="shared" si="7"/>
        <v>30C</v>
      </c>
      <c r="N13" s="78" t="str">
        <f t="shared" si="8"/>
        <v>30B</v>
      </c>
      <c r="O13" s="73" t="str">
        <f t="shared" si="9"/>
        <v>30A</v>
      </c>
      <c r="P13" s="82"/>
      <c r="Q13" s="72" t="str">
        <f t="shared" si="10"/>
        <v>12A</v>
      </c>
      <c r="R13" s="78" t="str">
        <f t="shared" si="3"/>
        <v>12B</v>
      </c>
      <c r="S13" s="78" t="str">
        <f t="shared" si="3"/>
        <v>12C</v>
      </c>
      <c r="T13" s="73" t="str">
        <f t="shared" si="3"/>
        <v>12D</v>
      </c>
    </row>
    <row r="14" spans="2:25" ht="14.25">
      <c r="B14" s="72" t="str">
        <f t="shared" si="4"/>
        <v>67D</v>
      </c>
      <c r="C14" s="78" t="str">
        <f t="shared" si="0"/>
        <v>67C</v>
      </c>
      <c r="D14" s="78" t="str">
        <f t="shared" si="0"/>
        <v>67B</v>
      </c>
      <c r="E14" s="91" t="str">
        <f t="shared" si="0"/>
        <v>67A</v>
      </c>
      <c r="F14" s="82"/>
      <c r="G14" s="72" t="str">
        <f t="shared" si="5"/>
        <v>49A</v>
      </c>
      <c r="H14" s="78" t="str">
        <f t="shared" si="1"/>
        <v>49B</v>
      </c>
      <c r="I14" s="78" t="str">
        <f t="shared" si="1"/>
        <v>49C</v>
      </c>
      <c r="J14" s="73" t="str">
        <f t="shared" si="1"/>
        <v>49D</v>
      </c>
      <c r="K14" s="82"/>
      <c r="L14" s="72" t="str">
        <f t="shared" si="6"/>
        <v>31D</v>
      </c>
      <c r="M14" s="78" t="str">
        <f t="shared" si="7"/>
        <v>31C</v>
      </c>
      <c r="N14" s="78" t="str">
        <f t="shared" si="8"/>
        <v>31B</v>
      </c>
      <c r="O14" s="73" t="str">
        <f t="shared" si="9"/>
        <v>31A</v>
      </c>
      <c r="P14" s="82"/>
      <c r="Q14" s="72" t="str">
        <f t="shared" si="10"/>
        <v>13A</v>
      </c>
      <c r="R14" s="78" t="str">
        <f t="shared" si="3"/>
        <v>13B</v>
      </c>
      <c r="S14" s="78" t="str">
        <f t="shared" si="3"/>
        <v>13C</v>
      </c>
      <c r="T14" s="73" t="str">
        <f t="shared" si="3"/>
        <v>13D</v>
      </c>
    </row>
    <row r="15" spans="2:25" ht="14.25">
      <c r="B15" s="72" t="str">
        <f t="shared" si="4"/>
        <v>68D</v>
      </c>
      <c r="C15" s="78" t="str">
        <f t="shared" si="0"/>
        <v>68C</v>
      </c>
      <c r="D15" s="78" t="str">
        <f t="shared" si="0"/>
        <v>68B</v>
      </c>
      <c r="E15" s="73" t="str">
        <f t="shared" si="0"/>
        <v>68A</v>
      </c>
      <c r="F15" s="82"/>
      <c r="G15" s="72" t="str">
        <f t="shared" si="5"/>
        <v>50A</v>
      </c>
      <c r="H15" s="78" t="str">
        <f t="shared" si="1"/>
        <v>50B</v>
      </c>
      <c r="I15" s="78" t="str">
        <f t="shared" si="1"/>
        <v>50C</v>
      </c>
      <c r="J15" s="73" t="str">
        <f t="shared" si="1"/>
        <v>50D</v>
      </c>
      <c r="K15" s="82"/>
      <c r="L15" s="72" t="str">
        <f t="shared" si="6"/>
        <v>32D</v>
      </c>
      <c r="M15" s="78" t="str">
        <f t="shared" si="7"/>
        <v>32C</v>
      </c>
      <c r="N15" s="78" t="str">
        <f t="shared" si="8"/>
        <v>32B</v>
      </c>
      <c r="O15" s="73" t="str">
        <f t="shared" si="9"/>
        <v>32A</v>
      </c>
      <c r="P15" s="82"/>
      <c r="Q15" s="72" t="str">
        <f t="shared" si="10"/>
        <v>14A</v>
      </c>
      <c r="R15" s="78" t="str">
        <f t="shared" si="3"/>
        <v>14B</v>
      </c>
      <c r="S15" s="78" t="str">
        <f t="shared" si="3"/>
        <v>14C</v>
      </c>
      <c r="T15" s="73" t="str">
        <f t="shared" si="3"/>
        <v>14D</v>
      </c>
    </row>
    <row r="16" spans="2:25" ht="14.25">
      <c r="B16" s="72" t="str">
        <f t="shared" si="4"/>
        <v>69D</v>
      </c>
      <c r="C16" s="78" t="str">
        <f t="shared" si="0"/>
        <v>69C</v>
      </c>
      <c r="D16" s="78" t="str">
        <f t="shared" si="0"/>
        <v>69B</v>
      </c>
      <c r="E16" s="73" t="str">
        <f t="shared" si="0"/>
        <v>69A</v>
      </c>
      <c r="F16" s="82"/>
      <c r="G16" s="72" t="str">
        <f t="shared" si="5"/>
        <v>51A</v>
      </c>
      <c r="H16" s="78" t="str">
        <f t="shared" si="1"/>
        <v>51B</v>
      </c>
      <c r="I16" s="78" t="str">
        <f t="shared" si="1"/>
        <v>51C</v>
      </c>
      <c r="J16" s="73" t="str">
        <f t="shared" si="1"/>
        <v>51D</v>
      </c>
      <c r="K16" s="82"/>
      <c r="L16" s="72" t="str">
        <f t="shared" si="6"/>
        <v>33D</v>
      </c>
      <c r="M16" s="78" t="str">
        <f t="shared" si="7"/>
        <v>33C</v>
      </c>
      <c r="N16" s="78" t="str">
        <f t="shared" si="8"/>
        <v>33B</v>
      </c>
      <c r="O16" s="73" t="str">
        <f t="shared" si="9"/>
        <v>33A</v>
      </c>
      <c r="P16" s="82"/>
      <c r="Q16" s="72" t="str">
        <f t="shared" si="10"/>
        <v>15A</v>
      </c>
      <c r="R16" s="78" t="str">
        <f t="shared" si="3"/>
        <v>15B</v>
      </c>
      <c r="S16" s="78" t="str">
        <f t="shared" si="3"/>
        <v>15C</v>
      </c>
      <c r="T16" s="73" t="str">
        <f t="shared" si="3"/>
        <v>15D</v>
      </c>
    </row>
    <row r="17" spans="2:20" ht="14.25">
      <c r="B17" s="72" t="str">
        <f t="shared" si="4"/>
        <v>70D</v>
      </c>
      <c r="C17" s="78" t="str">
        <f t="shared" si="0"/>
        <v>70C</v>
      </c>
      <c r="D17" s="78" t="str">
        <f t="shared" si="0"/>
        <v>70B</v>
      </c>
      <c r="E17" s="73" t="str">
        <f t="shared" si="0"/>
        <v>70A</v>
      </c>
      <c r="F17" s="82"/>
      <c r="G17" s="72" t="str">
        <f t="shared" si="5"/>
        <v>52A</v>
      </c>
      <c r="H17" s="78" t="str">
        <f t="shared" si="1"/>
        <v>52B</v>
      </c>
      <c r="I17" s="78" t="str">
        <f t="shared" si="1"/>
        <v>52C</v>
      </c>
      <c r="J17" s="94" t="str">
        <f t="shared" si="1"/>
        <v>52D</v>
      </c>
      <c r="K17" s="82"/>
      <c r="L17" s="72" t="str">
        <f t="shared" si="6"/>
        <v>34D</v>
      </c>
      <c r="M17" s="78" t="str">
        <f t="shared" si="7"/>
        <v>34C</v>
      </c>
      <c r="N17" s="78" t="str">
        <f t="shared" si="8"/>
        <v>34B</v>
      </c>
      <c r="O17" s="73" t="str">
        <f t="shared" si="9"/>
        <v>34A</v>
      </c>
      <c r="P17" s="82"/>
      <c r="Q17" s="72" t="str">
        <f t="shared" si="10"/>
        <v>16A</v>
      </c>
      <c r="R17" s="78" t="str">
        <f t="shared" si="3"/>
        <v>16B</v>
      </c>
      <c r="S17" s="78" t="str">
        <f t="shared" si="3"/>
        <v>16C</v>
      </c>
      <c r="T17" s="73" t="str">
        <f t="shared" si="3"/>
        <v>16D</v>
      </c>
    </row>
    <row r="18" spans="2:20" ht="14.25">
      <c r="B18" s="72" t="str">
        <f t="shared" si="4"/>
        <v>71D</v>
      </c>
      <c r="C18" s="78" t="str">
        <f t="shared" si="0"/>
        <v>71C</v>
      </c>
      <c r="D18" s="78" t="str">
        <f t="shared" si="0"/>
        <v>71B</v>
      </c>
      <c r="E18" s="73" t="str">
        <f t="shared" si="0"/>
        <v>71A</v>
      </c>
      <c r="F18" s="82"/>
      <c r="G18" s="72" t="str">
        <f t="shared" si="5"/>
        <v>53A</v>
      </c>
      <c r="H18" s="78" t="str">
        <f t="shared" si="1"/>
        <v>53B</v>
      </c>
      <c r="I18" s="78" t="str">
        <f t="shared" si="1"/>
        <v>53C</v>
      </c>
      <c r="J18" s="73" t="str">
        <f t="shared" si="1"/>
        <v>53D</v>
      </c>
      <c r="K18" s="82"/>
      <c r="L18" s="72" t="str">
        <f t="shared" si="6"/>
        <v>35D</v>
      </c>
      <c r="M18" s="78" t="str">
        <f t="shared" si="7"/>
        <v>35C</v>
      </c>
      <c r="N18" s="78" t="str">
        <f t="shared" si="8"/>
        <v>35B</v>
      </c>
      <c r="O18" s="73" t="str">
        <f t="shared" si="9"/>
        <v>35A</v>
      </c>
      <c r="P18" s="82"/>
      <c r="Q18" s="72" t="str">
        <f t="shared" si="10"/>
        <v>17A</v>
      </c>
      <c r="R18" s="78" t="str">
        <f t="shared" si="3"/>
        <v>17B</v>
      </c>
      <c r="S18" s="78" t="str">
        <f t="shared" si="3"/>
        <v>17C</v>
      </c>
      <c r="T18" s="73" t="str">
        <f t="shared" si="3"/>
        <v>17D</v>
      </c>
    </row>
    <row r="19" spans="2:20" ht="15" thickBot="1">
      <c r="B19" s="74" t="str">
        <f t="shared" si="4"/>
        <v>72D</v>
      </c>
      <c r="C19" s="75" t="str">
        <f t="shared" ref="C19" si="11">TEXT(LEFT(C18,2)+1,"00")&amp;RIGHT(C18,1)</f>
        <v>72C</v>
      </c>
      <c r="D19" s="75" t="str">
        <f t="shared" ref="D19" si="12">TEXT(LEFT(D18,2)+1,"00")&amp;RIGHT(D18,1)</f>
        <v>72B</v>
      </c>
      <c r="E19" s="110" t="str">
        <f t="shared" ref="E19" si="13">TEXT(LEFT(E18,2)+1,"00")&amp;RIGHT(E18,1)</f>
        <v>72A</v>
      </c>
      <c r="F19" s="82"/>
      <c r="G19" s="74" t="str">
        <f t="shared" si="5"/>
        <v>54A</v>
      </c>
      <c r="H19" s="75" t="str">
        <f t="shared" ref="H19" si="14">TEXT(LEFT(H18,2)+1,"00")&amp;RIGHT(H18,1)</f>
        <v>54B</v>
      </c>
      <c r="I19" s="93" t="str">
        <f t="shared" ref="I19" si="15">TEXT(LEFT(I18,2)+1,"00")&amp;RIGHT(I18,1)</f>
        <v>54C</v>
      </c>
      <c r="J19" s="76" t="str">
        <f t="shared" ref="J19" si="16">TEXT(LEFT(J18,2)+1,"00")&amp;RIGHT(J18,1)</f>
        <v>54D</v>
      </c>
      <c r="K19" s="82"/>
      <c r="L19" s="74" t="str">
        <f t="shared" si="6"/>
        <v>36D</v>
      </c>
      <c r="M19" s="75" t="str">
        <f t="shared" si="7"/>
        <v>36C</v>
      </c>
      <c r="N19" s="75" t="str">
        <f t="shared" si="8"/>
        <v>36B</v>
      </c>
      <c r="O19" s="76" t="str">
        <f t="shared" si="9"/>
        <v>36A</v>
      </c>
      <c r="P19" s="82"/>
      <c r="Q19" s="74" t="str">
        <f t="shared" si="10"/>
        <v>18A</v>
      </c>
      <c r="R19" s="75" t="str">
        <f t="shared" ref="R19" si="17">TEXT(LEFT(R18,2)+1,"00")&amp;RIGHT(R18,1)</f>
        <v>18B</v>
      </c>
      <c r="S19" s="75" t="str">
        <f t="shared" ref="S19" si="18">TEXT(LEFT(S18,2)+1,"00")&amp;RIGHT(S18,1)</f>
        <v>18C</v>
      </c>
      <c r="T19" s="76" t="str">
        <f t="shared" ref="T19" si="19">TEXT(LEFT(T18,2)+1,"00")&amp;RIGHT(T18,1)</f>
        <v>18D</v>
      </c>
    </row>
    <row r="20" spans="2:20">
      <c r="C20" t="s">
        <v>438</v>
      </c>
      <c r="H20" t="s">
        <v>441</v>
      </c>
      <c r="M20" t="s">
        <v>442</v>
      </c>
      <c r="R20" t="s">
        <v>440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tabSelected="1" zoomScale="90" zoomScaleNormal="90" workbookViewId="0">
      <selection activeCell="J14" sqref="J14"/>
    </sheetView>
  </sheetViews>
  <sheetFormatPr defaultRowHeight="13.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12.75" bestFit="1" customWidth="1"/>
    <col min="14" max="14" width="11.5" customWidth="1"/>
    <col min="15" max="15" width="12.375" customWidth="1"/>
    <col min="16" max="16" width="9.875" bestFit="1" customWidth="1"/>
  </cols>
  <sheetData>
    <row r="1" spans="1:22" ht="21">
      <c r="A1" s="27" t="s">
        <v>13</v>
      </c>
      <c r="B1" s="32" t="str">
        <f>"10.238."&amp;G1&amp;"."&amp;H1&amp;"6"</f>
        <v>10.238.1.66</v>
      </c>
      <c r="C1" s="26" t="s">
        <v>33</v>
      </c>
      <c r="D1" s="83">
        <f>(MID(B1,8,1)-1)*9+QUOTIENT(RIGHT(B1,2),10)</f>
        <v>6</v>
      </c>
      <c r="E1" t="str">
        <f>VLOOKUP(--RIGHT(B1,1),{9,"A";8,"B";7,"C";6,"D"},2,0)</f>
        <v>D</v>
      </c>
      <c r="F1" s="109">
        <v>6</v>
      </c>
      <c r="G1">
        <f>QUOTIENT(F1-1,9)+1</f>
        <v>1</v>
      </c>
      <c r="H1">
        <f>MOD(F1-1,9)+1</f>
        <v>6</v>
      </c>
      <c r="K1" s="84">
        <f ca="1">NOW()</f>
        <v>45677.367011342591</v>
      </c>
      <c r="M1">
        <v>32</v>
      </c>
      <c r="N1">
        <v>33</v>
      </c>
      <c r="R1">
        <f t="shared" ref="R1:R4" si="0">(MID(B1,8,1)-1)*9+QUOTIENT(RIGHT(B1,2),10)</f>
        <v>6</v>
      </c>
      <c r="S1" t="str">
        <f>VLOOKUP(--RIGHT(B1,1),{9,"A";8,"B";7,"C";6,"D"},2,0)</f>
        <v>D</v>
      </c>
      <c r="T1">
        <f>J21</f>
        <v>0</v>
      </c>
    </row>
    <row r="2" spans="1:22" ht="15">
      <c r="A2" s="50" t="str">
        <f>REPLACE($B$1,LEN($B$1),1,"7")</f>
        <v>10.238.1.67</v>
      </c>
      <c r="B2" s="50" t="str">
        <f>REPLACE($B$1,LEN($B$1),1,"7")</f>
        <v>10.238.1.67</v>
      </c>
      <c r="D2" s="83">
        <f t="shared" ref="D2:D4" si="1">(MID(B2,8,1)-1)*9+QUOTIENT(RIGHT(B2,2),10)</f>
        <v>6</v>
      </c>
      <c r="E2" t="str">
        <f>VLOOKUP(--RIGHT(B2,1),{9,"A";8,"B";7,"C";6,"D"},2,0)</f>
        <v>C</v>
      </c>
      <c r="G2" s="18" t="s">
        <v>11</v>
      </c>
      <c r="H2" s="19" t="s">
        <v>14</v>
      </c>
      <c r="I2" s="20" t="s">
        <v>12</v>
      </c>
      <c r="M2" s="1" t="s">
        <v>6</v>
      </c>
      <c r="N2" s="23" t="s">
        <v>7</v>
      </c>
      <c r="O2" s="2" t="s">
        <v>8</v>
      </c>
      <c r="P2" s="3" t="s">
        <v>28</v>
      </c>
      <c r="R2">
        <f t="shared" si="0"/>
        <v>6</v>
      </c>
      <c r="S2" t="str">
        <f>VLOOKUP(--RIGHT(B2,1),{9,"A";8,"B";7,"C";6,"D"},2,0)</f>
        <v>C</v>
      </c>
      <c r="T2">
        <f>J26</f>
        <v>0</v>
      </c>
    </row>
    <row r="3" spans="1:22" ht="15">
      <c r="A3" s="50" t="str">
        <f>REPLACE($B$1,LEN($B$1),1,"8")</f>
        <v>10.238.1.68</v>
      </c>
      <c r="B3" s="50" t="str">
        <f>REPLACE($B$1,LEN($B$1),1,"8")</f>
        <v>10.238.1.68</v>
      </c>
      <c r="D3" s="83">
        <f t="shared" si="1"/>
        <v>6</v>
      </c>
      <c r="E3" t="str">
        <f>VLOOKUP(--RIGHT(B3,1),{9,"A";8,"B";7,"C";6,"D"},2,0)</f>
        <v>B</v>
      </c>
      <c r="G3" s="33">
        <f>INT(ABS(MAX(D21:D24))-ABS(MIN(B21:B24)))</f>
        <v>304</v>
      </c>
      <c r="H3" s="21">
        <v>9</v>
      </c>
      <c r="I3" s="22">
        <f>G3*H3*1.4</f>
        <v>3830.3999999999996</v>
      </c>
      <c r="M3" s="36">
        <v>1334.9</v>
      </c>
      <c r="N3" s="30">
        <v>0</v>
      </c>
      <c r="O3" s="24">
        <f t="shared" ref="O3:O6" si="2">ABS(INT(M3*N3/1000))</f>
        <v>0</v>
      </c>
      <c r="P3" s="35">
        <f>SUM(O3:O6)/1000</f>
        <v>3.0000000000000001E-3</v>
      </c>
      <c r="R3">
        <f t="shared" si="0"/>
        <v>6</v>
      </c>
      <c r="S3" t="str">
        <f>VLOOKUP(--RIGHT(B3,1),{9,"A";8,"B";7,"C";6,"D"},2,0)</f>
        <v>B</v>
      </c>
      <c r="T3">
        <f>J31</f>
        <v>0</v>
      </c>
    </row>
    <row r="4" spans="1:22" ht="15">
      <c r="A4" s="50" t="str">
        <f>REPLACE($B$1,LEN($B$1),1,"9")</f>
        <v>10.238.1.69</v>
      </c>
      <c r="B4" s="50" t="str">
        <f>REPLACE($B$1,LEN($B$1),1,"9")</f>
        <v>10.238.1.69</v>
      </c>
      <c r="D4" s="83">
        <f t="shared" si="1"/>
        <v>6</v>
      </c>
      <c r="E4" t="str">
        <f>VLOOKUP(--RIGHT(B4,1),{9,"A";8,"B";7,"C";6,"D"},2,0)</f>
        <v>A</v>
      </c>
      <c r="M4" s="37">
        <v>1169.8</v>
      </c>
      <c r="N4" s="31">
        <v>-2</v>
      </c>
      <c r="O4" s="24">
        <f t="shared" si="2"/>
        <v>3</v>
      </c>
      <c r="P4" s="25"/>
      <c r="R4">
        <f t="shared" si="0"/>
        <v>6</v>
      </c>
      <c r="S4" t="str">
        <f>VLOOKUP(--RIGHT(B4,1),{9,"A";8,"B";7,"C";6,"D"},2,0)</f>
        <v>A</v>
      </c>
      <c r="T4">
        <f>J36</f>
        <v>0</v>
      </c>
    </row>
    <row r="5" spans="1:22" ht="15">
      <c r="G5" s="18" t="s">
        <v>30</v>
      </c>
      <c r="H5" s="19" t="s">
        <v>7</v>
      </c>
      <c r="M5" s="36">
        <v>0</v>
      </c>
      <c r="N5" s="30">
        <v>0</v>
      </c>
      <c r="O5" s="24">
        <f t="shared" si="2"/>
        <v>0</v>
      </c>
    </row>
    <row r="6" spans="1:22" ht="15">
      <c r="A6" s="13" t="s">
        <v>0</v>
      </c>
      <c r="B6" s="14" t="s">
        <v>1</v>
      </c>
      <c r="C6" s="15" t="s">
        <v>17</v>
      </c>
      <c r="G6" s="33">
        <v>18031</v>
      </c>
      <c r="H6" s="21">
        <f>(G6-20000)/10</f>
        <v>-196.9</v>
      </c>
      <c r="M6" s="37">
        <v>1333.8</v>
      </c>
      <c r="N6" s="31">
        <v>0</v>
      </c>
      <c r="O6" s="24">
        <f t="shared" si="2"/>
        <v>0</v>
      </c>
    </row>
    <row r="7" spans="1:22" ht="15">
      <c r="A7" s="67">
        <v>896</v>
      </c>
      <c r="B7" s="65" t="s">
        <v>5</v>
      </c>
      <c r="C7" s="16" t="s">
        <v>2</v>
      </c>
    </row>
    <row r="8" spans="1:22" ht="15">
      <c r="A8" s="67">
        <v>897</v>
      </c>
      <c r="B8" s="65" t="s">
        <v>16</v>
      </c>
      <c r="C8" s="16" t="s">
        <v>3</v>
      </c>
      <c r="G8" s="18" t="s">
        <v>31</v>
      </c>
      <c r="H8" s="19" t="s">
        <v>32</v>
      </c>
      <c r="L8" s="19">
        <v>36</v>
      </c>
      <c r="M8" s="19">
        <v>37</v>
      </c>
      <c r="N8" s="19">
        <v>770</v>
      </c>
      <c r="O8" s="19">
        <v>16</v>
      </c>
      <c r="P8" s="19">
        <v>17</v>
      </c>
      <c r="Q8" s="19">
        <v>909</v>
      </c>
      <c r="R8" s="19">
        <v>34</v>
      </c>
      <c r="V8" t="s">
        <v>411</v>
      </c>
    </row>
    <row r="9" spans="1:22" ht="15">
      <c r="A9" s="67">
        <v>907</v>
      </c>
      <c r="B9" s="65" t="s">
        <v>417</v>
      </c>
      <c r="C9" s="16" t="s">
        <v>61</v>
      </c>
      <c r="G9" s="33">
        <v>421</v>
      </c>
      <c r="H9" s="21">
        <f>HEX2DEC(G9)</f>
        <v>1057</v>
      </c>
      <c r="L9" s="21">
        <v>3335</v>
      </c>
      <c r="M9" s="21">
        <v>3212</v>
      </c>
      <c r="N9" s="21">
        <v>4</v>
      </c>
      <c r="O9" s="21">
        <v>0</v>
      </c>
      <c r="P9">
        <v>0</v>
      </c>
      <c r="Q9">
        <v>16</v>
      </c>
      <c r="R9">
        <v>45</v>
      </c>
      <c r="V9">
        <f>CLEAN(L9)*1-CLEAN(M9)*1</f>
        <v>123</v>
      </c>
    </row>
    <row r="10" spans="1:22" ht="15">
      <c r="A10" s="67">
        <v>908</v>
      </c>
      <c r="B10" s="65" t="s">
        <v>15</v>
      </c>
      <c r="C10" s="16" t="s">
        <v>4</v>
      </c>
      <c r="G10" s="19" t="s">
        <v>32</v>
      </c>
      <c r="H10" s="18" t="s">
        <v>31</v>
      </c>
      <c r="L10" s="21">
        <v>3217</v>
      </c>
      <c r="M10" s="21">
        <v>2486</v>
      </c>
      <c r="N10" s="21">
        <v>3</v>
      </c>
      <c r="O10" s="21">
        <v>0</v>
      </c>
      <c r="P10">
        <v>0</v>
      </c>
      <c r="Q10">
        <v>30</v>
      </c>
      <c r="R10">
        <v>3</v>
      </c>
      <c r="V10">
        <f>CLEAN(L10)*1-CLEAN(M10)*1</f>
        <v>731</v>
      </c>
    </row>
    <row r="11" spans="1:22" ht="15">
      <c r="A11" s="68" t="s">
        <v>59</v>
      </c>
      <c r="B11" s="66"/>
      <c r="C11" s="17" t="s">
        <v>412</v>
      </c>
      <c r="G11" s="33">
        <v>1057</v>
      </c>
      <c r="H11" s="21" t="str">
        <f>DEC2HEX(G11)</f>
        <v>421</v>
      </c>
      <c r="L11" s="21">
        <v>3330</v>
      </c>
      <c r="M11" s="21">
        <v>3326</v>
      </c>
      <c r="N11" s="21">
        <v>1</v>
      </c>
      <c r="O11" s="21">
        <v>0</v>
      </c>
      <c r="P11">
        <v>0</v>
      </c>
      <c r="Q11">
        <v>0</v>
      </c>
      <c r="R11">
        <v>871</v>
      </c>
      <c r="V11">
        <f>CLEAN(L11)*1-CLEAN(M11)*1</f>
        <v>4</v>
      </c>
    </row>
    <row r="12" spans="1:22" ht="15">
      <c r="A12" s="68" t="s">
        <v>60</v>
      </c>
      <c r="B12" s="66"/>
      <c r="C12" s="17" t="s">
        <v>413</v>
      </c>
      <c r="L12" s="21">
        <v>3301</v>
      </c>
      <c r="M12" s="21">
        <v>3201</v>
      </c>
      <c r="N12" s="21">
        <v>4</v>
      </c>
      <c r="O12" s="21">
        <v>0</v>
      </c>
      <c r="P12">
        <v>0</v>
      </c>
      <c r="Q12">
        <v>8</v>
      </c>
      <c r="R12">
        <v>33</v>
      </c>
      <c r="V12">
        <f>CLEAN(L12)*1-CLEAN(M12)*1</f>
        <v>100</v>
      </c>
    </row>
    <row r="13" spans="1:22" ht="15">
      <c r="A13" s="68">
        <v>5</v>
      </c>
      <c r="B13" s="66"/>
      <c r="C13" s="17" t="s">
        <v>414</v>
      </c>
      <c r="L13" t="s">
        <v>55</v>
      </c>
      <c r="M13" t="s">
        <v>56</v>
      </c>
      <c r="N13" t="s">
        <v>408</v>
      </c>
      <c r="O13" t="s">
        <v>409</v>
      </c>
      <c r="P13" t="s">
        <v>410</v>
      </c>
      <c r="Q13" t="s">
        <v>771</v>
      </c>
      <c r="R13" t="s">
        <v>104</v>
      </c>
    </row>
    <row r="14" spans="1:22" ht="15">
      <c r="A14" s="68">
        <v>770</v>
      </c>
      <c r="B14" s="66" t="s">
        <v>415</v>
      </c>
      <c r="C14" s="17" t="s">
        <v>416</v>
      </c>
    </row>
    <row r="15" spans="1:22">
      <c r="G15" s="29"/>
    </row>
    <row r="16" spans="1:22">
      <c r="E16" s="44" t="s">
        <v>55</v>
      </c>
      <c r="F16" s="45" t="s">
        <v>56</v>
      </c>
      <c r="G16" s="46" t="s">
        <v>57</v>
      </c>
      <c r="H16" s="47" t="s">
        <v>54</v>
      </c>
    </row>
    <row r="17" spans="1:9">
      <c r="E17" s="41" cm="1">
        <f t="array" ref="E17">MAX(IF(ABS(B21:B40)&gt;1,B21:B40))</f>
        <v>1.7</v>
      </c>
      <c r="F17" s="42" cm="1">
        <f t="array" ref="F17">MIN(IF(ABS(B21:B40)&gt;1,B21:B40))</f>
        <v>1.3</v>
      </c>
      <c r="G17" s="43" cm="1">
        <f t="array" ref="G17">MEDIAN(IF(ABS(B21:B40)&gt;1,B21:B40,0))</f>
        <v>0</v>
      </c>
      <c r="H17" s="48" cm="1">
        <f t="array" ref="H17">_xlfn.STDEV.P(IF(ABS(B21:B40)&gt;1,B21:B40,0))</f>
        <v>0.52782572881586587</v>
      </c>
    </row>
    <row r="18" spans="1:9" ht="14.25">
      <c r="E18" s="51">
        <f>E17-F17</f>
        <v>0.39999999999999991</v>
      </c>
    </row>
    <row r="20" spans="1:9" ht="15">
      <c r="A20" s="1" t="s">
        <v>36</v>
      </c>
      <c r="B20" s="2" t="s">
        <v>10</v>
      </c>
      <c r="C20" s="2" t="s">
        <v>9</v>
      </c>
      <c r="D20" s="3" t="s">
        <v>29</v>
      </c>
      <c r="E20" s="3" t="s">
        <v>6</v>
      </c>
      <c r="F20" s="28" t="s">
        <v>34</v>
      </c>
      <c r="G20" s="28" t="s">
        <v>35</v>
      </c>
    </row>
    <row r="21" spans="1:9" ht="14.25">
      <c r="A21" s="4" t="s">
        <v>18</v>
      </c>
      <c r="B21" s="5">
        <v>1.3</v>
      </c>
      <c r="C21" s="5">
        <v>4.5999999999999996</v>
      </c>
      <c r="D21" s="38">
        <v>-305.10000000000002</v>
      </c>
      <c r="E21" s="38">
        <v>1334.9</v>
      </c>
      <c r="F21" s="6">
        <v>24</v>
      </c>
      <c r="G21" s="6">
        <f>IFERROR(INT(E21*B21/1000),0)</f>
        <v>1</v>
      </c>
      <c r="I21" s="60"/>
    </row>
    <row r="22" spans="1:9" ht="14.25">
      <c r="A22" s="7" t="s">
        <v>19</v>
      </c>
      <c r="B22" s="8">
        <v>1.7</v>
      </c>
      <c r="C22" s="8">
        <v>5.5</v>
      </c>
      <c r="D22" s="39">
        <v>-305</v>
      </c>
      <c r="E22" s="39">
        <v>1335.4</v>
      </c>
      <c r="F22" s="9">
        <v>23</v>
      </c>
      <c r="G22" s="6">
        <f t="shared" ref="G22:G40" si="3">IFERROR(INT(E22*B22/1000),0)</f>
        <v>2</v>
      </c>
      <c r="I22" s="60"/>
    </row>
    <row r="23" spans="1:9" ht="14.25">
      <c r="A23" s="4" t="s">
        <v>20</v>
      </c>
      <c r="B23" s="5">
        <v>1.4</v>
      </c>
      <c r="C23" s="5">
        <v>6.2</v>
      </c>
      <c r="D23" s="38">
        <v>-305.10000000000002</v>
      </c>
      <c r="E23" s="38">
        <v>1334.6</v>
      </c>
      <c r="F23" s="6">
        <v>23</v>
      </c>
      <c r="G23" s="6">
        <f t="shared" si="3"/>
        <v>1</v>
      </c>
      <c r="I23" s="60"/>
    </row>
    <row r="24" spans="1:9" ht="14.25">
      <c r="A24" s="7" t="s">
        <v>21</v>
      </c>
      <c r="B24" s="8">
        <v>0.9</v>
      </c>
      <c r="C24" s="8">
        <v>4.5</v>
      </c>
      <c r="D24" s="39">
        <v>-305.10000000000002</v>
      </c>
      <c r="E24" s="39">
        <v>1334.7</v>
      </c>
      <c r="F24" s="9">
        <v>23</v>
      </c>
      <c r="G24" s="6">
        <f t="shared" si="3"/>
        <v>1</v>
      </c>
      <c r="I24" s="60"/>
    </row>
    <row r="25" spans="1:9" ht="14.25">
      <c r="A25" s="4" t="s">
        <v>22</v>
      </c>
      <c r="B25" s="5">
        <v>0</v>
      </c>
      <c r="C25" s="5">
        <v>89</v>
      </c>
      <c r="D25" s="38">
        <v>-271.3</v>
      </c>
      <c r="E25" s="38">
        <v>1385.8</v>
      </c>
      <c r="F25" s="6">
        <v>24</v>
      </c>
      <c r="G25" s="6">
        <f t="shared" si="3"/>
        <v>0</v>
      </c>
      <c r="I25" s="60"/>
    </row>
    <row r="26" spans="1:9" ht="14.25">
      <c r="A26" s="7" t="s">
        <v>23</v>
      </c>
      <c r="B26" s="8">
        <v>0</v>
      </c>
      <c r="C26" s="8">
        <v>0.3</v>
      </c>
      <c r="D26" s="39">
        <v>-343.9</v>
      </c>
      <c r="E26" s="39">
        <v>1184.0999999999999</v>
      </c>
      <c r="F26" s="9">
        <v>22</v>
      </c>
      <c r="G26" s="6">
        <f t="shared" si="3"/>
        <v>0</v>
      </c>
      <c r="I26" s="60"/>
    </row>
    <row r="27" spans="1:9" ht="14.25">
      <c r="A27" s="4" t="s">
        <v>24</v>
      </c>
      <c r="B27" s="5">
        <v>0</v>
      </c>
      <c r="C27" s="5">
        <v>5.4</v>
      </c>
      <c r="D27" s="38">
        <v>-305.10000000000002</v>
      </c>
      <c r="E27" s="38">
        <v>1334.8</v>
      </c>
      <c r="F27" s="6">
        <v>23</v>
      </c>
      <c r="G27" s="6">
        <f t="shared" si="3"/>
        <v>0</v>
      </c>
      <c r="I27" s="60"/>
    </row>
    <row r="28" spans="1:9" ht="14.25">
      <c r="A28" s="7" t="s">
        <v>25</v>
      </c>
      <c r="B28" s="8">
        <v>0</v>
      </c>
      <c r="C28" s="8">
        <v>7.1</v>
      </c>
      <c r="D28" s="39">
        <v>-304.7</v>
      </c>
      <c r="E28" s="39">
        <v>1336.4</v>
      </c>
      <c r="F28" s="9">
        <v>21</v>
      </c>
      <c r="G28" s="6">
        <f t="shared" si="3"/>
        <v>0</v>
      </c>
      <c r="I28" s="60"/>
    </row>
    <row r="29" spans="1:9" ht="14.25">
      <c r="A29" s="4" t="s">
        <v>26</v>
      </c>
      <c r="B29" s="5">
        <v>0</v>
      </c>
      <c r="C29" s="5">
        <v>5</v>
      </c>
      <c r="D29" s="38">
        <v>-305.2</v>
      </c>
      <c r="E29" s="38">
        <v>1334.4</v>
      </c>
      <c r="F29" s="6">
        <v>22</v>
      </c>
      <c r="G29" s="6">
        <f t="shared" si="3"/>
        <v>0</v>
      </c>
      <c r="I29" s="60"/>
    </row>
    <row r="30" spans="1:9" ht="14.25">
      <c r="A30" s="10" t="s">
        <v>27</v>
      </c>
      <c r="B30" s="11">
        <v>0</v>
      </c>
      <c r="C30" s="11">
        <v>5.4</v>
      </c>
      <c r="D30" s="40">
        <v>-305</v>
      </c>
      <c r="E30" s="40">
        <v>1335</v>
      </c>
      <c r="F30" s="12">
        <v>23</v>
      </c>
      <c r="G30" s="6">
        <f t="shared" si="3"/>
        <v>0</v>
      </c>
      <c r="I30" s="60"/>
    </row>
    <row r="31" spans="1:9" ht="14.25">
      <c r="A31" s="4" t="s">
        <v>39</v>
      </c>
      <c r="B31" s="5">
        <v>0</v>
      </c>
      <c r="C31" s="5">
        <v>87.3</v>
      </c>
      <c r="D31" s="38">
        <v>-226.8</v>
      </c>
      <c r="E31" s="38">
        <v>1381.4</v>
      </c>
      <c r="F31" s="6">
        <v>21</v>
      </c>
      <c r="G31" s="6">
        <f t="shared" si="3"/>
        <v>0</v>
      </c>
      <c r="I31" s="60"/>
    </row>
    <row r="32" spans="1:9" ht="14.25">
      <c r="A32" s="10" t="s">
        <v>40</v>
      </c>
      <c r="B32" s="11">
        <v>0</v>
      </c>
      <c r="C32" s="11">
        <v>86.8</v>
      </c>
      <c r="D32" s="40">
        <v>-224.7</v>
      </c>
      <c r="E32" s="40">
        <v>1381.3</v>
      </c>
      <c r="F32" s="12">
        <v>21</v>
      </c>
      <c r="G32" s="6">
        <f t="shared" si="3"/>
        <v>0</v>
      </c>
      <c r="I32" s="60"/>
    </row>
    <row r="33" spans="1:9" ht="14.25">
      <c r="A33" s="4" t="s">
        <v>41</v>
      </c>
      <c r="B33" s="5">
        <v>0</v>
      </c>
      <c r="C33" s="5">
        <v>87</v>
      </c>
      <c r="D33" s="38">
        <v>-225.6</v>
      </c>
      <c r="E33" s="38">
        <v>1381.8</v>
      </c>
      <c r="F33" s="6">
        <v>21</v>
      </c>
      <c r="G33" s="6">
        <f t="shared" si="3"/>
        <v>0</v>
      </c>
      <c r="I33" s="60"/>
    </row>
    <row r="34" spans="1:9" ht="14.25">
      <c r="A34" s="10" t="s">
        <v>42</v>
      </c>
      <c r="B34" s="11">
        <v>0</v>
      </c>
      <c r="C34" s="11">
        <v>86.7</v>
      </c>
      <c r="D34" s="40">
        <v>-228.2</v>
      </c>
      <c r="E34" s="40">
        <v>1381.6</v>
      </c>
      <c r="F34" s="12">
        <v>21</v>
      </c>
      <c r="G34" s="6">
        <f t="shared" si="3"/>
        <v>0</v>
      </c>
      <c r="I34" s="60"/>
    </row>
    <row r="35" spans="1:9" ht="14.25">
      <c r="A35" s="4" t="s">
        <v>43</v>
      </c>
      <c r="B35" s="5">
        <v>0</v>
      </c>
      <c r="C35" s="5">
        <v>86.5</v>
      </c>
      <c r="D35" s="38">
        <v>-229.1</v>
      </c>
      <c r="E35" s="38">
        <v>1383.3</v>
      </c>
      <c r="F35" s="6">
        <v>21</v>
      </c>
      <c r="G35" s="6">
        <f t="shared" si="3"/>
        <v>0</v>
      </c>
      <c r="I35" s="60"/>
    </row>
    <row r="36" spans="1:9" ht="14.25">
      <c r="A36" s="10" t="s">
        <v>44</v>
      </c>
      <c r="B36" s="11">
        <v>0</v>
      </c>
      <c r="C36" s="11">
        <v>5.7</v>
      </c>
      <c r="D36" s="40">
        <v>-305.39999999999998</v>
      </c>
      <c r="E36" s="40">
        <v>1333.3</v>
      </c>
      <c r="F36" s="12">
        <v>24</v>
      </c>
      <c r="G36" s="6">
        <f t="shared" si="3"/>
        <v>0</v>
      </c>
      <c r="I36" s="60"/>
    </row>
    <row r="37" spans="1:9" ht="14.25">
      <c r="A37" s="4" t="s">
        <v>45</v>
      </c>
      <c r="B37" s="5">
        <v>0</v>
      </c>
      <c r="C37" s="5">
        <v>3.6</v>
      </c>
      <c r="D37" s="38">
        <v>-305.2</v>
      </c>
      <c r="E37" s="38">
        <v>1334.5</v>
      </c>
      <c r="F37" s="6">
        <v>23</v>
      </c>
      <c r="G37" s="6">
        <f t="shared" si="3"/>
        <v>0</v>
      </c>
      <c r="I37" s="60"/>
    </row>
    <row r="38" spans="1:9" ht="14.25">
      <c r="A38" s="10" t="s">
        <v>46</v>
      </c>
      <c r="B38" s="11">
        <v>0</v>
      </c>
      <c r="C38" s="11">
        <v>3.3</v>
      </c>
      <c r="D38" s="40">
        <v>-305.10000000000002</v>
      </c>
      <c r="E38" s="40">
        <v>1334.8</v>
      </c>
      <c r="F38" s="12">
        <v>23</v>
      </c>
      <c r="G38" s="6">
        <f t="shared" si="3"/>
        <v>0</v>
      </c>
      <c r="I38" s="60"/>
    </row>
    <row r="39" spans="1:9" ht="14.25">
      <c r="A39" s="4" t="s">
        <v>47</v>
      </c>
      <c r="B39" s="5">
        <v>0</v>
      </c>
      <c r="C39" s="5">
        <v>50.7</v>
      </c>
      <c r="D39" s="38">
        <v>-295.60000000000002</v>
      </c>
      <c r="E39" s="38">
        <v>1372</v>
      </c>
      <c r="F39" s="6">
        <v>23</v>
      </c>
      <c r="G39" s="6">
        <f t="shared" si="3"/>
        <v>0</v>
      </c>
      <c r="I39" s="60"/>
    </row>
    <row r="40" spans="1:9" ht="14.25">
      <c r="A40" s="10" t="s">
        <v>48</v>
      </c>
      <c r="B40" s="11">
        <v>0</v>
      </c>
      <c r="C40" s="11">
        <v>6.2</v>
      </c>
      <c r="D40" s="40">
        <v>-305.39999999999998</v>
      </c>
      <c r="E40" s="40">
        <v>1333.5</v>
      </c>
      <c r="F40" s="12">
        <v>23</v>
      </c>
      <c r="G40" s="6">
        <f t="shared" si="3"/>
        <v>0</v>
      </c>
      <c r="I40" s="60"/>
    </row>
  </sheetData>
  <phoneticPr fontId="2" type="noConversion"/>
  <conditionalFormatting sqref="B21:B40">
    <cfRule type="expression" dxfId="137" priority="2">
      <formula>AND(ABS(B21)&gt;100,ABS(B21)&gt;ABS(D21*0.9))</formula>
    </cfRule>
    <cfRule type="expression" dxfId="136" priority="3">
      <formula>AND(ABS(B21)&gt;100,ABS(B21)&gt;ABS(D21*0.8))</formula>
    </cfRule>
  </conditionalFormatting>
  <conditionalFormatting sqref="E21:E40">
    <cfRule type="top10" dxfId="135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171450</xdr:colOff>
                    <xdr:row>4</xdr:row>
                    <xdr:rowOff>0</xdr:rowOff>
                  </from>
                  <to>
                    <xdr:col>5</xdr:col>
                    <xdr:colOff>381000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171450</xdr:colOff>
                    <xdr:row>6</xdr:row>
                    <xdr:rowOff>66675</xdr:rowOff>
                  </from>
                  <to>
                    <xdr:col>5</xdr:col>
                    <xdr:colOff>381000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171450</xdr:colOff>
                    <xdr:row>8</xdr:row>
                    <xdr:rowOff>133350</xdr:rowOff>
                  </from>
                  <to>
                    <xdr:col>5</xdr:col>
                    <xdr:colOff>381000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171450</xdr:colOff>
                    <xdr:row>11</xdr:row>
                    <xdr:rowOff>9525</xdr:rowOff>
                  </from>
                  <to>
                    <xdr:col>5</xdr:col>
                    <xdr:colOff>381000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16</xdr:col>
                    <xdr:colOff>390525</xdr:colOff>
                    <xdr:row>1</xdr:row>
                    <xdr:rowOff>104775</xdr:rowOff>
                  </from>
                  <to>
                    <xdr:col>17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16</xdr:row>
                    <xdr:rowOff>38100</xdr:rowOff>
                  </from>
                  <to>
                    <xdr:col>3</xdr:col>
                    <xdr:colOff>428625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18</xdr:col>
                    <xdr:colOff>19050</xdr:colOff>
                    <xdr:row>5</xdr:row>
                    <xdr:rowOff>0</xdr:rowOff>
                  </from>
                  <to>
                    <xdr:col>19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B24" sqref="B24"/>
    </sheetView>
  </sheetViews>
  <sheetFormatPr defaultRowHeight="13.5"/>
  <cols>
    <col min="1" max="1" width="13.5" customWidth="1"/>
    <col min="2" max="2" width="12.75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37</v>
      </c>
      <c r="B1" t="s">
        <v>98</v>
      </c>
      <c r="C1" t="s">
        <v>38</v>
      </c>
      <c r="D1" t="s">
        <v>53</v>
      </c>
      <c r="G1" t="s">
        <v>58</v>
      </c>
      <c r="H1" s="49">
        <v>772</v>
      </c>
      <c r="J1" t="s">
        <v>99</v>
      </c>
      <c r="K1" s="59">
        <v>1</v>
      </c>
    </row>
    <row r="2" spans="1:20">
      <c r="A2" t="str">
        <f>SUBSTITUTE(O2,".8.","."&amp;$K$1&amp;".")</f>
        <v>10.238.1.16</v>
      </c>
      <c r="B2" s="97">
        <v>0</v>
      </c>
      <c r="C2">
        <f>MID(Table1[[#This Row],[IP]],LEN(Table1[[#This Row],[IP]])-1,1)+(--MID(Table1[[#This Row],[IP]],8,1)-1)*9</f>
        <v>1</v>
      </c>
      <c r="D2" t="s">
        <v>49</v>
      </c>
      <c r="O2" s="52" t="s">
        <v>62</v>
      </c>
      <c r="P2" s="57">
        <v>33</v>
      </c>
      <c r="Q2" s="53">
        <f>MID(Table1[[#This Row],[IP]],LEN(Table1[[#This Row],[IP]])-1,1)+(--MID(O2,8,1)-1)*9</f>
        <v>64</v>
      </c>
      <c r="R2" s="54" t="s">
        <v>49</v>
      </c>
      <c r="T2">
        <v>1</v>
      </c>
    </row>
    <row r="3" spans="1:20">
      <c r="A3" t="str">
        <f t="shared" ref="A3:A37" si="0">SUBSTITUTE(O3,".8.","."&amp;$K$1&amp;".")</f>
        <v>10.238.1.17</v>
      </c>
      <c r="B3" s="97">
        <v>5</v>
      </c>
      <c r="C3">
        <f>MID(Table1[[#This Row],[IP]],LEN(Table1[[#This Row],[IP]])-1,1)+(--MID(Table1[[#This Row],[IP]],8,1)-1)*9</f>
        <v>1</v>
      </c>
      <c r="D3" t="s">
        <v>50</v>
      </c>
      <c r="O3" s="55" t="s">
        <v>63</v>
      </c>
      <c r="P3" s="58">
        <v>32</v>
      </c>
      <c r="Q3" s="53">
        <f>MID(Table1[[#This Row],[IP]],LEN(Table1[[#This Row],[IP]])-1,1)+(--MID(O3,8,1)-1)*9</f>
        <v>64</v>
      </c>
      <c r="R3" s="56" t="s">
        <v>50</v>
      </c>
      <c r="T3">
        <v>2</v>
      </c>
    </row>
    <row r="4" spans="1:20">
      <c r="A4" t="str">
        <f t="shared" si="0"/>
        <v>10.238.1.18</v>
      </c>
      <c r="B4" s="97">
        <v>5</v>
      </c>
      <c r="C4">
        <f>MID(Table1[[#This Row],[IP]],LEN(Table1[[#This Row],[IP]])-1,1)+(--MID(Table1[[#This Row],[IP]],8,1)-1)*9</f>
        <v>1</v>
      </c>
      <c r="D4" t="s">
        <v>51</v>
      </c>
      <c r="O4" s="52" t="s">
        <v>64</v>
      </c>
      <c r="P4" s="57">
        <v>32</v>
      </c>
      <c r="Q4" s="53">
        <f>MID(Table1[[#This Row],[IP]],LEN(Table1[[#This Row],[IP]])-1,1)+(--MID(O4,8,1)-1)*9</f>
        <v>64</v>
      </c>
      <c r="R4" s="54" t="s">
        <v>51</v>
      </c>
      <c r="T4">
        <v>3</v>
      </c>
    </row>
    <row r="5" spans="1:20">
      <c r="A5" t="str">
        <f t="shared" si="0"/>
        <v>10.238.1.19</v>
      </c>
      <c r="B5" s="97">
        <v>5</v>
      </c>
      <c r="C5">
        <f>MID(Table1[[#This Row],[IP]],LEN(Table1[[#This Row],[IP]])-1,1)+(--MID(Table1[[#This Row],[IP]],8,1)-1)*9</f>
        <v>1</v>
      </c>
      <c r="D5" t="s">
        <v>52</v>
      </c>
      <c r="O5" s="55" t="s">
        <v>65</v>
      </c>
      <c r="P5" s="58">
        <v>32</v>
      </c>
      <c r="Q5" s="53">
        <f>MID(Table1[[#This Row],[IP]],LEN(Table1[[#This Row],[IP]])-1,1)+(--MID(O5,8,1)-1)*9</f>
        <v>64</v>
      </c>
      <c r="R5" s="56" t="s">
        <v>52</v>
      </c>
      <c r="T5">
        <v>4</v>
      </c>
    </row>
    <row r="6" spans="1:20">
      <c r="A6" t="str">
        <f t="shared" si="0"/>
        <v>10.238.1.26</v>
      </c>
      <c r="B6" s="97">
        <v>5</v>
      </c>
      <c r="C6">
        <f>MID(Table1[[#This Row],[IP]],LEN(Table1[[#This Row],[IP]])-1,1)+(--MID(Table1[[#This Row],[IP]],8,1)-1)*9</f>
        <v>2</v>
      </c>
      <c r="D6" t="s">
        <v>49</v>
      </c>
      <c r="O6" s="52" t="s">
        <v>66</v>
      </c>
      <c r="P6" s="57">
        <v>17</v>
      </c>
      <c r="Q6" s="53">
        <f>MID(Table1[[#This Row],[IP]],LEN(Table1[[#This Row],[IP]])-1,1)+(--MID(O6,8,1)-1)*9</f>
        <v>65</v>
      </c>
      <c r="R6" s="54" t="s">
        <v>49</v>
      </c>
      <c r="T6">
        <v>5</v>
      </c>
    </row>
    <row r="7" spans="1:20">
      <c r="A7" t="str">
        <f t="shared" si="0"/>
        <v>10.238.1.27</v>
      </c>
      <c r="B7" s="97">
        <v>5</v>
      </c>
      <c r="C7">
        <f>MID(Table1[[#This Row],[IP]],LEN(Table1[[#This Row],[IP]])-1,1)+(--MID(Table1[[#This Row],[IP]],8,1)-1)*9</f>
        <v>2</v>
      </c>
      <c r="D7" t="s">
        <v>50</v>
      </c>
      <c r="O7" s="55" t="s">
        <v>67</v>
      </c>
      <c r="P7" s="58">
        <v>18</v>
      </c>
      <c r="Q7" s="53">
        <f>MID(Table1[[#This Row],[IP]],LEN(Table1[[#This Row],[IP]])-1,1)+(--MID(O7,8,1)-1)*9</f>
        <v>65</v>
      </c>
      <c r="R7" s="56" t="s">
        <v>50</v>
      </c>
      <c r="T7">
        <v>6</v>
      </c>
    </row>
    <row r="8" spans="1:20">
      <c r="A8" t="str">
        <f t="shared" si="0"/>
        <v>10.238.1.28</v>
      </c>
      <c r="B8" s="97">
        <v>5</v>
      </c>
      <c r="C8">
        <f>MID(Table1[[#This Row],[IP]],LEN(Table1[[#This Row],[IP]])-1,1)+(--MID(Table1[[#This Row],[IP]],8,1)-1)*9</f>
        <v>2</v>
      </c>
      <c r="D8" t="s">
        <v>51</v>
      </c>
      <c r="O8" s="52" t="s">
        <v>68</v>
      </c>
      <c r="P8" s="57">
        <v>13</v>
      </c>
      <c r="Q8" s="53">
        <f>MID(Table1[[#This Row],[IP]],LEN(Table1[[#This Row],[IP]])-1,1)+(--MID(O8,8,1)-1)*9</f>
        <v>65</v>
      </c>
      <c r="R8" s="54" t="s">
        <v>51</v>
      </c>
      <c r="T8">
        <v>7</v>
      </c>
    </row>
    <row r="9" spans="1:20">
      <c r="A9" t="str">
        <f t="shared" si="0"/>
        <v>10.238.1.29</v>
      </c>
      <c r="B9" s="97">
        <v>5</v>
      </c>
      <c r="C9">
        <f>MID(Table1[[#This Row],[IP]],LEN(Table1[[#This Row],[IP]])-1,1)+(--MID(Table1[[#This Row],[IP]],8,1)-1)*9</f>
        <v>2</v>
      </c>
      <c r="D9" t="s">
        <v>52</v>
      </c>
      <c r="O9" s="55" t="s">
        <v>69</v>
      </c>
      <c r="P9" s="58">
        <v>17</v>
      </c>
      <c r="Q9" s="53">
        <f>MID(Table1[[#This Row],[IP]],LEN(Table1[[#This Row],[IP]])-1,1)+(--MID(O9,8,1)-1)*9</f>
        <v>65</v>
      </c>
      <c r="R9" s="56" t="s">
        <v>52</v>
      </c>
      <c r="T9">
        <v>8</v>
      </c>
    </row>
    <row r="10" spans="1:20">
      <c r="A10" t="str">
        <f t="shared" si="0"/>
        <v>10.238.1.36</v>
      </c>
      <c r="B10" s="97">
        <v>5</v>
      </c>
      <c r="C10">
        <f>MID(Table1[[#This Row],[IP]],LEN(Table1[[#This Row],[IP]])-1,1)+(--MID(Table1[[#This Row],[IP]],8,1)-1)*9</f>
        <v>3</v>
      </c>
      <c r="D10" t="s">
        <v>49</v>
      </c>
      <c r="O10" s="52" t="s">
        <v>70</v>
      </c>
      <c r="P10" s="57">
        <v>20</v>
      </c>
      <c r="Q10" s="53">
        <f>MID(Table1[[#This Row],[IP]],LEN(Table1[[#This Row],[IP]])-1,1)+(--MID(O10,8,1)-1)*9</f>
        <v>66</v>
      </c>
      <c r="R10" s="54" t="s">
        <v>49</v>
      </c>
    </row>
    <row r="11" spans="1:20">
      <c r="A11" t="str">
        <f t="shared" si="0"/>
        <v>10.238.1.37</v>
      </c>
      <c r="B11" s="97">
        <v>5</v>
      </c>
      <c r="C11">
        <f>MID(Table1[[#This Row],[IP]],LEN(Table1[[#This Row],[IP]])-1,1)+(--MID(Table1[[#This Row],[IP]],8,1)-1)*9</f>
        <v>3</v>
      </c>
      <c r="D11" t="s">
        <v>50</v>
      </c>
      <c r="O11" s="55" t="s">
        <v>71</v>
      </c>
      <c r="P11" s="58">
        <v>18</v>
      </c>
      <c r="Q11" s="53">
        <f>MID(Table1[[#This Row],[IP]],LEN(Table1[[#This Row],[IP]])-1,1)+(--MID(O11,8,1)-1)*9</f>
        <v>66</v>
      </c>
      <c r="R11" s="56" t="s">
        <v>50</v>
      </c>
    </row>
    <row r="12" spans="1:20">
      <c r="A12" t="str">
        <f t="shared" si="0"/>
        <v>10.238.1.38</v>
      </c>
      <c r="B12" s="97">
        <v>5</v>
      </c>
      <c r="C12">
        <f>MID(Table1[[#This Row],[IP]],LEN(Table1[[#This Row],[IP]])-1,1)+(--MID(Table1[[#This Row],[IP]],8,1)-1)*9</f>
        <v>3</v>
      </c>
      <c r="D12" t="s">
        <v>51</v>
      </c>
      <c r="O12" s="52" t="s">
        <v>72</v>
      </c>
      <c r="P12" s="57">
        <v>18</v>
      </c>
      <c r="Q12" s="53">
        <f>MID(Table1[[#This Row],[IP]],LEN(Table1[[#This Row],[IP]])-1,1)+(--MID(O12,8,1)-1)*9</f>
        <v>66</v>
      </c>
      <c r="R12" s="54" t="s">
        <v>51</v>
      </c>
    </row>
    <row r="13" spans="1:20">
      <c r="A13" t="str">
        <f t="shared" si="0"/>
        <v>10.238.1.39</v>
      </c>
      <c r="B13" s="97">
        <v>5</v>
      </c>
      <c r="C13">
        <f>MID(Table1[[#This Row],[IP]],LEN(Table1[[#This Row],[IP]])-1,1)+(--MID(Table1[[#This Row],[IP]],8,1)-1)*9</f>
        <v>3</v>
      </c>
      <c r="D13" t="s">
        <v>52</v>
      </c>
      <c r="O13" s="55" t="s">
        <v>73</v>
      </c>
      <c r="P13" s="58">
        <v>18</v>
      </c>
      <c r="Q13" s="53">
        <f>MID(Table1[[#This Row],[IP]],LEN(Table1[[#This Row],[IP]])-1,1)+(--MID(O13,8,1)-1)*9</f>
        <v>66</v>
      </c>
      <c r="R13" s="56" t="s">
        <v>52</v>
      </c>
    </row>
    <row r="14" spans="1:20">
      <c r="A14" t="str">
        <f t="shared" si="0"/>
        <v>10.238.1.46</v>
      </c>
      <c r="B14" s="97">
        <v>5</v>
      </c>
      <c r="C14">
        <f>MID(Table1[[#This Row],[IP]],LEN(Table1[[#This Row],[IP]])-1,1)+(--MID(Table1[[#This Row],[IP]],8,1)-1)*9</f>
        <v>4</v>
      </c>
      <c r="D14" t="s">
        <v>49</v>
      </c>
      <c r="O14" s="52" t="s">
        <v>74</v>
      </c>
      <c r="P14" s="57">
        <v>30</v>
      </c>
      <c r="Q14" s="53">
        <f>MID(Table1[[#This Row],[IP]],LEN(Table1[[#This Row],[IP]])-1,1)+(--MID(O14,8,1)-1)*9</f>
        <v>67</v>
      </c>
      <c r="R14" s="54" t="s">
        <v>49</v>
      </c>
    </row>
    <row r="15" spans="1:20">
      <c r="A15" t="str">
        <f t="shared" si="0"/>
        <v>10.238.1.47</v>
      </c>
      <c r="B15" s="97">
        <v>5</v>
      </c>
      <c r="C15">
        <f>MID(Table1[[#This Row],[IP]],LEN(Table1[[#This Row],[IP]])-1,1)+(--MID(Table1[[#This Row],[IP]],8,1)-1)*9</f>
        <v>4</v>
      </c>
      <c r="D15" t="s">
        <v>50</v>
      </c>
      <c r="O15" s="55" t="s">
        <v>75</v>
      </c>
      <c r="P15" s="58">
        <v>38</v>
      </c>
      <c r="Q15" s="53">
        <f>MID(Table1[[#This Row],[IP]],LEN(Table1[[#This Row],[IP]])-1,1)+(--MID(O15,8,1)-1)*9</f>
        <v>67</v>
      </c>
      <c r="R15" s="56" t="s">
        <v>50</v>
      </c>
    </row>
    <row r="16" spans="1:20">
      <c r="A16" t="str">
        <f t="shared" si="0"/>
        <v>10.238.1.48</v>
      </c>
      <c r="B16" s="97">
        <v>5</v>
      </c>
      <c r="C16">
        <f>MID(Table1[[#This Row],[IP]],LEN(Table1[[#This Row],[IP]])-1,1)+(--MID(Table1[[#This Row],[IP]],8,1)-1)*9</f>
        <v>4</v>
      </c>
      <c r="D16" t="s">
        <v>51</v>
      </c>
      <c r="O16" s="52" t="s">
        <v>76</v>
      </c>
      <c r="P16" s="57">
        <v>38</v>
      </c>
      <c r="Q16" s="53">
        <f>MID(Table1[[#This Row],[IP]],LEN(Table1[[#This Row],[IP]])-1,1)+(--MID(O16,8,1)-1)*9</f>
        <v>67</v>
      </c>
      <c r="R16" s="54" t="s">
        <v>51</v>
      </c>
    </row>
    <row r="17" spans="1:18">
      <c r="A17" t="str">
        <f t="shared" si="0"/>
        <v>10.238.1.49</v>
      </c>
      <c r="B17" s="97">
        <v>5</v>
      </c>
      <c r="C17">
        <f>MID(Table1[[#This Row],[IP]],LEN(Table1[[#This Row],[IP]])-1,1)+(--MID(Table1[[#This Row],[IP]],8,1)-1)*9</f>
        <v>4</v>
      </c>
      <c r="D17" t="s">
        <v>52</v>
      </c>
      <c r="O17" s="55" t="s">
        <v>77</v>
      </c>
      <c r="P17" s="58">
        <v>38</v>
      </c>
      <c r="Q17" s="53">
        <f>MID(Table1[[#This Row],[IP]],LEN(Table1[[#This Row],[IP]])-1,1)+(--MID(O17,8,1)-1)*9</f>
        <v>67</v>
      </c>
      <c r="R17" s="56" t="s">
        <v>52</v>
      </c>
    </row>
    <row r="18" spans="1:18">
      <c r="A18" t="str">
        <f t="shared" si="0"/>
        <v>10.238.1.56</v>
      </c>
      <c r="B18" s="97">
        <v>5</v>
      </c>
      <c r="C18">
        <f>MID(Table1[[#This Row],[IP]],LEN(Table1[[#This Row],[IP]])-1,1)+(--MID(Table1[[#This Row],[IP]],8,1)-1)*9</f>
        <v>5</v>
      </c>
      <c r="D18" t="s">
        <v>49</v>
      </c>
      <c r="O18" s="52" t="s">
        <v>78</v>
      </c>
      <c r="P18" s="57">
        <v>26</v>
      </c>
      <c r="Q18" s="53">
        <f>MID(Table1[[#This Row],[IP]],LEN(Table1[[#This Row],[IP]])-1,1)+(--MID(O18,8,1)-1)*9</f>
        <v>68</v>
      </c>
      <c r="R18" s="54" t="s">
        <v>49</v>
      </c>
    </row>
    <row r="19" spans="1:18">
      <c r="A19" t="str">
        <f t="shared" si="0"/>
        <v>10.238.1.57</v>
      </c>
      <c r="B19" s="97">
        <v>5</v>
      </c>
      <c r="C19">
        <f>MID(Table1[[#This Row],[IP]],LEN(Table1[[#This Row],[IP]])-1,1)+(--MID(Table1[[#This Row],[IP]],8,1)-1)*9</f>
        <v>5</v>
      </c>
      <c r="D19" t="s">
        <v>50</v>
      </c>
      <c r="O19" s="55" t="s">
        <v>79</v>
      </c>
      <c r="P19" s="58">
        <v>23</v>
      </c>
      <c r="Q19" s="53">
        <f>MID(Table1[[#This Row],[IP]],LEN(Table1[[#This Row],[IP]])-1,1)+(--MID(O19,8,1)-1)*9</f>
        <v>68</v>
      </c>
      <c r="R19" s="56" t="s">
        <v>50</v>
      </c>
    </row>
    <row r="20" spans="1:18">
      <c r="A20" t="str">
        <f t="shared" si="0"/>
        <v>10.238.1.58</v>
      </c>
      <c r="B20" s="97">
        <v>5</v>
      </c>
      <c r="C20">
        <f>MID(Table1[[#This Row],[IP]],LEN(Table1[[#This Row],[IP]])-1,1)+(--MID(Table1[[#This Row],[IP]],8,1)-1)*9</f>
        <v>5</v>
      </c>
      <c r="D20" t="s">
        <v>51</v>
      </c>
      <c r="O20" s="52" t="s">
        <v>80</v>
      </c>
      <c r="P20" s="57">
        <v>22</v>
      </c>
      <c r="Q20" s="53">
        <f>MID(Table1[[#This Row],[IP]],LEN(Table1[[#This Row],[IP]])-1,1)+(--MID(O20,8,1)-1)*9</f>
        <v>68</v>
      </c>
      <c r="R20" s="54" t="s">
        <v>51</v>
      </c>
    </row>
    <row r="21" spans="1:18">
      <c r="A21" t="str">
        <f t="shared" si="0"/>
        <v>10.238.1.59</v>
      </c>
      <c r="B21" s="97">
        <v>5</v>
      </c>
      <c r="C21">
        <f>MID(Table1[[#This Row],[IP]],LEN(Table1[[#This Row],[IP]])-1,1)+(--MID(Table1[[#This Row],[IP]],8,1)-1)*9</f>
        <v>5</v>
      </c>
      <c r="D21" t="s">
        <v>52</v>
      </c>
      <c r="O21" s="55" t="s">
        <v>81</v>
      </c>
      <c r="P21" s="58">
        <v>22</v>
      </c>
      <c r="Q21" s="53">
        <f>MID(Table1[[#This Row],[IP]],LEN(Table1[[#This Row],[IP]])-1,1)+(--MID(O21,8,1)-1)*9</f>
        <v>68</v>
      </c>
      <c r="R21" s="56" t="s">
        <v>52</v>
      </c>
    </row>
    <row r="22" spans="1:18">
      <c r="A22" t="str">
        <f t="shared" si="0"/>
        <v>10.238.1.66</v>
      </c>
      <c r="B22" s="97">
        <v>4</v>
      </c>
      <c r="C22">
        <f>MID(Table1[[#This Row],[IP]],LEN(Table1[[#This Row],[IP]])-1,1)+(--MID(Table1[[#This Row],[IP]],8,1)-1)*9</f>
        <v>6</v>
      </c>
      <c r="D22" t="s">
        <v>49</v>
      </c>
      <c r="O22" s="52" t="s">
        <v>82</v>
      </c>
      <c r="P22" s="57">
        <v>22</v>
      </c>
      <c r="Q22" s="53">
        <f>MID(Table1[[#This Row],[IP]],LEN(Table1[[#This Row],[IP]])-1,1)+(--MID(O22,8,1)-1)*9</f>
        <v>69</v>
      </c>
      <c r="R22" s="54" t="s">
        <v>49</v>
      </c>
    </row>
    <row r="23" spans="1:18">
      <c r="A23" t="str">
        <f t="shared" si="0"/>
        <v>10.238.1.67</v>
      </c>
      <c r="B23" s="97">
        <v>1</v>
      </c>
      <c r="C23">
        <f>MID(Table1[[#This Row],[IP]],LEN(Table1[[#This Row],[IP]])-1,1)+(--MID(Table1[[#This Row],[IP]],8,1)-1)*9</f>
        <v>6</v>
      </c>
      <c r="D23" t="s">
        <v>50</v>
      </c>
      <c r="O23" s="55" t="s">
        <v>83</v>
      </c>
      <c r="P23" s="58">
        <v>16</v>
      </c>
      <c r="Q23" s="53">
        <f>MID(Table1[[#This Row],[IP]],LEN(Table1[[#This Row],[IP]])-1,1)+(--MID(O23,8,1)-1)*9</f>
        <v>69</v>
      </c>
      <c r="R23" s="56" t="s">
        <v>50</v>
      </c>
    </row>
    <row r="24" spans="1:18">
      <c r="A24" t="str">
        <f t="shared" si="0"/>
        <v>10.238.1.68</v>
      </c>
      <c r="B24" s="97">
        <v>0</v>
      </c>
      <c r="C24">
        <f>MID(Table1[[#This Row],[IP]],LEN(Table1[[#This Row],[IP]])-1,1)+(--MID(Table1[[#This Row],[IP]],8,1)-1)*9</f>
        <v>6</v>
      </c>
      <c r="D24" t="s">
        <v>51</v>
      </c>
      <c r="O24" s="52" t="s">
        <v>84</v>
      </c>
      <c r="P24" s="57">
        <v>16</v>
      </c>
      <c r="Q24" s="53">
        <f>MID(Table1[[#This Row],[IP]],LEN(Table1[[#This Row],[IP]])-1,1)+(--MID(O24,8,1)-1)*9</f>
        <v>69</v>
      </c>
      <c r="R24" s="54" t="s">
        <v>51</v>
      </c>
    </row>
    <row r="25" spans="1:18">
      <c r="A25" t="str">
        <f t="shared" si="0"/>
        <v>10.238.1.69</v>
      </c>
      <c r="B25" s="97">
        <v>4</v>
      </c>
      <c r="C25">
        <f>MID(Table1[[#This Row],[IP]],LEN(Table1[[#This Row],[IP]])-1,1)+(--MID(Table1[[#This Row],[IP]],8,1)-1)*9</f>
        <v>6</v>
      </c>
      <c r="D25" t="s">
        <v>52</v>
      </c>
      <c r="O25" s="55" t="s">
        <v>85</v>
      </c>
      <c r="P25" s="58">
        <v>16</v>
      </c>
      <c r="Q25" s="53">
        <f>MID(Table1[[#This Row],[IP]],LEN(Table1[[#This Row],[IP]])-1,1)+(--MID(O25,8,1)-1)*9</f>
        <v>69</v>
      </c>
      <c r="R25" s="56" t="s">
        <v>52</v>
      </c>
    </row>
    <row r="26" spans="1:18">
      <c r="A26" t="str">
        <f t="shared" si="0"/>
        <v>10.238.1.76</v>
      </c>
      <c r="B26" s="97">
        <v>5</v>
      </c>
      <c r="C26">
        <f>MID(Table1[[#This Row],[IP]],LEN(Table1[[#This Row],[IP]])-1,1)+(--MID(Table1[[#This Row],[IP]],8,1)-1)*9</f>
        <v>7</v>
      </c>
      <c r="D26" t="s">
        <v>49</v>
      </c>
      <c r="O26" s="52" t="s">
        <v>86</v>
      </c>
      <c r="P26" s="57">
        <v>34</v>
      </c>
      <c r="Q26" s="53">
        <f>MID(Table1[[#This Row],[IP]],LEN(Table1[[#This Row],[IP]])-1,1)+(--MID(O26,8,1)-1)*9</f>
        <v>70</v>
      </c>
      <c r="R26" s="54" t="s">
        <v>49</v>
      </c>
    </row>
    <row r="27" spans="1:18">
      <c r="A27" t="str">
        <f t="shared" si="0"/>
        <v>10.238.1.77</v>
      </c>
      <c r="B27" s="97">
        <v>0</v>
      </c>
      <c r="C27">
        <f>MID(Table1[[#This Row],[IP]],LEN(Table1[[#This Row],[IP]])-1,1)+(--MID(Table1[[#This Row],[IP]],8,1)-1)*9</f>
        <v>7</v>
      </c>
      <c r="D27" t="s">
        <v>50</v>
      </c>
      <c r="O27" s="55" t="s">
        <v>87</v>
      </c>
      <c r="P27" s="58">
        <v>20</v>
      </c>
      <c r="Q27" s="53">
        <f>MID(Table1[[#This Row],[IP]],LEN(Table1[[#This Row],[IP]])-1,1)+(--MID(O27,8,1)-1)*9</f>
        <v>70</v>
      </c>
      <c r="R27" s="56" t="s">
        <v>50</v>
      </c>
    </row>
    <row r="28" spans="1:18">
      <c r="A28" t="str">
        <f t="shared" si="0"/>
        <v>10.238.1.78</v>
      </c>
      <c r="B28" s="97">
        <v>5</v>
      </c>
      <c r="C28">
        <f>MID(Table1[[#This Row],[IP]],LEN(Table1[[#This Row],[IP]])-1,1)+(--MID(Table1[[#This Row],[IP]],8,1)-1)*9</f>
        <v>7</v>
      </c>
      <c r="D28" t="s">
        <v>51</v>
      </c>
      <c r="O28" s="52" t="s">
        <v>88</v>
      </c>
      <c r="P28" s="57">
        <v>34</v>
      </c>
      <c r="Q28" s="53">
        <f>MID(Table1[[#This Row],[IP]],LEN(Table1[[#This Row],[IP]])-1,1)+(--MID(O28,8,1)-1)*9</f>
        <v>70</v>
      </c>
      <c r="R28" s="54" t="s">
        <v>51</v>
      </c>
    </row>
    <row r="29" spans="1:18">
      <c r="A29" t="str">
        <f t="shared" si="0"/>
        <v>10.238.1.79</v>
      </c>
      <c r="B29" s="97">
        <v>5</v>
      </c>
      <c r="C29">
        <f>MID(Table1[[#This Row],[IP]],LEN(Table1[[#This Row],[IP]])-1,1)+(--MID(Table1[[#This Row],[IP]],8,1)-1)*9</f>
        <v>7</v>
      </c>
      <c r="D29" t="s">
        <v>52</v>
      </c>
      <c r="O29" s="55" t="s">
        <v>89</v>
      </c>
      <c r="P29" s="58">
        <v>34</v>
      </c>
      <c r="Q29" s="53">
        <f>MID(Table1[[#This Row],[IP]],LEN(Table1[[#This Row],[IP]])-1,1)+(--MID(O29,8,1)-1)*9</f>
        <v>70</v>
      </c>
      <c r="R29" s="56" t="s">
        <v>52</v>
      </c>
    </row>
    <row r="30" spans="1:18">
      <c r="A30" t="str">
        <f t="shared" si="0"/>
        <v>10.238.1.86</v>
      </c>
      <c r="B30" s="97">
        <v>5</v>
      </c>
      <c r="C30">
        <f>MID(Table1[[#This Row],[IP]],LEN(Table1[[#This Row],[IP]])-1,1)+(--MID(Table1[[#This Row],[IP]],8,1)-1)*9</f>
        <v>8</v>
      </c>
      <c r="D30" t="s">
        <v>49</v>
      </c>
      <c r="O30" s="52" t="s">
        <v>90</v>
      </c>
      <c r="P30" s="57">
        <v>30</v>
      </c>
      <c r="Q30" s="53">
        <f>MID(Table1[[#This Row],[IP]],LEN(Table1[[#This Row],[IP]])-1,1)+(--MID(O30,8,1)-1)*9</f>
        <v>71</v>
      </c>
      <c r="R30" s="54" t="s">
        <v>49</v>
      </c>
    </row>
    <row r="31" spans="1:18">
      <c r="A31" t="str">
        <f t="shared" si="0"/>
        <v>10.238.1.87</v>
      </c>
      <c r="B31" s="97">
        <v>5</v>
      </c>
      <c r="C31">
        <f>MID(Table1[[#This Row],[IP]],LEN(Table1[[#This Row],[IP]])-1,1)+(--MID(Table1[[#This Row],[IP]],8,1)-1)*9</f>
        <v>8</v>
      </c>
      <c r="D31" t="s">
        <v>50</v>
      </c>
      <c r="O31" s="55" t="s">
        <v>91</v>
      </c>
      <c r="P31" s="58">
        <v>28</v>
      </c>
      <c r="Q31" s="53">
        <f>MID(Table1[[#This Row],[IP]],LEN(Table1[[#This Row],[IP]])-1,1)+(--MID(O31,8,1)-1)*9</f>
        <v>71</v>
      </c>
      <c r="R31" s="56" t="s">
        <v>50</v>
      </c>
    </row>
    <row r="32" spans="1:18">
      <c r="A32" t="str">
        <f t="shared" si="0"/>
        <v>10.238.1.88</v>
      </c>
      <c r="B32" s="97">
        <v>5</v>
      </c>
      <c r="C32">
        <f>MID(Table1[[#This Row],[IP]],LEN(Table1[[#This Row],[IP]])-1,1)+(--MID(Table1[[#This Row],[IP]],8,1)-1)*9</f>
        <v>8</v>
      </c>
      <c r="D32" t="s">
        <v>51</v>
      </c>
      <c r="O32" s="52" t="s">
        <v>92</v>
      </c>
      <c r="P32" s="57">
        <v>31</v>
      </c>
      <c r="Q32" s="53">
        <f>MID(Table1[[#This Row],[IP]],LEN(Table1[[#This Row],[IP]])-1,1)+(--MID(O32,8,1)-1)*9</f>
        <v>71</v>
      </c>
      <c r="R32" s="54" t="s">
        <v>51</v>
      </c>
    </row>
    <row r="33" spans="1:18">
      <c r="A33" t="str">
        <f t="shared" si="0"/>
        <v>10.238.1.89</v>
      </c>
      <c r="B33" s="97">
        <v>5</v>
      </c>
      <c r="C33">
        <f>MID(Table1[[#This Row],[IP]],LEN(Table1[[#This Row],[IP]])-1,1)+(--MID(Table1[[#This Row],[IP]],8,1)-1)*9</f>
        <v>8</v>
      </c>
      <c r="D33" t="s">
        <v>52</v>
      </c>
      <c r="O33" s="55" t="s">
        <v>93</v>
      </c>
      <c r="P33" s="58">
        <v>31</v>
      </c>
      <c r="Q33" s="53">
        <f>MID(Table1[[#This Row],[IP]],LEN(Table1[[#This Row],[IP]])-1,1)+(--MID(O33,8,1)-1)*9</f>
        <v>71</v>
      </c>
      <c r="R33" s="56" t="s">
        <v>52</v>
      </c>
    </row>
    <row r="34" spans="1:18">
      <c r="A34" t="str">
        <f t="shared" si="0"/>
        <v>10.238.1.96</v>
      </c>
      <c r="B34" s="97">
        <v>5</v>
      </c>
      <c r="C34">
        <f>MID(Table1[[#This Row],[IP]],LEN(Table1[[#This Row],[IP]])-1,1)+(--MID(Table1[[#This Row],[IP]],8,1)-1)*9</f>
        <v>9</v>
      </c>
      <c r="D34" t="s">
        <v>49</v>
      </c>
      <c r="O34" s="52" t="s">
        <v>94</v>
      </c>
      <c r="P34" s="57">
        <v>23</v>
      </c>
      <c r="Q34" s="53">
        <f>MID(Table1[[#This Row],[IP]],LEN(Table1[[#This Row],[IP]])-1,1)+(--MID(O34,8,1)-1)*9</f>
        <v>72</v>
      </c>
      <c r="R34" s="54" t="s">
        <v>49</v>
      </c>
    </row>
    <row r="35" spans="1:18">
      <c r="A35" t="str">
        <f t="shared" si="0"/>
        <v>10.238.1.97</v>
      </c>
      <c r="B35" s="97">
        <v>5</v>
      </c>
      <c r="C35">
        <f>MID(Table1[[#This Row],[IP]],LEN(Table1[[#This Row],[IP]])-1,1)+(--MID(Table1[[#This Row],[IP]],8,1)-1)*9</f>
        <v>9</v>
      </c>
      <c r="D35" t="s">
        <v>50</v>
      </c>
      <c r="O35" s="55" t="s">
        <v>95</v>
      </c>
      <c r="P35" s="58">
        <v>23</v>
      </c>
      <c r="Q35" s="53">
        <f>MID(Table1[[#This Row],[IP]],LEN(Table1[[#This Row],[IP]])-1,1)+(--MID(O35,8,1)-1)*9</f>
        <v>72</v>
      </c>
      <c r="R35" s="56" t="s">
        <v>50</v>
      </c>
    </row>
    <row r="36" spans="1:18">
      <c r="A36" t="str">
        <f t="shared" si="0"/>
        <v>10.238.1.98</v>
      </c>
      <c r="B36" s="97">
        <v>5</v>
      </c>
      <c r="C36">
        <f>MID(Table1[[#This Row],[IP]],LEN(Table1[[#This Row],[IP]])-1,1)+(--MID(Table1[[#This Row],[IP]],8,1)-1)*9</f>
        <v>9</v>
      </c>
      <c r="D36" t="s">
        <v>51</v>
      </c>
      <c r="O36" s="52" t="s">
        <v>96</v>
      </c>
      <c r="P36" s="57">
        <v>24</v>
      </c>
      <c r="Q36" s="53">
        <f>MID(Table1[[#This Row],[IP]],LEN(Table1[[#This Row],[IP]])-1,1)+(--MID(O36,8,1)-1)*9</f>
        <v>72</v>
      </c>
      <c r="R36" s="54" t="s">
        <v>51</v>
      </c>
    </row>
    <row r="37" spans="1:18">
      <c r="A37" t="str">
        <f t="shared" si="0"/>
        <v>10.238.1.99</v>
      </c>
      <c r="B37" s="97">
        <v>5</v>
      </c>
      <c r="C37">
        <f>MID(Table1[[#This Row],[IP]],LEN(Table1[[#This Row],[IP]])-1,1)+(--MID(Table1[[#This Row],[IP]],8,1)-1)*9</f>
        <v>9</v>
      </c>
      <c r="D37" t="s">
        <v>52</v>
      </c>
      <c r="O37" s="55" t="s">
        <v>97</v>
      </c>
      <c r="P37" s="58">
        <v>24</v>
      </c>
      <c r="Q37" s="53">
        <f>MID(Table1[[#This Row],[IP]],LEN(Table1[[#This Row],[IP]])-1,1)+(--MID(O37,8,1)-1)*9</f>
        <v>72</v>
      </c>
      <c r="R37" s="56" t="s">
        <v>52</v>
      </c>
    </row>
  </sheetData>
  <phoneticPr fontId="13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495300</xdr:colOff>
                    <xdr:row>3</xdr:row>
                    <xdr:rowOff>9525</xdr:rowOff>
                  </from>
                  <to>
                    <xdr:col>8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495300</xdr:colOff>
                    <xdr:row>7</xdr:row>
                    <xdr:rowOff>38100</xdr:rowOff>
                  </from>
                  <to>
                    <xdr:col>8</xdr:col>
                    <xdr:colOff>19050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D37"/>
  <sheetViews>
    <sheetView workbookViewId="0">
      <pane ySplit="1" topLeftCell="A2" activePane="bottomLeft" state="frozen"/>
      <selection activeCell="M2" sqref="M2"/>
      <selection pane="bottomLeft" activeCell="H2" sqref="H2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1</v>
      </c>
    </row>
    <row r="2" spans="1:30">
      <c r="A2" t="str">
        <f>SUBSTITUTE(V2,".8.","."&amp;$R$1&amp;".")</f>
        <v>10.238.1.16</v>
      </c>
      <c r="B2">
        <f>MID(Table18[[#This Row],[IP]],LEN(Table18[[#This Row],[IP]])-1,1)+(--MID(Table18[[#This Row],[IP]],8,1)-1)*9</f>
        <v>1</v>
      </c>
      <c r="C2" t="s">
        <v>49</v>
      </c>
      <c r="D2" s="97">
        <v>1385.2</v>
      </c>
      <c r="E2" s="97">
        <v>1386.7</v>
      </c>
      <c r="F2" s="97">
        <v>1385.7</v>
      </c>
      <c r="G2" s="97">
        <v>1386.6</v>
      </c>
      <c r="H2" s="97">
        <v>1384.7</v>
      </c>
      <c r="I2" s="97" cm="1">
        <f t="array" ref="I2">IF(SUM(Table18[[#This Row],[SBMU01]:[SBMU05]])=0,0,SUMPRODUCT(IF(Table18[[#This Row],[SBMU01]:[SBMU05]]=0,1,0),{1,2,4,8,16}))</f>
        <v>0</v>
      </c>
      <c r="J2" s="97">
        <v>0</v>
      </c>
      <c r="K2" s="97">
        <v>0</v>
      </c>
      <c r="M2" t="b">
        <f t="shared" ref="M2:M37" si="0">MAX($D2:$H2)-MIN($D2:$H2)&lt;10</f>
        <v>1</v>
      </c>
      <c r="N2" t="s">
        <v>794</v>
      </c>
      <c r="V2" s="52" t="s">
        <v>62</v>
      </c>
      <c r="W2" s="57">
        <v>33</v>
      </c>
      <c r="X2" s="53">
        <f>MID(Table18[[#This Row],[IP]],LEN(Table18[[#This Row],[IP]])-1,1)+(--MID(V2,8,1)-1)*9</f>
        <v>64</v>
      </c>
      <c r="Y2" s="54" t="s">
        <v>49</v>
      </c>
      <c r="AA2">
        <v>1</v>
      </c>
      <c r="AC2" t="s">
        <v>786</v>
      </c>
      <c r="AD2">
        <f>O1</f>
        <v>1057</v>
      </c>
    </row>
    <row r="3" spans="1:30">
      <c r="A3" t="str">
        <f t="shared" ref="A3:A37" si="1">SUBSTITUTE(V3,".8.","."&amp;$R$1&amp;".")</f>
        <v>10.238.1.17</v>
      </c>
      <c r="B3">
        <f>MID(Table18[[#This Row],[IP]],LEN(Table18[[#This Row],[IP]])-1,1)+(--MID(Table18[[#This Row],[IP]],8,1)-1)*9</f>
        <v>1</v>
      </c>
      <c r="C3" t="s">
        <v>50</v>
      </c>
      <c r="D3" s="97">
        <v>1395.4</v>
      </c>
      <c r="E3" s="97">
        <v>1396.7</v>
      </c>
      <c r="F3" s="97">
        <v>1396.7</v>
      </c>
      <c r="G3" s="97">
        <v>1395.3</v>
      </c>
      <c r="H3" s="97">
        <v>1396.1</v>
      </c>
      <c r="I3" s="97" cm="1">
        <f t="array" ref="I3">IF(SUM(Table18[[#This Row],[SBMU01]:[SBMU05]])=0,0,SUMPRODUCT(IF(Table18[[#This Row],[SBMU01]:[SBMU05]]=0,1,0),{1,2,4,8,16}))</f>
        <v>0</v>
      </c>
      <c r="J3" s="97">
        <v>0</v>
      </c>
      <c r="K3" s="97">
        <v>0</v>
      </c>
      <c r="L3" t="s">
        <v>785</v>
      </c>
      <c r="M3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MID(Table18[[#This Row],[IP]],LEN(Table18[[#This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10.238.1.18</v>
      </c>
      <c r="B4">
        <f>MID(Table18[[#This Row],[IP]],LEN(Table18[[#This Row],[IP]])-1,1)+(--MID(Table18[[#This Row],[IP]],8,1)-1)*9</f>
        <v>1</v>
      </c>
      <c r="C4" t="s">
        <v>51</v>
      </c>
      <c r="D4" s="97">
        <v>1396.2</v>
      </c>
      <c r="E4" s="97">
        <v>1395.2</v>
      </c>
      <c r="F4" s="97">
        <v>1395.9</v>
      </c>
      <c r="G4" s="97">
        <v>1396.9</v>
      </c>
      <c r="H4" s="97">
        <v>1396.1</v>
      </c>
      <c r="I4" s="97" cm="1">
        <f t="array" ref="I4">IF(SUM(Table18[[#This Row],[SBMU01]:[SBMU05]])=0,0,SUMPRODUCT(IF(Table18[[#This Row],[SBMU01]:[SBMU05]]=0,1,0),{1,2,4,8,16}))</f>
        <v>0</v>
      </c>
      <c r="J4" s="97">
        <v>0</v>
      </c>
      <c r="K4" s="97">
        <v>0</v>
      </c>
      <c r="L4" t="s">
        <v>785</v>
      </c>
      <c r="M4" t="b">
        <f t="shared" si="0"/>
        <v>1</v>
      </c>
      <c r="N4" t="s">
        <v>794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MID(Table18[[#This Row],[IP]],LEN(Table18[[#This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t="str">
        <f t="shared" si="1"/>
        <v>10.238.1.19</v>
      </c>
      <c r="B5">
        <f>MID(Table18[[#This Row],[IP]],LEN(Table18[[#This Row],[IP]])-1,1)+(--MID(Table18[[#This Row],[IP]],8,1)-1)*9</f>
        <v>1</v>
      </c>
      <c r="C5" t="s">
        <v>52</v>
      </c>
      <c r="D5" s="97">
        <v>1396.1</v>
      </c>
      <c r="E5" s="97">
        <v>1395.7</v>
      </c>
      <c r="F5" s="97">
        <v>1396.1</v>
      </c>
      <c r="G5" s="97">
        <v>1395.2</v>
      </c>
      <c r="H5" s="97">
        <v>1395.6</v>
      </c>
      <c r="I5" s="97" cm="1">
        <f t="array" ref="I5">IF(SUM(Table18[[#This Row],[SBMU01]:[SBMU05]])=0,0,SUMPRODUCT(IF(Table18[[#This Row],[SBMU01]:[SBMU05]]=0,1,0),{1,2,4,8,16}))</f>
        <v>0</v>
      </c>
      <c r="J5" s="97">
        <v>0</v>
      </c>
      <c r="K5" s="97">
        <v>0</v>
      </c>
      <c r="L5" t="s">
        <v>785</v>
      </c>
      <c r="M5" t="b">
        <f t="shared" si="0"/>
        <v>1</v>
      </c>
      <c r="N5" t="s">
        <v>794</v>
      </c>
      <c r="Q5">
        <v>1076</v>
      </c>
      <c r="R5" t="s">
        <v>777</v>
      </c>
      <c r="V5" s="55" t="s">
        <v>65</v>
      </c>
      <c r="W5" s="58">
        <v>32</v>
      </c>
      <c r="X5" s="53">
        <f>MID(Table18[[#This Row],[IP]],LEN(Table18[[#This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 ht="13.5" customHeight="1">
      <c r="A6" t="str">
        <f t="shared" si="1"/>
        <v>10.238.1.26</v>
      </c>
      <c r="B6">
        <f>MID(Table18[[#This Row],[IP]],LEN(Table18[[#This Row],[IP]])-1,1)+(--MID(Table18[[#This Row],[IP]],8,1)-1)*9</f>
        <v>2</v>
      </c>
      <c r="C6" t="s">
        <v>49</v>
      </c>
      <c r="D6" s="97">
        <v>1393.3</v>
      </c>
      <c r="E6" s="97">
        <v>1392.3</v>
      </c>
      <c r="F6" s="97">
        <v>1394.1</v>
      </c>
      <c r="G6" s="97">
        <v>1392.7</v>
      </c>
      <c r="H6" s="97">
        <v>1391.9</v>
      </c>
      <c r="I6" s="97" cm="1">
        <f t="array" ref="I6">IF(SUM(Table18[[#This Row],[SBMU01]:[SBMU05]])=0,0,SUMPRODUCT(IF(Table18[[#This Row],[SBMU01]:[SBMU05]]=0,1,0),{1,2,4,8,16}))</f>
        <v>0</v>
      </c>
      <c r="J6" s="97">
        <v>0</v>
      </c>
      <c r="K6" s="97">
        <v>0</v>
      </c>
      <c r="L6" t="s">
        <v>785</v>
      </c>
      <c r="M6" t="b">
        <f t="shared" si="0"/>
        <v>1</v>
      </c>
      <c r="N6" t="s">
        <v>794</v>
      </c>
      <c r="Q6">
        <v>1077</v>
      </c>
      <c r="R6" t="s">
        <v>778</v>
      </c>
      <c r="V6" s="52" t="s">
        <v>66</v>
      </c>
      <c r="W6" s="57" t="s">
        <v>769</v>
      </c>
      <c r="X6" s="53">
        <f>MID(Table18[[#This Row],[IP]],LEN(Table18[[#This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10.238.1.27</v>
      </c>
      <c r="B7">
        <f>MID(Table18[[#This Row],[IP]],LEN(Table18[[#This Row],[IP]])-1,1)+(--MID(Table18[[#This Row],[IP]],8,1)-1)*9</f>
        <v>2</v>
      </c>
      <c r="C7" t="s">
        <v>50</v>
      </c>
      <c r="D7" s="97">
        <v>1392.4</v>
      </c>
      <c r="E7" s="97">
        <v>1392.6</v>
      </c>
      <c r="F7" s="97">
        <v>1396.3</v>
      </c>
      <c r="G7" s="97">
        <v>1395.2</v>
      </c>
      <c r="H7" s="97">
        <v>1395.2</v>
      </c>
      <c r="I7" s="97" cm="1">
        <f t="array" ref="I7">IF(SUM(Table18[[#This Row],[SBMU01]:[SBMU05]])=0,0,SUMPRODUCT(IF(Table18[[#This Row],[SBMU01]:[SBMU05]]=0,1,0),{1,2,4,8,16}))</f>
        <v>0</v>
      </c>
      <c r="J7" s="97">
        <v>0</v>
      </c>
      <c r="K7" s="97">
        <v>0</v>
      </c>
      <c r="L7" t="s">
        <v>785</v>
      </c>
      <c r="M7" t="b">
        <f t="shared" si="0"/>
        <v>1</v>
      </c>
      <c r="N7" t="s">
        <v>794</v>
      </c>
      <c r="Q7">
        <v>1078</v>
      </c>
      <c r="R7" t="s">
        <v>779</v>
      </c>
      <c r="V7" s="55" t="s">
        <v>67</v>
      </c>
      <c r="W7" s="58">
        <v>18</v>
      </c>
      <c r="X7" s="53">
        <f>MID(Table18[[#This Row],[IP]],LEN(Table18[[#This Row],[IP]])-1,1)+(--MID(V7,8,1)-1)*9</f>
        <v>65</v>
      </c>
      <c r="Y7" s="56" t="s">
        <v>50</v>
      </c>
      <c r="AA7">
        <v>6</v>
      </c>
    </row>
    <row r="8" spans="1:30">
      <c r="A8" t="str">
        <f t="shared" si="1"/>
        <v>10.238.1.28</v>
      </c>
      <c r="B8">
        <f>MID(Table18[[#This Row],[IP]],LEN(Table18[[#This Row],[IP]])-1,1)+(--MID(Table18[[#This Row],[IP]],8,1)-1)*9</f>
        <v>2</v>
      </c>
      <c r="C8" t="s">
        <v>51</v>
      </c>
      <c r="D8" s="97">
        <v>1392.6</v>
      </c>
      <c r="E8" s="97">
        <v>1393.5</v>
      </c>
      <c r="F8" s="97">
        <v>1393.3</v>
      </c>
      <c r="G8" s="97">
        <v>1393</v>
      </c>
      <c r="H8" s="97">
        <v>1394.2</v>
      </c>
      <c r="I8" s="97" cm="1">
        <f t="array" ref="I8">IF(SUM(Table18[[#This Row],[SBMU01]:[SBMU05]])=0,0,SUMPRODUCT(IF(Table18[[#This Row],[SBMU01]:[SBMU05]]=0,1,0),{1,2,4,8,16}))</f>
        <v>0</v>
      </c>
      <c r="J8" s="97">
        <v>0</v>
      </c>
      <c r="K8" s="97">
        <v>0</v>
      </c>
      <c r="L8" t="s">
        <v>785</v>
      </c>
      <c r="M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MID(Table18[[#This Row],[IP]],LEN(Table18[[#This Row],[IP]])-1,1)+(--MID(V8,8,1)-1)*9</f>
        <v>65</v>
      </c>
      <c r="Y8" s="54" t="s">
        <v>51</v>
      </c>
      <c r="AA8">
        <v>7</v>
      </c>
    </row>
    <row r="9" spans="1:30">
      <c r="A9" t="str">
        <f t="shared" si="1"/>
        <v>10.238.1.29</v>
      </c>
      <c r="B9">
        <f>MID(Table18[[#This Row],[IP]],LEN(Table18[[#This Row],[IP]])-1,1)+(--MID(Table18[[#This Row],[IP]],8,1)-1)*9</f>
        <v>2</v>
      </c>
      <c r="C9" t="s">
        <v>52</v>
      </c>
      <c r="D9" s="97">
        <v>1392.8</v>
      </c>
      <c r="E9" s="97">
        <v>1392</v>
      </c>
      <c r="F9" s="97">
        <v>1393</v>
      </c>
      <c r="G9" s="97">
        <v>1393.1</v>
      </c>
      <c r="H9" s="97">
        <v>1391.8</v>
      </c>
      <c r="I9" s="97" cm="1">
        <f t="array" ref="I9">IF(SUM(Table18[[#This Row],[SBMU01]:[SBMU05]])=0,0,SUMPRODUCT(IF(Table18[[#This Row],[SBMU01]:[SBMU05]]=0,1,0),{1,2,4,8,16}))</f>
        <v>0</v>
      </c>
      <c r="J9" s="97">
        <v>0</v>
      </c>
      <c r="K9" s="97">
        <v>0</v>
      </c>
      <c r="L9" t="s">
        <v>785</v>
      </c>
      <c r="M9" t="b">
        <f t="shared" si="0"/>
        <v>1</v>
      </c>
      <c r="N9" t="s">
        <v>794</v>
      </c>
      <c r="Q9">
        <v>1080</v>
      </c>
      <c r="R9" t="s">
        <v>781</v>
      </c>
      <c r="V9" s="55" t="s">
        <v>69</v>
      </c>
      <c r="W9" s="58">
        <v>17</v>
      </c>
      <c r="X9" s="53">
        <f>MID(Table18[[#This Row],[IP]],LEN(Table18[[#This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10.238.1.36</v>
      </c>
      <c r="B10">
        <f>MID(Table18[[#This Row],[IP]],LEN(Table18[[#This Row],[IP]])-1,1)+(--MID(Table18[[#This Row],[IP]],8,1)-1)*9</f>
        <v>3</v>
      </c>
      <c r="C10" t="s">
        <v>49</v>
      </c>
      <c r="D10" s="97">
        <v>1385.8</v>
      </c>
      <c r="E10" s="97">
        <v>1384.7</v>
      </c>
      <c r="F10" s="97">
        <v>1385.8</v>
      </c>
      <c r="G10" s="97">
        <v>1386.7</v>
      </c>
      <c r="H10" s="97">
        <v>1383.9</v>
      </c>
      <c r="I10" s="97" cm="1">
        <f t="array" ref="I10">IF(SUM(Table18[[#This Row],[SBMU01]:[SBMU05]])=0,0,SUMPRODUCT(IF(Table18[[#This Row],[SBMU01]:[SBMU05]]=0,1,0),{1,2,4,8,16}))</f>
        <v>0</v>
      </c>
      <c r="J10" s="97">
        <v>0</v>
      </c>
      <c r="K10" s="97">
        <v>0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MID(Table18[[#This Row],[IP]],LEN(Table18[[#This Row],[IP]])-1,1)+(--MID(V10,8,1)-1)*9</f>
        <v>66</v>
      </c>
      <c r="Y10" s="54" t="s">
        <v>49</v>
      </c>
      <c r="AC10" t="s">
        <v>786</v>
      </c>
    </row>
    <row r="11" spans="1:30">
      <c r="A11" t="str">
        <f t="shared" si="1"/>
        <v>10.238.1.37</v>
      </c>
      <c r="B11">
        <f>MID(Table18[[#This Row],[IP]],LEN(Table18[[#This Row],[IP]])-1,1)+(--MID(Table18[[#This Row],[IP]],8,1)-1)*9</f>
        <v>3</v>
      </c>
      <c r="C11" t="s">
        <v>50</v>
      </c>
      <c r="D11" s="97">
        <v>1392.4</v>
      </c>
      <c r="E11" s="97">
        <v>1393.7</v>
      </c>
      <c r="F11" s="97">
        <v>1391.3</v>
      </c>
      <c r="G11" s="97">
        <v>1391.9</v>
      </c>
      <c r="H11" s="97">
        <v>1393.2</v>
      </c>
      <c r="I11" s="97" cm="1">
        <f t="array" ref="I11">IF(SUM(Table18[[#This Row],[SBMU01]:[SBMU05]])=0,0,SUMPRODUCT(IF(Table18[[#This Row],[SBMU01]:[SBMU05]]=0,1,0),{1,2,4,8,16}))</f>
        <v>0</v>
      </c>
      <c r="J11" s="97">
        <v>0</v>
      </c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MID(Table18[[#This Row],[IP]],LEN(Table18[[#This Row],[IP]])-1,1)+(--MID(V11,8,1)-1)*9</f>
        <v>66</v>
      </c>
      <c r="Y11" s="56" t="s">
        <v>50</v>
      </c>
    </row>
    <row r="12" spans="1:30">
      <c r="A12" t="str">
        <f t="shared" si="1"/>
        <v>10.238.1.38</v>
      </c>
      <c r="B12">
        <f>MID(Table18[[#This Row],[IP]],LEN(Table18[[#This Row],[IP]])-1,1)+(--MID(Table18[[#This Row],[IP]],8,1)-1)*9</f>
        <v>3</v>
      </c>
      <c r="C12" t="s">
        <v>51</v>
      </c>
      <c r="D12" s="97">
        <v>1394.5</v>
      </c>
      <c r="E12" s="97">
        <v>1392.4</v>
      </c>
      <c r="F12" s="97">
        <v>1392.6</v>
      </c>
      <c r="G12" s="97">
        <v>1392.9</v>
      </c>
      <c r="H12" s="97">
        <v>1392.1</v>
      </c>
      <c r="I12" s="97" cm="1">
        <f t="array" ref="I12">IF(SUM(Table18[[#This Row],[SBMU01]:[SBMU05]])=0,0,SUMPRODUCT(IF(Table18[[#This Row],[SBMU01]:[SBMU05]]=0,1,0),{1,2,4,8,16}))</f>
        <v>0</v>
      </c>
      <c r="J12" s="97">
        <v>0</v>
      </c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MID(Table18[[#This Row],[IP]],LEN(Table18[[#This Row],[IP]])-1,1)+(--MID(V12,8,1)-1)*9</f>
        <v>66</v>
      </c>
      <c r="Y12" s="54" t="s">
        <v>51</v>
      </c>
    </row>
    <row r="13" spans="1:30">
      <c r="A13" t="str">
        <f t="shared" si="1"/>
        <v>10.238.1.39</v>
      </c>
      <c r="B13">
        <f>MID(Table18[[#This Row],[IP]],LEN(Table18[[#This Row],[IP]])-1,1)+(--MID(Table18[[#This Row],[IP]],8,1)-1)*9</f>
        <v>3</v>
      </c>
      <c r="C13" t="s">
        <v>52</v>
      </c>
      <c r="D13" s="97">
        <v>1392</v>
      </c>
      <c r="E13" s="97">
        <v>1393</v>
      </c>
      <c r="F13" s="97">
        <v>1392.7</v>
      </c>
      <c r="G13" s="97">
        <v>1393.5</v>
      </c>
      <c r="H13" s="97">
        <v>1392.4</v>
      </c>
      <c r="I13" s="97" cm="1">
        <f t="array" ref="I13">IF(SUM(Table18[[#This Row],[SBMU01]:[SBMU05]])=0,0,SUMPRODUCT(IF(Table18[[#This Row],[SBMU01]:[SBMU05]]=0,1,0),{1,2,4,8,16}))</f>
        <v>0</v>
      </c>
      <c r="J13" s="97">
        <v>0</v>
      </c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MID(Table18[[#This Row],[IP]],LEN(Table18[[#This Row],[IP]])-1,1)+(--MID(V13,8,1)-1)*9</f>
        <v>66</v>
      </c>
      <c r="Y13" s="56" t="s">
        <v>52</v>
      </c>
    </row>
    <row r="14" spans="1:30">
      <c r="A14" t="str">
        <f t="shared" si="1"/>
        <v>10.238.1.46</v>
      </c>
      <c r="B14">
        <f>MID(Table18[[#This Row],[IP]],LEN(Table18[[#This Row],[IP]])-1,1)+(--MID(Table18[[#This Row],[IP]],8,1)-1)*9</f>
        <v>4</v>
      </c>
      <c r="C14" t="s">
        <v>49</v>
      </c>
      <c r="D14" s="97">
        <v>1383.7</v>
      </c>
      <c r="E14" s="97">
        <v>1383.3</v>
      </c>
      <c r="F14" s="97">
        <v>1382.6</v>
      </c>
      <c r="G14" s="97">
        <v>1384.4</v>
      </c>
      <c r="H14" s="97">
        <v>1382.9</v>
      </c>
      <c r="I14" s="97" cm="1">
        <f t="array" ref="I14">IF(SUM(Table18[[#This Row],[SBMU01]:[SBMU05]])=0,0,SUMPRODUCT(IF(Table18[[#This Row],[SBMU01]:[SBMU05]]=0,1,0),{1,2,4,8,16}))</f>
        <v>0</v>
      </c>
      <c r="J14" s="97">
        <v>0</v>
      </c>
      <c r="K14" s="97">
        <v>0</v>
      </c>
      <c r="M14" t="b">
        <f t="shared" si="0"/>
        <v>1</v>
      </c>
      <c r="N14" t="s">
        <v>794</v>
      </c>
      <c r="V14" s="52" t="s">
        <v>74</v>
      </c>
      <c r="W14" s="57">
        <v>30</v>
      </c>
      <c r="X14" s="53">
        <f>MID(Table18[[#This Row],[IP]],LEN(Table18[[#This Row],[IP]])-1,1)+(--MID(V14,8,1)-1)*9</f>
        <v>67</v>
      </c>
      <c r="Y14" s="54" t="s">
        <v>49</v>
      </c>
      <c r="AC14" t="s">
        <v>793</v>
      </c>
    </row>
    <row r="15" spans="1:30">
      <c r="A15" t="str">
        <f t="shared" si="1"/>
        <v>10.238.1.47</v>
      </c>
      <c r="B15">
        <f>MID(Table18[[#This Row],[IP]],LEN(Table18[[#This Row],[IP]])-1,1)+(--MID(Table18[[#This Row],[IP]],8,1)-1)*9</f>
        <v>4</v>
      </c>
      <c r="C15" t="s">
        <v>50</v>
      </c>
      <c r="D15" s="97">
        <v>1384.4</v>
      </c>
      <c r="E15" s="97">
        <v>1385.4</v>
      </c>
      <c r="F15" s="97">
        <v>1385.3</v>
      </c>
      <c r="G15" s="97">
        <v>1385.8</v>
      </c>
      <c r="H15" s="97">
        <v>1385.2</v>
      </c>
      <c r="I15" s="97" cm="1">
        <f t="array" ref="I15">IF(SUM(Table18[[#This Row],[SBMU01]:[SBMU05]])=0,0,SUMPRODUCT(IF(Table18[[#This Row],[SBMU01]:[SBMU05]]=0,1,0),{1,2,4,8,16}))</f>
        <v>0</v>
      </c>
      <c r="J15" s="97">
        <v>0</v>
      </c>
      <c r="K15" s="97">
        <v>0</v>
      </c>
      <c r="L15" t="s">
        <v>785</v>
      </c>
      <c r="M15" t="b">
        <f t="shared" si="0"/>
        <v>1</v>
      </c>
      <c r="N15" t="s">
        <v>794</v>
      </c>
      <c r="V15" s="55" t="s">
        <v>75</v>
      </c>
      <c r="W15" s="58">
        <v>38</v>
      </c>
      <c r="X15" s="53">
        <f>MID(Table18[[#This Row],[IP]],LEN(Table18[[#This Row],[IP]])-1,1)+(--MID(V15,8,1)-1)*9</f>
        <v>67</v>
      </c>
      <c r="Y15" s="56" t="s">
        <v>50</v>
      </c>
    </row>
    <row r="16" spans="1:30">
      <c r="A16" t="str">
        <f t="shared" si="1"/>
        <v>10.238.1.48</v>
      </c>
      <c r="B16">
        <f>MID(Table18[[#This Row],[IP]],LEN(Table18[[#This Row],[IP]])-1,1)+(--MID(Table18[[#This Row],[IP]],8,1)-1)*9</f>
        <v>4</v>
      </c>
      <c r="C16" t="s">
        <v>51</v>
      </c>
      <c r="D16" s="97">
        <v>1385.4</v>
      </c>
      <c r="E16" s="97">
        <v>1384</v>
      </c>
      <c r="F16" s="97">
        <v>1384.8</v>
      </c>
      <c r="G16" s="97">
        <v>1386</v>
      </c>
      <c r="H16" s="97">
        <v>1383.9</v>
      </c>
      <c r="I16" s="97" cm="1">
        <f t="array" ref="I16">IF(SUM(Table18[[#This Row],[SBMU01]:[SBMU05]])=0,0,SUMPRODUCT(IF(Table18[[#This Row],[SBMU01]:[SBMU05]]=0,1,0),{1,2,4,8,16}))</f>
        <v>0</v>
      </c>
      <c r="J16" s="97">
        <v>0</v>
      </c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MID(Table18[[#This Row],[IP]],LEN(Table18[[#This Row],[IP]])-1,1)+(--MID(V16,8,1)-1)*9</f>
        <v>67</v>
      </c>
      <c r="Y16" s="54" t="s">
        <v>51</v>
      </c>
    </row>
    <row r="17" spans="1:29">
      <c r="A17" t="str">
        <f t="shared" si="1"/>
        <v>10.238.1.49</v>
      </c>
      <c r="B17">
        <f>MID(Table18[[#This Row],[IP]],LEN(Table18[[#This Row],[IP]])-1,1)+(--MID(Table18[[#This Row],[IP]],8,1)-1)*9</f>
        <v>4</v>
      </c>
      <c r="C17" t="s">
        <v>52</v>
      </c>
      <c r="D17" s="97">
        <v>1385.1</v>
      </c>
      <c r="E17" s="97">
        <v>1385.2</v>
      </c>
      <c r="F17" s="97">
        <v>1383.8</v>
      </c>
      <c r="G17" s="97">
        <v>1385.8</v>
      </c>
      <c r="H17" s="97">
        <v>1384.8</v>
      </c>
      <c r="I17" s="97" cm="1">
        <f t="array" ref="I17">IF(SUM(Table18[[#This Row],[SBMU01]:[SBMU05]])=0,0,SUMPRODUCT(IF(Table18[[#This Row],[SBMU01]:[SBMU05]]=0,1,0),{1,2,4,8,16}))</f>
        <v>0</v>
      </c>
      <c r="J17" s="97">
        <v>0</v>
      </c>
      <c r="K17" s="97">
        <v>0</v>
      </c>
      <c r="L17" t="s">
        <v>785</v>
      </c>
      <c r="M17" t="b">
        <f t="shared" si="0"/>
        <v>1</v>
      </c>
      <c r="N17" t="s">
        <v>794</v>
      </c>
      <c r="V17" s="55" t="s">
        <v>77</v>
      </c>
      <c r="W17" s="58">
        <v>38</v>
      </c>
      <c r="X17" s="53">
        <f>MID(Table18[[#This Row],[IP]],LEN(Table18[[#This Row],[IP]])-1,1)+(--MID(V17,8,1)-1)*9</f>
        <v>67</v>
      </c>
      <c r="Y17" s="56" t="s">
        <v>52</v>
      </c>
    </row>
    <row r="18" spans="1:29">
      <c r="A18" t="str">
        <f t="shared" si="1"/>
        <v>10.238.1.56</v>
      </c>
      <c r="B18">
        <f>MID(Table18[[#This Row],[IP]],LEN(Table18[[#This Row],[IP]])-1,1)+(--MID(Table18[[#This Row],[IP]],8,1)-1)*9</f>
        <v>5</v>
      </c>
      <c r="C18" t="s">
        <v>49</v>
      </c>
      <c r="D18" s="97">
        <v>1385.1</v>
      </c>
      <c r="E18" s="97">
        <v>1384</v>
      </c>
      <c r="F18" s="97">
        <v>1384.6</v>
      </c>
      <c r="G18" s="97">
        <v>1382.9</v>
      </c>
      <c r="H18" s="97">
        <v>1384.2</v>
      </c>
      <c r="I18" s="97" cm="1">
        <f t="array" ref="I18">IF(SUM(Table18[[#This Row],[SBMU01]:[SBMU05]])=0,0,SUMPRODUCT(IF(Table18[[#This Row],[SBMU01]:[SBMU05]]=0,1,0),{1,2,4,8,16}))</f>
        <v>0</v>
      </c>
      <c r="J18" s="97">
        <v>0</v>
      </c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MID(Table18[[#This Row],[IP]],LEN(Table18[[#This Row],[IP]])-1,1)+(--MID(V18,8,1)-1)*9</f>
        <v>68</v>
      </c>
      <c r="Y18" s="54" t="s">
        <v>49</v>
      </c>
    </row>
    <row r="19" spans="1:29">
      <c r="A19" t="str">
        <f t="shared" si="1"/>
        <v>10.238.1.57</v>
      </c>
      <c r="B19">
        <f>MID(Table18[[#This Row],[IP]],LEN(Table18[[#This Row],[IP]])-1,1)+(--MID(Table18[[#This Row],[IP]],8,1)-1)*9</f>
        <v>5</v>
      </c>
      <c r="C19" t="s">
        <v>50</v>
      </c>
      <c r="D19" s="97">
        <v>1391.8</v>
      </c>
      <c r="E19" s="97">
        <v>1391.1</v>
      </c>
      <c r="F19" s="97">
        <v>1393.5</v>
      </c>
      <c r="G19" s="97">
        <v>1391.8</v>
      </c>
      <c r="H19" s="97">
        <v>1390.9</v>
      </c>
      <c r="I19" s="97" cm="1">
        <f t="array" ref="I19">IF(SUM(Table18[[#This Row],[SBMU01]:[SBMU05]])=0,0,SUMPRODUCT(IF(Table18[[#This Row],[SBMU01]:[SBMU05]]=0,1,0),{1,2,4,8,16}))</f>
        <v>0</v>
      </c>
      <c r="J19" s="97">
        <v>0</v>
      </c>
      <c r="K19" s="97">
        <v>0</v>
      </c>
      <c r="L19" t="s">
        <v>785</v>
      </c>
      <c r="M19" t="b">
        <f t="shared" si="0"/>
        <v>1</v>
      </c>
      <c r="V19" s="55" t="s">
        <v>79</v>
      </c>
      <c r="W19" s="58">
        <v>23</v>
      </c>
      <c r="X19" s="53">
        <f>MID(Table18[[#This Row],[IP]],LEN(Table18[[#This Row],[IP]])-1,1)+(--MID(V19,8,1)-1)*9</f>
        <v>68</v>
      </c>
      <c r="Y19" s="56" t="s">
        <v>50</v>
      </c>
    </row>
    <row r="20" spans="1:29">
      <c r="A20" t="str">
        <f t="shared" si="1"/>
        <v>10.238.1.58</v>
      </c>
      <c r="B20">
        <f>MID(Table18[[#This Row],[IP]],LEN(Table18[[#This Row],[IP]])-1,1)+(--MID(Table18[[#This Row],[IP]],8,1)-1)*9</f>
        <v>5</v>
      </c>
      <c r="C20" t="s">
        <v>51</v>
      </c>
      <c r="D20" s="97">
        <v>1391.9</v>
      </c>
      <c r="E20" s="97">
        <v>1392.8</v>
      </c>
      <c r="F20" s="97">
        <v>1391.9</v>
      </c>
      <c r="G20" s="97">
        <v>1393.5</v>
      </c>
      <c r="H20" s="97">
        <v>1393</v>
      </c>
      <c r="I20" s="97" cm="1">
        <f t="array" ref="I20">IF(SUM(Table18[[#This Row],[SBMU01]:[SBMU05]])=0,0,SUMPRODUCT(IF(Table18[[#This Row],[SBMU01]:[SBMU05]]=0,1,0),{1,2,4,8,16}))</f>
        <v>0</v>
      </c>
      <c r="J20" s="97">
        <v>0</v>
      </c>
      <c r="K20" s="97">
        <v>0</v>
      </c>
      <c r="L20" t="s">
        <v>785</v>
      </c>
      <c r="M20" t="b">
        <f t="shared" si="0"/>
        <v>1</v>
      </c>
      <c r="V20" s="52" t="s">
        <v>80</v>
      </c>
      <c r="W20" s="57">
        <v>22</v>
      </c>
      <c r="X20" s="53">
        <f>MID(Table18[[#This Row],[IP]],LEN(Table18[[#This Row],[IP]])-1,1)+(--MID(V20,8,1)-1)*9</f>
        <v>68</v>
      </c>
      <c r="Y20" s="54" t="s">
        <v>51</v>
      </c>
    </row>
    <row r="21" spans="1:29">
      <c r="A21" t="str">
        <f t="shared" si="1"/>
        <v>10.238.1.59</v>
      </c>
      <c r="B21">
        <f>MID(Table18[[#This Row],[IP]],LEN(Table18[[#This Row],[IP]])-1,1)+(--MID(Table18[[#This Row],[IP]],8,1)-1)*9</f>
        <v>5</v>
      </c>
      <c r="C21" t="s">
        <v>52</v>
      </c>
      <c r="D21" s="97">
        <v>1391.1</v>
      </c>
      <c r="E21" s="97">
        <v>1391.6</v>
      </c>
      <c r="F21" s="97">
        <v>1391.7</v>
      </c>
      <c r="G21" s="97">
        <v>1392.4</v>
      </c>
      <c r="H21" s="97">
        <v>1391.5</v>
      </c>
      <c r="I21" s="97" cm="1">
        <f t="array" ref="I21">IF(SUM(Table18[[#This Row],[SBMU01]:[SBMU05]])=0,0,SUMPRODUCT(IF(Table18[[#This Row],[SBMU01]:[SBMU05]]=0,1,0),{1,2,4,8,16}))</f>
        <v>0</v>
      </c>
      <c r="J21" s="97">
        <v>0</v>
      </c>
      <c r="K21" s="97">
        <v>0</v>
      </c>
      <c r="L21" t="s">
        <v>785</v>
      </c>
      <c r="M21" t="b">
        <f t="shared" si="0"/>
        <v>1</v>
      </c>
      <c r="V21" s="55" t="s">
        <v>81</v>
      </c>
      <c r="W21" s="58">
        <v>22</v>
      </c>
      <c r="X21" s="53">
        <f>MID(Table18[[#This Row],[IP]],LEN(Table18[[#This Row],[IP]])-1,1)+(--MID(V21,8,1)-1)*9</f>
        <v>68</v>
      </c>
      <c r="Y21" s="56" t="s">
        <v>52</v>
      </c>
    </row>
    <row r="22" spans="1:29">
      <c r="A22" t="str">
        <f t="shared" si="1"/>
        <v>10.238.1.66</v>
      </c>
      <c r="B22">
        <f>MID(Table18[[#This Row],[IP]],LEN(Table18[[#This Row],[IP]])-1,1)+(--MID(Table18[[#This Row],[IP]],8,1)-1)*9</f>
        <v>6</v>
      </c>
      <c r="C22" t="s">
        <v>49</v>
      </c>
      <c r="D22" s="97">
        <v>1334.9</v>
      </c>
      <c r="E22" s="97">
        <v>1336</v>
      </c>
      <c r="F22" s="97">
        <v>1335</v>
      </c>
      <c r="G22" s="97">
        <v>1335.1</v>
      </c>
      <c r="H22" s="97">
        <v>1386</v>
      </c>
      <c r="I22" s="97" cm="1">
        <f t="array" ref="I22">IF(SUM(Table18[[#This Row],[SBMU01]:[SBMU05]])=0,0,SUMPRODUCT(IF(Table18[[#This Row],[SBMU01]:[SBMU05]]=0,1,0),{1,2,4,8,16}))</f>
        <v>0</v>
      </c>
      <c r="J22" s="97" t="s">
        <v>795</v>
      </c>
      <c r="K22" s="97">
        <v>16</v>
      </c>
      <c r="M22" t="b">
        <f t="shared" si="0"/>
        <v>0</v>
      </c>
      <c r="V22" s="52" t="s">
        <v>82</v>
      </c>
      <c r="W22" s="57">
        <v>22</v>
      </c>
      <c r="X22" s="53">
        <f>MID(Table18[[#This Row],[IP]],LEN(Table18[[#This Row],[IP]])-1,1)+(--MID(V22,8,1)-1)*9</f>
        <v>69</v>
      </c>
      <c r="Y22" s="54" t="s">
        <v>49</v>
      </c>
    </row>
    <row r="23" spans="1:29">
      <c r="A23" t="str">
        <f t="shared" si="1"/>
        <v>10.238.1.67</v>
      </c>
      <c r="B23">
        <f>MID(Table18[[#This Row],[IP]],LEN(Table18[[#This Row],[IP]])-1,1)+(--MID(Table18[[#This Row],[IP]],8,1)-1)*9</f>
        <v>6</v>
      </c>
      <c r="C23" t="s">
        <v>50</v>
      </c>
      <c r="D23" s="97">
        <v>1184.0999999999999</v>
      </c>
      <c r="E23" s="97">
        <v>1334.6</v>
      </c>
      <c r="F23" s="97">
        <v>1336.2</v>
      </c>
      <c r="G23" s="97">
        <v>1334.2</v>
      </c>
      <c r="H23" s="97">
        <v>1335</v>
      </c>
      <c r="I23" s="97" cm="1">
        <f t="array" ref="I23">IF(SUM(Table18[[#This Row],[SBMU01]:[SBMU05]])=0,0,SUMPRODUCT(IF(Table18[[#This Row],[SBMU01]:[SBMU05]]=0,1,0),{1,2,4,8,16}))</f>
        <v>0</v>
      </c>
      <c r="J23" s="97" t="s">
        <v>795</v>
      </c>
      <c r="K23" s="97">
        <v>30</v>
      </c>
      <c r="M23" t="b">
        <f t="shared" si="0"/>
        <v>0</v>
      </c>
      <c r="V23" s="55" t="s">
        <v>83</v>
      </c>
      <c r="W23" s="58">
        <v>16</v>
      </c>
      <c r="X23" s="53">
        <f>MID(Table18[[#This Row],[IP]],LEN(Table18[[#This Row],[IP]])-1,1)+(--MID(V23,8,1)-1)*9</f>
        <v>69</v>
      </c>
      <c r="Y23" s="56" t="s">
        <v>50</v>
      </c>
      <c r="AC23" t="s">
        <v>786</v>
      </c>
    </row>
    <row r="24" spans="1:29">
      <c r="A24" t="str">
        <f t="shared" si="1"/>
        <v>10.238.1.68</v>
      </c>
      <c r="B24">
        <f>MID(Table18[[#This Row],[IP]],LEN(Table18[[#This Row],[IP]])-1,1)+(--MID(Table18[[#This Row],[IP]],8,1)-1)*9</f>
        <v>6</v>
      </c>
      <c r="C24" t="s">
        <v>51</v>
      </c>
      <c r="D24" s="97">
        <v>1382.1</v>
      </c>
      <c r="E24" s="97">
        <v>1381.9</v>
      </c>
      <c r="F24" s="97">
        <v>1382.4</v>
      </c>
      <c r="G24" s="97">
        <v>1382.2</v>
      </c>
      <c r="H24" s="97">
        <v>1383.9</v>
      </c>
      <c r="I24" s="97" cm="1">
        <f t="array" ref="I24">IF(SUM(Table18[[#This Row],[SBMU01]:[SBMU05]])=0,0,SUMPRODUCT(IF(Table18[[#This Row],[SBMU01]:[SBMU05]]=0,1,0),{1,2,4,8,16}))</f>
        <v>0</v>
      </c>
      <c r="J24" s="97" t="s">
        <v>795</v>
      </c>
      <c r="K24" s="97">
        <v>0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MID(Table18[[#This Row],[IP]],LEN(Table18[[#This Row],[IP]])-1,1)+(--MID(V24,8,1)-1)*9</f>
        <v>69</v>
      </c>
      <c r="Y24" s="54" t="s">
        <v>51</v>
      </c>
    </row>
    <row r="25" spans="1:29">
      <c r="A25" t="str">
        <f t="shared" si="1"/>
        <v>10.238.1.69</v>
      </c>
      <c r="B25">
        <f>MID(Table18[[#This Row],[IP]],LEN(Table18[[#This Row],[IP]])-1,1)+(--MID(Table18[[#This Row],[IP]],8,1)-1)*9</f>
        <v>6</v>
      </c>
      <c r="C25" t="s">
        <v>52</v>
      </c>
      <c r="D25" s="97">
        <v>1333.3</v>
      </c>
      <c r="E25" s="97">
        <v>1334.7</v>
      </c>
      <c r="F25" s="97">
        <v>1335</v>
      </c>
      <c r="G25" s="97">
        <v>1372</v>
      </c>
      <c r="H25" s="97">
        <v>1333.5</v>
      </c>
      <c r="I25" s="97" cm="1">
        <f t="array" ref="I25">IF(SUM(Table18[[#This Row],[SBMU01]:[SBMU05]])=0,0,SUMPRODUCT(IF(Table18[[#This Row],[SBMU01]:[SBMU05]]=0,1,0),{1,2,4,8,16}))</f>
        <v>0</v>
      </c>
      <c r="J25" s="97" t="s">
        <v>795</v>
      </c>
      <c r="K25" s="97">
        <v>8</v>
      </c>
      <c r="M25" t="b">
        <f t="shared" si="0"/>
        <v>0</v>
      </c>
      <c r="V25" s="55" t="s">
        <v>85</v>
      </c>
      <c r="W25" s="58">
        <v>16</v>
      </c>
      <c r="X25" s="53">
        <f>MID(Table18[[#This Row],[IP]],LEN(Table18[[#This Row],[IP]])-1,1)+(--MID(V25,8,1)-1)*9</f>
        <v>69</v>
      </c>
      <c r="Y25" s="56" t="s">
        <v>52</v>
      </c>
    </row>
    <row r="26" spans="1:29">
      <c r="A26" t="str">
        <f t="shared" si="1"/>
        <v>10.238.1.76</v>
      </c>
      <c r="B26">
        <f>MID(Table18[[#This Row],[IP]],LEN(Table18[[#This Row],[IP]])-1,1)+(--MID(Table18[[#This Row],[IP]],8,1)-1)*9</f>
        <v>7</v>
      </c>
      <c r="C26" t="s">
        <v>49</v>
      </c>
      <c r="D26" s="97">
        <v>1387.3</v>
      </c>
      <c r="E26" s="97">
        <v>1385.8</v>
      </c>
      <c r="F26" s="97">
        <v>1387.3</v>
      </c>
      <c r="G26" s="97">
        <v>1386.5</v>
      </c>
      <c r="H26" s="97">
        <v>1387.3</v>
      </c>
      <c r="I26" s="97" cm="1">
        <f t="array" ref="I26">IF(SUM(Table18[[#This Row],[SBMU01]:[SBMU05]])=0,0,SUMPRODUCT(IF(Table18[[#This Row],[SBMU01]:[SBMU05]]=0,1,0),{1,2,4,8,16}))</f>
        <v>0</v>
      </c>
      <c r="J26" s="97">
        <v>0</v>
      </c>
      <c r="K26" s="97">
        <v>0</v>
      </c>
      <c r="L26" t="s">
        <v>785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MID(Table18[[#This Row],[IP]],LEN(Table18[[#This Row],[IP]])-1,1)+(--MID(V26,8,1)-1)*9</f>
        <v>70</v>
      </c>
      <c r="Y26" s="54" t="s">
        <v>49</v>
      </c>
    </row>
    <row r="27" spans="1:29">
      <c r="A27" t="str">
        <f t="shared" si="1"/>
        <v>10.238.1.77</v>
      </c>
      <c r="B27">
        <f>MID(Table18[[#This Row],[IP]],LEN(Table18[[#This Row],[IP]])-1,1)+(--MID(Table18[[#This Row],[IP]],8,1)-1)*9</f>
        <v>7</v>
      </c>
      <c r="C27" t="s">
        <v>50</v>
      </c>
      <c r="D27" s="97">
        <v>1366.4</v>
      </c>
      <c r="E27" s="97">
        <v>1383.9</v>
      </c>
      <c r="F27" s="97">
        <v>1366.1</v>
      </c>
      <c r="G27" s="97">
        <v>1384.5</v>
      </c>
      <c r="H27" s="97">
        <v>1366.8</v>
      </c>
      <c r="I27" s="97" cm="1">
        <f t="array" ref="I27">IF(SUM(Table18[[#This Row],[SBMU01]:[SBMU05]])=0,0,SUMPRODUCT(IF(Table18[[#This Row],[SBMU01]:[SBMU05]]=0,1,0),{1,2,4,8,16}))</f>
        <v>0</v>
      </c>
      <c r="J27" s="97">
        <v>0</v>
      </c>
      <c r="K27" s="97">
        <v>0</v>
      </c>
      <c r="M27" t="b">
        <f t="shared" si="0"/>
        <v>0</v>
      </c>
      <c r="V27" s="55" t="s">
        <v>87</v>
      </c>
      <c r="W27" s="58">
        <v>20</v>
      </c>
      <c r="X27" s="53">
        <f>MID(Table18[[#This Row],[IP]],LEN(Table18[[#This Row],[IP]])-1,1)+(--MID(V27,8,1)-1)*9</f>
        <v>70</v>
      </c>
      <c r="Y27" s="56" t="s">
        <v>50</v>
      </c>
      <c r="AC27" t="s">
        <v>786</v>
      </c>
    </row>
    <row r="28" spans="1:29">
      <c r="A28" t="str">
        <f t="shared" si="1"/>
        <v>10.238.1.78</v>
      </c>
      <c r="B28">
        <f>MID(Table18[[#This Row],[IP]],LEN(Table18[[#This Row],[IP]])-1,1)+(--MID(Table18[[#This Row],[IP]],8,1)-1)*9</f>
        <v>7</v>
      </c>
      <c r="C28" t="s">
        <v>51</v>
      </c>
      <c r="D28" s="97">
        <v>1388</v>
      </c>
      <c r="E28" s="97">
        <v>1387</v>
      </c>
      <c r="F28" s="97">
        <v>1386.2</v>
      </c>
      <c r="G28" s="97">
        <v>1386.5</v>
      </c>
      <c r="H28" s="97">
        <v>1386.2</v>
      </c>
      <c r="I28" s="97" cm="1">
        <f t="array" ref="I28">IF(SUM(Table18[[#This Row],[SBMU01]:[SBMU05]])=0,0,SUMPRODUCT(IF(Table18[[#This Row],[SBMU01]:[SBMU05]]=0,1,0),{1,2,4,8,16}))</f>
        <v>0</v>
      </c>
      <c r="J28" s="97">
        <v>0</v>
      </c>
      <c r="K28" s="97">
        <v>0</v>
      </c>
      <c r="L28" t="s">
        <v>785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MID(Table18[[#This Row],[IP]],LEN(Table18[[#This Row],[IP]])-1,1)+(--MID(V28,8,1)-1)*9</f>
        <v>70</v>
      </c>
      <c r="Y28" s="54" t="s">
        <v>51</v>
      </c>
    </row>
    <row r="29" spans="1:29">
      <c r="A29" t="str">
        <f t="shared" si="1"/>
        <v>10.238.1.79</v>
      </c>
      <c r="B29">
        <f>MID(Table18[[#This Row],[IP]],LEN(Table18[[#This Row],[IP]])-1,1)+(--MID(Table18[[#This Row],[IP]],8,1)-1)*9</f>
        <v>7</v>
      </c>
      <c r="C29" t="s">
        <v>52</v>
      </c>
      <c r="D29" s="97">
        <v>1385.8</v>
      </c>
      <c r="E29" s="97">
        <v>1386.3</v>
      </c>
      <c r="F29" s="97">
        <v>1385.3</v>
      </c>
      <c r="G29" s="97">
        <v>1385.3</v>
      </c>
      <c r="H29" s="97">
        <v>1385.9</v>
      </c>
      <c r="I29" s="97" cm="1">
        <f t="array" ref="I29">IF(SUM(Table18[[#This Row],[SBMU01]:[SBMU05]])=0,0,SUMPRODUCT(IF(Table18[[#This Row],[SBMU01]:[SBMU05]]=0,1,0),{1,2,4,8,16}))</f>
        <v>0</v>
      </c>
      <c r="J29" s="97">
        <v>0</v>
      </c>
      <c r="K29" s="97">
        <v>0</v>
      </c>
      <c r="L29" t="s">
        <v>785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MID(Table18[[#This Row],[IP]],LEN(Table18[[#This Row],[IP]])-1,1)+(--MID(V29,8,1)-1)*9</f>
        <v>70</v>
      </c>
      <c r="Y29" s="56" t="s">
        <v>52</v>
      </c>
    </row>
    <row r="30" spans="1:29">
      <c r="A30" t="str">
        <f t="shared" si="1"/>
        <v>10.238.1.86</v>
      </c>
      <c r="B30">
        <f>MID(Table18[[#This Row],[IP]],LEN(Table18[[#This Row],[IP]])-1,1)+(--MID(Table18[[#This Row],[IP]],8,1)-1)*9</f>
        <v>8</v>
      </c>
      <c r="C30" t="s">
        <v>49</v>
      </c>
      <c r="D30" s="97">
        <v>1394.6</v>
      </c>
      <c r="E30" s="97">
        <v>1392.5</v>
      </c>
      <c r="F30" s="97">
        <v>1393</v>
      </c>
      <c r="G30" s="97">
        <v>1392.1</v>
      </c>
      <c r="H30" s="97">
        <v>1393.4</v>
      </c>
      <c r="I30" s="97" cm="1">
        <f t="array" ref="I30">IF(SUM(Table18[[#This Row],[SBMU01]:[SBMU05]])=0,0,SUMPRODUCT(IF(Table18[[#This Row],[SBMU01]:[SBMU05]]=0,1,0),{1,2,4,8,16}))</f>
        <v>0</v>
      </c>
      <c r="J30" s="97">
        <v>0</v>
      </c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MID(Table18[[#This Row],[IP]],LEN(Table18[[#This Row],[IP]])-1,1)+(--MID(V30,8,1)-1)*9</f>
        <v>71</v>
      </c>
      <c r="Y30" s="54" t="s">
        <v>49</v>
      </c>
    </row>
    <row r="31" spans="1:29">
      <c r="A31" t="str">
        <f t="shared" si="1"/>
        <v>10.238.1.87</v>
      </c>
      <c r="B31">
        <f>MID(Table18[[#This Row],[IP]],LEN(Table18[[#This Row],[IP]])-1,1)+(--MID(Table18[[#This Row],[IP]],8,1)-1)*9</f>
        <v>8</v>
      </c>
      <c r="C31" t="s">
        <v>50</v>
      </c>
      <c r="D31" s="97">
        <v>1393.1</v>
      </c>
      <c r="E31" s="97">
        <v>1392.8</v>
      </c>
      <c r="F31" s="97">
        <v>1391.9</v>
      </c>
      <c r="G31" s="97">
        <v>1391.7</v>
      </c>
      <c r="H31" s="97">
        <v>1393.7</v>
      </c>
      <c r="I31" s="97" cm="1">
        <f t="array" ref="I31">IF(SUM(Table18[[#This Row],[SBMU01]:[SBMU05]])=0,0,SUMPRODUCT(IF(Table18[[#This Row],[SBMU01]:[SBMU05]]=0,1,0),{1,2,4,8,16}))</f>
        <v>0</v>
      </c>
      <c r="J31" s="97">
        <v>0</v>
      </c>
      <c r="K31" s="97">
        <v>0</v>
      </c>
      <c r="L31" t="s">
        <v>785</v>
      </c>
      <c r="M31" t="b">
        <f t="shared" si="0"/>
        <v>1</v>
      </c>
      <c r="N31" t="s">
        <v>794</v>
      </c>
      <c r="V31" s="55" t="s">
        <v>91</v>
      </c>
      <c r="W31" s="58">
        <v>28</v>
      </c>
      <c r="X31" s="53">
        <f>MID(Table18[[#This Row],[IP]],LEN(Table18[[#This Row],[IP]])-1,1)+(--MID(V31,8,1)-1)*9</f>
        <v>71</v>
      </c>
      <c r="Y31" s="56" t="s">
        <v>50</v>
      </c>
    </row>
    <row r="32" spans="1:29">
      <c r="A32" t="str">
        <f t="shared" si="1"/>
        <v>10.238.1.88</v>
      </c>
      <c r="B32">
        <f>MID(Table18[[#This Row],[IP]],LEN(Table18[[#This Row],[IP]])-1,1)+(--MID(Table18[[#This Row],[IP]],8,1)-1)*9</f>
        <v>8</v>
      </c>
      <c r="C32" t="s">
        <v>51</v>
      </c>
      <c r="D32" s="97">
        <v>1393.5</v>
      </c>
      <c r="E32" s="97">
        <v>1392.8</v>
      </c>
      <c r="F32" s="97">
        <v>1393.6</v>
      </c>
      <c r="G32" s="97">
        <v>1390.9</v>
      </c>
      <c r="H32" s="97">
        <v>1391.8</v>
      </c>
      <c r="I32" s="97" cm="1">
        <f t="array" ref="I32">IF(SUM(Table18[[#This Row],[SBMU01]:[SBMU05]])=0,0,SUMPRODUCT(IF(Table18[[#This Row],[SBMU01]:[SBMU05]]=0,1,0),{1,2,4,8,16}))</f>
        <v>0</v>
      </c>
      <c r="J32" s="97">
        <v>0</v>
      </c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MID(Table18[[#This Row],[IP]],LEN(Table18[[#This Row],[IP]])-1,1)+(--MID(V32,8,1)-1)*9</f>
        <v>71</v>
      </c>
      <c r="Y32" s="54" t="s">
        <v>51</v>
      </c>
    </row>
    <row r="33" spans="1:25">
      <c r="A33" t="str">
        <f t="shared" si="1"/>
        <v>10.238.1.89</v>
      </c>
      <c r="B33">
        <f>MID(Table18[[#This Row],[IP]],LEN(Table18[[#This Row],[IP]])-1,1)+(--MID(Table18[[#This Row],[IP]],8,1)-1)*9</f>
        <v>8</v>
      </c>
      <c r="C33" t="s">
        <v>52</v>
      </c>
      <c r="D33" s="97">
        <v>1391.7</v>
      </c>
      <c r="E33" s="97">
        <v>1392.4</v>
      </c>
      <c r="F33" s="97">
        <v>1393.8</v>
      </c>
      <c r="G33" s="97">
        <v>1393.1</v>
      </c>
      <c r="H33" s="97">
        <v>1393.5</v>
      </c>
      <c r="I33" s="97" cm="1">
        <f t="array" ref="I33">IF(SUM(Table18[[#This Row],[SBMU01]:[SBMU05]])=0,0,SUMPRODUCT(IF(Table18[[#This Row],[SBMU01]:[SBMU05]]=0,1,0),{1,2,4,8,16}))</f>
        <v>0</v>
      </c>
      <c r="J33" s="97">
        <v>0</v>
      </c>
      <c r="K33" s="97">
        <v>0</v>
      </c>
      <c r="L33" t="s">
        <v>785</v>
      </c>
      <c r="M33" t="b">
        <f t="shared" si="0"/>
        <v>1</v>
      </c>
      <c r="N33" t="s">
        <v>794</v>
      </c>
      <c r="V33" s="55" t="s">
        <v>93</v>
      </c>
      <c r="W33" s="58">
        <v>31</v>
      </c>
      <c r="X33" s="53">
        <f>MID(Table18[[#This Row],[IP]],LEN(Table18[[#This Row],[IP]])-1,1)+(--MID(V33,8,1)-1)*9</f>
        <v>71</v>
      </c>
      <c r="Y33" s="56" t="s">
        <v>52</v>
      </c>
    </row>
    <row r="34" spans="1:25">
      <c r="A34" t="str">
        <f t="shared" si="1"/>
        <v>10.238.1.96</v>
      </c>
      <c r="B34">
        <f>MID(Table18[[#This Row],[IP]],LEN(Table18[[#This Row],[IP]])-1,1)+(--MID(Table18[[#This Row],[IP]],8,1)-1)*9</f>
        <v>9</v>
      </c>
      <c r="C34" t="s">
        <v>49</v>
      </c>
      <c r="D34" s="97">
        <v>1383.1</v>
      </c>
      <c r="E34" s="97">
        <v>1383.3</v>
      </c>
      <c r="F34" s="97">
        <v>1382.6</v>
      </c>
      <c r="G34" s="97">
        <v>1383.4</v>
      </c>
      <c r="H34" s="97">
        <v>1383.5</v>
      </c>
      <c r="I34" s="97" cm="1">
        <f t="array" ref="I34">IF(SUM(Table18[[#This Row],[SBMU01]:[SBMU05]])=0,0,SUMPRODUCT(IF(Table18[[#This Row],[SBMU01]:[SBMU05]]=0,1,0),{1,2,4,8,16}))</f>
        <v>0</v>
      </c>
      <c r="J34" s="97">
        <v>0</v>
      </c>
      <c r="K34" s="97">
        <v>0</v>
      </c>
      <c r="L34" t="s">
        <v>785</v>
      </c>
      <c r="M34" t="b">
        <f t="shared" si="0"/>
        <v>1</v>
      </c>
      <c r="V34" s="52" t="s">
        <v>94</v>
      </c>
      <c r="W34" s="57">
        <v>23</v>
      </c>
      <c r="X34" s="53">
        <f>MID(Table18[[#This Row],[IP]],LEN(Table18[[#This Row],[IP]])-1,1)+(--MID(V34,8,1)-1)*9</f>
        <v>72</v>
      </c>
      <c r="Y34" s="54" t="s">
        <v>49</v>
      </c>
    </row>
    <row r="35" spans="1:25">
      <c r="A35" t="str">
        <f t="shared" si="1"/>
        <v>10.238.1.97</v>
      </c>
      <c r="B35">
        <f>MID(Table18[[#This Row],[IP]],LEN(Table18[[#This Row],[IP]])-1,1)+(--MID(Table18[[#This Row],[IP]],8,1)-1)*9</f>
        <v>9</v>
      </c>
      <c r="C35" t="s">
        <v>50</v>
      </c>
      <c r="D35" s="97">
        <v>1383</v>
      </c>
      <c r="E35" s="97">
        <v>1384.8</v>
      </c>
      <c r="F35" s="97">
        <v>1383.2</v>
      </c>
      <c r="G35" s="97">
        <v>1383.5</v>
      </c>
      <c r="H35" s="97">
        <v>1384.7</v>
      </c>
      <c r="I35" s="97" cm="1">
        <f t="array" ref="I35">IF(SUM(Table18[[#This Row],[SBMU01]:[SBMU05]])=0,0,SUMPRODUCT(IF(Table18[[#This Row],[SBMU01]:[SBMU05]]=0,1,0),{1,2,4,8,16}))</f>
        <v>0</v>
      </c>
      <c r="J35" s="97">
        <v>0</v>
      </c>
      <c r="K35" s="97">
        <v>0</v>
      </c>
      <c r="L35" t="s">
        <v>785</v>
      </c>
      <c r="M35" t="b">
        <f t="shared" si="0"/>
        <v>1</v>
      </c>
      <c r="V35" s="55" t="s">
        <v>95</v>
      </c>
      <c r="W35" s="58">
        <v>23</v>
      </c>
      <c r="X35" s="53">
        <f>MID(Table18[[#This Row],[IP]],LEN(Table18[[#This Row],[IP]])-1,1)+(--MID(V35,8,1)-1)*9</f>
        <v>72</v>
      </c>
      <c r="Y35" s="56" t="s">
        <v>50</v>
      </c>
    </row>
    <row r="36" spans="1:25">
      <c r="A36" t="str">
        <f t="shared" si="1"/>
        <v>10.238.1.98</v>
      </c>
      <c r="B36">
        <f>MID(Table18[[#This Row],[IP]],LEN(Table18[[#This Row],[IP]])-1,1)+(--MID(Table18[[#This Row],[IP]],8,1)-1)*9</f>
        <v>9</v>
      </c>
      <c r="C36" t="s">
        <v>51</v>
      </c>
      <c r="D36" s="97">
        <v>1384.9</v>
      </c>
      <c r="E36" s="97">
        <v>1385.2</v>
      </c>
      <c r="F36" s="97">
        <v>1385</v>
      </c>
      <c r="G36" s="97">
        <v>1386.7</v>
      </c>
      <c r="H36" s="97">
        <v>1385.2</v>
      </c>
      <c r="I36" s="97" cm="1">
        <f t="array" ref="I36">IF(SUM(Table18[[#This Row],[SBMU01]:[SBMU05]])=0,0,SUMPRODUCT(IF(Table18[[#This Row],[SBMU01]:[SBMU05]]=0,1,0),{1,2,4,8,16}))</f>
        <v>0</v>
      </c>
      <c r="J36" s="97">
        <v>0</v>
      </c>
      <c r="K36" s="97">
        <v>0</v>
      </c>
      <c r="L36" t="s">
        <v>785</v>
      </c>
      <c r="M36" t="b">
        <f t="shared" si="0"/>
        <v>1</v>
      </c>
      <c r="V36" s="52" t="s">
        <v>96</v>
      </c>
      <c r="W36" s="57">
        <v>24</v>
      </c>
      <c r="X36" s="53">
        <f>MID(Table18[[#This Row],[IP]],LEN(Table18[[#This Row],[IP]])-1,1)+(--MID(V36,8,1)-1)*9</f>
        <v>72</v>
      </c>
      <c r="Y36" s="54" t="s">
        <v>51</v>
      </c>
    </row>
    <row r="37" spans="1:25">
      <c r="A37" t="str">
        <f t="shared" si="1"/>
        <v>10.238.1.99</v>
      </c>
      <c r="B37">
        <f>MID(Table18[[#This Row],[IP]],LEN(Table18[[#This Row],[IP]])-1,1)+(--MID(Table18[[#This Row],[IP]],8,1)-1)*9</f>
        <v>9</v>
      </c>
      <c r="C37" t="s">
        <v>52</v>
      </c>
      <c r="D37" s="97">
        <v>1383.6</v>
      </c>
      <c r="E37" s="97">
        <v>1382.8</v>
      </c>
      <c r="F37" s="97">
        <v>1383.7</v>
      </c>
      <c r="G37" s="97">
        <v>1383.7</v>
      </c>
      <c r="H37" s="97">
        <v>1384.9</v>
      </c>
      <c r="I37" s="97" cm="1">
        <f t="array" ref="I37">IF(SUM(Table18[[#This Row],[SBMU01]:[SBMU05]])=0,0,SUMPRODUCT(IF(Table18[[#This Row],[SBMU01]:[SBMU05]]=0,1,0),{1,2,4,8,16}))</f>
        <v>0</v>
      </c>
      <c r="J37" s="97">
        <v>0</v>
      </c>
      <c r="K37" s="97">
        <v>0</v>
      </c>
      <c r="L37" t="s">
        <v>785</v>
      </c>
      <c r="M37" t="b">
        <f t="shared" si="0"/>
        <v>1</v>
      </c>
      <c r="V37" s="55" t="s">
        <v>97</v>
      </c>
      <c r="W37" s="58">
        <v>24</v>
      </c>
      <c r="X37" s="53">
        <f>MID(Table18[[#This Row],[IP]],LEN(Table18[[#This Row],[IP]])-1,1)+(--MID(V37,8,1)-1)*9</f>
        <v>72</v>
      </c>
      <c r="Y37" s="56" t="s">
        <v>52</v>
      </c>
    </row>
  </sheetData>
  <phoneticPr fontId="13" type="noConversion"/>
  <conditionalFormatting sqref="I2:I37">
    <cfRule type="cellIs" dxfId="131" priority="3" operator="notEqual">
      <formula>K2</formula>
    </cfRule>
  </conditionalFormatting>
  <conditionalFormatting sqref="M3:M37">
    <cfRule type="cellIs" dxfId="130" priority="2" operator="equal">
      <formula>TRUE</formula>
    </cfRule>
  </conditionalFormatting>
  <conditionalFormatting sqref="M2">
    <cfRule type="cellIs" dxfId="10" priority="1" operator="equal">
      <formula>TRUE</formula>
    </cfRule>
  </conditionalFormatting>
  <dataValidations count="2">
    <dataValidation type="list" allowBlank="1" showInputMessage="1" showErrorMessage="1" sqref="R1" xr:uid="{A4FE7BFE-F7F6-421E-A4DE-211642116630}">
      <formula1>$AA$2:$AA$9</formula1>
    </dataValidation>
    <dataValidation type="list" allowBlank="1" sqref="O1" xr:uid="{C82E67D3-8FD2-4DEF-9071-D85FEFFEB114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F1FF-DC4F-4AC1-8954-7237D9996746}">
  <sheetPr codeName="Sheet10"/>
  <dimension ref="A1:AD37"/>
  <sheetViews>
    <sheetView zoomScaleNormal="100" workbookViewId="0">
      <pane ySplit="1" topLeftCell="A2" activePane="bottomLeft" state="frozen"/>
      <selection activeCell="M2" sqref="M2"/>
      <selection pane="bottomLeft" activeCell="P20" sqref="P20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6.625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s="101" t="s">
        <v>37</v>
      </c>
      <c r="B1" s="102" t="s">
        <v>38</v>
      </c>
      <c r="C1" s="102" t="s">
        <v>772</v>
      </c>
      <c r="D1" s="102" t="s">
        <v>762</v>
      </c>
      <c r="E1" s="102" t="s">
        <v>763</v>
      </c>
      <c r="F1" s="102" t="s">
        <v>764</v>
      </c>
      <c r="G1" s="102" t="s">
        <v>765</v>
      </c>
      <c r="H1" s="102" t="s">
        <v>766</v>
      </c>
      <c r="I1" s="102" t="s">
        <v>773</v>
      </c>
      <c r="J1" s="102" t="s">
        <v>774</v>
      </c>
      <c r="K1" s="102" t="s">
        <v>783</v>
      </c>
      <c r="L1" s="102" t="s">
        <v>784</v>
      </c>
      <c r="M1" s="103" t="s">
        <v>6</v>
      </c>
      <c r="N1" t="s">
        <v>58</v>
      </c>
      <c r="O1" s="49">
        <v>1057</v>
      </c>
      <c r="Q1" t="s">
        <v>99</v>
      </c>
      <c r="R1" s="59">
        <v>2</v>
      </c>
      <c r="X1" t="s">
        <v>769</v>
      </c>
    </row>
    <row r="2" spans="1:30">
      <c r="A2" s="104" t="str">
        <f>SUBSTITUTE(V2,".8.","."&amp;$R$1&amp;".")</f>
        <v>10.238.2.16</v>
      </c>
      <c r="B2" s="105">
        <f>MID('CPG2'!$A2,LEN('CPG2'!$A2)-1,1)+(--MID('CPG2'!$A2,8,1)-1)*9</f>
        <v>10</v>
      </c>
      <c r="C2" s="105" t="s">
        <v>49</v>
      </c>
      <c r="D2" s="105">
        <v>1385.4</v>
      </c>
      <c r="E2" s="105">
        <v>1385.1</v>
      </c>
      <c r="F2" s="105">
        <v>1385.9</v>
      </c>
      <c r="G2" s="105">
        <v>1383.5</v>
      </c>
      <c r="H2" s="105">
        <v>1386.5</v>
      </c>
      <c r="I2" s="105" cm="1">
        <f t="array" ref="I2">IF(SUM('CPG2'!$D2:$H2)=0,0,SUMPRODUCT(IF('CPG2'!$D2:$H2=0,1,0),{1,2,4,8,16}))</f>
        <v>0</v>
      </c>
      <c r="J2" s="105"/>
      <c r="K2" s="105">
        <v>0</v>
      </c>
      <c r="L2" s="105"/>
      <c r="M2" s="108" t="b">
        <f t="shared" ref="M2:M37" si="0">MAX($D2:$H2)-MIN($D2:$H2)&lt;10</f>
        <v>1</v>
      </c>
      <c r="N2" t="s">
        <v>794</v>
      </c>
      <c r="V2" s="52" t="s">
        <v>62</v>
      </c>
      <c r="W2" s="57">
        <v>33</v>
      </c>
      <c r="X2" s="53">
        <f>MID('CPG2'!$A2,LEN('CPG2'!$A2)-1,1)+(--MID(V2,8,1)-1)*9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s="106" t="str">
        <f t="shared" ref="A3:A37" si="1">SUBSTITUTE(V3,".8.","."&amp;$R$1&amp;".")</f>
        <v>10.238.2.17</v>
      </c>
      <c r="B3" s="107">
        <f>MID('CPG2'!$A3,LEN('CPG2'!$A3)-1,1)+(--MID('CPG2'!$A3,8,1)-1)*9</f>
        <v>10</v>
      </c>
      <c r="C3" s="107" t="s">
        <v>50</v>
      </c>
      <c r="D3" s="107">
        <v>1393.5</v>
      </c>
      <c r="E3" s="107">
        <v>1392.3</v>
      </c>
      <c r="F3" s="107">
        <v>1391.5</v>
      </c>
      <c r="G3" s="107">
        <v>1393.5</v>
      </c>
      <c r="H3" s="107">
        <v>1392.3</v>
      </c>
      <c r="I3" s="107" cm="1">
        <f t="array" ref="I3">IF(SUM('CPG2'!$D3:$H3)=0,0,SUMPRODUCT(IF('CPG2'!$D3:$H3=0,1,0),{1,2,4,8,16}))</f>
        <v>0</v>
      </c>
      <c r="J3" s="107"/>
      <c r="K3" s="107">
        <v>0</v>
      </c>
      <c r="L3" s="107" t="s">
        <v>785</v>
      </c>
      <c r="M3" s="108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MID('CPG2'!$A3,LEN('CPG2'!$A3)-1,1)+(--MID(V3,8,1)-1)*9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s="104" t="str">
        <f t="shared" si="1"/>
        <v>10.238.2.18</v>
      </c>
      <c r="B4" s="105">
        <f>MID('CPG2'!$A4,LEN('CPG2'!$A4)-1,1)+(--MID('CPG2'!$A4,8,1)-1)*9</f>
        <v>10</v>
      </c>
      <c r="C4" s="105" t="s">
        <v>51</v>
      </c>
      <c r="D4" s="105">
        <v>1386.6</v>
      </c>
      <c r="E4" s="105">
        <v>1386.7</v>
      </c>
      <c r="F4" s="105">
        <v>1387.1</v>
      </c>
      <c r="G4" s="105">
        <v>1385.9</v>
      </c>
      <c r="H4" s="105">
        <v>1387</v>
      </c>
      <c r="I4" s="105" cm="1">
        <f t="array" ref="I4">IF(SUM('CPG2'!$D4:$H4)=0,0,SUMPRODUCT(IF('CPG2'!$D4:$H4=0,1,0),{1,2,4,8,16}))</f>
        <v>0</v>
      </c>
      <c r="J4" s="105"/>
      <c r="K4" s="105">
        <v>0</v>
      </c>
      <c r="L4" s="105" t="s">
        <v>785</v>
      </c>
      <c r="M4" s="108" t="b">
        <f t="shared" si="0"/>
        <v>1</v>
      </c>
      <c r="N4" t="s">
        <v>794</v>
      </c>
      <c r="Q4" s="99">
        <v>1068</v>
      </c>
      <c r="R4" t="s">
        <v>776</v>
      </c>
      <c r="V4" s="52" t="s">
        <v>64</v>
      </c>
      <c r="W4" s="57">
        <v>32</v>
      </c>
      <c r="X4" s="53">
        <f>MID('CPG2'!$A4,LEN('CPG2'!$A4)-1,1)+(--MID(V4,8,1)-1)*9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s="106" t="str">
        <f t="shared" si="1"/>
        <v>10.238.2.19</v>
      </c>
      <c r="B5" s="107">
        <f>MID('CPG2'!$A5,LEN('CPG2'!$A5)-1,1)+(--MID('CPG2'!$A5,8,1)-1)*9</f>
        <v>10</v>
      </c>
      <c r="C5" s="107" t="s">
        <v>52</v>
      </c>
      <c r="D5" s="107">
        <v>1392.8</v>
      </c>
      <c r="E5" s="107">
        <v>1392</v>
      </c>
      <c r="F5" s="107">
        <v>1394.9</v>
      </c>
      <c r="G5" s="107">
        <v>1392.8</v>
      </c>
      <c r="H5" s="107">
        <v>1392</v>
      </c>
      <c r="I5" s="107" cm="1">
        <f t="array" ref="I5">IF(SUM('CPG2'!$D5:$H5)=0,0,SUMPRODUCT(IF('CPG2'!$D5:$H5=0,1,0),{1,2,4,8,16}))</f>
        <v>0</v>
      </c>
      <c r="J5" s="107"/>
      <c r="K5" s="107">
        <v>0</v>
      </c>
      <c r="L5" s="107" t="s">
        <v>785</v>
      </c>
      <c r="M5" s="108" t="b">
        <f t="shared" si="0"/>
        <v>1</v>
      </c>
      <c r="N5" t="s">
        <v>794</v>
      </c>
      <c r="Q5">
        <v>1076</v>
      </c>
      <c r="R5" t="s">
        <v>777</v>
      </c>
      <c r="V5" s="55" t="s">
        <v>65</v>
      </c>
      <c r="W5" s="58">
        <v>32</v>
      </c>
      <c r="X5" s="53">
        <f>MID('CPG2'!$A5,LEN('CPG2'!$A5)-1,1)+(--MID(V5,8,1)-1)*9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s="104" t="str">
        <f t="shared" si="1"/>
        <v>10.238.2.26</v>
      </c>
      <c r="B6" s="105">
        <f>MID('CPG2'!$A6,LEN('CPG2'!$A6)-1,1)+(--MID('CPG2'!$A6,8,1)-1)*9</f>
        <v>11</v>
      </c>
      <c r="C6" s="105" t="s">
        <v>49</v>
      </c>
      <c r="D6" s="105">
        <v>1391.1</v>
      </c>
      <c r="E6" s="105">
        <v>1390.5</v>
      </c>
      <c r="F6" s="105">
        <v>1391.7</v>
      </c>
      <c r="G6" s="105">
        <v>1391.8</v>
      </c>
      <c r="H6" s="105">
        <v>1391.1</v>
      </c>
      <c r="I6" s="105" cm="1">
        <f t="array" ref="I6">IF(SUM('CPG2'!$D6:$H6)=0,0,SUMPRODUCT(IF('CPG2'!$D6:$H6=0,1,0),{1,2,4,8,16}))</f>
        <v>0</v>
      </c>
      <c r="J6" s="105"/>
      <c r="K6" s="105">
        <v>0</v>
      </c>
      <c r="L6" s="105" t="s">
        <v>785</v>
      </c>
      <c r="M6" s="108" t="b">
        <f t="shared" si="0"/>
        <v>1</v>
      </c>
      <c r="Q6">
        <v>1077</v>
      </c>
      <c r="R6" t="s">
        <v>778</v>
      </c>
      <c r="V6" s="52" t="s">
        <v>66</v>
      </c>
      <c r="W6" s="57">
        <v>17</v>
      </c>
      <c r="X6" s="53">
        <f>MID('CPG2'!$A6,LEN('CPG2'!$A6)-1,1)+(--MID(V6,8,1)-1)*9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s="106" t="str">
        <f t="shared" si="1"/>
        <v>10.238.2.27</v>
      </c>
      <c r="B7" s="107">
        <f>MID('CPG2'!$A7,LEN('CPG2'!$A7)-1,1)+(--MID('CPG2'!$A7,8,1)-1)*9</f>
        <v>11</v>
      </c>
      <c r="C7" s="107" t="s">
        <v>50</v>
      </c>
      <c r="D7" s="107">
        <v>1384.2</v>
      </c>
      <c r="E7" s="107">
        <v>1384.5</v>
      </c>
      <c r="F7" s="107">
        <v>1384.2</v>
      </c>
      <c r="G7" s="107">
        <v>1384</v>
      </c>
      <c r="H7" s="107">
        <v>1384.1</v>
      </c>
      <c r="I7" s="107" cm="1">
        <f t="array" ref="I7">IF(SUM('CPG2'!$D7:$H7)=0,0,SUMPRODUCT(IF('CPG2'!$D7:$H7=0,1,0),{1,2,4,8,16}))</f>
        <v>0</v>
      </c>
      <c r="J7" s="107"/>
      <c r="K7" s="107">
        <v>0</v>
      </c>
      <c r="L7" s="107" t="s">
        <v>785</v>
      </c>
      <c r="M7" s="108" t="b">
        <f t="shared" si="0"/>
        <v>1</v>
      </c>
      <c r="N7" t="s">
        <v>794</v>
      </c>
      <c r="Q7">
        <v>1078</v>
      </c>
      <c r="R7" t="s">
        <v>779</v>
      </c>
      <c r="V7" s="55" t="s">
        <v>67</v>
      </c>
      <c r="W7" s="58">
        <v>18</v>
      </c>
      <c r="X7" s="53">
        <f>MID('CPG2'!$A7,LEN('CPG2'!$A7)-1,1)+(--MID(V7,8,1)-1)*9</f>
        <v>65</v>
      </c>
      <c r="Y7" s="56" t="s">
        <v>50</v>
      </c>
      <c r="AA7">
        <v>6</v>
      </c>
    </row>
    <row r="8" spans="1:30">
      <c r="A8" s="104" t="str">
        <f t="shared" si="1"/>
        <v>10.238.2.28</v>
      </c>
      <c r="B8" s="105">
        <f>MID('CPG2'!$A8,LEN('CPG2'!$A8)-1,1)+(--MID('CPG2'!$A8,8,1)-1)*9</f>
        <v>11</v>
      </c>
      <c r="C8" s="105" t="s">
        <v>51</v>
      </c>
      <c r="D8" s="105">
        <v>1394.1</v>
      </c>
      <c r="E8" s="105">
        <v>1393</v>
      </c>
      <c r="F8" s="105">
        <v>1392.5</v>
      </c>
      <c r="G8" s="105">
        <v>1391.4</v>
      </c>
      <c r="H8" s="105">
        <v>1391.7</v>
      </c>
      <c r="I8" s="105" cm="1">
        <f t="array" ref="I8">IF(SUM('CPG2'!$D8:$H8)=0,0,SUMPRODUCT(IF('CPG2'!$D8:$H8=0,1,0),{1,2,4,8,16}))</f>
        <v>0</v>
      </c>
      <c r="J8" s="105"/>
      <c r="K8" s="105">
        <v>0</v>
      </c>
      <c r="L8" s="105" t="s">
        <v>785</v>
      </c>
      <c r="M8" s="10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MID('CPG2'!$A8,LEN('CPG2'!$A8)-1,1)+(--MID(V8,8,1)-1)*9</f>
        <v>65</v>
      </c>
      <c r="Y8" s="54" t="s">
        <v>51</v>
      </c>
      <c r="AA8">
        <v>7</v>
      </c>
    </row>
    <row r="9" spans="1:30">
      <c r="A9" s="106" t="str">
        <f t="shared" si="1"/>
        <v>10.238.2.29</v>
      </c>
      <c r="B9" s="107">
        <f>MID('CPG2'!$A9,LEN('CPG2'!$A9)-1,1)+(--MID('CPG2'!$A9,8,1)-1)*9</f>
        <v>11</v>
      </c>
      <c r="C9" s="107" t="s">
        <v>52</v>
      </c>
      <c r="D9" s="107">
        <v>1392.4</v>
      </c>
      <c r="E9" s="107">
        <v>1392.3</v>
      </c>
      <c r="F9" s="107">
        <v>1391.4</v>
      </c>
      <c r="G9" s="107">
        <v>1392.9</v>
      </c>
      <c r="H9" s="107">
        <v>1393.7</v>
      </c>
      <c r="I9" s="107" cm="1">
        <f t="array" ref="I9">IF(SUM('CPG2'!$D9:$H9)=0,0,SUMPRODUCT(IF('CPG2'!$D9:$H9=0,1,0),{1,2,4,8,16}))</f>
        <v>0</v>
      </c>
      <c r="J9" s="107"/>
      <c r="K9" s="107">
        <v>0</v>
      </c>
      <c r="L9" s="107" t="s">
        <v>785</v>
      </c>
      <c r="M9" s="108" t="b">
        <f t="shared" si="0"/>
        <v>1</v>
      </c>
      <c r="Q9">
        <v>1080</v>
      </c>
      <c r="R9" t="s">
        <v>781</v>
      </c>
      <c r="V9" s="55" t="s">
        <v>69</v>
      </c>
      <c r="W9" s="58">
        <v>17</v>
      </c>
      <c r="X9" s="53">
        <f>MID('CPG2'!$A9,LEN('CPG2'!$A9)-1,1)+(--MID(V9,8,1)-1)*9</f>
        <v>65</v>
      </c>
      <c r="Y9" s="56" t="s">
        <v>52</v>
      </c>
      <c r="AA9">
        <v>8</v>
      </c>
    </row>
    <row r="10" spans="1:30" ht="12.75" customHeight="1">
      <c r="A10" s="104" t="str">
        <f t="shared" si="1"/>
        <v>10.238.2.36</v>
      </c>
      <c r="B10" s="105">
        <f>MID('CPG2'!$A10,LEN('CPG2'!$A10)-1,1)+(--MID('CPG2'!$A10,8,1)-1)*9</f>
        <v>12</v>
      </c>
      <c r="C10" s="105" t="s">
        <v>49</v>
      </c>
      <c r="D10" s="105">
        <v>1391.6</v>
      </c>
      <c r="E10" s="105">
        <v>1393.2</v>
      </c>
      <c r="F10" s="105">
        <v>1391.1</v>
      </c>
      <c r="G10" s="105">
        <v>1390.7</v>
      </c>
      <c r="H10" s="105">
        <v>1393.6</v>
      </c>
      <c r="I10" s="105" cm="1">
        <f t="array" ref="I10">IF(SUM('CPG2'!$D10:$H10)=0,0,SUMPRODUCT(IF('CPG2'!$D10:$H10=0,1,0),{1,2,4,8,16}))</f>
        <v>0</v>
      </c>
      <c r="J10" s="105"/>
      <c r="K10" s="105">
        <v>0</v>
      </c>
      <c r="L10" s="105" t="s">
        <v>785</v>
      </c>
      <c r="M10" s="108" t="b">
        <f t="shared" si="0"/>
        <v>1</v>
      </c>
      <c r="Q10">
        <v>909</v>
      </c>
      <c r="R10" t="s">
        <v>782</v>
      </c>
      <c r="V10" s="52" t="s">
        <v>70</v>
      </c>
      <c r="W10" s="57">
        <v>20</v>
      </c>
      <c r="X10" s="53">
        <f>MID('CPG2'!$A10,LEN('CPG2'!$A10)-1,1)+(--MID(V10,8,1)-1)*9</f>
        <v>66</v>
      </c>
      <c r="Y10" s="54" t="s">
        <v>49</v>
      </c>
    </row>
    <row r="11" spans="1:30">
      <c r="A11" s="106" t="str">
        <f t="shared" si="1"/>
        <v>10.238.2.37</v>
      </c>
      <c r="B11" s="107">
        <f>MID('CPG2'!$A11,LEN('CPG2'!$A11)-1,1)+(--MID('CPG2'!$A11,8,1)-1)*9</f>
        <v>12</v>
      </c>
      <c r="C11" s="107" t="s">
        <v>50</v>
      </c>
      <c r="D11" s="107">
        <v>1392.1</v>
      </c>
      <c r="E11" s="107">
        <v>1391.7</v>
      </c>
      <c r="F11" s="107">
        <v>1392.6</v>
      </c>
      <c r="G11" s="107">
        <v>1392.5</v>
      </c>
      <c r="H11" s="107">
        <v>1393.1</v>
      </c>
      <c r="I11" s="107" cm="1">
        <f t="array" ref="I11">IF(SUM('CPG2'!$D11:$H11)=0,0,SUMPRODUCT(IF('CPG2'!$D11:$H11=0,1,0),{1,2,4,8,16}))</f>
        <v>0</v>
      </c>
      <c r="J11" s="107"/>
      <c r="K11" s="107">
        <v>0</v>
      </c>
      <c r="L11" s="107" t="s">
        <v>785</v>
      </c>
      <c r="M11" s="108" t="b">
        <f t="shared" si="0"/>
        <v>1</v>
      </c>
      <c r="Q11">
        <v>1057</v>
      </c>
      <c r="R11" t="s">
        <v>6</v>
      </c>
      <c r="V11" s="55" t="s">
        <v>71</v>
      </c>
      <c r="W11" s="58">
        <v>18</v>
      </c>
      <c r="X11" s="53">
        <f>MID('CPG2'!$A11,LEN('CPG2'!$A11)-1,1)+(--MID(V11,8,1)-1)*9</f>
        <v>66</v>
      </c>
      <c r="Y11" s="56" t="s">
        <v>50</v>
      </c>
    </row>
    <row r="12" spans="1:30">
      <c r="A12" s="104" t="str">
        <f t="shared" si="1"/>
        <v>10.238.2.38</v>
      </c>
      <c r="B12" s="105">
        <f>MID('CPG2'!$A12,LEN('CPG2'!$A12)-1,1)+(--MID('CPG2'!$A12,8,1)-1)*9</f>
        <v>12</v>
      </c>
      <c r="C12" s="105" t="s">
        <v>51</v>
      </c>
      <c r="D12" s="105">
        <v>1393.1</v>
      </c>
      <c r="E12" s="105">
        <v>1392.1</v>
      </c>
      <c r="F12" s="105">
        <v>1393.4</v>
      </c>
      <c r="G12" s="105">
        <v>1392.1</v>
      </c>
      <c r="H12" s="105">
        <v>1392.3</v>
      </c>
      <c r="I12" s="105" cm="1">
        <f t="array" ref="I12">IF(SUM('CPG2'!$D12:$H12)=0,0,SUMPRODUCT(IF('CPG2'!$D12:$H12=0,1,0),{1,2,4,8,16}))</f>
        <v>0</v>
      </c>
      <c r="J12" s="105"/>
      <c r="K12" s="105">
        <v>0</v>
      </c>
      <c r="L12" s="105" t="s">
        <v>785</v>
      </c>
      <c r="M12" s="108" t="b">
        <f t="shared" si="0"/>
        <v>1</v>
      </c>
      <c r="Q12">
        <v>1058</v>
      </c>
      <c r="R12" t="s">
        <v>7</v>
      </c>
      <c r="V12" s="52" t="s">
        <v>72</v>
      </c>
      <c r="W12" s="57">
        <v>18</v>
      </c>
      <c r="X12" s="53">
        <f>MID('CPG2'!$A12,LEN('CPG2'!$A12)-1,1)+(--MID(V12,8,1)-1)*9</f>
        <v>66</v>
      </c>
      <c r="Y12" s="54" t="s">
        <v>51</v>
      </c>
    </row>
    <row r="13" spans="1:30">
      <c r="A13" s="106" t="str">
        <f t="shared" si="1"/>
        <v>10.238.2.39</v>
      </c>
      <c r="B13" s="107">
        <f>MID('CPG2'!$A13,LEN('CPG2'!$A13)-1,1)+(--MID('CPG2'!$A13,8,1)-1)*9</f>
        <v>12</v>
      </c>
      <c r="C13" s="107" t="s">
        <v>52</v>
      </c>
      <c r="D13" s="107">
        <v>1392.2</v>
      </c>
      <c r="E13" s="107">
        <v>1391.8</v>
      </c>
      <c r="F13" s="107">
        <v>1392.2</v>
      </c>
      <c r="G13" s="107">
        <v>1391.7</v>
      </c>
      <c r="H13" s="107">
        <v>1393.7</v>
      </c>
      <c r="I13" s="107" cm="1">
        <f t="array" ref="I13">IF(SUM('CPG2'!$D13:$H13)=0,0,SUMPRODUCT(IF('CPG2'!$D13:$H13=0,1,0),{1,2,4,8,16}))</f>
        <v>0</v>
      </c>
      <c r="J13" s="107"/>
      <c r="K13" s="107">
        <v>0</v>
      </c>
      <c r="L13" s="107" t="s">
        <v>785</v>
      </c>
      <c r="M13" s="108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MID('CPG2'!$A13,LEN('CPG2'!$A13)-1,1)+(--MID(V13,8,1)-1)*9</f>
        <v>66</v>
      </c>
      <c r="Y13" s="56" t="s">
        <v>52</v>
      </c>
    </row>
    <row r="14" spans="1:30">
      <c r="A14" s="104" t="str">
        <f t="shared" si="1"/>
        <v>10.238.2.46</v>
      </c>
      <c r="B14" s="105">
        <f>MID('CPG2'!$A14,LEN('CPG2'!$A14)-1,1)+(--MID('CPG2'!$A14,8,1)-1)*9</f>
        <v>13</v>
      </c>
      <c r="C14" s="105" t="s">
        <v>49</v>
      </c>
      <c r="D14" s="105">
        <v>1385.9</v>
      </c>
      <c r="E14" s="105">
        <v>1386.3</v>
      </c>
      <c r="F14" s="105">
        <v>1385.4</v>
      </c>
      <c r="G14" s="105">
        <v>1386.2</v>
      </c>
      <c r="H14" s="105">
        <v>1385.1</v>
      </c>
      <c r="I14" s="105" cm="1">
        <f t="array" ref="I14">IF(SUM('CPG2'!$D14:$H14)=0,0,SUMPRODUCT(IF('CPG2'!$D14:$H14=0,1,0),{1,2,4,8,16}))</f>
        <v>0</v>
      </c>
      <c r="J14" s="105"/>
      <c r="K14" s="105">
        <v>0</v>
      </c>
      <c r="L14" s="105" t="s">
        <v>785</v>
      </c>
      <c r="M14" s="108" t="b">
        <f t="shared" si="0"/>
        <v>1</v>
      </c>
      <c r="V14" s="52" t="s">
        <v>74</v>
      </c>
      <c r="W14" s="57">
        <v>30</v>
      </c>
      <c r="X14" s="53">
        <f>MID('CPG2'!$A14,LEN('CPG2'!$A14)-1,1)+(--MID(V14,8,1)-1)*9</f>
        <v>67</v>
      </c>
      <c r="Y14" s="54" t="s">
        <v>49</v>
      </c>
    </row>
    <row r="15" spans="1:30">
      <c r="A15" s="106" t="str">
        <f t="shared" si="1"/>
        <v>10.238.2.47</v>
      </c>
      <c r="B15" s="107">
        <f>MID('CPG2'!$A15,LEN('CPG2'!$A15)-1,1)+(--MID('CPG2'!$A15,8,1)-1)*9</f>
        <v>13</v>
      </c>
      <c r="C15" s="107" t="s">
        <v>50</v>
      </c>
      <c r="D15" s="107">
        <v>1383.6</v>
      </c>
      <c r="E15" s="107">
        <v>1384.4</v>
      </c>
      <c r="F15" s="107">
        <v>1383</v>
      </c>
      <c r="G15" s="107">
        <v>1383.7</v>
      </c>
      <c r="H15" s="107">
        <v>1384.7</v>
      </c>
      <c r="I15" s="107" cm="1">
        <f t="array" ref="I15">IF(SUM('CPG2'!$D15:$H15)=0,0,SUMPRODUCT(IF('CPG2'!$D15:$H15=0,1,0),{1,2,4,8,16}))</f>
        <v>0</v>
      </c>
      <c r="J15" s="107"/>
      <c r="K15" s="107">
        <v>0</v>
      </c>
      <c r="L15" s="107" t="s">
        <v>785</v>
      </c>
      <c r="M15" s="108" t="b">
        <f t="shared" si="0"/>
        <v>1</v>
      </c>
      <c r="N15" t="s">
        <v>794</v>
      </c>
      <c r="V15" s="55" t="s">
        <v>75</v>
      </c>
      <c r="W15" s="58">
        <v>38</v>
      </c>
      <c r="X15" s="53">
        <f>MID('CPG2'!$A15,LEN('CPG2'!$A15)-1,1)+(--MID(V15,8,1)-1)*9</f>
        <v>67</v>
      </c>
      <c r="Y15" s="56" t="s">
        <v>50</v>
      </c>
    </row>
    <row r="16" spans="1:30">
      <c r="A16" s="104" t="str">
        <f t="shared" si="1"/>
        <v>10.238.2.48</v>
      </c>
      <c r="B16" s="105">
        <f>MID('CPG2'!$A16,LEN('CPG2'!$A16)-1,1)+(--MID('CPG2'!$A16,8,1)-1)*9</f>
        <v>13</v>
      </c>
      <c r="C16" s="105" t="s">
        <v>51</v>
      </c>
      <c r="D16" s="105">
        <v>1384.4</v>
      </c>
      <c r="E16" s="105">
        <v>1385.5</v>
      </c>
      <c r="F16" s="105">
        <v>1384.5</v>
      </c>
      <c r="G16" s="105">
        <v>1383</v>
      </c>
      <c r="H16" s="105">
        <v>1383.8</v>
      </c>
      <c r="I16" s="105" cm="1">
        <f t="array" ref="I16">IF(SUM('CPG2'!$D16:$H16)=0,0,SUMPRODUCT(IF('CPG2'!$D16:$H16=0,1,0),{1,2,4,8,16}))</f>
        <v>0</v>
      </c>
      <c r="J16" s="105"/>
      <c r="K16" s="105">
        <v>0</v>
      </c>
      <c r="L16" s="105" t="s">
        <v>785</v>
      </c>
      <c r="M16" s="108" t="b">
        <f t="shared" si="0"/>
        <v>1</v>
      </c>
      <c r="N16" t="s">
        <v>794</v>
      </c>
      <c r="V16" s="52" t="s">
        <v>76</v>
      </c>
      <c r="W16" s="57">
        <v>38</v>
      </c>
      <c r="X16" s="53">
        <f>MID('CPG2'!$A16,LEN('CPG2'!$A16)-1,1)+(--MID(V16,8,1)-1)*9</f>
        <v>67</v>
      </c>
      <c r="Y16" s="54" t="s">
        <v>51</v>
      </c>
    </row>
    <row r="17" spans="1:25">
      <c r="A17" s="106" t="str">
        <f t="shared" si="1"/>
        <v>10.238.2.49</v>
      </c>
      <c r="B17" s="107">
        <f>MID('CPG2'!$A17,LEN('CPG2'!$A17)-1,1)+(--MID('CPG2'!$A17,8,1)-1)*9</f>
        <v>13</v>
      </c>
      <c r="C17" s="107" t="s">
        <v>52</v>
      </c>
      <c r="D17" s="107">
        <v>1384.1</v>
      </c>
      <c r="E17" s="107">
        <v>1383.3</v>
      </c>
      <c r="F17" s="107">
        <v>1388.8</v>
      </c>
      <c r="G17" s="107">
        <v>1384.9</v>
      </c>
      <c r="H17" s="107">
        <v>1385.7</v>
      </c>
      <c r="I17" s="107" cm="1">
        <f t="array" ref="I17">IF(SUM('CPG2'!$D17:$H17)=0,0,SUMPRODUCT(IF('CPG2'!$D17:$H17=0,1,0),{1,2,4,8,16}))</f>
        <v>0</v>
      </c>
      <c r="J17" s="107"/>
      <c r="K17" s="107">
        <v>0</v>
      </c>
      <c r="L17" s="107" t="s">
        <v>785</v>
      </c>
      <c r="M17" s="108" t="b">
        <f t="shared" si="0"/>
        <v>1</v>
      </c>
      <c r="V17" s="55" t="s">
        <v>77</v>
      </c>
      <c r="W17" s="58">
        <v>38</v>
      </c>
      <c r="X17" s="53">
        <f>MID('CPG2'!$A17,LEN('CPG2'!$A17)-1,1)+(--MID(V17,8,1)-1)*9</f>
        <v>67</v>
      </c>
      <c r="Y17" s="56" t="s">
        <v>52</v>
      </c>
    </row>
    <row r="18" spans="1:25">
      <c r="A18" s="104" t="str">
        <f t="shared" si="1"/>
        <v>10.238.2.56</v>
      </c>
      <c r="B18" s="105">
        <f>MID('CPG2'!$A18,LEN('CPG2'!$A18)-1,1)+(--MID('CPG2'!$A18,8,1)-1)*9</f>
        <v>14</v>
      </c>
      <c r="C18" s="105" t="s">
        <v>49</v>
      </c>
      <c r="D18" s="105">
        <v>1390.2</v>
      </c>
      <c r="E18" s="105">
        <v>1391.4</v>
      </c>
      <c r="F18" s="105">
        <v>1390.8</v>
      </c>
      <c r="G18" s="105">
        <v>1393.1</v>
      </c>
      <c r="H18" s="105">
        <v>1391.7</v>
      </c>
      <c r="I18" s="105" cm="1">
        <f t="array" ref="I18">IF(SUM('CPG2'!$D18:$H18)=0,0,SUMPRODUCT(IF('CPG2'!$D18:$H18=0,1,0),{1,2,4,8,16}))</f>
        <v>0</v>
      </c>
      <c r="J18" s="105"/>
      <c r="K18" s="105">
        <v>0</v>
      </c>
      <c r="L18" s="105" t="s">
        <v>785</v>
      </c>
      <c r="M18" s="108" t="b">
        <f t="shared" si="0"/>
        <v>1</v>
      </c>
      <c r="N18" t="s">
        <v>794</v>
      </c>
      <c r="V18" s="52" t="s">
        <v>78</v>
      </c>
      <c r="W18" s="57">
        <v>26</v>
      </c>
      <c r="X18" s="53">
        <f>MID('CPG2'!$A18,LEN('CPG2'!$A18)-1,1)+(--MID(V18,8,1)-1)*9</f>
        <v>68</v>
      </c>
      <c r="Y18" s="54" t="s">
        <v>49</v>
      </c>
    </row>
    <row r="19" spans="1:25">
      <c r="A19" s="106" t="str">
        <f t="shared" si="1"/>
        <v>10.238.2.57</v>
      </c>
      <c r="B19" s="107">
        <f>MID('CPG2'!$A19,LEN('CPG2'!$A19)-1,1)+(--MID('CPG2'!$A19,8,1)-1)*9</f>
        <v>14</v>
      </c>
      <c r="C19" s="107" t="s">
        <v>50</v>
      </c>
      <c r="D19" s="107">
        <v>1390.5</v>
      </c>
      <c r="E19" s="107">
        <v>1390.8</v>
      </c>
      <c r="F19" s="107">
        <v>1391.4</v>
      </c>
      <c r="G19" s="107">
        <v>1391.7</v>
      </c>
      <c r="H19" s="107">
        <v>1392.3</v>
      </c>
      <c r="I19" s="107" cm="1">
        <f t="array" ref="I19">IF(SUM('CPG2'!$D19:$H19)=0,0,SUMPRODUCT(IF('CPG2'!$D19:$H19=0,1,0),{1,2,4,8,16}))</f>
        <v>0</v>
      </c>
      <c r="J19" s="107"/>
      <c r="K19" s="107">
        <v>0</v>
      </c>
      <c r="L19" s="107" t="s">
        <v>785</v>
      </c>
      <c r="M19" s="108" t="b">
        <f t="shared" si="0"/>
        <v>1</v>
      </c>
      <c r="V19" s="55" t="s">
        <v>79</v>
      </c>
      <c r="W19" s="58">
        <v>23</v>
      </c>
      <c r="X19" s="53">
        <f>MID('CPG2'!$A19,LEN('CPG2'!$A19)-1,1)+(--MID(V19,8,1)-1)*9</f>
        <v>68</v>
      </c>
      <c r="Y19" s="56" t="s">
        <v>50</v>
      </c>
    </row>
    <row r="20" spans="1:25">
      <c r="A20" s="104" t="str">
        <f t="shared" si="1"/>
        <v>10.238.2.58</v>
      </c>
      <c r="B20" s="105">
        <f>MID('CPG2'!$A20,LEN('CPG2'!$A20)-1,1)+(--MID('CPG2'!$A20,8,1)-1)*9</f>
        <v>14</v>
      </c>
      <c r="C20" s="105" t="s">
        <v>51</v>
      </c>
      <c r="D20" s="105">
        <v>1391.7</v>
      </c>
      <c r="E20" s="105">
        <v>1391.8</v>
      </c>
      <c r="F20" s="105">
        <v>1392.5</v>
      </c>
      <c r="G20" s="105">
        <v>1393.9</v>
      </c>
      <c r="H20" s="105">
        <v>1391.1</v>
      </c>
      <c r="I20" s="105" cm="1">
        <f t="array" ref="I20">IF(SUM('CPG2'!$D20:$H20)=0,0,SUMPRODUCT(IF('CPG2'!$D20:$H20=0,1,0),{1,2,4,8,16}))</f>
        <v>0</v>
      </c>
      <c r="J20" s="105"/>
      <c r="K20" s="105">
        <v>0</v>
      </c>
      <c r="L20" s="105" t="s">
        <v>785</v>
      </c>
      <c r="M20" s="108" t="b">
        <f t="shared" si="0"/>
        <v>1</v>
      </c>
      <c r="N20" t="s">
        <v>794</v>
      </c>
      <c r="V20" s="52" t="s">
        <v>80</v>
      </c>
      <c r="W20" s="57">
        <v>22</v>
      </c>
      <c r="X20" s="53">
        <f>MID('CPG2'!$A20,LEN('CPG2'!$A20)-1,1)+(--MID(V20,8,1)-1)*9</f>
        <v>68</v>
      </c>
      <c r="Y20" s="54" t="s">
        <v>51</v>
      </c>
    </row>
    <row r="21" spans="1:25">
      <c r="A21" s="106" t="str">
        <f t="shared" si="1"/>
        <v>10.238.2.59</v>
      </c>
      <c r="B21" s="107">
        <f>MID('CPG2'!$A21,LEN('CPG2'!$A21)-1,1)+(--MID('CPG2'!$A21,8,1)-1)*9</f>
        <v>14</v>
      </c>
      <c r="C21" s="107" t="s">
        <v>52</v>
      </c>
      <c r="D21" s="107">
        <v>1393.2</v>
      </c>
      <c r="E21" s="107">
        <v>1390.8</v>
      </c>
      <c r="F21" s="107">
        <v>1394.1</v>
      </c>
      <c r="G21" s="107">
        <v>1395.4</v>
      </c>
      <c r="H21" s="107">
        <v>1394</v>
      </c>
      <c r="I21" s="107" cm="1">
        <f t="array" ref="I21">IF(SUM('CPG2'!$D21:$H21)=0,0,SUMPRODUCT(IF('CPG2'!$D21:$H21=0,1,0),{1,2,4,8,16}))</f>
        <v>0</v>
      </c>
      <c r="J21" s="107"/>
      <c r="K21" s="107">
        <v>0</v>
      </c>
      <c r="L21" s="107" t="s">
        <v>785</v>
      </c>
      <c r="M21" s="108" t="b">
        <f t="shared" si="0"/>
        <v>1</v>
      </c>
      <c r="V21" s="55" t="s">
        <v>81</v>
      </c>
      <c r="W21" s="58">
        <v>22</v>
      </c>
      <c r="X21" s="53">
        <f>MID('CPG2'!$A21,LEN('CPG2'!$A21)-1,1)+(--MID(V21,8,1)-1)*9</f>
        <v>68</v>
      </c>
      <c r="Y21" s="56" t="s">
        <v>52</v>
      </c>
    </row>
    <row r="22" spans="1:25">
      <c r="A22" s="104" t="str">
        <f t="shared" si="1"/>
        <v>10.238.2.66</v>
      </c>
      <c r="B22" s="105">
        <f>MID('CPG2'!$A22,LEN('CPG2'!$A22)-1,1)+(--MID('CPG2'!$A22,8,1)-1)*9</f>
        <v>15</v>
      </c>
      <c r="C22" s="105" t="s">
        <v>49</v>
      </c>
      <c r="D22" s="105">
        <v>1394</v>
      </c>
      <c r="E22" s="105">
        <v>1393.6</v>
      </c>
      <c r="F22" s="105">
        <v>1394.7</v>
      </c>
      <c r="G22" s="105">
        <v>1394.6</v>
      </c>
      <c r="H22" s="105">
        <v>1393.4</v>
      </c>
      <c r="I22" s="105" cm="1">
        <f t="array" ref="I22">IF(SUM('CPG2'!$D22:$H22)=0,0,SUMPRODUCT(IF('CPG2'!$D22:$H22=0,1,0),{1,2,4,8,16}))</f>
        <v>0</v>
      </c>
      <c r="J22" s="105"/>
      <c r="K22" s="105">
        <v>0</v>
      </c>
      <c r="L22" s="105" t="s">
        <v>785</v>
      </c>
      <c r="M22" s="108" t="b">
        <f t="shared" si="0"/>
        <v>1</v>
      </c>
      <c r="N22" t="s">
        <v>794</v>
      </c>
      <c r="V22" s="52" t="s">
        <v>82</v>
      </c>
      <c r="W22" s="57">
        <v>22</v>
      </c>
      <c r="X22" s="53">
        <f>MID('CPG2'!$A22,LEN('CPG2'!$A22)-1,1)+(--MID(V22,8,1)-1)*9</f>
        <v>69</v>
      </c>
      <c r="Y22" s="54" t="s">
        <v>49</v>
      </c>
    </row>
    <row r="23" spans="1:25">
      <c r="A23" s="106" t="str">
        <f t="shared" si="1"/>
        <v>10.238.2.67</v>
      </c>
      <c r="B23" s="107">
        <f>MID('CPG2'!$A23,LEN('CPG2'!$A23)-1,1)+(--MID('CPG2'!$A23,8,1)-1)*9</f>
        <v>15</v>
      </c>
      <c r="C23" s="107" t="s">
        <v>50</v>
      </c>
      <c r="D23" s="107">
        <v>1390.8</v>
      </c>
      <c r="E23" s="107">
        <v>1393.3</v>
      </c>
      <c r="F23" s="107">
        <v>1393.8</v>
      </c>
      <c r="G23" s="107">
        <v>1392</v>
      </c>
      <c r="H23" s="107">
        <v>1392</v>
      </c>
      <c r="I23" s="107" cm="1">
        <f t="array" ref="I23">IF(SUM('CPG2'!$D23:$H23)=0,0,SUMPRODUCT(IF('CPG2'!$D23:$H23=0,1,0),{1,2,4,8,16}))</f>
        <v>0</v>
      </c>
      <c r="J23" s="107"/>
      <c r="K23" s="107">
        <v>0</v>
      </c>
      <c r="L23" s="107" t="s">
        <v>785</v>
      </c>
      <c r="M23" s="108" t="b">
        <f t="shared" si="0"/>
        <v>1</v>
      </c>
      <c r="N23" t="s">
        <v>794</v>
      </c>
      <c r="V23" s="55" t="s">
        <v>83</v>
      </c>
      <c r="W23" s="58">
        <v>16</v>
      </c>
      <c r="X23" s="53">
        <f>MID('CPG2'!$A23,LEN('CPG2'!$A23)-1,1)+(--MID(V23,8,1)-1)*9</f>
        <v>69</v>
      </c>
      <c r="Y23" s="56" t="s">
        <v>50</v>
      </c>
    </row>
    <row r="24" spans="1:25">
      <c r="A24" s="104" t="str">
        <f t="shared" si="1"/>
        <v>10.238.2.68</v>
      </c>
      <c r="B24" s="105">
        <f>MID('CPG2'!$A24,LEN('CPG2'!$A24)-1,1)+(--MID('CPG2'!$A24,8,1)-1)*9</f>
        <v>15</v>
      </c>
      <c r="C24" s="105" t="s">
        <v>51</v>
      </c>
      <c r="D24" s="105">
        <v>1392.8</v>
      </c>
      <c r="E24" s="105">
        <v>1391.2</v>
      </c>
      <c r="F24" s="105">
        <v>1392.5</v>
      </c>
      <c r="G24" s="105">
        <v>1391.8</v>
      </c>
      <c r="H24" s="105">
        <v>1391.3</v>
      </c>
      <c r="I24" s="105" cm="1">
        <f t="array" ref="I24">IF(SUM('CPG2'!$D24:$H24)=0,0,SUMPRODUCT(IF('CPG2'!$D24:$H24=0,1,0),{1,2,4,8,16}))</f>
        <v>0</v>
      </c>
      <c r="J24" s="105"/>
      <c r="K24" s="105">
        <v>0</v>
      </c>
      <c r="L24" s="105" t="s">
        <v>785</v>
      </c>
      <c r="M24" s="108" t="b">
        <f t="shared" si="0"/>
        <v>1</v>
      </c>
      <c r="N24" t="s">
        <v>794</v>
      </c>
      <c r="V24" s="52" t="s">
        <v>84</v>
      </c>
      <c r="W24" s="57">
        <v>16</v>
      </c>
      <c r="X24" s="53">
        <f>MID('CPG2'!$A24,LEN('CPG2'!$A24)-1,1)+(--MID(V24,8,1)-1)*9</f>
        <v>69</v>
      </c>
      <c r="Y24" s="54" t="s">
        <v>51</v>
      </c>
    </row>
    <row r="25" spans="1:25">
      <c r="A25" s="106" t="str">
        <f t="shared" si="1"/>
        <v>10.238.2.69</v>
      </c>
      <c r="B25" s="107">
        <f>MID('CPG2'!$A25,LEN('CPG2'!$A25)-1,1)+(--MID('CPG2'!$A25,8,1)-1)*9</f>
        <v>15</v>
      </c>
      <c r="C25" s="107" t="s">
        <v>52</v>
      </c>
      <c r="D25" s="107">
        <v>1394.8</v>
      </c>
      <c r="E25" s="107">
        <v>1393.7</v>
      </c>
      <c r="F25" s="107">
        <v>1396.2</v>
      </c>
      <c r="G25" s="107">
        <v>1394.8</v>
      </c>
      <c r="H25" s="107">
        <v>1393.6</v>
      </c>
      <c r="I25" s="107" cm="1">
        <f t="array" ref="I25">IF(SUM('CPG2'!$D25:$H25)=0,0,SUMPRODUCT(IF('CPG2'!$D25:$H25=0,1,0),{1,2,4,8,16}))</f>
        <v>0</v>
      </c>
      <c r="J25" s="107"/>
      <c r="K25" s="107">
        <v>0</v>
      </c>
      <c r="L25" s="107" t="s">
        <v>785</v>
      </c>
      <c r="M25" s="108" t="b">
        <f t="shared" si="0"/>
        <v>1</v>
      </c>
      <c r="N25" t="s">
        <v>794</v>
      </c>
      <c r="V25" s="55" t="s">
        <v>85</v>
      </c>
      <c r="W25" s="58">
        <v>16</v>
      </c>
      <c r="X25" s="53">
        <f>MID('CPG2'!$A25,LEN('CPG2'!$A25)-1,1)+(--MID(V25,8,1)-1)*9</f>
        <v>69</v>
      </c>
      <c r="Y25" s="56" t="s">
        <v>52</v>
      </c>
    </row>
    <row r="26" spans="1:25">
      <c r="A26" s="104" t="str">
        <f t="shared" si="1"/>
        <v>10.238.2.76</v>
      </c>
      <c r="B26" s="105">
        <f>MID('CPG2'!$A26,LEN('CPG2'!$A26)-1,1)+(--MID('CPG2'!$A26,8,1)-1)*9</f>
        <v>16</v>
      </c>
      <c r="C26" s="105" t="s">
        <v>49</v>
      </c>
      <c r="D26" s="105">
        <v>1390.8</v>
      </c>
      <c r="E26" s="105">
        <v>1391.3</v>
      </c>
      <c r="F26" s="105">
        <v>1390.8</v>
      </c>
      <c r="G26" s="105">
        <v>1390.3</v>
      </c>
      <c r="H26" s="105">
        <v>1390.5</v>
      </c>
      <c r="I26" s="105" cm="1">
        <f t="array" ref="I26">IF(SUM('CPG2'!$D26:$H26)=0,0,SUMPRODUCT(IF('CPG2'!$D26:$H26=0,1,0),{1,2,4,8,16}))</f>
        <v>0</v>
      </c>
      <c r="J26" s="105"/>
      <c r="K26" s="105">
        <v>0</v>
      </c>
      <c r="L26" s="105" t="s">
        <v>785</v>
      </c>
      <c r="M26" s="108" t="b">
        <f t="shared" si="0"/>
        <v>1</v>
      </c>
      <c r="N26" t="s">
        <v>794</v>
      </c>
      <c r="V26" s="52" t="s">
        <v>86</v>
      </c>
      <c r="W26" s="57">
        <v>34</v>
      </c>
      <c r="X26" s="53">
        <f>MID('CPG2'!$A26,LEN('CPG2'!$A26)-1,1)+(--MID(V26,8,1)-1)*9</f>
        <v>70</v>
      </c>
      <c r="Y26" s="54" t="s">
        <v>49</v>
      </c>
    </row>
    <row r="27" spans="1:25">
      <c r="A27" s="106" t="str">
        <f t="shared" si="1"/>
        <v>10.238.2.77</v>
      </c>
      <c r="B27" s="107">
        <f>MID('CPG2'!$A27,LEN('CPG2'!$A27)-1,1)+(--MID('CPG2'!$A27,8,1)-1)*9</f>
        <v>16</v>
      </c>
      <c r="C27" s="107" t="s">
        <v>50</v>
      </c>
      <c r="D27" s="107">
        <v>1392.7</v>
      </c>
      <c r="E27" s="107">
        <v>1395.9</v>
      </c>
      <c r="F27" s="107">
        <v>1391.4</v>
      </c>
      <c r="G27" s="107">
        <v>1392.3</v>
      </c>
      <c r="H27" s="107">
        <v>1393.1</v>
      </c>
      <c r="I27" s="107" cm="1">
        <f t="array" ref="I27">IF(SUM('CPG2'!$D27:$H27)=0,0,SUMPRODUCT(IF('CPG2'!$D27:$H27=0,1,0),{1,2,4,8,16}))</f>
        <v>0</v>
      </c>
      <c r="J27" s="107"/>
      <c r="K27" s="107">
        <v>0</v>
      </c>
      <c r="L27" s="107" t="s">
        <v>785</v>
      </c>
      <c r="M27" s="108" t="b">
        <f t="shared" si="0"/>
        <v>1</v>
      </c>
      <c r="N27" t="s">
        <v>794</v>
      </c>
      <c r="V27" s="55" t="s">
        <v>87</v>
      </c>
      <c r="W27" s="58">
        <v>20</v>
      </c>
      <c r="X27" s="53">
        <f>MID('CPG2'!$A27,LEN('CPG2'!$A27)-1,1)+(--MID(V27,8,1)-1)*9</f>
        <v>70</v>
      </c>
      <c r="Y27" s="56" t="s">
        <v>50</v>
      </c>
    </row>
    <row r="28" spans="1:25">
      <c r="A28" s="104" t="str">
        <f t="shared" si="1"/>
        <v>10.238.2.78</v>
      </c>
      <c r="B28" s="105">
        <f>MID('CPG2'!$A28,LEN('CPG2'!$A28)-1,1)+(--MID('CPG2'!$A28,8,1)-1)*9</f>
        <v>16</v>
      </c>
      <c r="C28" s="105" t="s">
        <v>51</v>
      </c>
      <c r="D28" s="105">
        <v>1391.1</v>
      </c>
      <c r="E28" s="105">
        <v>1394.3</v>
      </c>
      <c r="F28" s="105">
        <v>1392.5</v>
      </c>
      <c r="G28" s="105">
        <v>1393.7</v>
      </c>
      <c r="H28" s="105">
        <v>1391.4</v>
      </c>
      <c r="I28" s="105" cm="1">
        <f t="array" ref="I28">IF(SUM('CPG2'!$D28:$H28)=0,0,SUMPRODUCT(IF('CPG2'!$D28:$H28=0,1,0),{1,2,4,8,16}))</f>
        <v>0</v>
      </c>
      <c r="J28" s="105"/>
      <c r="K28" s="105">
        <v>0</v>
      </c>
      <c r="L28" s="105" t="s">
        <v>785</v>
      </c>
      <c r="M28" s="108" t="b">
        <f t="shared" si="0"/>
        <v>1</v>
      </c>
      <c r="N28" t="s">
        <v>794</v>
      </c>
      <c r="V28" s="52" t="s">
        <v>88</v>
      </c>
      <c r="W28" s="57">
        <v>34</v>
      </c>
      <c r="X28" s="53">
        <f>MID('CPG2'!$A28,LEN('CPG2'!$A28)-1,1)+(--MID(V28,8,1)-1)*9</f>
        <v>70</v>
      </c>
      <c r="Y28" s="54" t="s">
        <v>51</v>
      </c>
    </row>
    <row r="29" spans="1:25">
      <c r="A29" s="106" t="str">
        <f t="shared" si="1"/>
        <v>10.238.2.79</v>
      </c>
      <c r="B29" s="107">
        <f>MID('CPG2'!$A29,LEN('CPG2'!$A29)-1,1)+(--MID('CPG2'!$A29,8,1)-1)*9</f>
        <v>16</v>
      </c>
      <c r="C29" s="107" t="s">
        <v>52</v>
      </c>
      <c r="D29" s="107">
        <v>1395.1</v>
      </c>
      <c r="E29" s="107">
        <v>1392.8</v>
      </c>
      <c r="F29" s="107">
        <v>1391.6</v>
      </c>
      <c r="G29" s="107">
        <v>1391.4</v>
      </c>
      <c r="H29" s="107">
        <v>1393.5</v>
      </c>
      <c r="I29" s="107" cm="1">
        <f t="array" ref="I29">IF(SUM('CPG2'!$D29:$H29)=0,0,SUMPRODUCT(IF('CPG2'!$D29:$H29=0,1,0),{1,2,4,8,16}))</f>
        <v>0</v>
      </c>
      <c r="J29" s="107"/>
      <c r="K29" s="107">
        <v>0</v>
      </c>
      <c r="L29" s="107" t="s">
        <v>785</v>
      </c>
      <c r="M29" s="108" t="b">
        <f t="shared" si="0"/>
        <v>1</v>
      </c>
      <c r="N29" t="s">
        <v>794</v>
      </c>
      <c r="V29" s="55" t="s">
        <v>89</v>
      </c>
      <c r="W29" s="58">
        <v>34</v>
      </c>
      <c r="X29" s="53">
        <f>MID('CPG2'!$A29,LEN('CPG2'!$A29)-1,1)+(--MID(V29,8,1)-1)*9</f>
        <v>70</v>
      </c>
      <c r="Y29" s="56" t="s">
        <v>52</v>
      </c>
    </row>
    <row r="30" spans="1:25">
      <c r="A30" s="104" t="str">
        <f t="shared" si="1"/>
        <v>10.238.2.86</v>
      </c>
      <c r="B30" s="105">
        <f>MID('CPG2'!$A30,LEN('CPG2'!$A30)-1,1)+(--MID('CPG2'!$A30,8,1)-1)*9</f>
        <v>17</v>
      </c>
      <c r="C30" s="105" t="s">
        <v>49</v>
      </c>
      <c r="D30" s="105">
        <v>1393.4</v>
      </c>
      <c r="E30" s="105">
        <v>1392.7</v>
      </c>
      <c r="F30" s="105">
        <v>1393.6</v>
      </c>
      <c r="G30" s="105">
        <v>1392.3</v>
      </c>
      <c r="H30" s="105">
        <v>1391.7</v>
      </c>
      <c r="I30" s="105" cm="1">
        <f t="array" ref="I30">IF(SUM('CPG2'!$D30:$H30)=0,0,SUMPRODUCT(IF('CPG2'!$D30:$H30=0,1,0),{1,2,4,8,16}))</f>
        <v>0</v>
      </c>
      <c r="J30" s="105"/>
      <c r="K30" s="105">
        <v>0</v>
      </c>
      <c r="L30" s="105" t="s">
        <v>785</v>
      </c>
      <c r="M30" s="108" t="b">
        <f t="shared" si="0"/>
        <v>1</v>
      </c>
      <c r="N30" t="s">
        <v>794</v>
      </c>
      <c r="V30" s="52" t="s">
        <v>90</v>
      </c>
      <c r="W30" s="57">
        <v>30</v>
      </c>
      <c r="X30" s="53">
        <f>MID('CPG2'!$A30,LEN('CPG2'!$A30)-1,1)+(--MID(V30,8,1)-1)*9</f>
        <v>71</v>
      </c>
      <c r="Y30" s="54" t="s">
        <v>49</v>
      </c>
    </row>
    <row r="31" spans="1:25">
      <c r="A31" s="106" t="str">
        <f t="shared" si="1"/>
        <v>10.238.2.87</v>
      </c>
      <c r="B31" s="107">
        <f>MID('CPG2'!$A31,LEN('CPG2'!$A31)-1,1)+(--MID('CPG2'!$A31,8,1)-1)*9</f>
        <v>17</v>
      </c>
      <c r="C31" s="107" t="s">
        <v>50</v>
      </c>
      <c r="D31" s="107">
        <v>1393.9</v>
      </c>
      <c r="E31" s="107">
        <v>1392.6</v>
      </c>
      <c r="F31" s="107">
        <v>1394.9</v>
      </c>
      <c r="G31" s="107">
        <v>1393.6</v>
      </c>
      <c r="H31" s="107">
        <v>1392.5</v>
      </c>
      <c r="I31" s="107" cm="1">
        <f t="array" ref="I31">IF(SUM('CPG2'!$D31:$H31)=0,0,SUMPRODUCT(IF('CPG2'!$D31:$H31=0,1,0),{1,2,4,8,16}))</f>
        <v>0</v>
      </c>
      <c r="J31" s="107"/>
      <c r="K31" s="107">
        <v>0</v>
      </c>
      <c r="L31" s="107" t="s">
        <v>785</v>
      </c>
      <c r="M31" s="108" t="b">
        <f t="shared" si="0"/>
        <v>1</v>
      </c>
      <c r="N31" t="s">
        <v>794</v>
      </c>
      <c r="V31" s="55" t="s">
        <v>91</v>
      </c>
      <c r="W31" s="58">
        <v>28</v>
      </c>
      <c r="X31" s="53">
        <f>MID('CPG2'!$A31,LEN('CPG2'!$A31)-1,1)+(--MID(V31,8,1)-1)*9</f>
        <v>71</v>
      </c>
      <c r="Y31" s="56" t="s">
        <v>50</v>
      </c>
    </row>
    <row r="32" spans="1:25">
      <c r="A32" s="104" t="str">
        <f t="shared" si="1"/>
        <v>10.238.2.88</v>
      </c>
      <c r="B32" s="105">
        <f>MID('CPG2'!$A32,LEN('CPG2'!$A32)-1,1)+(--MID('CPG2'!$A32,8,1)-1)*9</f>
        <v>17</v>
      </c>
      <c r="C32" s="105" t="s">
        <v>51</v>
      </c>
      <c r="D32" s="105">
        <v>1391.9</v>
      </c>
      <c r="E32" s="105">
        <v>1391.8</v>
      </c>
      <c r="F32" s="105">
        <v>1392</v>
      </c>
      <c r="G32" s="105">
        <v>1392.4</v>
      </c>
      <c r="H32" s="105">
        <v>1392.5</v>
      </c>
      <c r="I32" s="105" cm="1">
        <f t="array" ref="I32">IF(SUM('CPG2'!$D32:$H32)=0,0,SUMPRODUCT(IF('CPG2'!$D32:$H32=0,1,0),{1,2,4,8,16}))</f>
        <v>0</v>
      </c>
      <c r="J32" s="105"/>
      <c r="K32" s="105">
        <v>0</v>
      </c>
      <c r="L32" s="105" t="s">
        <v>785</v>
      </c>
      <c r="M32" s="108" t="b">
        <f t="shared" si="0"/>
        <v>1</v>
      </c>
      <c r="N32" t="s">
        <v>794</v>
      </c>
      <c r="V32" s="52" t="s">
        <v>92</v>
      </c>
      <c r="W32" s="57">
        <v>31</v>
      </c>
      <c r="X32" s="53">
        <f>MID('CPG2'!$A32,LEN('CPG2'!$A32)-1,1)+(--MID(V32,8,1)-1)*9</f>
        <v>71</v>
      </c>
      <c r="Y32" s="54" t="s">
        <v>51</v>
      </c>
    </row>
    <row r="33" spans="1:25">
      <c r="A33" s="106" t="str">
        <f t="shared" si="1"/>
        <v>10.238.2.89</v>
      </c>
      <c r="B33" s="107">
        <f>MID('CPG2'!$A33,LEN('CPG2'!$A33)-1,1)+(--MID('CPG2'!$A33,8,1)-1)*9</f>
        <v>17</v>
      </c>
      <c r="C33" s="107" t="s">
        <v>52</v>
      </c>
      <c r="D33" s="107">
        <v>1394.7</v>
      </c>
      <c r="E33" s="107">
        <v>1394.9</v>
      </c>
      <c r="F33" s="107">
        <v>1392.1</v>
      </c>
      <c r="G33" s="107">
        <v>1394</v>
      </c>
      <c r="H33" s="107">
        <v>1396.7</v>
      </c>
      <c r="I33" s="107" cm="1">
        <f t="array" ref="I33">IF(SUM('CPG2'!$D33:$H33)=0,0,SUMPRODUCT(IF('CPG2'!$D33:$H33=0,1,0),{1,2,4,8,16}))</f>
        <v>0</v>
      </c>
      <c r="J33" s="107"/>
      <c r="K33" s="107">
        <v>0</v>
      </c>
      <c r="L33" s="107" t="s">
        <v>785</v>
      </c>
      <c r="M33" s="108" t="b">
        <f t="shared" si="0"/>
        <v>1</v>
      </c>
      <c r="N33" t="s">
        <v>794</v>
      </c>
      <c r="V33" s="55" t="s">
        <v>93</v>
      </c>
      <c r="W33" s="58">
        <v>31</v>
      </c>
      <c r="X33" s="53">
        <f>MID('CPG2'!$A33,LEN('CPG2'!$A33)-1,1)+(--MID(V33,8,1)-1)*9</f>
        <v>71</v>
      </c>
      <c r="Y33" s="56" t="s">
        <v>52</v>
      </c>
    </row>
    <row r="34" spans="1:25">
      <c r="A34" s="104" t="str">
        <f t="shared" si="1"/>
        <v>10.238.2.96</v>
      </c>
      <c r="B34" s="105">
        <f>MID('CPG2'!$A34,LEN('CPG2'!$A34)-1,1)+(--MID('CPG2'!$A34,8,1)-1)*9</f>
        <v>18</v>
      </c>
      <c r="C34" s="105" t="s">
        <v>49</v>
      </c>
      <c r="D34" s="105">
        <v>1393</v>
      </c>
      <c r="E34" s="105">
        <v>1392.4</v>
      </c>
      <c r="F34" s="105">
        <v>1393.7</v>
      </c>
      <c r="G34" s="105">
        <v>1392.6</v>
      </c>
      <c r="H34" s="105">
        <v>1391.3</v>
      </c>
      <c r="I34" s="105" cm="1">
        <f t="array" ref="I34">IF(SUM('CPG2'!$D34:$H34)=0,0,SUMPRODUCT(IF('CPG2'!$D34:$H34=0,1,0),{1,2,4,8,16}))</f>
        <v>0</v>
      </c>
      <c r="J34" s="105"/>
      <c r="K34" s="105">
        <v>0</v>
      </c>
      <c r="L34" s="105" t="s">
        <v>785</v>
      </c>
      <c r="M34" s="108" t="b">
        <f t="shared" si="0"/>
        <v>1</v>
      </c>
      <c r="N34" t="s">
        <v>794</v>
      </c>
      <c r="V34" s="52" t="s">
        <v>94</v>
      </c>
      <c r="W34" s="57">
        <v>23</v>
      </c>
      <c r="X34" s="53">
        <f>MID('CPG2'!$A34,LEN('CPG2'!$A34)-1,1)+(--MID(V34,8,1)-1)*9</f>
        <v>72</v>
      </c>
      <c r="Y34" s="54" t="s">
        <v>49</v>
      </c>
    </row>
    <row r="35" spans="1:25">
      <c r="A35" s="106" t="str">
        <f t="shared" si="1"/>
        <v>10.238.2.97</v>
      </c>
      <c r="B35" s="107">
        <f>MID('CPG2'!$A35,LEN('CPG2'!$A35)-1,1)+(--MID('CPG2'!$A35,8,1)-1)*9</f>
        <v>18</v>
      </c>
      <c r="C35" s="107" t="s">
        <v>50</v>
      </c>
      <c r="D35" s="107">
        <v>1392</v>
      </c>
      <c r="E35" s="107">
        <v>1392</v>
      </c>
      <c r="F35" s="107">
        <v>1392</v>
      </c>
      <c r="G35" s="107">
        <v>1393.5</v>
      </c>
      <c r="H35" s="107">
        <v>1394.2</v>
      </c>
      <c r="I35" s="107" cm="1">
        <f t="array" ref="I35">IF(SUM('CPG2'!$D35:$H35)=0,0,SUMPRODUCT(IF('CPG2'!$D35:$H35=0,1,0),{1,2,4,8,16}))</f>
        <v>0</v>
      </c>
      <c r="J35" s="107"/>
      <c r="K35" s="107">
        <v>0</v>
      </c>
      <c r="L35" s="107" t="s">
        <v>785</v>
      </c>
      <c r="M35" s="108" t="b">
        <f t="shared" si="0"/>
        <v>1</v>
      </c>
      <c r="N35" t="s">
        <v>794</v>
      </c>
      <c r="V35" s="55" t="s">
        <v>95</v>
      </c>
      <c r="W35" s="58">
        <v>23</v>
      </c>
      <c r="X35" s="53">
        <f>MID('CPG2'!$A35,LEN('CPG2'!$A35)-1,1)+(--MID(V35,8,1)-1)*9</f>
        <v>72</v>
      </c>
      <c r="Y35" s="56" t="s">
        <v>50</v>
      </c>
    </row>
    <row r="36" spans="1:25">
      <c r="A36" s="104" t="str">
        <f t="shared" si="1"/>
        <v>10.238.2.98</v>
      </c>
      <c r="B36" s="105">
        <f>MID('CPG2'!$A36,LEN('CPG2'!$A36)-1,1)+(--MID('CPG2'!$A36,8,1)-1)*9</f>
        <v>18</v>
      </c>
      <c r="C36" s="105" t="s">
        <v>51</v>
      </c>
      <c r="D36" s="105">
        <v>1384.3</v>
      </c>
      <c r="E36" s="105">
        <v>1384.1</v>
      </c>
      <c r="F36" s="105">
        <v>1384.2</v>
      </c>
      <c r="G36" s="105">
        <v>1385.4</v>
      </c>
      <c r="H36" s="105">
        <v>1384.9</v>
      </c>
      <c r="I36" s="105" cm="1">
        <f t="array" ref="I36">IF(SUM('CPG2'!$D36:$H36)=0,0,SUMPRODUCT(IF('CPG2'!$D36:$H36=0,1,0),{1,2,4,8,16}))</f>
        <v>0</v>
      </c>
      <c r="J36" s="105"/>
      <c r="K36" s="105">
        <v>0</v>
      </c>
      <c r="L36" s="105" t="s">
        <v>785</v>
      </c>
      <c r="M36" s="108" t="b">
        <f t="shared" si="0"/>
        <v>1</v>
      </c>
      <c r="N36" t="s">
        <v>794</v>
      </c>
      <c r="V36" s="52" t="s">
        <v>96</v>
      </c>
      <c r="W36" s="57">
        <v>24</v>
      </c>
      <c r="X36" s="53">
        <f>MID('CPG2'!$A36,LEN('CPG2'!$A36)-1,1)+(--MID(V36,8,1)-1)*9</f>
        <v>72</v>
      </c>
      <c r="Y36" s="54" t="s">
        <v>51</v>
      </c>
    </row>
    <row r="37" spans="1:25">
      <c r="A37" s="55" t="str">
        <f t="shared" si="1"/>
        <v>10.238.2.99</v>
      </c>
      <c r="B37" s="100">
        <f>MID('CPG2'!$A37,LEN('CPG2'!$A37)-1,1)+(--MID('CPG2'!$A37,8,1)-1)*9</f>
        <v>18</v>
      </c>
      <c r="C37" s="100" t="s">
        <v>52</v>
      </c>
      <c r="D37" s="100">
        <v>1392.7</v>
      </c>
      <c r="E37" s="100">
        <v>1392.7</v>
      </c>
      <c r="F37" s="100">
        <v>1394.1</v>
      </c>
      <c r="G37" s="100">
        <v>1393.2</v>
      </c>
      <c r="H37" s="100">
        <v>1393.4</v>
      </c>
      <c r="I37" s="100" cm="1">
        <f t="array" ref="I37">IF(SUM('CPG2'!$D37:$H37)=0,0,SUMPRODUCT(IF('CPG2'!$D37:$H37=0,1,0),{1,2,4,8,16}))</f>
        <v>0</v>
      </c>
      <c r="J37" s="100"/>
      <c r="K37" s="100">
        <v>0</v>
      </c>
      <c r="L37" s="100" t="s">
        <v>785</v>
      </c>
      <c r="M37" s="108" t="b">
        <f t="shared" si="0"/>
        <v>1</v>
      </c>
      <c r="N37" t="s">
        <v>794</v>
      </c>
      <c r="V37" s="55" t="s">
        <v>97</v>
      </c>
      <c r="W37" s="58">
        <v>24</v>
      </c>
      <c r="X37" s="53">
        <f>MID('CPG2'!$A37,LEN('CPG2'!$A37)-1,1)+(--MID(V37,8,1)-1)*9</f>
        <v>72</v>
      </c>
      <c r="Y37" s="56" t="s">
        <v>52</v>
      </c>
    </row>
  </sheetData>
  <conditionalFormatting sqref="I2:I37">
    <cfRule type="cellIs" dxfId="121" priority="3" operator="notEqual">
      <formula>K2</formula>
    </cfRule>
  </conditionalFormatting>
  <conditionalFormatting sqref="M2:M37">
    <cfRule type="cellIs" dxfId="8" priority="1" operator="equal">
      <formula>TRUE</formula>
    </cfRule>
  </conditionalFormatting>
  <dataValidations count="2">
    <dataValidation type="list" allowBlank="1" showInputMessage="1" showErrorMessage="1" sqref="R1" xr:uid="{898CBA88-EC5F-4BA1-8C39-303CE220709E}">
      <formula1>$AA$2:$AA$9</formula1>
    </dataValidation>
    <dataValidation type="list" allowBlank="1" sqref="O1" xr:uid="{E4364786-C0B7-4725-A6BE-F3187F102EF7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CE783-2742-4F71-89C4-14182F31F3F3}">
  <sheetPr codeName="Sheet11"/>
  <dimension ref="A1:AE37"/>
  <sheetViews>
    <sheetView workbookViewId="0">
      <pane ySplit="1" topLeftCell="A2" activePane="bottomLeft" state="frozen"/>
      <selection activeCell="M2" sqref="M2"/>
      <selection pane="bottomLeft" activeCell="R1" sqref="R1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1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1</v>
      </c>
      <c r="X1" t="s">
        <v>769</v>
      </c>
    </row>
    <row r="2" spans="1:31">
      <c r="A2" t="str">
        <f>SUBSTITUTE(V2,".8.","."&amp;$R$1&amp;".")</f>
        <v>10.238.1.16</v>
      </c>
      <c r="B2">
        <f>MID(Table18911[[#This Row],[IP]],LEN(Table18911[[#This Row],[IP]])-1,1)+(--MID(Table18911[[#This Row],[IP]],8,1)-1)*9</f>
        <v>1</v>
      </c>
      <c r="C2" t="s">
        <v>49</v>
      </c>
      <c r="D2" s="97">
        <v>1385.2</v>
      </c>
      <c r="E2" s="97">
        <v>1386.9</v>
      </c>
      <c r="F2" s="97">
        <v>1385.5</v>
      </c>
      <c r="G2" s="97">
        <v>1386.6</v>
      </c>
      <c r="H2" s="97">
        <v>1384.7</v>
      </c>
      <c r="I2" s="97" cm="1">
        <f t="array" ref="I2">IF(SUM(Table18911[[#This Row],[SBMU01]:[SBMU05]])=0,0,SUMPRODUCT(IF(Table18911[[#This Row],[SBMU01]:[SBMU05]]=0,1,0),{1,2,4,8,16}))</f>
        <v>0</v>
      </c>
      <c r="J2" s="97"/>
      <c r="K2" s="97">
        <v>0</v>
      </c>
      <c r="M2" s="108" t="b">
        <f t="shared" ref="M2:M37" si="0">MAX($D2:$H2)-MIN($D2:$H2)&lt;10</f>
        <v>1</v>
      </c>
      <c r="N2" t="s">
        <v>794</v>
      </c>
      <c r="V2" s="52" t="s">
        <v>62</v>
      </c>
      <c r="W2" s="57">
        <v>33</v>
      </c>
      <c r="X2" s="53">
        <f>MID(Table18911[[#This Row],[IP]],LEN(Table18911[[#This Row],[IP]])-1,1)+(--MID(V2,8,1)-1)*9</f>
        <v>64</v>
      </c>
      <c r="Y2" s="54" t="s">
        <v>49</v>
      </c>
      <c r="AA2">
        <v>1</v>
      </c>
      <c r="AD2">
        <f>O1</f>
        <v>1057</v>
      </c>
      <c r="AE2" t="s">
        <v>789</v>
      </c>
    </row>
    <row r="3" spans="1:31">
      <c r="A3" t="str">
        <f t="shared" ref="A3:A37" si="1">SUBSTITUTE(V3,".8.","."&amp;$R$1&amp;".")</f>
        <v>10.238.1.17</v>
      </c>
      <c r="B3">
        <f>MID(Table18911[[#This Row],[IP]],LEN(Table18911[[#This Row],[IP]])-1,1)+(--MID(Table18911[[#This Row],[IP]],8,1)-1)*9</f>
        <v>1</v>
      </c>
      <c r="C3" t="s">
        <v>50</v>
      </c>
      <c r="D3" s="97">
        <v>1395.8</v>
      </c>
      <c r="E3" s="97">
        <v>1397.3</v>
      </c>
      <c r="F3" s="97">
        <v>1397.1</v>
      </c>
      <c r="G3" s="97">
        <v>1395.7</v>
      </c>
      <c r="H3" s="97">
        <v>1396.9</v>
      </c>
      <c r="I3" s="97" cm="1">
        <f t="array" ref="I3">IF(SUM(Table18911[[#This Row],[SBMU01]:[SBMU05]])=0,0,SUMPRODUCT(IF(Table18911[[#This Row],[SBMU01]:[SBMU05]]=0,1,0),{1,2,4,8,16}))</f>
        <v>0</v>
      </c>
      <c r="J3" s="97"/>
      <c r="K3" s="97">
        <v>0</v>
      </c>
      <c r="M3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MID(Table18911[[#This Row],[IP]],LEN(Table18911[[#This Row],[IP]])-1,1)+(--MID(V3,8,1)-1)*9</f>
        <v>64</v>
      </c>
      <c r="Y3" s="56" t="s">
        <v>50</v>
      </c>
      <c r="AA3">
        <v>2</v>
      </c>
      <c r="AD3">
        <f>AD2+1024</f>
        <v>2081</v>
      </c>
      <c r="AE3" t="s">
        <v>789</v>
      </c>
    </row>
    <row r="4" spans="1:31">
      <c r="A4" t="str">
        <f t="shared" si="1"/>
        <v>10.238.1.18</v>
      </c>
      <c r="B4">
        <f>MID(Table18911[[#This Row],[IP]],LEN(Table18911[[#This Row],[IP]])-1,1)+(--MID(Table18911[[#This Row],[IP]],8,1)-1)*9</f>
        <v>1</v>
      </c>
      <c r="C4" t="s">
        <v>51</v>
      </c>
      <c r="D4" s="97">
        <v>1397.1</v>
      </c>
      <c r="E4" s="97">
        <v>1396.2</v>
      </c>
      <c r="F4" s="97">
        <v>1396.3</v>
      </c>
      <c r="G4" s="97">
        <v>1397.5</v>
      </c>
      <c r="H4" s="97">
        <v>1397</v>
      </c>
      <c r="I4" s="97" cm="1">
        <f t="array" ref="I4">IF(SUM(Table18911[[#This Row],[SBMU01]:[SBMU05]])=0,0,SUMPRODUCT(IF(Table18911[[#This Row],[SBMU01]:[SBMU05]]=0,1,0),{1,2,4,8,16}))</f>
        <v>0</v>
      </c>
      <c r="J4" s="97" t="s">
        <v>795</v>
      </c>
      <c r="K4" s="97">
        <v>0</v>
      </c>
      <c r="L4" t="s">
        <v>785</v>
      </c>
      <c r="M4" t="b">
        <f t="shared" si="0"/>
        <v>1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MID(Table18911[[#This Row],[IP]],LEN(Table18911[[#This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1">
      <c r="A5" t="str">
        <f t="shared" si="1"/>
        <v>10.238.1.19</v>
      </c>
      <c r="B5">
        <f>MID(Table18911[[#This Row],[IP]],LEN(Table18911[[#This Row],[IP]])-1,1)+(--MID(Table18911[[#This Row],[IP]],8,1)-1)*9</f>
        <v>1</v>
      </c>
      <c r="C5" t="s">
        <v>52</v>
      </c>
      <c r="D5" s="97">
        <v>1396.7</v>
      </c>
      <c r="E5" s="97">
        <v>1396.4</v>
      </c>
      <c r="F5" s="97">
        <v>1396.5</v>
      </c>
      <c r="G5" s="97">
        <v>1395.8</v>
      </c>
      <c r="H5" s="97">
        <v>1396.5</v>
      </c>
      <c r="I5" s="97" cm="1">
        <f t="array" ref="I5">IF(SUM(Table18911[[#This Row],[SBMU01]:[SBMU05]])=0,0,SUMPRODUCT(IF(Table18911[[#This Row],[SBMU01]:[SBMU05]]=0,1,0),{1,2,4,8,16}))</f>
        <v>0</v>
      </c>
      <c r="J5" s="97" t="s">
        <v>795</v>
      </c>
      <c r="K5" s="97">
        <v>0</v>
      </c>
      <c r="L5" t="s">
        <v>785</v>
      </c>
      <c r="M5" t="b">
        <f t="shared" si="0"/>
        <v>1</v>
      </c>
      <c r="Q5">
        <v>1076</v>
      </c>
      <c r="R5" t="s">
        <v>777</v>
      </c>
      <c r="V5" s="55" t="s">
        <v>65</v>
      </c>
      <c r="W5" s="58">
        <v>32</v>
      </c>
      <c r="X5" s="53">
        <f>MID(Table18911[[#This Row],[IP]],LEN(Table18911[[#This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1">
      <c r="A6" t="str">
        <f t="shared" si="1"/>
        <v>10.238.1.26</v>
      </c>
      <c r="B6">
        <f>MID(Table18911[[#This Row],[IP]],LEN(Table18911[[#This Row],[IP]])-1,1)+(--MID(Table18911[[#This Row],[IP]],8,1)-1)*9</f>
        <v>2</v>
      </c>
      <c r="C6" t="s">
        <v>49</v>
      </c>
      <c r="D6" s="97">
        <v>1393.3</v>
      </c>
      <c r="E6" s="97">
        <v>1392.5</v>
      </c>
      <c r="F6" s="97">
        <v>1394.3</v>
      </c>
      <c r="G6" s="97">
        <v>1392.9</v>
      </c>
      <c r="H6" s="97">
        <v>1392.4</v>
      </c>
      <c r="I6" s="97" cm="1">
        <f t="array" ref="I6">IF(SUM(Table18911[[#This Row],[SBMU01]:[SBMU05]])=0,0,SUMPRODUCT(IF(Table18911[[#This Row],[SBMU01]:[SBMU05]]=0,1,0),{1,2,4,8,16}))</f>
        <v>0</v>
      </c>
      <c r="J6" s="97"/>
      <c r="K6" s="97">
        <v>0</v>
      </c>
      <c r="L6" t="s">
        <v>785</v>
      </c>
      <c r="M6" t="b">
        <f t="shared" si="0"/>
        <v>1</v>
      </c>
      <c r="N6" t="s">
        <v>794</v>
      </c>
      <c r="Q6">
        <v>1077</v>
      </c>
      <c r="R6" t="s">
        <v>778</v>
      </c>
      <c r="V6" s="52" t="s">
        <v>66</v>
      </c>
      <c r="W6" s="57">
        <v>17</v>
      </c>
      <c r="X6" s="53">
        <f>MID(Table18911[[#This Row],[IP]],LEN(Table18911[[#This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1">
      <c r="A7" t="str">
        <f t="shared" si="1"/>
        <v>10.238.1.27</v>
      </c>
      <c r="B7">
        <f>MID(Table18911[[#This Row],[IP]],LEN(Table18911[[#This Row],[IP]])-1,1)+(--MID(Table18911[[#This Row],[IP]],8,1)-1)*9</f>
        <v>2</v>
      </c>
      <c r="C7" t="s">
        <v>50</v>
      </c>
      <c r="D7" s="97">
        <v>1392.8</v>
      </c>
      <c r="E7" s="97">
        <v>1393</v>
      </c>
      <c r="F7" s="97">
        <v>1396.5</v>
      </c>
      <c r="G7" s="97">
        <v>1395.2</v>
      </c>
      <c r="H7" s="97">
        <v>1396</v>
      </c>
      <c r="I7" s="97" cm="1">
        <f t="array" ref="I7">IF(SUM(Table18911[[#This Row],[SBMU01]:[SBMU05]])=0,0,SUMPRODUCT(IF(Table18911[[#This Row],[SBMU01]:[SBMU05]]=0,1,0),{1,2,4,8,16}))</f>
        <v>0</v>
      </c>
      <c r="J7" s="97" t="s">
        <v>795</v>
      </c>
      <c r="K7" s="97">
        <v>0</v>
      </c>
      <c r="L7" t="s">
        <v>785</v>
      </c>
      <c r="M7" t="b">
        <f t="shared" si="0"/>
        <v>1</v>
      </c>
      <c r="N7" t="s">
        <v>794</v>
      </c>
      <c r="Q7">
        <v>1078</v>
      </c>
      <c r="R7" t="s">
        <v>779</v>
      </c>
      <c r="V7" s="55" t="s">
        <v>67</v>
      </c>
      <c r="W7" s="58">
        <v>18</v>
      </c>
      <c r="X7" s="53">
        <f>MID(Table18911[[#This Row],[IP]],LEN(Table18911[[#This Row],[IP]])-1,1)+(--MID(V7,8,1)-1)*9</f>
        <v>65</v>
      </c>
      <c r="Y7" s="56" t="s">
        <v>50</v>
      </c>
      <c r="AA7">
        <v>6</v>
      </c>
    </row>
    <row r="8" spans="1:31">
      <c r="A8" t="str">
        <f t="shared" si="1"/>
        <v>10.238.1.28</v>
      </c>
      <c r="B8">
        <f>MID(Table18911[[#This Row],[IP]],LEN(Table18911[[#This Row],[IP]])-1,1)+(--MID(Table18911[[#This Row],[IP]],8,1)-1)*9</f>
        <v>2</v>
      </c>
      <c r="C8" t="s">
        <v>51</v>
      </c>
      <c r="D8" s="97">
        <v>1393</v>
      </c>
      <c r="E8" s="97">
        <v>1393.5</v>
      </c>
      <c r="F8" s="97">
        <v>1393.3</v>
      </c>
      <c r="G8" s="97">
        <v>1393.2</v>
      </c>
      <c r="H8" s="97">
        <v>1394.6</v>
      </c>
      <c r="I8" s="97" cm="1">
        <f t="array" ref="I8">IF(SUM(Table18911[[#This Row],[SBMU01]:[SBMU05]])=0,0,SUMPRODUCT(IF(Table18911[[#This Row],[SBMU01]:[SBMU05]]=0,1,0),{1,2,4,8,16}))</f>
        <v>0</v>
      </c>
      <c r="J8" s="97"/>
      <c r="K8" s="97">
        <v>0</v>
      </c>
      <c r="L8" t="s">
        <v>785</v>
      </c>
      <c r="M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MID(Table18911[[#This Row],[IP]],LEN(Table18911[[#This Row],[IP]])-1,1)+(--MID(V8,8,1)-1)*9</f>
        <v>65</v>
      </c>
      <c r="Y8" s="54" t="s">
        <v>51</v>
      </c>
      <c r="AA8">
        <v>7</v>
      </c>
    </row>
    <row r="9" spans="1:31">
      <c r="A9" t="str">
        <f t="shared" si="1"/>
        <v>10.238.1.29</v>
      </c>
      <c r="B9">
        <f>MID(Table18911[[#This Row],[IP]],LEN(Table18911[[#This Row],[IP]])-1,1)+(--MID(Table18911[[#This Row],[IP]],8,1)-1)*9</f>
        <v>2</v>
      </c>
      <c r="C9" t="s">
        <v>52</v>
      </c>
      <c r="D9" s="97">
        <v>1393.2</v>
      </c>
      <c r="E9" s="97">
        <v>1392.5</v>
      </c>
      <c r="F9" s="97">
        <v>1393</v>
      </c>
      <c r="G9" s="97">
        <v>1393.3</v>
      </c>
      <c r="H9" s="97">
        <v>1392</v>
      </c>
      <c r="I9" s="97" cm="1">
        <f t="array" ref="I9">IF(SUM(Table18911[[#This Row],[SBMU01]:[SBMU05]])=0,0,SUMPRODUCT(IF(Table18911[[#This Row],[SBMU01]:[SBMU05]]=0,1,0),{1,2,4,8,16}))</f>
        <v>0</v>
      </c>
      <c r="J9" s="97"/>
      <c r="K9" s="97">
        <v>0</v>
      </c>
      <c r="L9" t="s">
        <v>785</v>
      </c>
      <c r="M9" t="b">
        <f t="shared" si="0"/>
        <v>1</v>
      </c>
      <c r="N9" t="s">
        <v>794</v>
      </c>
      <c r="Q9">
        <v>1080</v>
      </c>
      <c r="R9" t="s">
        <v>781</v>
      </c>
      <c r="V9" s="55" t="s">
        <v>69</v>
      </c>
      <c r="W9" s="58">
        <v>17</v>
      </c>
      <c r="X9" s="53">
        <f>MID(Table18911[[#This Row],[IP]],LEN(Table18911[[#This Row],[IP]])-1,1)+(--MID(V9,8,1)-1)*9</f>
        <v>65</v>
      </c>
      <c r="Y9" s="56" t="s">
        <v>52</v>
      </c>
      <c r="AA9">
        <v>8</v>
      </c>
    </row>
    <row r="10" spans="1:31" ht="12.75" customHeight="1">
      <c r="A10" t="str">
        <f t="shared" si="1"/>
        <v>10.238.1.36</v>
      </c>
      <c r="B10">
        <f>MID(Table18911[[#This Row],[IP]],LEN(Table18911[[#This Row],[IP]])-1,1)+(--MID(Table18911[[#This Row],[IP]],8,1)-1)*9</f>
        <v>3</v>
      </c>
      <c r="C10" t="s">
        <v>49</v>
      </c>
      <c r="D10" s="97">
        <v>1385.8</v>
      </c>
      <c r="E10" s="97">
        <v>1384.7</v>
      </c>
      <c r="F10" s="97">
        <v>1385.8</v>
      </c>
      <c r="G10" s="97">
        <v>1386.7</v>
      </c>
      <c r="H10" s="97">
        <v>1384.2</v>
      </c>
      <c r="I10" s="97" cm="1">
        <f t="array" ref="I10">IF(SUM(Table18911[[#This Row],[SBMU01]:[SBMU05]])=0,0,SUMPRODUCT(IF(Table18911[[#This Row],[SBMU01]:[SBMU05]]=0,1,0),{1,2,4,8,16}))</f>
        <v>0</v>
      </c>
      <c r="J10" s="97"/>
      <c r="K10" s="97">
        <v>0</v>
      </c>
      <c r="L10" t="s">
        <v>785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MID(Table18911[[#This Row],[IP]],LEN(Table18911[[#This Row],[IP]])-1,1)+(--MID(V10,8,1)-1)*9</f>
        <v>66</v>
      </c>
      <c r="Y10" s="54" t="s">
        <v>49</v>
      </c>
    </row>
    <row r="11" spans="1:31">
      <c r="A11" t="str">
        <f t="shared" si="1"/>
        <v>10.238.1.37</v>
      </c>
      <c r="B11">
        <f>MID(Table18911[[#This Row],[IP]],LEN(Table18911[[#This Row],[IP]])-1,1)+(--MID(Table18911[[#This Row],[IP]],8,1)-1)*9</f>
        <v>3</v>
      </c>
      <c r="C11" t="s">
        <v>50</v>
      </c>
      <c r="D11" s="97">
        <v>1392.6</v>
      </c>
      <c r="E11" s="97">
        <v>1393.9</v>
      </c>
      <c r="F11" s="97">
        <v>1391.5</v>
      </c>
      <c r="G11" s="97">
        <v>1392.3</v>
      </c>
      <c r="H11" s="97">
        <v>1393.4</v>
      </c>
      <c r="I11" s="97" cm="1">
        <f t="array" ref="I11">IF(SUM(Table18911[[#This Row],[SBMU01]:[SBMU05]])=0,0,SUMPRODUCT(IF(Table18911[[#This Row],[SBMU01]:[SBMU05]]=0,1,0),{1,2,4,8,16}))</f>
        <v>0</v>
      </c>
      <c r="J11" s="97"/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MID(Table18911[[#This Row],[IP]],LEN(Table18911[[#This Row],[IP]])-1,1)+(--MID(V11,8,1)-1)*9</f>
        <v>66</v>
      </c>
      <c r="Y11" s="56" t="s">
        <v>50</v>
      </c>
    </row>
    <row r="12" spans="1:31">
      <c r="A12" t="str">
        <f t="shared" si="1"/>
        <v>10.238.1.38</v>
      </c>
      <c r="B12">
        <f>MID(Table18911[[#This Row],[IP]],LEN(Table18911[[#This Row],[IP]])-1,1)+(--MID(Table18911[[#This Row],[IP]],8,1)-1)*9</f>
        <v>3</v>
      </c>
      <c r="C12" t="s">
        <v>51</v>
      </c>
      <c r="D12" s="97">
        <v>1394.5</v>
      </c>
      <c r="E12" s="97">
        <v>1392.6</v>
      </c>
      <c r="F12" s="97">
        <v>1392.8</v>
      </c>
      <c r="G12" s="97">
        <v>1393.1</v>
      </c>
      <c r="H12" s="97">
        <v>1392.1</v>
      </c>
      <c r="I12" s="97" cm="1">
        <f t="array" ref="I12">IF(SUM(Table18911[[#This Row],[SBMU01]:[SBMU05]])=0,0,SUMPRODUCT(IF(Table18911[[#This Row],[SBMU01]:[SBMU05]]=0,1,0),{1,2,4,8,16}))</f>
        <v>0</v>
      </c>
      <c r="J12" s="97"/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MID(Table18911[[#This Row],[IP]],LEN(Table18911[[#This Row],[IP]])-1,1)+(--MID(V12,8,1)-1)*9</f>
        <v>66</v>
      </c>
      <c r="Y12" s="54" t="s">
        <v>51</v>
      </c>
    </row>
    <row r="13" spans="1:31">
      <c r="A13" t="str">
        <f t="shared" si="1"/>
        <v>10.238.1.39</v>
      </c>
      <c r="B13">
        <f>MID(Table18911[[#This Row],[IP]],LEN(Table18911[[#This Row],[IP]])-1,1)+(--MID(Table18911[[#This Row],[IP]],8,1)-1)*9</f>
        <v>3</v>
      </c>
      <c r="C13" t="s">
        <v>52</v>
      </c>
      <c r="D13" s="97">
        <v>1392.3</v>
      </c>
      <c r="E13" s="97">
        <v>1393.2</v>
      </c>
      <c r="F13" s="97">
        <v>1392.9</v>
      </c>
      <c r="G13" s="97">
        <v>1393.7</v>
      </c>
      <c r="H13" s="97">
        <v>1392.6</v>
      </c>
      <c r="I13" s="97" cm="1">
        <f t="array" ref="I13">IF(SUM(Table18911[[#This Row],[SBMU01]:[SBMU05]])=0,0,SUMPRODUCT(IF(Table18911[[#This Row],[SBMU01]:[SBMU05]]=0,1,0),{1,2,4,8,16}))</f>
        <v>0</v>
      </c>
      <c r="J13" s="97"/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MID(Table18911[[#This Row],[IP]],LEN(Table18911[[#This Row],[IP]])-1,1)+(--MID(V13,8,1)-1)*9</f>
        <v>66</v>
      </c>
      <c r="Y13" s="56" t="s">
        <v>52</v>
      </c>
    </row>
    <row r="14" spans="1:31">
      <c r="A14" t="str">
        <f t="shared" si="1"/>
        <v>10.238.1.46</v>
      </c>
      <c r="B14">
        <f>MID(Table18911[[#This Row],[IP]],LEN(Table18911[[#This Row],[IP]])-1,1)+(--MID(Table18911[[#This Row],[IP]],8,1)-1)*9</f>
        <v>4</v>
      </c>
      <c r="C14" t="s">
        <v>49</v>
      </c>
      <c r="D14" s="97">
        <v>1383.7</v>
      </c>
      <c r="E14" s="97">
        <v>1383.3</v>
      </c>
      <c r="F14" s="97">
        <v>1382.6</v>
      </c>
      <c r="G14" s="97">
        <v>1384.7</v>
      </c>
      <c r="H14" s="97">
        <v>1382.7</v>
      </c>
      <c r="I14" s="97" cm="1">
        <f t="array" ref="I14">IF(SUM(Table18911[[#This Row],[SBMU01]:[SBMU05]])=0,0,SUMPRODUCT(IF(Table18911[[#This Row],[SBMU01]:[SBMU05]]=0,1,0),{1,2,4,8,16}))</f>
        <v>0</v>
      </c>
      <c r="J14" s="97" t="s">
        <v>795</v>
      </c>
      <c r="K14" s="97">
        <v>0</v>
      </c>
      <c r="L14" t="s">
        <v>785</v>
      </c>
      <c r="M14" t="b">
        <f t="shared" si="0"/>
        <v>1</v>
      </c>
      <c r="N14" t="s">
        <v>794</v>
      </c>
      <c r="V14" s="52" t="s">
        <v>74</v>
      </c>
      <c r="W14" s="57">
        <v>30</v>
      </c>
      <c r="X14" s="53">
        <f>MID(Table18911[[#This Row],[IP]],LEN(Table18911[[#This Row],[IP]])-1,1)+(--MID(V14,8,1)-1)*9</f>
        <v>67</v>
      </c>
      <c r="Y14" s="54" t="s">
        <v>49</v>
      </c>
    </row>
    <row r="15" spans="1:31">
      <c r="A15" t="str">
        <f t="shared" si="1"/>
        <v>10.238.1.47</v>
      </c>
      <c r="B15">
        <f>MID(Table18911[[#This Row],[IP]],LEN(Table18911[[#This Row],[IP]])-1,1)+(--MID(Table18911[[#This Row],[IP]],8,1)-1)*9</f>
        <v>4</v>
      </c>
      <c r="C15" t="s">
        <v>50</v>
      </c>
      <c r="D15" s="97">
        <v>1384.4</v>
      </c>
      <c r="E15" s="97">
        <v>1385.4</v>
      </c>
      <c r="F15" s="97">
        <v>1385.1</v>
      </c>
      <c r="G15" s="97">
        <v>1386</v>
      </c>
      <c r="H15" s="97">
        <v>1385.2</v>
      </c>
      <c r="I15" s="97" cm="1">
        <f t="array" ref="I15">IF(SUM(Table18911[[#This Row],[SBMU01]:[SBMU05]])=0,0,SUMPRODUCT(IF(Table18911[[#This Row],[SBMU01]:[SBMU05]]=0,1,0),{1,2,4,8,16}))</f>
        <v>0</v>
      </c>
      <c r="J15" s="97" t="s">
        <v>795</v>
      </c>
      <c r="K15" s="97">
        <v>0</v>
      </c>
      <c r="L15" t="s">
        <v>785</v>
      </c>
      <c r="M15" t="b">
        <f t="shared" si="0"/>
        <v>1</v>
      </c>
      <c r="N15" t="s">
        <v>794</v>
      </c>
      <c r="V15" s="55" t="s">
        <v>75</v>
      </c>
      <c r="W15" s="58">
        <v>38</v>
      </c>
      <c r="X15" s="53">
        <f>MID(Table18911[[#This Row],[IP]],LEN(Table18911[[#This Row],[IP]])-1,1)+(--MID(V15,8,1)-1)*9</f>
        <v>67</v>
      </c>
      <c r="Y15" s="56" t="s">
        <v>50</v>
      </c>
    </row>
    <row r="16" spans="1:31">
      <c r="A16" t="str">
        <f t="shared" si="1"/>
        <v>10.238.1.48</v>
      </c>
      <c r="B16">
        <f>MID(Table18911[[#This Row],[IP]],LEN(Table18911[[#This Row],[IP]])-1,1)+(--MID(Table18911[[#This Row],[IP]],8,1)-1)*9</f>
        <v>4</v>
      </c>
      <c r="C16" t="s">
        <v>51</v>
      </c>
      <c r="D16" s="97">
        <v>1385.4</v>
      </c>
      <c r="E16" s="97">
        <v>1383.8</v>
      </c>
      <c r="F16" s="97">
        <v>1385</v>
      </c>
      <c r="G16" s="97">
        <v>1386</v>
      </c>
      <c r="H16" s="97">
        <v>1384.1</v>
      </c>
      <c r="I16" s="97" cm="1">
        <f t="array" ref="I16">IF(SUM(Table18911[[#This Row],[SBMU01]:[SBMU05]])=0,0,SUMPRODUCT(IF(Table18911[[#This Row],[SBMU01]:[SBMU05]]=0,1,0),{1,2,4,8,16}))</f>
        <v>0</v>
      </c>
      <c r="J16" s="97" t="s">
        <v>795</v>
      </c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MID(Table18911[[#This Row],[IP]],LEN(Table18911[[#This Row],[IP]])-1,1)+(--MID(V16,8,1)-1)*9</f>
        <v>67</v>
      </c>
      <c r="Y16" s="54" t="s">
        <v>51</v>
      </c>
    </row>
    <row r="17" spans="1:25">
      <c r="A17" t="str">
        <f t="shared" si="1"/>
        <v>10.238.1.49</v>
      </c>
      <c r="B17">
        <f>MID(Table18911[[#This Row],[IP]],LEN(Table18911[[#This Row],[IP]])-1,1)+(--MID(Table18911[[#This Row],[IP]],8,1)-1)*9</f>
        <v>4</v>
      </c>
      <c r="C17" t="s">
        <v>52</v>
      </c>
      <c r="D17" s="97">
        <v>1384.9</v>
      </c>
      <c r="E17" s="97">
        <v>1385.4</v>
      </c>
      <c r="F17" s="97">
        <v>1383.8</v>
      </c>
      <c r="G17" s="97">
        <v>1385.8</v>
      </c>
      <c r="H17" s="97">
        <v>1384.6</v>
      </c>
      <c r="I17" s="97" cm="1">
        <f t="array" ref="I17">IF(SUM(Table18911[[#This Row],[SBMU01]:[SBMU05]])=0,0,SUMPRODUCT(IF(Table18911[[#This Row],[SBMU01]:[SBMU05]]=0,1,0),{1,2,4,8,16}))</f>
        <v>0</v>
      </c>
      <c r="J17" s="97"/>
      <c r="K17" s="97">
        <v>0</v>
      </c>
      <c r="L17" t="s">
        <v>785</v>
      </c>
      <c r="M17" t="b">
        <f t="shared" si="0"/>
        <v>1</v>
      </c>
      <c r="N17" t="s">
        <v>794</v>
      </c>
      <c r="V17" s="55" t="s">
        <v>77</v>
      </c>
      <c r="W17" s="58">
        <v>38</v>
      </c>
      <c r="X17" s="53">
        <f>MID(Table18911[[#This Row],[IP]],LEN(Table18911[[#This Row],[IP]])-1,1)+(--MID(V17,8,1)-1)*9</f>
        <v>67</v>
      </c>
      <c r="Y17" s="56" t="s">
        <v>52</v>
      </c>
    </row>
    <row r="18" spans="1:25">
      <c r="A18" t="str">
        <f t="shared" si="1"/>
        <v>10.238.1.56</v>
      </c>
      <c r="B18">
        <f>MID(Table18911[[#This Row],[IP]],LEN(Table18911[[#This Row],[IP]])-1,1)+(--MID(Table18911[[#This Row],[IP]],8,1)-1)*9</f>
        <v>5</v>
      </c>
      <c r="C18" t="s">
        <v>49</v>
      </c>
      <c r="D18" s="97">
        <v>1385.1</v>
      </c>
      <c r="E18" s="97">
        <v>1383.8</v>
      </c>
      <c r="F18" s="97">
        <v>1384.6</v>
      </c>
      <c r="G18" s="97">
        <v>1382.9</v>
      </c>
      <c r="H18" s="97">
        <v>1384.2</v>
      </c>
      <c r="I18" s="97" cm="1">
        <f t="array" ref="I18">IF(SUM(Table18911[[#This Row],[SBMU01]:[SBMU05]])=0,0,SUMPRODUCT(IF(Table18911[[#This Row],[SBMU01]:[SBMU05]]=0,1,0),{1,2,4,8,16}))</f>
        <v>0</v>
      </c>
      <c r="J18" s="97"/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MID(Table18911[[#This Row],[IP]],LEN(Table18911[[#This Row],[IP]])-1,1)+(--MID(V18,8,1)-1)*9</f>
        <v>68</v>
      </c>
      <c r="Y18" s="54" t="s">
        <v>49</v>
      </c>
    </row>
    <row r="19" spans="1:25">
      <c r="A19" t="str">
        <f t="shared" si="1"/>
        <v>10.238.1.57</v>
      </c>
      <c r="B19">
        <f>MID(Table18911[[#This Row],[IP]],LEN(Table18911[[#This Row],[IP]])-1,1)+(--MID(Table18911[[#This Row],[IP]],8,1)-1)*9</f>
        <v>5</v>
      </c>
      <c r="C19" t="s">
        <v>50</v>
      </c>
      <c r="D19" s="97">
        <v>1393</v>
      </c>
      <c r="E19" s="97">
        <v>1392.2</v>
      </c>
      <c r="F19" s="97">
        <v>1394.5</v>
      </c>
      <c r="G19" s="97">
        <v>1392.9</v>
      </c>
      <c r="H19" s="97">
        <v>1391.9</v>
      </c>
      <c r="I19" s="97" cm="1">
        <f t="array" ref="I19">IF(SUM(Table18911[[#This Row],[SBMU01]:[SBMU05]])=0,0,SUMPRODUCT(IF(Table18911[[#This Row],[SBMU01]:[SBMU05]]=0,1,0),{1,2,4,8,16}))</f>
        <v>0</v>
      </c>
      <c r="J19" s="97"/>
      <c r="K19" s="97">
        <v>0</v>
      </c>
      <c r="L19" t="s">
        <v>785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MID(Table18911[[#This Row],[IP]],LEN(Table18911[[#This Row],[IP]])-1,1)+(--MID(V19,8,1)-1)*9</f>
        <v>68</v>
      </c>
      <c r="Y19" s="56" t="s">
        <v>50</v>
      </c>
    </row>
    <row r="20" spans="1:25">
      <c r="A20" t="str">
        <f t="shared" si="1"/>
        <v>10.238.1.58</v>
      </c>
      <c r="B20">
        <f>MID(Table18911[[#This Row],[IP]],LEN(Table18911[[#This Row],[IP]])-1,1)+(--MID(Table18911[[#This Row],[IP]],8,1)-1)*9</f>
        <v>5</v>
      </c>
      <c r="C20" t="s">
        <v>51</v>
      </c>
      <c r="D20" s="97">
        <v>1392.1</v>
      </c>
      <c r="E20" s="97">
        <v>1393</v>
      </c>
      <c r="F20" s="97">
        <v>1391.9</v>
      </c>
      <c r="G20" s="97">
        <v>1393.7</v>
      </c>
      <c r="H20" s="97">
        <v>1393.3</v>
      </c>
      <c r="I20" s="97" cm="1">
        <f t="array" ref="I20">IF(SUM(Table18911[[#This Row],[SBMU01]:[SBMU05]])=0,0,SUMPRODUCT(IF(Table18911[[#This Row],[SBMU01]:[SBMU05]]=0,1,0),{1,2,4,8,16}))</f>
        <v>0</v>
      </c>
      <c r="J20" s="97"/>
      <c r="K20" s="97">
        <v>0</v>
      </c>
      <c r="L20" t="s">
        <v>785</v>
      </c>
      <c r="M20" t="b">
        <f t="shared" si="0"/>
        <v>1</v>
      </c>
      <c r="N20" t="s">
        <v>794</v>
      </c>
      <c r="V20" s="52" t="s">
        <v>80</v>
      </c>
      <c r="W20" s="57">
        <v>22</v>
      </c>
      <c r="X20" s="53">
        <f>MID(Table18911[[#This Row],[IP]],LEN(Table18911[[#This Row],[IP]])-1,1)+(--MID(V20,8,1)-1)*9</f>
        <v>68</v>
      </c>
      <c r="Y20" s="54" t="s">
        <v>51</v>
      </c>
    </row>
    <row r="21" spans="1:25">
      <c r="A21" t="str">
        <f t="shared" si="1"/>
        <v>10.238.1.59</v>
      </c>
      <c r="B21">
        <f>MID(Table18911[[#This Row],[IP]],LEN(Table18911[[#This Row],[IP]])-1,1)+(--MID(Table18911[[#This Row],[IP]],8,1)-1)*9</f>
        <v>5</v>
      </c>
      <c r="C21" t="s">
        <v>52</v>
      </c>
      <c r="D21" s="97">
        <v>1391.7</v>
      </c>
      <c r="E21" s="97">
        <v>1392.2</v>
      </c>
      <c r="F21" s="97">
        <v>1392.5</v>
      </c>
      <c r="G21" s="97">
        <v>1393</v>
      </c>
      <c r="H21" s="97">
        <v>1392.1</v>
      </c>
      <c r="I21" s="97" cm="1">
        <f t="array" ref="I21">IF(SUM(Table18911[[#This Row],[SBMU01]:[SBMU05]])=0,0,SUMPRODUCT(IF(Table18911[[#This Row],[SBMU01]:[SBMU05]]=0,1,0),{1,2,4,8,16}))</f>
        <v>0</v>
      </c>
      <c r="J21" s="97"/>
      <c r="K21" s="97">
        <v>0</v>
      </c>
      <c r="L21" t="s">
        <v>785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MID(Table18911[[#This Row],[IP]],LEN(Table18911[[#This Row],[IP]])-1,1)+(--MID(V21,8,1)-1)*9</f>
        <v>68</v>
      </c>
      <c r="Y21" s="56" t="s">
        <v>52</v>
      </c>
    </row>
    <row r="22" spans="1:25">
      <c r="A22" t="str">
        <f t="shared" si="1"/>
        <v>10.238.1.66</v>
      </c>
      <c r="B22">
        <f>MID(Table18911[[#This Row],[IP]],LEN(Table18911[[#This Row],[IP]])-1,1)+(--MID(Table18911[[#This Row],[IP]],8,1)-1)*9</f>
        <v>6</v>
      </c>
      <c r="C22" t="s">
        <v>49</v>
      </c>
      <c r="D22" s="97">
        <v>1334.9</v>
      </c>
      <c r="E22" s="97">
        <v>1335.8</v>
      </c>
      <c r="F22" s="97">
        <v>1335.2</v>
      </c>
      <c r="G22" s="97">
        <v>1335.1</v>
      </c>
      <c r="H22" s="97">
        <v>1385.8</v>
      </c>
      <c r="I22" s="97" cm="1">
        <f t="array" ref="I22">IF(SUM(Table18911[[#This Row],[SBMU01]:[SBMU05]])=0,0,SUMPRODUCT(IF(Table18911[[#This Row],[SBMU01]:[SBMU05]]=0,1,0),{1,2,4,8,16}))</f>
        <v>0</v>
      </c>
      <c r="J22" s="97"/>
      <c r="K22" s="97">
        <v>0</v>
      </c>
      <c r="L22" t="s">
        <v>785</v>
      </c>
      <c r="M22" t="b">
        <f t="shared" si="0"/>
        <v>0</v>
      </c>
      <c r="N22" t="s">
        <v>794</v>
      </c>
      <c r="V22" s="52" t="s">
        <v>82</v>
      </c>
      <c r="W22" s="57">
        <v>22</v>
      </c>
      <c r="X22" s="53">
        <f>MID(Table18911[[#This Row],[IP]],LEN(Table18911[[#This Row],[IP]])-1,1)+(--MID(V22,8,1)-1)*9</f>
        <v>69</v>
      </c>
      <c r="Y22" s="54" t="s">
        <v>49</v>
      </c>
    </row>
    <row r="23" spans="1:25">
      <c r="A23" t="str">
        <f t="shared" si="1"/>
        <v>10.238.1.67</v>
      </c>
      <c r="B23">
        <f>MID(Table18911[[#This Row],[IP]],LEN(Table18911[[#This Row],[IP]])-1,1)+(--MID(Table18911[[#This Row],[IP]],8,1)-1)*9</f>
        <v>6</v>
      </c>
      <c r="C23" t="s">
        <v>50</v>
      </c>
      <c r="D23" s="97">
        <v>1178.4000000000001</v>
      </c>
      <c r="E23" s="97">
        <v>1334.6</v>
      </c>
      <c r="F23" s="97">
        <v>1336.4</v>
      </c>
      <c r="G23" s="97">
        <v>1334.2</v>
      </c>
      <c r="H23" s="97">
        <v>1335</v>
      </c>
      <c r="I23" s="97" cm="1">
        <f t="array" ref="I23">IF(SUM(Table18911[[#This Row],[SBMU01]:[SBMU05]])=0,0,SUMPRODUCT(IF(Table18911[[#This Row],[SBMU01]:[SBMU05]]=0,1,0),{1,2,4,8,16}))</f>
        <v>0</v>
      </c>
      <c r="J23" s="97"/>
      <c r="K23" s="97">
        <v>0</v>
      </c>
      <c r="L23" t="s">
        <v>785</v>
      </c>
      <c r="M23" t="b">
        <f t="shared" si="0"/>
        <v>0</v>
      </c>
      <c r="N23" t="s">
        <v>794</v>
      </c>
      <c r="V23" s="55" t="s">
        <v>83</v>
      </c>
      <c r="W23" s="58">
        <v>16</v>
      </c>
      <c r="X23" s="53">
        <f>MID(Table18911[[#This Row],[IP]],LEN(Table18911[[#This Row],[IP]])-1,1)+(--MID(V23,8,1)-1)*9</f>
        <v>69</v>
      </c>
      <c r="Y23" s="56" t="s">
        <v>50</v>
      </c>
    </row>
    <row r="24" spans="1:25">
      <c r="A24" t="str">
        <f t="shared" si="1"/>
        <v>10.238.1.68</v>
      </c>
      <c r="B24">
        <f>MID(Table18911[[#This Row],[IP]],LEN(Table18911[[#This Row],[IP]])-1,1)+(--MID(Table18911[[#This Row],[IP]],8,1)-1)*9</f>
        <v>6</v>
      </c>
      <c r="C24" t="s">
        <v>51</v>
      </c>
      <c r="D24" s="97">
        <v>1382.5</v>
      </c>
      <c r="E24" s="97">
        <v>1382.3</v>
      </c>
      <c r="F24" s="97">
        <v>1383</v>
      </c>
      <c r="G24" s="97">
        <v>1382.6</v>
      </c>
      <c r="H24" s="97">
        <v>1384.1</v>
      </c>
      <c r="I24" s="97" cm="1">
        <f t="array" ref="I24">IF(SUM(Table18911[[#This Row],[SBMU01]:[SBMU05]])=0,0,SUMPRODUCT(IF(Table18911[[#This Row],[SBMU01]:[SBMU05]]=0,1,0),{1,2,4,8,16}))</f>
        <v>0</v>
      </c>
      <c r="J24" s="97"/>
      <c r="K24" s="97">
        <v>0</v>
      </c>
      <c r="L24" t="s">
        <v>785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MID(Table18911[[#This Row],[IP]],LEN(Table18911[[#This Row],[IP]])-1,1)+(--MID(V24,8,1)-1)*9</f>
        <v>69</v>
      </c>
      <c r="Y24" s="54" t="s">
        <v>51</v>
      </c>
    </row>
    <row r="25" spans="1:25">
      <c r="A25" t="str">
        <f t="shared" si="1"/>
        <v>10.238.1.69</v>
      </c>
      <c r="B25">
        <f>MID(Table18911[[#This Row],[IP]],LEN(Table18911[[#This Row],[IP]])-1,1)+(--MID(Table18911[[#This Row],[IP]],8,1)-1)*9</f>
        <v>6</v>
      </c>
      <c r="C25" t="s">
        <v>52</v>
      </c>
      <c r="D25" s="97">
        <v>1333.3</v>
      </c>
      <c r="E25" s="97">
        <v>1334.5</v>
      </c>
      <c r="F25" s="97">
        <v>1335</v>
      </c>
      <c r="G25" s="97">
        <v>1372</v>
      </c>
      <c r="H25" s="97">
        <v>1333.7</v>
      </c>
      <c r="I25" s="97" cm="1">
        <f t="array" ref="I25">IF(SUM(Table18911[[#This Row],[SBMU01]:[SBMU05]])=0,0,SUMPRODUCT(IF(Table18911[[#This Row],[SBMU01]:[SBMU05]]=0,1,0),{1,2,4,8,16}))</f>
        <v>0</v>
      </c>
      <c r="J25" s="97"/>
      <c r="K25" s="97">
        <v>0</v>
      </c>
      <c r="L25" t="s">
        <v>785</v>
      </c>
      <c r="M25" t="b">
        <f t="shared" si="0"/>
        <v>0</v>
      </c>
      <c r="N25" t="s">
        <v>794</v>
      </c>
      <c r="V25" s="55" t="s">
        <v>85</v>
      </c>
      <c r="W25" s="58">
        <v>16</v>
      </c>
      <c r="X25" s="53">
        <f>MID(Table18911[[#This Row],[IP]],LEN(Table18911[[#This Row],[IP]])-1,1)+(--MID(V25,8,1)-1)*9</f>
        <v>69</v>
      </c>
      <c r="Y25" s="56" t="s">
        <v>52</v>
      </c>
    </row>
    <row r="26" spans="1:25">
      <c r="A26" t="str">
        <f t="shared" si="1"/>
        <v>10.238.1.76</v>
      </c>
      <c r="B26">
        <f>MID(Table18911[[#This Row],[IP]],LEN(Table18911[[#This Row],[IP]])-1,1)+(--MID(Table18911[[#This Row],[IP]],8,1)-1)*9</f>
        <v>7</v>
      </c>
      <c r="C26" t="s">
        <v>49</v>
      </c>
      <c r="D26" s="97">
        <v>1387.6</v>
      </c>
      <c r="E26" s="97">
        <v>1386</v>
      </c>
      <c r="F26" s="97">
        <v>1387.1</v>
      </c>
      <c r="G26" s="97">
        <v>1386.8</v>
      </c>
      <c r="H26" s="97">
        <v>1387.3</v>
      </c>
      <c r="I26" s="97" cm="1">
        <f t="array" ref="I26">IF(SUM(Table18911[[#This Row],[SBMU01]:[SBMU05]])=0,0,SUMPRODUCT(IF(Table18911[[#This Row],[SBMU01]:[SBMU05]]=0,1,0),{1,2,4,8,16}))</f>
        <v>0</v>
      </c>
      <c r="J26" s="97"/>
      <c r="K26" s="97">
        <v>0</v>
      </c>
      <c r="L26" t="s">
        <v>785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MID(Table18911[[#This Row],[IP]],LEN(Table18911[[#This Row],[IP]])-1,1)+(--MID(V26,8,1)-1)*9</f>
        <v>70</v>
      </c>
      <c r="Y26" s="54" t="s">
        <v>49</v>
      </c>
    </row>
    <row r="27" spans="1:25">
      <c r="A27" t="str">
        <f t="shared" si="1"/>
        <v>10.238.1.77</v>
      </c>
      <c r="B27">
        <f>MID(Table18911[[#This Row],[IP]],LEN(Table18911[[#This Row],[IP]])-1,1)+(--MID(Table18911[[#This Row],[IP]],8,1)-1)*9</f>
        <v>7</v>
      </c>
      <c r="C27" t="s">
        <v>50</v>
      </c>
      <c r="D27" s="97">
        <v>1366.4</v>
      </c>
      <c r="E27" s="97">
        <v>1384.1</v>
      </c>
      <c r="F27" s="97">
        <v>1366.1</v>
      </c>
      <c r="G27" s="97">
        <v>1384.5</v>
      </c>
      <c r="H27" s="97">
        <v>1366.8</v>
      </c>
      <c r="I27" s="97" cm="1">
        <f t="array" ref="I27">IF(SUM(Table18911[[#This Row],[SBMU01]:[SBMU05]])=0,0,SUMPRODUCT(IF(Table18911[[#This Row],[SBMU01]:[SBMU05]]=0,1,0),{1,2,4,8,16}))</f>
        <v>0</v>
      </c>
      <c r="J27" s="97"/>
      <c r="K27" s="97">
        <v>0</v>
      </c>
      <c r="L27" t="s">
        <v>785</v>
      </c>
      <c r="M27" t="b">
        <f t="shared" si="0"/>
        <v>0</v>
      </c>
      <c r="N27" t="s">
        <v>794</v>
      </c>
      <c r="V27" s="55" t="s">
        <v>87</v>
      </c>
      <c r="W27" s="58">
        <v>20</v>
      </c>
      <c r="X27" s="53">
        <f>MID(Table18911[[#This Row],[IP]],LEN(Table18911[[#This Row],[IP]])-1,1)+(--MID(V27,8,1)-1)*9</f>
        <v>70</v>
      </c>
      <c r="Y27" s="56" t="s">
        <v>50</v>
      </c>
    </row>
    <row r="28" spans="1:25">
      <c r="A28" t="str">
        <f t="shared" si="1"/>
        <v>10.238.1.78</v>
      </c>
      <c r="B28">
        <f>MID(Table18911[[#This Row],[IP]],LEN(Table18911[[#This Row],[IP]])-1,1)+(--MID(Table18911[[#This Row],[IP]],8,1)-1)*9</f>
        <v>7</v>
      </c>
      <c r="C28" t="s">
        <v>51</v>
      </c>
      <c r="D28" s="97">
        <v>1387.8</v>
      </c>
      <c r="E28" s="97">
        <v>1387</v>
      </c>
      <c r="F28" s="97">
        <v>1386.2</v>
      </c>
      <c r="G28" s="97">
        <v>1386.5</v>
      </c>
      <c r="H28" s="97">
        <v>1386</v>
      </c>
      <c r="I28" s="97" cm="1">
        <f t="array" ref="I28">IF(SUM(Table18911[[#This Row],[SBMU01]:[SBMU05]])=0,0,SUMPRODUCT(IF(Table18911[[#This Row],[SBMU01]:[SBMU05]]=0,1,0),{1,2,4,8,16}))</f>
        <v>0</v>
      </c>
      <c r="J28" s="97"/>
      <c r="K28" s="97">
        <v>0</v>
      </c>
      <c r="L28" t="s">
        <v>785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MID(Table18911[[#This Row],[IP]],LEN(Table18911[[#This Row],[IP]])-1,1)+(--MID(V28,8,1)-1)*9</f>
        <v>70</v>
      </c>
      <c r="Y28" s="54" t="s">
        <v>51</v>
      </c>
    </row>
    <row r="29" spans="1:25">
      <c r="A29" t="str">
        <f t="shared" si="1"/>
        <v>10.238.1.79</v>
      </c>
      <c r="B29">
        <f>MID(Table18911[[#This Row],[IP]],LEN(Table18911[[#This Row],[IP]])-1,1)+(--MID(Table18911[[#This Row],[IP]],8,1)-1)*9</f>
        <v>7</v>
      </c>
      <c r="C29" t="s">
        <v>52</v>
      </c>
      <c r="D29" s="97">
        <v>1385.6</v>
      </c>
      <c r="E29" s="97">
        <v>1386.1</v>
      </c>
      <c r="F29" s="97">
        <v>1385.1</v>
      </c>
      <c r="G29" s="97">
        <v>1385.5</v>
      </c>
      <c r="H29" s="97">
        <v>1385.9</v>
      </c>
      <c r="I29" s="97" cm="1">
        <f t="array" ref="I29">IF(SUM(Table18911[[#This Row],[SBMU01]:[SBMU05]])=0,0,SUMPRODUCT(IF(Table18911[[#This Row],[SBMU01]:[SBMU05]]=0,1,0),{1,2,4,8,16}))</f>
        <v>0</v>
      </c>
      <c r="J29" s="97"/>
      <c r="K29" s="97">
        <v>0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MID(Table18911[[#This Row],[IP]],LEN(Table18911[[#This Row],[IP]])-1,1)+(--MID(V29,8,1)-1)*9</f>
        <v>70</v>
      </c>
      <c r="Y29" s="56" t="s">
        <v>52</v>
      </c>
    </row>
    <row r="30" spans="1:25">
      <c r="A30" t="str">
        <f t="shared" si="1"/>
        <v>10.238.1.86</v>
      </c>
      <c r="B30">
        <f>MID(Table18911[[#This Row],[IP]],LEN(Table18911[[#This Row],[IP]])-1,1)+(--MID(Table18911[[#This Row],[IP]],8,1)-1)*9</f>
        <v>8</v>
      </c>
      <c r="C30" t="s">
        <v>49</v>
      </c>
      <c r="D30" s="97">
        <v>1394.8</v>
      </c>
      <c r="E30" s="97">
        <v>1392.7</v>
      </c>
      <c r="F30" s="97">
        <v>1393.2</v>
      </c>
      <c r="G30" s="97">
        <v>1392.1</v>
      </c>
      <c r="H30" s="97">
        <v>1393.6</v>
      </c>
      <c r="I30" s="97" cm="1">
        <f t="array" ref="I30">IF(SUM(Table18911[[#This Row],[SBMU01]:[SBMU05]])=0,0,SUMPRODUCT(IF(Table18911[[#This Row],[SBMU01]:[SBMU05]]=0,1,0),{1,2,4,8,16}))</f>
        <v>0</v>
      </c>
      <c r="J30" s="97"/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MID(Table18911[[#This Row],[IP]],LEN(Table18911[[#This Row],[IP]])-1,1)+(--MID(V30,8,1)-1)*9</f>
        <v>71</v>
      </c>
      <c r="Y30" s="54" t="s">
        <v>49</v>
      </c>
    </row>
    <row r="31" spans="1:25">
      <c r="A31" t="str">
        <f t="shared" si="1"/>
        <v>10.238.1.87</v>
      </c>
      <c r="B31">
        <f>MID(Table18911[[#This Row],[IP]],LEN(Table18911[[#This Row],[IP]])-1,1)+(--MID(Table18911[[#This Row],[IP]],8,1)-1)*9</f>
        <v>8</v>
      </c>
      <c r="C31" t="s">
        <v>50</v>
      </c>
      <c r="D31" s="97">
        <v>1393.1</v>
      </c>
      <c r="E31" s="97">
        <v>1392.8</v>
      </c>
      <c r="F31" s="97">
        <v>1392.1</v>
      </c>
      <c r="G31" s="97">
        <v>1392.1</v>
      </c>
      <c r="H31" s="97">
        <v>1393.7</v>
      </c>
      <c r="I31" s="97" cm="1">
        <f t="array" ref="I31">IF(SUM(Table18911[[#This Row],[SBMU01]:[SBMU05]])=0,0,SUMPRODUCT(IF(Table18911[[#This Row],[SBMU01]:[SBMU05]]=0,1,0),{1,2,4,8,16}))</f>
        <v>0</v>
      </c>
      <c r="J31" s="97"/>
      <c r="K31" s="97">
        <v>0</v>
      </c>
      <c r="M31" t="b">
        <f t="shared" si="0"/>
        <v>1</v>
      </c>
      <c r="V31" s="55" t="s">
        <v>91</v>
      </c>
      <c r="W31" s="58">
        <v>28</v>
      </c>
      <c r="X31" s="53">
        <f>MID(Table18911[[#This Row],[IP]],LEN(Table18911[[#This Row],[IP]])-1,1)+(--MID(V31,8,1)-1)*9</f>
        <v>71</v>
      </c>
      <c r="Y31" s="56" t="s">
        <v>50</v>
      </c>
    </row>
    <row r="32" spans="1:25">
      <c r="A32" t="str">
        <f t="shared" si="1"/>
        <v>10.238.1.88</v>
      </c>
      <c r="B32">
        <f>MID(Table18911[[#This Row],[IP]],LEN(Table18911[[#This Row],[IP]])-1,1)+(--MID(Table18911[[#This Row],[IP]],8,1)-1)*9</f>
        <v>8</v>
      </c>
      <c r="C32" t="s">
        <v>51</v>
      </c>
      <c r="D32" s="97">
        <v>1393.7</v>
      </c>
      <c r="E32" s="97">
        <v>1393</v>
      </c>
      <c r="F32" s="97">
        <v>1393.8</v>
      </c>
      <c r="G32" s="97">
        <v>1391.1</v>
      </c>
      <c r="H32" s="97">
        <v>1392</v>
      </c>
      <c r="I32" s="97" cm="1">
        <f t="array" ref="I32">IF(SUM(Table18911[[#This Row],[SBMU01]:[SBMU05]])=0,0,SUMPRODUCT(IF(Table18911[[#This Row],[SBMU01]:[SBMU05]]=0,1,0),{1,2,4,8,16}))</f>
        <v>0</v>
      </c>
      <c r="J32" s="97"/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MID(Table18911[[#This Row],[IP]],LEN(Table18911[[#This Row],[IP]])-1,1)+(--MID(V32,8,1)-1)*9</f>
        <v>71</v>
      </c>
      <c r="Y32" s="54" t="s">
        <v>51</v>
      </c>
    </row>
    <row r="33" spans="1:25">
      <c r="A33" t="str">
        <f t="shared" si="1"/>
        <v>10.238.1.89</v>
      </c>
      <c r="B33">
        <f>MID(Table18911[[#This Row],[IP]],LEN(Table18911[[#This Row],[IP]])-1,1)+(--MID(Table18911[[#This Row],[IP]],8,1)-1)*9</f>
        <v>8</v>
      </c>
      <c r="C33" t="s">
        <v>52</v>
      </c>
      <c r="D33" s="97">
        <v>1391.7</v>
      </c>
      <c r="E33" s="97">
        <v>1392.6</v>
      </c>
      <c r="F33" s="97">
        <v>1393.8</v>
      </c>
      <c r="G33" s="97">
        <v>1393.3</v>
      </c>
      <c r="H33" s="97">
        <v>1393.5</v>
      </c>
      <c r="I33" s="97" cm="1">
        <f t="array" ref="I33">IF(SUM(Table18911[[#This Row],[SBMU01]:[SBMU05]])=0,0,SUMPRODUCT(IF(Table18911[[#This Row],[SBMU01]:[SBMU05]]=0,1,0),{1,2,4,8,16}))</f>
        <v>0</v>
      </c>
      <c r="J33" s="97"/>
      <c r="K33" s="97">
        <v>0</v>
      </c>
      <c r="L33" t="s">
        <v>785</v>
      </c>
      <c r="M33" t="b">
        <f t="shared" si="0"/>
        <v>1</v>
      </c>
      <c r="N33" t="s">
        <v>794</v>
      </c>
      <c r="V33" s="55" t="s">
        <v>93</v>
      </c>
      <c r="W33" s="58">
        <v>31</v>
      </c>
      <c r="X33" s="53">
        <f>MID(Table18911[[#This Row],[IP]],LEN(Table18911[[#This Row],[IP]])-1,1)+(--MID(V33,8,1)-1)*9</f>
        <v>71</v>
      </c>
      <c r="Y33" s="56" t="s">
        <v>52</v>
      </c>
    </row>
    <row r="34" spans="1:25">
      <c r="A34" t="str">
        <f t="shared" si="1"/>
        <v>10.238.1.96</v>
      </c>
      <c r="B34">
        <f>MID(Table18911[[#This Row],[IP]],LEN(Table18911[[#This Row],[IP]])-1,1)+(--MID(Table18911[[#This Row],[IP]],8,1)-1)*9</f>
        <v>9</v>
      </c>
      <c r="C34" t="s">
        <v>49</v>
      </c>
      <c r="D34" s="97">
        <v>1382.9</v>
      </c>
      <c r="E34" s="97">
        <v>1383.1</v>
      </c>
      <c r="F34" s="97">
        <v>1382.6</v>
      </c>
      <c r="G34" s="97">
        <v>1383.4</v>
      </c>
      <c r="H34" s="97">
        <v>1383.7</v>
      </c>
      <c r="I34" s="97" cm="1">
        <f t="array" ref="I34">IF(SUM(Table18911[[#This Row],[SBMU01]:[SBMU05]])=0,0,SUMPRODUCT(IF(Table18911[[#This Row],[SBMU01]:[SBMU05]]=0,1,0),{1,2,4,8,16}))</f>
        <v>0</v>
      </c>
      <c r="J34" s="97"/>
      <c r="K34" s="97">
        <v>0</v>
      </c>
      <c r="L34" t="s">
        <v>785</v>
      </c>
      <c r="M34" t="b">
        <f t="shared" si="0"/>
        <v>1</v>
      </c>
      <c r="V34" s="52" t="s">
        <v>94</v>
      </c>
      <c r="W34" s="57">
        <v>23</v>
      </c>
      <c r="X34" s="53">
        <f>MID(Table18911[[#This Row],[IP]],LEN(Table18911[[#This Row],[IP]])-1,1)+(--MID(V34,8,1)-1)*9</f>
        <v>72</v>
      </c>
      <c r="Y34" s="54" t="s">
        <v>49</v>
      </c>
    </row>
    <row r="35" spans="1:25">
      <c r="A35" t="str">
        <f t="shared" si="1"/>
        <v>10.238.1.97</v>
      </c>
      <c r="B35">
        <f>MID(Table18911[[#This Row],[IP]],LEN(Table18911[[#This Row],[IP]])-1,1)+(--MID(Table18911[[#This Row],[IP]],8,1)-1)*9</f>
        <v>9</v>
      </c>
      <c r="C35" t="s">
        <v>50</v>
      </c>
      <c r="D35" s="97">
        <v>1383</v>
      </c>
      <c r="E35" s="97">
        <v>1384.8</v>
      </c>
      <c r="F35" s="97">
        <v>1383.2</v>
      </c>
      <c r="G35" s="97">
        <v>1383.9</v>
      </c>
      <c r="H35" s="97">
        <v>1384.9</v>
      </c>
      <c r="I35" s="97" cm="1">
        <f t="array" ref="I35">IF(SUM(Table18911[[#This Row],[SBMU01]:[SBMU05]])=0,0,SUMPRODUCT(IF(Table18911[[#This Row],[SBMU01]:[SBMU05]]=0,1,0),{1,2,4,8,16}))</f>
        <v>0</v>
      </c>
      <c r="J35" s="97"/>
      <c r="K35" s="97">
        <v>0</v>
      </c>
      <c r="L35" t="s">
        <v>785</v>
      </c>
      <c r="M35" t="b">
        <f t="shared" si="0"/>
        <v>1</v>
      </c>
      <c r="V35" s="55" t="s">
        <v>95</v>
      </c>
      <c r="W35" s="58">
        <v>23</v>
      </c>
      <c r="X35" s="53">
        <f>MID(Table18911[[#This Row],[IP]],LEN(Table18911[[#This Row],[IP]])-1,1)+(--MID(V35,8,1)-1)*9</f>
        <v>72</v>
      </c>
      <c r="Y35" s="56" t="s">
        <v>50</v>
      </c>
    </row>
    <row r="36" spans="1:25">
      <c r="A36" t="str">
        <f t="shared" si="1"/>
        <v>10.238.1.98</v>
      </c>
      <c r="B36">
        <f>MID(Table18911[[#This Row],[IP]],LEN(Table18911[[#This Row],[IP]])-1,1)+(--MID(Table18911[[#This Row],[IP]],8,1)-1)*9</f>
        <v>9</v>
      </c>
      <c r="C36" t="s">
        <v>51</v>
      </c>
      <c r="D36" s="97">
        <v>1385.1</v>
      </c>
      <c r="E36" s="97">
        <v>1385.2</v>
      </c>
      <c r="F36" s="97">
        <v>1385</v>
      </c>
      <c r="G36" s="97">
        <v>1386.4</v>
      </c>
      <c r="H36" s="97">
        <v>1385.2</v>
      </c>
      <c r="I36" s="97" cm="1">
        <f t="array" ref="I36">IF(SUM(Table18911[[#This Row],[SBMU01]:[SBMU05]])=0,0,SUMPRODUCT(IF(Table18911[[#This Row],[SBMU01]:[SBMU05]]=0,1,0),{1,2,4,8,16}))</f>
        <v>0</v>
      </c>
      <c r="J36" s="97"/>
      <c r="K36" s="97">
        <v>0</v>
      </c>
      <c r="L36" t="s">
        <v>785</v>
      </c>
      <c r="M36" t="b">
        <f t="shared" si="0"/>
        <v>1</v>
      </c>
      <c r="V36" s="52" t="s">
        <v>96</v>
      </c>
      <c r="W36" s="57">
        <v>24</v>
      </c>
      <c r="X36" s="53">
        <f>MID(Table18911[[#This Row],[IP]],LEN(Table18911[[#This Row],[IP]])-1,1)+(--MID(V36,8,1)-1)*9</f>
        <v>72</v>
      </c>
      <c r="Y36" s="54" t="s">
        <v>51</v>
      </c>
    </row>
    <row r="37" spans="1:25">
      <c r="A37" t="str">
        <f t="shared" si="1"/>
        <v>10.238.1.99</v>
      </c>
      <c r="B37">
        <f>MID(Table18911[[#This Row],[IP]],LEN(Table18911[[#This Row],[IP]])-1,1)+(--MID(Table18911[[#This Row],[IP]],8,1)-1)*9</f>
        <v>9</v>
      </c>
      <c r="C37" t="s">
        <v>52</v>
      </c>
      <c r="D37" s="97">
        <v>1384</v>
      </c>
      <c r="E37" s="97">
        <v>1383.2</v>
      </c>
      <c r="F37" s="97">
        <v>1383.7</v>
      </c>
      <c r="G37" s="97">
        <v>1383.9</v>
      </c>
      <c r="H37" s="97">
        <v>1385</v>
      </c>
      <c r="I37" s="97" cm="1">
        <f t="array" ref="I37">IF(SUM(Table18911[[#This Row],[SBMU01]:[SBMU05]])=0,0,SUMPRODUCT(IF(Table18911[[#This Row],[SBMU01]:[SBMU05]]=0,1,0),{1,2,4,8,16}))</f>
        <v>0</v>
      </c>
      <c r="J37" s="97"/>
      <c r="K37" s="97">
        <v>0</v>
      </c>
      <c r="L37" t="s">
        <v>785</v>
      </c>
      <c r="M37" t="b">
        <f t="shared" si="0"/>
        <v>1</v>
      </c>
      <c r="V37" s="55" t="s">
        <v>97</v>
      </c>
      <c r="W37" s="58">
        <v>24</v>
      </c>
      <c r="X37" s="53">
        <f>MID(Table18911[[#This Row],[IP]],LEN(Table18911[[#This Row],[IP]])-1,1)+(--MID(V37,8,1)-1)*9</f>
        <v>72</v>
      </c>
      <c r="Y37" s="56" t="s">
        <v>52</v>
      </c>
    </row>
  </sheetData>
  <conditionalFormatting sqref="I2:I37">
    <cfRule type="cellIs" dxfId="119" priority="3" operator="notEqual">
      <formula>K2</formula>
    </cfRule>
  </conditionalFormatting>
  <conditionalFormatting sqref="M3:M37">
    <cfRule type="cellIs" dxfId="118" priority="2" operator="equal">
      <formula>TRUE</formula>
    </cfRule>
  </conditionalFormatting>
  <conditionalFormatting sqref="M2">
    <cfRule type="cellIs" dxfId="7" priority="1" operator="equal">
      <formula>TRUE</formula>
    </cfRule>
  </conditionalFormatting>
  <dataValidations count="2">
    <dataValidation type="list" allowBlank="1" showInputMessage="1" showErrorMessage="1" sqref="R1" xr:uid="{8BDEA34D-C904-4468-B9D8-BB8C38B2F57F}">
      <formula1>$AA$2:$AA$9</formula1>
    </dataValidation>
    <dataValidation type="list" allowBlank="1" sqref="O1" xr:uid="{F45CFA62-DFA3-432E-8D53-493A6FC3C68F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3BBA-3548-46B3-8A76-FE00082EA12F}">
  <sheetPr codeName="Sheet9">
    <tabColor rgb="FF92D050"/>
  </sheetPr>
  <dimension ref="A1:AD37"/>
  <sheetViews>
    <sheetView workbookViewId="0">
      <pane ySplit="1" topLeftCell="A2" activePane="bottomLeft" state="frozen"/>
      <selection activeCell="M2" sqref="M2"/>
      <selection pane="bottomLeft" activeCell="A12" sqref="A12"/>
    </sheetView>
  </sheetViews>
  <sheetFormatPr defaultRowHeight="13.5"/>
  <cols>
    <col min="1" max="1" width="13.5" customWidth="1"/>
    <col min="2" max="3" width="3.37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4</v>
      </c>
      <c r="X1" t="s">
        <v>769</v>
      </c>
    </row>
    <row r="2" spans="1:30">
      <c r="A2" t="str">
        <f>SUBSTITUTE(V2,".8.","."&amp;$R$1&amp;".")</f>
        <v>10.238.4.16</v>
      </c>
      <c r="B2">
        <f>MID(Table189[[#This Row],[IP]],LEN(Table189[[#This Row],[IP]])-1,1)+(--MID(Table189[[#This Row],[IP]],8,1)-1)*9</f>
        <v>28</v>
      </c>
      <c r="C2" t="s">
        <v>49</v>
      </c>
      <c r="D2" s="97">
        <v>1385.7</v>
      </c>
      <c r="E2" s="97">
        <v>1386.1</v>
      </c>
      <c r="F2" s="97">
        <v>1384</v>
      </c>
      <c r="G2" s="97">
        <v>1385.2</v>
      </c>
      <c r="H2" s="97">
        <v>1385.8</v>
      </c>
      <c r="I2" s="97" cm="1">
        <f t="array" ref="I2">IF(SUM(Table189[[#This Row],[SBMU01]:[SBMU05]])=0,0,SUMPRODUCT(IF(Table189[[#This Row],[SBMU01]:[SBMU05]]=0,1,0),{1,2,4,8,16}))</f>
        <v>0</v>
      </c>
      <c r="J2" s="97"/>
      <c r="K2" s="97">
        <v>0</v>
      </c>
      <c r="L2" t="s">
        <v>785</v>
      </c>
      <c r="M2" t="b">
        <f t="shared" ref="M2:M37" si="0">MAX($D2:$H2)-MIN($D2:$H2)&lt;10</f>
        <v>1</v>
      </c>
      <c r="N2" t="s">
        <v>794</v>
      </c>
      <c r="V2" s="52" t="s">
        <v>62</v>
      </c>
      <c r="W2" s="57">
        <v>33</v>
      </c>
      <c r="X2" s="53">
        <f>MID(Table189[[#This Row],[IP]],LEN(Table189[[#This Row],[IP]])-1,1)+(--MID(V2,8,1)-1)*9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t="str">
        <f t="shared" ref="A3:A37" si="1">SUBSTITUTE(V3,".8.","."&amp;$R$1&amp;".")</f>
        <v>10.238.4.17</v>
      </c>
      <c r="B3">
        <f>MID(Table189[[#This Row],[IP]],LEN(Table189[[#This Row],[IP]])-1,1)+(--MID(Table189[[#This Row],[IP]],8,1)-1)*9</f>
        <v>28</v>
      </c>
      <c r="C3" t="s">
        <v>50</v>
      </c>
      <c r="D3" s="97">
        <v>1385.3</v>
      </c>
      <c r="E3" s="97">
        <v>1385.4</v>
      </c>
      <c r="F3" s="97">
        <v>1386.4</v>
      </c>
      <c r="G3" s="97">
        <v>1386</v>
      </c>
      <c r="H3" s="97">
        <v>1385.4</v>
      </c>
      <c r="I3" s="97" cm="1">
        <f t="array" ref="I3">IF(SUM(Table189[[#This Row],[SBMU01]:[SBMU05]])=0,0,SUMPRODUCT(IF(Table189[[#This Row],[SBMU01]:[SBMU05]]=0,1,0),{1,2,4,8,16}))</f>
        <v>0</v>
      </c>
      <c r="J3" s="97"/>
      <c r="K3" s="97">
        <v>0</v>
      </c>
      <c r="L3" t="s">
        <v>785</v>
      </c>
      <c r="M3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MID(Table189[[#This Row],[IP]],LEN(Table189[[#This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10.238.4.18</v>
      </c>
      <c r="B4">
        <f>MID(Table189[[#This Row],[IP]],LEN(Table189[[#This Row],[IP]])-1,1)+(--MID(Table189[[#This Row],[IP]],8,1)-1)*9</f>
        <v>28</v>
      </c>
      <c r="C4" t="s">
        <v>51</v>
      </c>
      <c r="D4" s="97">
        <v>1385.2</v>
      </c>
      <c r="E4" s="97">
        <v>1385.7</v>
      </c>
      <c r="F4" s="97">
        <v>1384.1</v>
      </c>
      <c r="G4" s="97">
        <v>1387.1</v>
      </c>
      <c r="H4" s="97">
        <v>1384.4</v>
      </c>
      <c r="I4" s="97" cm="1">
        <f t="array" ref="I4">IF(SUM(Table189[[#This Row],[SBMU01]:[SBMU05]])=0,0,SUMPRODUCT(IF(Table189[[#This Row],[SBMU01]:[SBMU05]]=0,1,0),{1,2,4,8,16}))</f>
        <v>0</v>
      </c>
      <c r="J4" s="97"/>
      <c r="K4" s="97">
        <v>0</v>
      </c>
      <c r="M4" t="b">
        <f t="shared" si="0"/>
        <v>1</v>
      </c>
      <c r="N4" t="s">
        <v>794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MID(Table189[[#This Row],[IP]],LEN(Table189[[#This Row],[IP]])-1,1)+(--MID(V4,8,1)-1)*9</f>
        <v>64</v>
      </c>
      <c r="Y4" s="54" t="s">
        <v>51</v>
      </c>
      <c r="AA4">
        <v>3</v>
      </c>
      <c r="AC4" t="s">
        <v>788</v>
      </c>
      <c r="AD4">
        <f t="shared" ref="AD4:AD6" si="2">AD3+1024</f>
        <v>3105</v>
      </c>
    </row>
    <row r="5" spans="1:30">
      <c r="A5" t="str">
        <f t="shared" si="1"/>
        <v>10.238.4.19</v>
      </c>
      <c r="B5">
        <f>MID(Table189[[#This Row],[IP]],LEN(Table189[[#This Row],[IP]])-1,1)+(--MID(Table189[[#This Row],[IP]],8,1)-1)*9</f>
        <v>28</v>
      </c>
      <c r="C5" t="s">
        <v>52</v>
      </c>
      <c r="D5" s="97">
        <v>1384.7</v>
      </c>
      <c r="E5" s="97">
        <v>1384.8</v>
      </c>
      <c r="F5" s="97">
        <v>1385.2</v>
      </c>
      <c r="G5" s="97">
        <v>1383.8</v>
      </c>
      <c r="H5" s="97">
        <v>1385.7</v>
      </c>
      <c r="I5" s="97" cm="1">
        <f t="array" ref="I5">IF(SUM(Table189[[#This Row],[SBMU01]:[SBMU05]])=0,0,SUMPRODUCT(IF(Table189[[#This Row],[SBMU01]:[SBMU05]]=0,1,0),{1,2,4,8,16}))</f>
        <v>0</v>
      </c>
      <c r="J5" s="97"/>
      <c r="K5" s="97">
        <v>0</v>
      </c>
      <c r="L5" t="s">
        <v>785</v>
      </c>
      <c r="M5" t="b">
        <f t="shared" si="0"/>
        <v>1</v>
      </c>
      <c r="N5" t="s">
        <v>794</v>
      </c>
      <c r="Q5">
        <v>1076</v>
      </c>
      <c r="R5" t="s">
        <v>777</v>
      </c>
      <c r="V5" s="55" t="s">
        <v>65</v>
      </c>
      <c r="W5" s="58">
        <v>32</v>
      </c>
      <c r="X5" s="53">
        <f>MID(Table189[[#This Row],[IP]],LEN(Table189[[#This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t="str">
        <f t="shared" si="1"/>
        <v>10.238.4.26</v>
      </c>
      <c r="B6">
        <f>MID(Table189[[#This Row],[IP]],LEN(Table189[[#This Row],[IP]])-1,1)+(--MID(Table189[[#This Row],[IP]],8,1)-1)*9</f>
        <v>29</v>
      </c>
      <c r="C6" t="s">
        <v>49</v>
      </c>
      <c r="D6" s="97">
        <v>1394</v>
      </c>
      <c r="E6" s="97">
        <v>1390.6</v>
      </c>
      <c r="F6" s="97">
        <v>1392</v>
      </c>
      <c r="G6" s="97">
        <v>1390.7</v>
      </c>
      <c r="H6" s="97">
        <v>1390.9</v>
      </c>
      <c r="I6" s="97" cm="1">
        <f t="array" ref="I6">IF(SUM(Table189[[#This Row],[SBMU01]:[SBMU05]])=0,0,SUMPRODUCT(IF(Table189[[#This Row],[SBMU01]:[SBMU05]]=0,1,0),{1,2,4,8,16}))</f>
        <v>0</v>
      </c>
      <c r="J6" s="97"/>
      <c r="K6" s="97">
        <v>0</v>
      </c>
      <c r="L6" t="s">
        <v>785</v>
      </c>
      <c r="M6" t="b">
        <f t="shared" si="0"/>
        <v>1</v>
      </c>
      <c r="N6" t="s">
        <v>794</v>
      </c>
      <c r="Q6">
        <v>1077</v>
      </c>
      <c r="R6" t="s">
        <v>778</v>
      </c>
      <c r="V6" s="52" t="s">
        <v>66</v>
      </c>
      <c r="W6" s="57">
        <v>17</v>
      </c>
      <c r="X6" s="53">
        <f>MID(Table189[[#This Row],[IP]],LEN(Table189[[#This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10.238.4.27</v>
      </c>
      <c r="B7">
        <f>MID(Table189[[#This Row],[IP]],LEN(Table189[[#This Row],[IP]])-1,1)+(--MID(Table189[[#This Row],[IP]],8,1)-1)*9</f>
        <v>29</v>
      </c>
      <c r="C7" t="s">
        <v>50</v>
      </c>
      <c r="D7" s="97">
        <v>1391.2</v>
      </c>
      <c r="E7" s="97">
        <v>1390.6</v>
      </c>
      <c r="F7" s="97">
        <v>1390.9</v>
      </c>
      <c r="G7" s="97">
        <v>1390.8</v>
      </c>
      <c r="H7" s="97">
        <v>1391.6</v>
      </c>
      <c r="I7" s="97" cm="1">
        <f t="array" ref="I7">IF(SUM(Table189[[#This Row],[SBMU01]:[SBMU05]])=0,0,SUMPRODUCT(IF(Table189[[#This Row],[SBMU01]:[SBMU05]]=0,1,0),{1,2,4,8,16}))</f>
        <v>0</v>
      </c>
      <c r="J7" s="97"/>
      <c r="K7" s="97">
        <v>0</v>
      </c>
      <c r="L7" t="s">
        <v>785</v>
      </c>
      <c r="M7" t="b">
        <f t="shared" si="0"/>
        <v>1</v>
      </c>
      <c r="N7" t="s">
        <v>794</v>
      </c>
      <c r="Q7">
        <v>1078</v>
      </c>
      <c r="R7" t="s">
        <v>779</v>
      </c>
      <c r="V7" s="55" t="s">
        <v>67</v>
      </c>
      <c r="W7" s="58">
        <v>18</v>
      </c>
      <c r="X7" s="53">
        <f>MID(Table189[[#This Row],[IP]],LEN(Table189[[#This Row],[IP]])-1,1)+(--MID(V7,8,1)-1)*9</f>
        <v>65</v>
      </c>
      <c r="Y7" s="56" t="s">
        <v>50</v>
      </c>
      <c r="AA7">
        <v>6</v>
      </c>
    </row>
    <row r="8" spans="1:30">
      <c r="A8" t="str">
        <f t="shared" si="1"/>
        <v>10.238.4.28</v>
      </c>
      <c r="B8">
        <f>MID(Table189[[#This Row],[IP]],LEN(Table189[[#This Row],[IP]])-1,1)+(--MID(Table189[[#This Row],[IP]],8,1)-1)*9</f>
        <v>29</v>
      </c>
      <c r="C8" t="s">
        <v>51</v>
      </c>
      <c r="D8" s="97">
        <v>1391.5</v>
      </c>
      <c r="E8" s="97">
        <v>1391</v>
      </c>
      <c r="F8" s="97">
        <v>1391.5</v>
      </c>
      <c r="G8" s="97">
        <v>1391</v>
      </c>
      <c r="H8" s="97">
        <v>1391.4</v>
      </c>
      <c r="I8" s="97" cm="1">
        <f t="array" ref="I8">IF(SUM(Table189[[#This Row],[SBMU01]:[SBMU05]])=0,0,SUMPRODUCT(IF(Table189[[#This Row],[SBMU01]:[SBMU05]]=0,1,0),{1,2,4,8,16}))</f>
        <v>0</v>
      </c>
      <c r="J8" s="97"/>
      <c r="K8" s="97">
        <v>0</v>
      </c>
      <c r="L8" t="s">
        <v>785</v>
      </c>
      <c r="M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MID(Table189[[#This Row],[IP]],LEN(Table189[[#This Row],[IP]])-1,1)+(--MID(V8,8,1)-1)*9</f>
        <v>65</v>
      </c>
      <c r="Y8" s="54" t="s">
        <v>51</v>
      </c>
      <c r="AA8">
        <v>7</v>
      </c>
    </row>
    <row r="9" spans="1:30">
      <c r="A9" t="str">
        <f t="shared" si="1"/>
        <v>10.238.4.29</v>
      </c>
      <c r="B9">
        <f>MID(Table189[[#This Row],[IP]],LEN(Table189[[#This Row],[IP]])-1,1)+(--MID(Table189[[#This Row],[IP]],8,1)-1)*9</f>
        <v>29</v>
      </c>
      <c r="C9" t="s">
        <v>52</v>
      </c>
      <c r="D9" s="97">
        <v>1393</v>
      </c>
      <c r="E9" s="97">
        <v>1393.2</v>
      </c>
      <c r="F9" s="97">
        <v>1392.1</v>
      </c>
      <c r="G9" s="97">
        <v>1391.4</v>
      </c>
      <c r="H9" s="97">
        <v>1391.8</v>
      </c>
      <c r="I9" s="97" cm="1">
        <f t="array" ref="I9">IF(SUM(Table189[[#This Row],[SBMU01]:[SBMU05]])=0,0,SUMPRODUCT(IF(Table189[[#This Row],[SBMU01]:[SBMU05]]=0,1,0),{1,2,4,8,16}))</f>
        <v>0</v>
      </c>
      <c r="J9" s="97"/>
      <c r="K9" s="97">
        <v>0</v>
      </c>
      <c r="L9" t="s">
        <v>785</v>
      </c>
      <c r="M9" t="b">
        <f t="shared" si="0"/>
        <v>1</v>
      </c>
      <c r="N9" t="s">
        <v>794</v>
      </c>
      <c r="Q9">
        <v>1080</v>
      </c>
      <c r="R9" t="s">
        <v>781</v>
      </c>
      <c r="V9" s="55" t="s">
        <v>69</v>
      </c>
      <c r="W9" s="58">
        <v>17</v>
      </c>
      <c r="X9" s="53">
        <f>MID(Table189[[#This Row],[IP]],LEN(Table189[[#This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10.238.4.36</v>
      </c>
      <c r="B10">
        <f>MID(Table189[[#This Row],[IP]],LEN(Table189[[#This Row],[IP]])-1,1)+(--MID(Table189[[#This Row],[IP]],8,1)-1)*9</f>
        <v>30</v>
      </c>
      <c r="C10" t="s">
        <v>49</v>
      </c>
      <c r="D10" s="97">
        <v>1384.7</v>
      </c>
      <c r="E10" s="97">
        <v>1386.7</v>
      </c>
      <c r="F10" s="97">
        <v>1383.6</v>
      </c>
      <c r="G10" s="97">
        <v>1383.9</v>
      </c>
      <c r="H10" s="97">
        <v>1382.8</v>
      </c>
      <c r="I10" s="97" cm="1">
        <f t="array" ref="I10">IF(SUM(Table189[[#This Row],[SBMU01]:[SBMU05]])=0,0,SUMPRODUCT(IF(Table189[[#This Row],[SBMU01]:[SBMU05]]=0,1,0),{1,2,4,8,16}))</f>
        <v>0</v>
      </c>
      <c r="J10" s="97"/>
      <c r="K10" s="97">
        <v>0</v>
      </c>
      <c r="L10" t="s">
        <v>785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MID(Table189[[#This Row],[IP]],LEN(Table189[[#This Row],[IP]])-1,1)+(--MID(V10,8,1)-1)*9</f>
        <v>66</v>
      </c>
      <c r="Y10" s="54" t="s">
        <v>49</v>
      </c>
    </row>
    <row r="11" spans="1:30">
      <c r="A11" t="str">
        <f t="shared" si="1"/>
        <v>10.238.4.37</v>
      </c>
      <c r="B11">
        <f>MID(Table189[[#This Row],[IP]],LEN(Table189[[#This Row],[IP]])-1,1)+(--MID(Table189[[#This Row],[IP]],8,1)-1)*9</f>
        <v>30</v>
      </c>
      <c r="C11" t="s">
        <v>50</v>
      </c>
      <c r="D11" s="97">
        <v>1384.2</v>
      </c>
      <c r="E11" s="97">
        <v>1383.5</v>
      </c>
      <c r="F11" s="97">
        <v>1383.4</v>
      </c>
      <c r="G11" s="97">
        <v>1384</v>
      </c>
      <c r="H11" s="97">
        <v>1383.9</v>
      </c>
      <c r="I11" s="97" cm="1">
        <f t="array" ref="I11">IF(SUM(Table189[[#This Row],[SBMU01]:[SBMU05]])=0,0,SUMPRODUCT(IF(Table189[[#This Row],[SBMU01]:[SBMU05]]=0,1,0),{1,2,4,8,16}))</f>
        <v>0</v>
      </c>
      <c r="J11" s="97"/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MID(Table189[[#This Row],[IP]],LEN(Table189[[#This Row],[IP]])-1,1)+(--MID(V11,8,1)-1)*9</f>
        <v>66</v>
      </c>
      <c r="Y11" s="56" t="s">
        <v>50</v>
      </c>
    </row>
    <row r="12" spans="1:30">
      <c r="A12" t="str">
        <f t="shared" si="1"/>
        <v>10.238.4.38</v>
      </c>
      <c r="B12">
        <f>MID(Table189[[#This Row],[IP]],LEN(Table189[[#This Row],[IP]])-1,1)+(--MID(Table189[[#This Row],[IP]],8,1)-1)*9</f>
        <v>30</v>
      </c>
      <c r="C12" t="s">
        <v>51</v>
      </c>
      <c r="D12" s="97">
        <v>1384.5</v>
      </c>
      <c r="E12" s="97">
        <v>1385.2</v>
      </c>
      <c r="F12" s="97">
        <v>1385.3</v>
      </c>
      <c r="G12" s="97">
        <v>1385.4</v>
      </c>
      <c r="H12" s="97">
        <v>1384.8</v>
      </c>
      <c r="I12" s="97" cm="1">
        <f t="array" ref="I12">IF(SUM(Table189[[#This Row],[SBMU01]:[SBMU05]])=0,0,SUMPRODUCT(IF(Table189[[#This Row],[SBMU01]:[SBMU05]]=0,1,0),{1,2,4,8,16}))</f>
        <v>0</v>
      </c>
      <c r="J12" s="97"/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MID(Table189[[#This Row],[IP]],LEN(Table189[[#This Row],[IP]])-1,1)+(--MID(V12,8,1)-1)*9</f>
        <v>66</v>
      </c>
      <c r="Y12" s="54" t="s">
        <v>51</v>
      </c>
    </row>
    <row r="13" spans="1:30">
      <c r="A13" t="str">
        <f t="shared" si="1"/>
        <v>10.238.4.39</v>
      </c>
      <c r="B13">
        <f>MID(Table189[[#This Row],[IP]],LEN(Table189[[#This Row],[IP]])-1,1)+(--MID(Table189[[#This Row],[IP]],8,1)-1)*9</f>
        <v>30</v>
      </c>
      <c r="C13" t="s">
        <v>52</v>
      </c>
      <c r="D13" s="97">
        <v>1384.7</v>
      </c>
      <c r="E13" s="97">
        <v>1384.6</v>
      </c>
      <c r="F13" s="97">
        <v>1384</v>
      </c>
      <c r="G13" s="97">
        <v>1385.3</v>
      </c>
      <c r="H13" s="97">
        <v>1383.4</v>
      </c>
      <c r="I13" s="97" cm="1">
        <f t="array" ref="I13">IF(SUM(Table189[[#This Row],[SBMU01]:[SBMU05]])=0,0,SUMPRODUCT(IF(Table189[[#This Row],[SBMU01]:[SBMU05]]=0,1,0),{1,2,4,8,16}))</f>
        <v>0</v>
      </c>
      <c r="J13" s="97"/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MID(Table189[[#This Row],[IP]],LEN(Table189[[#This Row],[IP]])-1,1)+(--MID(V13,8,1)-1)*9</f>
        <v>66</v>
      </c>
      <c r="Y13" s="56" t="s">
        <v>52</v>
      </c>
    </row>
    <row r="14" spans="1:30">
      <c r="A14" t="str">
        <f t="shared" si="1"/>
        <v>10.238.4.46</v>
      </c>
      <c r="B14">
        <f>MID(Table189[[#This Row],[IP]],LEN(Table189[[#This Row],[IP]])-1,1)+(--MID(Table189[[#This Row],[IP]],8,1)-1)*9</f>
        <v>31</v>
      </c>
      <c r="C14" t="s">
        <v>49</v>
      </c>
      <c r="D14" s="97">
        <v>1391.4</v>
      </c>
      <c r="E14" s="97">
        <v>1392.3</v>
      </c>
      <c r="F14" s="97">
        <v>1391.9</v>
      </c>
      <c r="G14" s="97">
        <v>1391.8</v>
      </c>
      <c r="H14" s="97">
        <v>1392</v>
      </c>
      <c r="I14" s="97" cm="1">
        <f t="array" ref="I14">IF(SUM(Table189[[#This Row],[SBMU01]:[SBMU05]])=0,0,SUMPRODUCT(IF(Table189[[#This Row],[SBMU01]:[SBMU05]]=0,1,0),{1,2,4,8,16}))</f>
        <v>0</v>
      </c>
      <c r="J14" s="97"/>
      <c r="K14" s="97">
        <v>0</v>
      </c>
      <c r="L14" t="s">
        <v>785</v>
      </c>
      <c r="M14" t="b">
        <f t="shared" si="0"/>
        <v>1</v>
      </c>
      <c r="N14" t="s">
        <v>794</v>
      </c>
      <c r="V14" s="52" t="s">
        <v>74</v>
      </c>
      <c r="W14" s="57">
        <v>30</v>
      </c>
      <c r="X14" s="53">
        <f>MID(Table189[[#This Row],[IP]],LEN(Table189[[#This Row],[IP]])-1,1)+(--MID(V14,8,1)-1)*9</f>
        <v>67</v>
      </c>
      <c r="Y14" s="54" t="s">
        <v>49</v>
      </c>
    </row>
    <row r="15" spans="1:30">
      <c r="A15" t="str">
        <f t="shared" si="1"/>
        <v>10.238.4.47</v>
      </c>
      <c r="B15">
        <f>MID(Table189[[#This Row],[IP]],LEN(Table189[[#This Row],[IP]])-1,1)+(--MID(Table189[[#This Row],[IP]],8,1)-1)*9</f>
        <v>31</v>
      </c>
      <c r="C15" t="s">
        <v>50</v>
      </c>
      <c r="D15" s="97">
        <v>1391.9</v>
      </c>
      <c r="E15" s="97">
        <v>1391</v>
      </c>
      <c r="F15" s="97">
        <v>1392.6</v>
      </c>
      <c r="G15" s="97">
        <v>1392.3</v>
      </c>
      <c r="H15" s="97">
        <v>1394.1</v>
      </c>
      <c r="I15" s="97" cm="1">
        <f t="array" ref="I15">IF(SUM(Table189[[#This Row],[SBMU01]:[SBMU05]])=0,0,SUMPRODUCT(IF(Table189[[#This Row],[SBMU01]:[SBMU05]]=0,1,0),{1,2,4,8,16}))</f>
        <v>0</v>
      </c>
      <c r="J15" s="97"/>
      <c r="K15" s="97">
        <v>0</v>
      </c>
      <c r="L15" t="s">
        <v>785</v>
      </c>
      <c r="M15" t="b">
        <f t="shared" si="0"/>
        <v>1</v>
      </c>
      <c r="N15" t="s">
        <v>794</v>
      </c>
      <c r="V15" s="55" t="s">
        <v>75</v>
      </c>
      <c r="W15" s="58">
        <v>38</v>
      </c>
      <c r="X15" s="53">
        <f>MID(Table189[[#This Row],[IP]],LEN(Table189[[#This Row],[IP]])-1,1)+(--MID(V15,8,1)-1)*9</f>
        <v>67</v>
      </c>
      <c r="Y15" s="56" t="s">
        <v>50</v>
      </c>
    </row>
    <row r="16" spans="1:30">
      <c r="A16" t="str">
        <f t="shared" si="1"/>
        <v>10.238.4.48</v>
      </c>
      <c r="B16">
        <f>MID(Table189[[#This Row],[IP]],LEN(Table189[[#This Row],[IP]])-1,1)+(--MID(Table189[[#This Row],[IP]],8,1)-1)*9</f>
        <v>31</v>
      </c>
      <c r="C16" t="s">
        <v>51</v>
      </c>
      <c r="D16" s="97">
        <v>1390.1</v>
      </c>
      <c r="E16" s="97">
        <v>1390</v>
      </c>
      <c r="F16" s="97">
        <v>1389.6</v>
      </c>
      <c r="G16" s="97">
        <v>1390.6</v>
      </c>
      <c r="H16" s="97">
        <v>1389.9</v>
      </c>
      <c r="I16" s="97" cm="1">
        <f t="array" ref="I16">IF(SUM(Table189[[#This Row],[SBMU01]:[SBMU05]])=0,0,SUMPRODUCT(IF(Table189[[#This Row],[SBMU01]:[SBMU05]]=0,1,0),{1,2,4,8,16}))</f>
        <v>0</v>
      </c>
      <c r="J16" s="97"/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MID(Table189[[#This Row],[IP]],LEN(Table189[[#This Row],[IP]])-1,1)+(--MID(V16,8,1)-1)*9</f>
        <v>67</v>
      </c>
      <c r="Y16" s="54" t="s">
        <v>51</v>
      </c>
    </row>
    <row r="17" spans="1:29">
      <c r="A17" t="str">
        <f t="shared" si="1"/>
        <v>10.238.4.49</v>
      </c>
      <c r="B17">
        <f>MID(Table189[[#This Row],[IP]],LEN(Table189[[#This Row],[IP]])-1,1)+(--MID(Table189[[#This Row],[IP]],8,1)-1)*9</f>
        <v>31</v>
      </c>
      <c r="C17" t="s">
        <v>52</v>
      </c>
      <c r="D17" s="97">
        <v>1392.1</v>
      </c>
      <c r="E17" s="97">
        <v>1391.6</v>
      </c>
      <c r="F17" s="97">
        <v>1391.4</v>
      </c>
      <c r="G17" s="97">
        <v>1392.1</v>
      </c>
      <c r="H17" s="97">
        <v>1392.6</v>
      </c>
      <c r="I17" s="97" cm="1">
        <f t="array" ref="I17">IF(SUM(Table189[[#This Row],[SBMU01]:[SBMU05]])=0,0,SUMPRODUCT(IF(Table189[[#This Row],[SBMU01]:[SBMU05]]=0,1,0),{1,2,4,8,16}))</f>
        <v>0</v>
      </c>
      <c r="J17" s="97"/>
      <c r="K17" s="97">
        <v>0</v>
      </c>
      <c r="L17" t="s">
        <v>785</v>
      </c>
      <c r="M17" t="b">
        <f t="shared" si="0"/>
        <v>1</v>
      </c>
      <c r="N17" t="s">
        <v>794</v>
      </c>
      <c r="V17" s="55" t="s">
        <v>77</v>
      </c>
      <c r="W17" s="58">
        <v>38</v>
      </c>
      <c r="X17" s="53">
        <f>MID(Table189[[#This Row],[IP]],LEN(Table189[[#This Row],[IP]])-1,1)+(--MID(V17,8,1)-1)*9</f>
        <v>67</v>
      </c>
      <c r="Y17" s="56" t="s">
        <v>52</v>
      </c>
    </row>
    <row r="18" spans="1:29">
      <c r="A18" t="str">
        <f t="shared" si="1"/>
        <v>10.238.4.56</v>
      </c>
      <c r="B18">
        <f>MID(Table189[[#This Row],[IP]],LEN(Table189[[#This Row],[IP]])-1,1)+(--MID(Table189[[#This Row],[IP]],8,1)-1)*9</f>
        <v>32</v>
      </c>
      <c r="C18" t="s">
        <v>49</v>
      </c>
      <c r="D18" s="97">
        <v>1383.2</v>
      </c>
      <c r="E18" s="97">
        <v>1382.3</v>
      </c>
      <c r="F18" s="97">
        <v>1383.3</v>
      </c>
      <c r="G18" s="97">
        <v>1383.7</v>
      </c>
      <c r="H18" s="97">
        <v>1383.6</v>
      </c>
      <c r="I18" s="97" cm="1">
        <f t="array" ref="I18">IF(SUM(Table189[[#This Row],[SBMU01]:[SBMU05]])=0,0,SUMPRODUCT(IF(Table189[[#This Row],[SBMU01]:[SBMU05]]=0,1,0),{1,2,4,8,16}))</f>
        <v>0</v>
      </c>
      <c r="J18" s="97"/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MID(Table189[[#This Row],[IP]],LEN(Table189[[#This Row],[IP]])-1,1)+(--MID(V18,8,1)-1)*9</f>
        <v>68</v>
      </c>
      <c r="Y18" s="54" t="s">
        <v>49</v>
      </c>
    </row>
    <row r="19" spans="1:29">
      <c r="A19" t="str">
        <f t="shared" si="1"/>
        <v>10.238.4.57</v>
      </c>
      <c r="B19">
        <f>MID(Table189[[#This Row],[IP]],LEN(Table189[[#This Row],[IP]])-1,1)+(--MID(Table189[[#This Row],[IP]],8,1)-1)*9</f>
        <v>32</v>
      </c>
      <c r="C19" t="s">
        <v>50</v>
      </c>
      <c r="D19" s="97">
        <v>1390.6</v>
      </c>
      <c r="E19" s="97">
        <v>1393</v>
      </c>
      <c r="F19" s="97">
        <v>1392</v>
      </c>
      <c r="G19" s="97">
        <v>1391.1</v>
      </c>
      <c r="H19" s="97">
        <v>1391.7</v>
      </c>
      <c r="I19" s="97" cm="1">
        <f t="array" ref="I19">IF(SUM(Table189[[#This Row],[SBMU01]:[SBMU05]])=0,0,SUMPRODUCT(IF(Table189[[#This Row],[SBMU01]:[SBMU05]]=0,1,0),{1,2,4,8,16}))</f>
        <v>0</v>
      </c>
      <c r="J19" s="97"/>
      <c r="K19" s="97">
        <v>0</v>
      </c>
      <c r="L19" t="s">
        <v>785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MID(Table189[[#This Row],[IP]],LEN(Table189[[#This Row],[IP]])-1,1)+(--MID(V19,8,1)-1)*9</f>
        <v>68</v>
      </c>
      <c r="Y19" s="56" t="s">
        <v>50</v>
      </c>
    </row>
    <row r="20" spans="1:29">
      <c r="A20" t="str">
        <f t="shared" si="1"/>
        <v>10.238.4.58</v>
      </c>
      <c r="B20">
        <f>MID(Table189[[#This Row],[IP]],LEN(Table189[[#This Row],[IP]])-1,1)+(--MID(Table189[[#This Row],[IP]],8,1)-1)*9</f>
        <v>32</v>
      </c>
      <c r="C20" t="s">
        <v>51</v>
      </c>
      <c r="D20" s="97">
        <v>1392.5</v>
      </c>
      <c r="E20" s="97">
        <v>1392.6</v>
      </c>
      <c r="F20" s="97">
        <v>1391</v>
      </c>
      <c r="G20" s="97">
        <v>1390.7</v>
      </c>
      <c r="H20" s="97">
        <v>1390.8</v>
      </c>
      <c r="I20" s="97" cm="1">
        <f t="array" ref="I20">IF(SUM(Table189[[#This Row],[SBMU01]:[SBMU05]])=0,0,SUMPRODUCT(IF(Table189[[#This Row],[SBMU01]:[SBMU05]]=0,1,0),{1,2,4,8,16}))</f>
        <v>0</v>
      </c>
      <c r="J20" s="97"/>
      <c r="K20" s="97">
        <v>0</v>
      </c>
      <c r="L20" t="s">
        <v>785</v>
      </c>
      <c r="M20" t="b">
        <f t="shared" si="0"/>
        <v>1</v>
      </c>
      <c r="N20" t="s">
        <v>794</v>
      </c>
      <c r="V20" s="52" t="s">
        <v>80</v>
      </c>
      <c r="W20" s="57">
        <v>22</v>
      </c>
      <c r="X20" s="53">
        <f>MID(Table189[[#This Row],[IP]],LEN(Table189[[#This Row],[IP]])-1,1)+(--MID(V20,8,1)-1)*9</f>
        <v>68</v>
      </c>
      <c r="Y20" s="54" t="s">
        <v>51</v>
      </c>
    </row>
    <row r="21" spans="1:29">
      <c r="A21" t="str">
        <f t="shared" si="1"/>
        <v>10.238.4.59</v>
      </c>
      <c r="B21">
        <f>MID(Table189[[#This Row],[IP]],LEN(Table189[[#This Row],[IP]])-1,1)+(--MID(Table189[[#This Row],[IP]],8,1)-1)*9</f>
        <v>32</v>
      </c>
      <c r="C21" t="s">
        <v>52</v>
      </c>
      <c r="D21" s="97">
        <v>1392.3</v>
      </c>
      <c r="E21" s="97">
        <v>1391.8</v>
      </c>
      <c r="F21" s="97">
        <v>1392.4</v>
      </c>
      <c r="G21" s="97">
        <v>1392.2</v>
      </c>
      <c r="H21" s="97">
        <v>1391.5</v>
      </c>
      <c r="I21" s="97" cm="1">
        <f t="array" ref="I21">IF(SUM(Table189[[#This Row],[SBMU01]:[SBMU05]])=0,0,SUMPRODUCT(IF(Table189[[#This Row],[SBMU01]:[SBMU05]]=0,1,0),{1,2,4,8,16}))</f>
        <v>0</v>
      </c>
      <c r="J21" s="97"/>
      <c r="K21" s="97">
        <v>0</v>
      </c>
      <c r="L21" t="s">
        <v>785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MID(Table189[[#This Row],[IP]],LEN(Table189[[#This Row],[IP]])-1,1)+(--MID(V21,8,1)-1)*9</f>
        <v>68</v>
      </c>
      <c r="Y21" s="56" t="s">
        <v>52</v>
      </c>
    </row>
    <row r="22" spans="1:29">
      <c r="A22" t="str">
        <f t="shared" si="1"/>
        <v>10.238.4.66</v>
      </c>
      <c r="B22">
        <f>MID(Table189[[#This Row],[IP]],LEN(Table189[[#This Row],[IP]])-1,1)+(--MID(Table189[[#This Row],[IP]],8,1)-1)*9</f>
        <v>33</v>
      </c>
      <c r="C22" t="s">
        <v>49</v>
      </c>
      <c r="D22" s="97">
        <v>1391.3</v>
      </c>
      <c r="E22" s="97">
        <v>1392.5</v>
      </c>
      <c r="F22" s="97">
        <v>1392.7</v>
      </c>
      <c r="G22" s="97">
        <v>1392.7</v>
      </c>
      <c r="H22" s="97">
        <v>1393</v>
      </c>
      <c r="I22" s="97" cm="1">
        <f t="array" ref="I22">IF(SUM(Table189[[#This Row],[SBMU01]:[SBMU05]])=0,0,SUMPRODUCT(IF(Table189[[#This Row],[SBMU01]:[SBMU05]]=0,1,0),{1,2,4,8,16}))</f>
        <v>0</v>
      </c>
      <c r="J22" s="97"/>
      <c r="K22" s="97">
        <v>0</v>
      </c>
      <c r="L22" t="s">
        <v>785</v>
      </c>
      <c r="M22" t="b">
        <f t="shared" si="0"/>
        <v>1</v>
      </c>
      <c r="N22" t="s">
        <v>794</v>
      </c>
      <c r="V22" s="52" t="s">
        <v>82</v>
      </c>
      <c r="W22" s="57">
        <v>22</v>
      </c>
      <c r="X22" s="53">
        <f>MID(Table189[[#This Row],[IP]],LEN(Table189[[#This Row],[IP]])-1,1)+(--MID(V22,8,1)-1)*9</f>
        <v>69</v>
      </c>
      <c r="Y22" s="54" t="s">
        <v>49</v>
      </c>
    </row>
    <row r="23" spans="1:29">
      <c r="A23" t="str">
        <f t="shared" si="1"/>
        <v>10.238.4.67</v>
      </c>
      <c r="B23">
        <f>MID(Table189[[#This Row],[IP]],LEN(Table189[[#This Row],[IP]])-1,1)+(--MID(Table189[[#This Row],[IP]],8,1)-1)*9</f>
        <v>33</v>
      </c>
      <c r="C23" t="s">
        <v>50</v>
      </c>
      <c r="D23" s="97">
        <v>1390.7</v>
      </c>
      <c r="E23" s="97">
        <v>1391.6</v>
      </c>
      <c r="F23" s="97">
        <v>1390.6</v>
      </c>
      <c r="G23" s="97">
        <v>1391</v>
      </c>
      <c r="H23" s="97">
        <v>1392.6</v>
      </c>
      <c r="I23" s="97" cm="1">
        <f t="array" ref="I23">IF(SUM(Table189[[#This Row],[SBMU01]:[SBMU05]])=0,0,SUMPRODUCT(IF(Table189[[#This Row],[SBMU01]:[SBMU05]]=0,1,0),{1,2,4,8,16}))</f>
        <v>0</v>
      </c>
      <c r="J23" s="97"/>
      <c r="K23" s="97">
        <v>0</v>
      </c>
      <c r="L23" t="s">
        <v>785</v>
      </c>
      <c r="M23" t="b">
        <f t="shared" si="0"/>
        <v>1</v>
      </c>
      <c r="N23" t="s">
        <v>794</v>
      </c>
      <c r="V23" s="55" t="s">
        <v>83</v>
      </c>
      <c r="W23" s="58">
        <v>16</v>
      </c>
      <c r="X23" s="53">
        <f>MID(Table189[[#This Row],[IP]],LEN(Table189[[#This Row],[IP]])-1,1)+(--MID(V23,8,1)-1)*9</f>
        <v>69</v>
      </c>
      <c r="Y23" s="56" t="s">
        <v>50</v>
      </c>
    </row>
    <row r="24" spans="1:29">
      <c r="A24" t="str">
        <f t="shared" si="1"/>
        <v>10.238.4.68</v>
      </c>
      <c r="B24">
        <f>MID(Table189[[#This Row],[IP]],LEN(Table189[[#This Row],[IP]])-1,1)+(--MID(Table189[[#This Row],[IP]],8,1)-1)*9</f>
        <v>33</v>
      </c>
      <c r="C24" t="s">
        <v>51</v>
      </c>
      <c r="D24" s="97">
        <v>1391.1</v>
      </c>
      <c r="E24" s="97">
        <v>1391.4</v>
      </c>
      <c r="F24" s="97">
        <v>1391.2</v>
      </c>
      <c r="G24" s="97">
        <v>1392.1</v>
      </c>
      <c r="H24" s="97">
        <v>1392.1</v>
      </c>
      <c r="I24" s="97" cm="1">
        <f t="array" ref="I24">IF(SUM(Table189[[#This Row],[SBMU01]:[SBMU05]])=0,0,SUMPRODUCT(IF(Table189[[#This Row],[SBMU01]:[SBMU05]]=0,1,0),{1,2,4,8,16}))</f>
        <v>0</v>
      </c>
      <c r="J24" s="97"/>
      <c r="K24" s="97">
        <v>0</v>
      </c>
      <c r="L24" t="s">
        <v>785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MID(Table189[[#This Row],[IP]],LEN(Table189[[#This Row],[IP]])-1,1)+(--MID(V24,8,1)-1)*9</f>
        <v>69</v>
      </c>
      <c r="Y24" s="54" t="s">
        <v>51</v>
      </c>
    </row>
    <row r="25" spans="1:29">
      <c r="A25" t="str">
        <f t="shared" si="1"/>
        <v>10.238.4.69</v>
      </c>
      <c r="B25">
        <f>MID(Table189[[#This Row],[IP]],LEN(Table189[[#This Row],[IP]])-1,1)+(--MID(Table189[[#This Row],[IP]],8,1)-1)*9</f>
        <v>33</v>
      </c>
      <c r="C25" t="s">
        <v>52</v>
      </c>
      <c r="D25" s="97">
        <v>1392.4</v>
      </c>
      <c r="E25" s="97">
        <v>1393</v>
      </c>
      <c r="F25" s="97">
        <v>1391.9</v>
      </c>
      <c r="G25" s="97">
        <v>1391.2</v>
      </c>
      <c r="H25" s="97">
        <v>1394.2</v>
      </c>
      <c r="I25" s="97" cm="1">
        <f t="array" ref="I25">IF(SUM(Table189[[#This Row],[SBMU01]:[SBMU05]])=0,0,SUMPRODUCT(IF(Table189[[#This Row],[SBMU01]:[SBMU05]]=0,1,0),{1,2,4,8,16}))</f>
        <v>0</v>
      </c>
      <c r="J25" s="97"/>
      <c r="K25" s="97">
        <v>0</v>
      </c>
      <c r="L25" t="s">
        <v>785</v>
      </c>
      <c r="M25" t="b">
        <f t="shared" si="0"/>
        <v>1</v>
      </c>
      <c r="N25" t="s">
        <v>794</v>
      </c>
      <c r="V25" s="55" t="s">
        <v>85</v>
      </c>
      <c r="W25" s="58">
        <v>16</v>
      </c>
      <c r="X25" s="53">
        <f>MID(Table189[[#This Row],[IP]],LEN(Table189[[#This Row],[IP]])-1,1)+(--MID(V25,8,1)-1)*9</f>
        <v>69</v>
      </c>
      <c r="Y25" s="56" t="s">
        <v>52</v>
      </c>
    </row>
    <row r="26" spans="1:29">
      <c r="A26" t="str">
        <f t="shared" si="1"/>
        <v>10.238.4.76</v>
      </c>
      <c r="B26">
        <f>MID(Table189[[#This Row],[IP]],LEN(Table189[[#This Row],[IP]])-1,1)+(--MID(Table189[[#This Row],[IP]],8,1)-1)*9</f>
        <v>34</v>
      </c>
      <c r="C26" t="s">
        <v>49</v>
      </c>
      <c r="D26" s="97">
        <v>1378.6</v>
      </c>
      <c r="E26" s="97">
        <v>1379.7</v>
      </c>
      <c r="F26" s="97">
        <v>1379.8</v>
      </c>
      <c r="G26" s="97">
        <v>1379.2</v>
      </c>
      <c r="H26" s="97">
        <v>1378.9</v>
      </c>
      <c r="I26" s="97" cm="1">
        <f t="array" ref="I26">IF(SUM(Table189[[#This Row],[SBMU01]:[SBMU05]])=0,0,SUMPRODUCT(IF(Table189[[#This Row],[SBMU01]:[SBMU05]]=0,1,0),{1,2,4,8,16}))</f>
        <v>0</v>
      </c>
      <c r="J26" s="97"/>
      <c r="K26" s="97">
        <v>0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MID(Table189[[#This Row],[IP]],LEN(Table189[[#This Row],[IP]])-1,1)+(--MID(V26,8,1)-1)*9</f>
        <v>70</v>
      </c>
      <c r="Y26" s="54" t="s">
        <v>49</v>
      </c>
      <c r="AC26" t="s">
        <v>790</v>
      </c>
    </row>
    <row r="27" spans="1:29">
      <c r="A27" t="str">
        <f t="shared" si="1"/>
        <v>10.238.4.77</v>
      </c>
      <c r="B27">
        <f>MID(Table189[[#This Row],[IP]],LEN(Table189[[#This Row],[IP]])-1,1)+(--MID(Table189[[#This Row],[IP]],8,1)-1)*9</f>
        <v>34</v>
      </c>
      <c r="C27" t="s">
        <v>50</v>
      </c>
      <c r="D27" s="97">
        <v>1384.3</v>
      </c>
      <c r="E27" s="97">
        <v>1383.9</v>
      </c>
      <c r="F27" s="97">
        <v>1383.4</v>
      </c>
      <c r="G27" s="97">
        <v>1383.9</v>
      </c>
      <c r="H27" s="97">
        <v>1384.5</v>
      </c>
      <c r="I27" s="97" cm="1">
        <f t="array" ref="I27">IF(SUM(Table189[[#This Row],[SBMU01]:[SBMU05]])=0,0,SUMPRODUCT(IF(Table189[[#This Row],[SBMU01]:[SBMU05]]=0,1,0),{1,2,4,8,16}))</f>
        <v>0</v>
      </c>
      <c r="J27" s="97"/>
      <c r="K27" s="97">
        <v>0</v>
      </c>
      <c r="M27" t="b">
        <f t="shared" si="0"/>
        <v>1</v>
      </c>
      <c r="N27" t="s">
        <v>794</v>
      </c>
      <c r="V27" s="55" t="s">
        <v>87</v>
      </c>
      <c r="W27" s="58">
        <v>20</v>
      </c>
      <c r="X27" s="53">
        <f>MID(Table189[[#This Row],[IP]],LEN(Table189[[#This Row],[IP]])-1,1)+(--MID(V27,8,1)-1)*9</f>
        <v>70</v>
      </c>
      <c r="Y27" s="56" t="s">
        <v>50</v>
      </c>
      <c r="AC27" t="s">
        <v>790</v>
      </c>
    </row>
    <row r="28" spans="1:29">
      <c r="A28" t="str">
        <f t="shared" si="1"/>
        <v>10.238.4.78</v>
      </c>
      <c r="B28">
        <f>MID(Table189[[#This Row],[IP]],LEN(Table189[[#This Row],[IP]])-1,1)+(--MID(Table189[[#This Row],[IP]],8,1)-1)*9</f>
        <v>34</v>
      </c>
      <c r="C28" t="s">
        <v>51</v>
      </c>
      <c r="D28" s="97">
        <v>1380.2</v>
      </c>
      <c r="E28" s="97">
        <v>1379.8</v>
      </c>
      <c r="F28" s="97">
        <v>1379.6</v>
      </c>
      <c r="G28" s="97">
        <v>1379.9</v>
      </c>
      <c r="H28" s="97">
        <v>1380</v>
      </c>
      <c r="I28" s="97" cm="1">
        <f t="array" ref="I28">IF(SUM(Table189[[#This Row],[SBMU01]:[SBMU05]])=0,0,SUMPRODUCT(IF(Table189[[#This Row],[SBMU01]:[SBMU05]]=0,1,0),{1,2,4,8,16}))</f>
        <v>0</v>
      </c>
      <c r="J28" s="97"/>
      <c r="K28" s="97">
        <v>0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MID(Table189[[#This Row],[IP]],LEN(Table189[[#This Row],[IP]])-1,1)+(--MID(V28,8,1)-1)*9</f>
        <v>70</v>
      </c>
      <c r="Y28" s="54" t="s">
        <v>51</v>
      </c>
      <c r="AC28" t="s">
        <v>790</v>
      </c>
    </row>
    <row r="29" spans="1:29">
      <c r="A29" t="str">
        <f t="shared" si="1"/>
        <v>10.238.4.79</v>
      </c>
      <c r="B29">
        <f>MID(Table189[[#This Row],[IP]],LEN(Table189[[#This Row],[IP]])-1,1)+(--MID(Table189[[#This Row],[IP]],8,1)-1)*9</f>
        <v>34</v>
      </c>
      <c r="C29" t="s">
        <v>52</v>
      </c>
      <c r="D29" s="97">
        <v>1380.2</v>
      </c>
      <c r="E29" s="97">
        <v>1380.1</v>
      </c>
      <c r="F29" s="97">
        <v>1381.2</v>
      </c>
      <c r="G29" s="97">
        <v>1379.6</v>
      </c>
      <c r="H29" s="97">
        <v>1380.7</v>
      </c>
      <c r="I29" s="97" cm="1">
        <f t="array" ref="I29">IF(SUM(Table189[[#This Row],[SBMU01]:[SBMU05]])=0,0,SUMPRODUCT(IF(Table189[[#This Row],[SBMU01]:[SBMU05]]=0,1,0),{1,2,4,8,16}))</f>
        <v>0</v>
      </c>
      <c r="J29" s="97"/>
      <c r="K29" s="97">
        <v>0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MID(Table189[[#This Row],[IP]],LEN(Table189[[#This Row],[IP]])-1,1)+(--MID(V29,8,1)-1)*9</f>
        <v>70</v>
      </c>
      <c r="Y29" s="56" t="s">
        <v>52</v>
      </c>
      <c r="AC29" t="s">
        <v>790</v>
      </c>
    </row>
    <row r="30" spans="1:29">
      <c r="A30" t="str">
        <f t="shared" si="1"/>
        <v>10.238.4.86</v>
      </c>
      <c r="B30">
        <f>MID(Table189[[#This Row],[IP]],LEN(Table189[[#This Row],[IP]])-1,1)+(--MID(Table189[[#This Row],[IP]],8,1)-1)*9</f>
        <v>35</v>
      </c>
      <c r="C30" t="s">
        <v>49</v>
      </c>
      <c r="D30" s="97">
        <v>1391.3</v>
      </c>
      <c r="E30" s="97">
        <v>1392.1</v>
      </c>
      <c r="F30" s="97">
        <v>1391.9</v>
      </c>
      <c r="G30" s="97">
        <v>1391.7</v>
      </c>
      <c r="H30" s="97">
        <v>1390.9</v>
      </c>
      <c r="I30" s="97" cm="1">
        <f t="array" ref="I30">IF(SUM(Table189[[#This Row],[SBMU01]:[SBMU05]])=0,0,SUMPRODUCT(IF(Table189[[#This Row],[SBMU01]:[SBMU05]]=0,1,0),{1,2,4,8,16}))</f>
        <v>0</v>
      </c>
      <c r="J30" s="97"/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MID(Table189[[#This Row],[IP]],LEN(Table189[[#This Row],[IP]])-1,1)+(--MID(V30,8,1)-1)*9</f>
        <v>71</v>
      </c>
      <c r="Y30" s="54" t="s">
        <v>49</v>
      </c>
    </row>
    <row r="31" spans="1:29">
      <c r="A31" t="str">
        <f t="shared" si="1"/>
        <v>10.238.4.87</v>
      </c>
      <c r="B31">
        <f>MID(Table189[[#This Row],[IP]],LEN(Table189[[#This Row],[IP]])-1,1)+(--MID(Table189[[#This Row],[IP]],8,1)-1)*9</f>
        <v>35</v>
      </c>
      <c r="C31" t="s">
        <v>50</v>
      </c>
      <c r="D31" s="97">
        <v>1391.2</v>
      </c>
      <c r="E31" s="97">
        <v>1391.2</v>
      </c>
      <c r="F31" s="97">
        <v>1392.4</v>
      </c>
      <c r="G31" s="97">
        <v>1391.7</v>
      </c>
      <c r="H31" s="97">
        <v>1391.2</v>
      </c>
      <c r="I31" s="97" cm="1">
        <f t="array" ref="I31">IF(SUM(Table189[[#This Row],[SBMU01]:[SBMU05]])=0,0,SUMPRODUCT(IF(Table189[[#This Row],[SBMU01]:[SBMU05]]=0,1,0),{1,2,4,8,16}))</f>
        <v>0</v>
      </c>
      <c r="J31" s="97"/>
      <c r="K31" s="97">
        <v>0</v>
      </c>
      <c r="L31" t="s">
        <v>785</v>
      </c>
      <c r="M31" t="b">
        <f t="shared" si="0"/>
        <v>1</v>
      </c>
      <c r="N31" t="s">
        <v>794</v>
      </c>
      <c r="V31" s="55" t="s">
        <v>91</v>
      </c>
      <c r="W31" s="58">
        <v>28</v>
      </c>
      <c r="X31" s="53">
        <f>MID(Table189[[#This Row],[IP]],LEN(Table189[[#This Row],[IP]])-1,1)+(--MID(V31,8,1)-1)*9</f>
        <v>71</v>
      </c>
      <c r="Y31" s="56" t="s">
        <v>50</v>
      </c>
    </row>
    <row r="32" spans="1:29">
      <c r="A32" t="str">
        <f t="shared" si="1"/>
        <v>10.238.4.88</v>
      </c>
      <c r="B32">
        <f>MID(Table189[[#This Row],[IP]],LEN(Table189[[#This Row],[IP]])-1,1)+(--MID(Table189[[#This Row],[IP]],8,1)-1)*9</f>
        <v>35</v>
      </c>
      <c r="C32" t="s">
        <v>51</v>
      </c>
      <c r="D32" s="97">
        <v>1391.7</v>
      </c>
      <c r="E32" s="97">
        <v>1391.9</v>
      </c>
      <c r="F32" s="97">
        <v>1389.9</v>
      </c>
      <c r="G32" s="97">
        <v>1391.5</v>
      </c>
      <c r="H32" s="97">
        <v>1391</v>
      </c>
      <c r="I32" s="97" cm="1">
        <f t="array" ref="I32">IF(SUM(Table189[[#This Row],[SBMU01]:[SBMU05]])=0,0,SUMPRODUCT(IF(Table189[[#This Row],[SBMU01]:[SBMU05]]=0,1,0),{1,2,4,8,16}))</f>
        <v>0</v>
      </c>
      <c r="J32" s="97"/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MID(Table189[[#This Row],[IP]],LEN(Table189[[#This Row],[IP]])-1,1)+(--MID(V32,8,1)-1)*9</f>
        <v>71</v>
      </c>
      <c r="Y32" s="54" t="s">
        <v>51</v>
      </c>
    </row>
    <row r="33" spans="1:25">
      <c r="A33" t="str">
        <f t="shared" si="1"/>
        <v>10.238.4.89</v>
      </c>
      <c r="B33">
        <f>MID(Table189[[#This Row],[IP]],LEN(Table189[[#This Row],[IP]])-1,1)+(--MID(Table189[[#This Row],[IP]],8,1)-1)*9</f>
        <v>35</v>
      </c>
      <c r="C33" t="s">
        <v>52</v>
      </c>
      <c r="D33" s="97">
        <v>1392.8</v>
      </c>
      <c r="E33" s="97">
        <v>1391.2</v>
      </c>
      <c r="F33" s="97">
        <v>1392</v>
      </c>
      <c r="G33" s="97">
        <v>1393</v>
      </c>
      <c r="H33" s="97">
        <v>1391.6</v>
      </c>
      <c r="I33" s="97" cm="1">
        <f t="array" ref="I33">IF(SUM(Table189[[#This Row],[SBMU01]:[SBMU05]])=0,0,SUMPRODUCT(IF(Table189[[#This Row],[SBMU01]:[SBMU05]]=0,1,0),{1,2,4,8,16}))</f>
        <v>0</v>
      </c>
      <c r="J33" s="97"/>
      <c r="K33" s="97">
        <v>0</v>
      </c>
      <c r="L33" t="s">
        <v>785</v>
      </c>
      <c r="M33" t="b">
        <f t="shared" si="0"/>
        <v>1</v>
      </c>
      <c r="N33" t="s">
        <v>794</v>
      </c>
      <c r="V33" s="55" t="s">
        <v>93</v>
      </c>
      <c r="W33" s="58">
        <v>31</v>
      </c>
      <c r="X33" s="53">
        <f>MID(Table189[[#This Row],[IP]],LEN(Table189[[#This Row],[IP]])-1,1)+(--MID(V33,8,1)-1)*9</f>
        <v>71</v>
      </c>
      <c r="Y33" s="56" t="s">
        <v>52</v>
      </c>
    </row>
    <row r="34" spans="1:25">
      <c r="A34" t="str">
        <f t="shared" si="1"/>
        <v>10.238.4.96</v>
      </c>
      <c r="B34">
        <f>MID(Table189[[#This Row],[IP]],LEN(Table189[[#This Row],[IP]])-1,1)+(--MID(Table189[[#This Row],[IP]],8,1)-1)*9</f>
        <v>36</v>
      </c>
      <c r="C34" t="s">
        <v>49</v>
      </c>
      <c r="D34" s="97">
        <v>1391.5</v>
      </c>
      <c r="E34" s="97">
        <v>1391.6</v>
      </c>
      <c r="F34" s="97">
        <v>1392.8</v>
      </c>
      <c r="G34" s="97">
        <v>1392.6</v>
      </c>
      <c r="H34" s="97">
        <v>1391.4</v>
      </c>
      <c r="I34" s="97" cm="1">
        <f t="array" ref="I34">IF(SUM(Table189[[#This Row],[SBMU01]:[SBMU05]])=0,0,SUMPRODUCT(IF(Table189[[#This Row],[SBMU01]:[SBMU05]]=0,1,0),{1,2,4,8,16}))</f>
        <v>0</v>
      </c>
      <c r="J34" s="97"/>
      <c r="K34" s="97">
        <v>0</v>
      </c>
      <c r="L34" t="s">
        <v>785</v>
      </c>
      <c r="M34" t="b">
        <f t="shared" si="0"/>
        <v>1</v>
      </c>
      <c r="N34" t="s">
        <v>794</v>
      </c>
      <c r="V34" s="52" t="s">
        <v>94</v>
      </c>
      <c r="W34" s="57">
        <v>23</v>
      </c>
      <c r="X34" s="53">
        <f>MID(Table189[[#This Row],[IP]],LEN(Table189[[#This Row],[IP]])-1,1)+(--MID(V34,8,1)-1)*9</f>
        <v>72</v>
      </c>
      <c r="Y34" s="54" t="s">
        <v>49</v>
      </c>
    </row>
    <row r="35" spans="1:25">
      <c r="A35" t="str">
        <f t="shared" si="1"/>
        <v>10.238.4.97</v>
      </c>
      <c r="B35">
        <f>MID(Table189[[#This Row],[IP]],LEN(Table189[[#This Row],[IP]])-1,1)+(--MID(Table189[[#This Row],[IP]],8,1)-1)*9</f>
        <v>36</v>
      </c>
      <c r="C35" t="s">
        <v>50</v>
      </c>
      <c r="D35" s="97">
        <v>1391.6</v>
      </c>
      <c r="E35" s="97">
        <v>1393</v>
      </c>
      <c r="F35" s="97">
        <v>1391</v>
      </c>
      <c r="G35" s="97">
        <v>1391.6</v>
      </c>
      <c r="H35" s="97">
        <v>1391.2</v>
      </c>
      <c r="I35" s="97" cm="1">
        <f t="array" ref="I35">IF(SUM(Table189[[#This Row],[SBMU01]:[SBMU05]])=0,0,SUMPRODUCT(IF(Table189[[#This Row],[SBMU01]:[SBMU05]]=0,1,0),{1,2,4,8,16}))</f>
        <v>0</v>
      </c>
      <c r="J35" s="97"/>
      <c r="K35" s="97">
        <v>0</v>
      </c>
      <c r="L35" t="s">
        <v>785</v>
      </c>
      <c r="M35" t="b">
        <f t="shared" si="0"/>
        <v>1</v>
      </c>
      <c r="V35" s="55" t="s">
        <v>95</v>
      </c>
      <c r="W35" s="58">
        <v>23</v>
      </c>
      <c r="X35" s="53">
        <f>MID(Table189[[#This Row],[IP]],LEN(Table189[[#This Row],[IP]])-1,1)+(--MID(V35,8,1)-1)*9</f>
        <v>72</v>
      </c>
      <c r="Y35" s="56" t="s">
        <v>50</v>
      </c>
    </row>
    <row r="36" spans="1:25">
      <c r="A36" t="str">
        <f t="shared" si="1"/>
        <v>10.238.4.98</v>
      </c>
      <c r="B36">
        <f>MID(Table189[[#This Row],[IP]],LEN(Table189[[#This Row],[IP]])-1,1)+(--MID(Table189[[#This Row],[IP]],8,1)-1)*9</f>
        <v>36</v>
      </c>
      <c r="C36" t="s">
        <v>51</v>
      </c>
      <c r="D36" s="97">
        <v>1392.9</v>
      </c>
      <c r="E36" s="97">
        <v>1392.2</v>
      </c>
      <c r="F36" s="97">
        <v>1393.1</v>
      </c>
      <c r="G36" s="97">
        <v>1392.5</v>
      </c>
      <c r="H36" s="97">
        <v>1392.9</v>
      </c>
      <c r="I36" s="97" cm="1">
        <f t="array" ref="I36">IF(SUM(Table189[[#This Row],[SBMU01]:[SBMU05]])=0,0,SUMPRODUCT(IF(Table189[[#This Row],[SBMU01]:[SBMU05]]=0,1,0),{1,2,4,8,16}))</f>
        <v>0</v>
      </c>
      <c r="J36" s="97"/>
      <c r="K36" s="97">
        <v>0</v>
      </c>
      <c r="L36" t="s">
        <v>785</v>
      </c>
      <c r="M36" t="b">
        <f t="shared" si="0"/>
        <v>1</v>
      </c>
      <c r="N36" t="s">
        <v>794</v>
      </c>
      <c r="V36" s="52" t="s">
        <v>96</v>
      </c>
      <c r="W36" s="57">
        <v>24</v>
      </c>
      <c r="X36" s="53">
        <f>MID(Table189[[#This Row],[IP]],LEN(Table189[[#This Row],[IP]])-1,1)+(--MID(V36,8,1)-1)*9</f>
        <v>72</v>
      </c>
      <c r="Y36" s="54" t="s">
        <v>51</v>
      </c>
    </row>
    <row r="37" spans="1:25">
      <c r="A37" t="str">
        <f t="shared" si="1"/>
        <v>10.238.4.99</v>
      </c>
      <c r="B37">
        <f>MID(Table189[[#This Row],[IP]],LEN(Table189[[#This Row],[IP]])-1,1)+(--MID(Table189[[#This Row],[IP]],8,1)-1)*9</f>
        <v>36</v>
      </c>
      <c r="C37" t="s">
        <v>52</v>
      </c>
      <c r="D37" s="97">
        <v>1392.5</v>
      </c>
      <c r="E37" s="97">
        <v>1392.3</v>
      </c>
      <c r="F37" s="97">
        <v>1392</v>
      </c>
      <c r="G37" s="97">
        <v>1390.9</v>
      </c>
      <c r="H37" s="97">
        <v>1392.4</v>
      </c>
      <c r="I37" s="97" cm="1">
        <f t="array" ref="I37">IF(SUM(Table189[[#This Row],[SBMU01]:[SBMU05]])=0,0,SUMPRODUCT(IF(Table189[[#This Row],[SBMU01]:[SBMU05]]=0,1,0),{1,2,4,8,16}))</f>
        <v>0</v>
      </c>
      <c r="J37" s="97"/>
      <c r="K37" s="97">
        <v>0</v>
      </c>
      <c r="L37" t="s">
        <v>785</v>
      </c>
      <c r="M37" t="b">
        <f t="shared" si="0"/>
        <v>1</v>
      </c>
      <c r="V37" s="55" t="s">
        <v>97</v>
      </c>
      <c r="W37" s="58">
        <v>24</v>
      </c>
      <c r="X37" s="53">
        <f>MID(Table189[[#This Row],[IP]],LEN(Table189[[#This Row],[IP]])-1,1)+(--MID(V37,8,1)-1)*9</f>
        <v>72</v>
      </c>
      <c r="Y37" s="56" t="s">
        <v>52</v>
      </c>
    </row>
  </sheetData>
  <conditionalFormatting sqref="I2:I37">
    <cfRule type="cellIs" dxfId="109" priority="3" operator="notEqual">
      <formula>K2</formula>
    </cfRule>
  </conditionalFormatting>
  <conditionalFormatting sqref="M3:M37">
    <cfRule type="cellIs" dxfId="108" priority="2" operator="equal">
      <formula>TRUE</formula>
    </cfRule>
  </conditionalFormatting>
  <conditionalFormatting sqref="M2">
    <cfRule type="cellIs" dxfId="5" priority="1" operator="equal">
      <formula>TRUE</formula>
    </cfRule>
  </conditionalFormatting>
  <dataValidations count="2">
    <dataValidation type="list" allowBlank="1" sqref="O1" xr:uid="{8D607641-E224-46CC-B33D-14BEC99ABF40}">
      <formula1>$Q$3:$Q$13</formula1>
    </dataValidation>
    <dataValidation type="list" allowBlank="1" showInputMessage="1" showErrorMessage="1" sqref="R1" xr:uid="{BCC71704-7C1A-4F2E-872A-53CD2A406BB3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alibrateRead">
                <anchor>
                  <from>
                    <xdr:col>14</xdr:col>
                    <xdr:colOff>514350</xdr:colOff>
                    <xdr:row>1</xdr:row>
                    <xdr:rowOff>114300</xdr:rowOff>
                  </from>
                  <to>
                    <xdr:col>16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alibrateWrite">
                <anchor>
                  <from>
                    <xdr:col>14</xdr:col>
                    <xdr:colOff>514350</xdr:colOff>
                    <xdr:row>5</xdr:row>
                    <xdr:rowOff>57150</xdr:rowOff>
                  </from>
                  <to>
                    <xdr:col>16</xdr:col>
                    <xdr:colOff>38100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4FED8-9266-463B-BF0E-1CDC8F33953A}">
  <sheetPr codeName="Sheet12">
    <tabColor rgb="FF92D050"/>
  </sheetPr>
  <dimension ref="A1:AD37"/>
  <sheetViews>
    <sheetView workbookViewId="0">
      <pane ySplit="1" topLeftCell="A2" activePane="bottomLeft" state="frozen"/>
      <selection activeCell="M2" sqref="M2"/>
      <selection pane="bottomLeft" activeCell="J28" sqref="J28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5</v>
      </c>
      <c r="X1" t="s">
        <v>769</v>
      </c>
    </row>
    <row r="2" spans="1:30">
      <c r="A2" t="str">
        <f>SUBSTITUTE(V2,".8.","."&amp;$R$1&amp;".")</f>
        <v>10.238.5.16</v>
      </c>
      <c r="B2">
        <f>MID(Table18912[[#This Row],[IP]],LEN(Table18912[[#This Row],[IP]])-1,1)+(--MID(Table18912[[#This Row],[IP]],8,1)-1)*9</f>
        <v>37</v>
      </c>
      <c r="C2" t="s">
        <v>49</v>
      </c>
      <c r="D2" s="97">
        <v>1393.7</v>
      </c>
      <c r="E2" s="97">
        <v>1394.2</v>
      </c>
      <c r="F2" s="97">
        <v>1393</v>
      </c>
      <c r="G2" s="97">
        <v>1394.2</v>
      </c>
      <c r="H2" s="97">
        <v>1395.5</v>
      </c>
      <c r="I2" s="97" cm="1">
        <f t="array" ref="I2">IF(SUM(Table18912[[#This Row],[SBMU01]:[SBMU05]])=0,0,SUMPRODUCT(IF(Table18912[[#This Row],[SBMU01]:[SBMU05]]=0,1,0),{1,2,4,8,16}))</f>
        <v>0</v>
      </c>
      <c r="J2" s="97">
        <v>0</v>
      </c>
      <c r="K2" s="97">
        <v>0</v>
      </c>
      <c r="L2" t="s">
        <v>785</v>
      </c>
      <c r="M2" t="b">
        <f t="shared" ref="M2:M37" si="0">MAX($D2:$H2)-MIN($D2:$H2)&lt;10</f>
        <v>1</v>
      </c>
      <c r="V2" s="52" t="s">
        <v>62</v>
      </c>
      <c r="W2" s="57">
        <v>33</v>
      </c>
      <c r="X2" s="53">
        <f>MID(Table18912[[#This Row],[IP]],LEN(Table18912[[#This Row],[IP]])-1,1)+(--MID(V2,8,1)-1)*9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t="str">
        <f t="shared" ref="A3:A37" si="1">SUBSTITUTE(V3,".8.","."&amp;$R$1&amp;".")</f>
        <v>10.238.5.17</v>
      </c>
      <c r="B3">
        <f>MID(Table18912[[#This Row],[IP]],LEN(Table18912[[#This Row],[IP]])-1,1)+(--MID(Table18912[[#This Row],[IP]],8,1)-1)*9</f>
        <v>37</v>
      </c>
      <c r="C3" t="s">
        <v>50</v>
      </c>
      <c r="D3" s="97">
        <v>1392.1</v>
      </c>
      <c r="E3" s="97">
        <v>1391</v>
      </c>
      <c r="F3" s="97">
        <v>1392.2</v>
      </c>
      <c r="G3" s="97">
        <v>1392.8</v>
      </c>
      <c r="H3" s="97">
        <v>1392.7</v>
      </c>
      <c r="I3" s="97" cm="1">
        <f t="array" ref="I3">IF(SUM(Table18912[[#This Row],[SBMU01]:[SBMU05]])=0,0,SUMPRODUCT(IF(Table18912[[#This Row],[SBMU01]:[SBMU05]]=0,1,0),{1,2,4,8,16}))</f>
        <v>0</v>
      </c>
      <c r="J3" s="97">
        <v>0</v>
      </c>
      <c r="K3" s="97">
        <v>0</v>
      </c>
      <c r="L3" t="s">
        <v>785</v>
      </c>
      <c r="M3" t="b">
        <f t="shared" si="0"/>
        <v>1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MID(Table18912[[#This Row],[IP]],LEN(Table18912[[#This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10.238.5.18</v>
      </c>
      <c r="B4">
        <f>MID(Table18912[[#This Row],[IP]],LEN(Table18912[[#This Row],[IP]])-1,1)+(--MID(Table18912[[#This Row],[IP]],8,1)-1)*9</f>
        <v>37</v>
      </c>
      <c r="C4" t="s">
        <v>51</v>
      </c>
      <c r="D4" s="97">
        <v>1391.8</v>
      </c>
      <c r="E4" s="97">
        <v>1391.7</v>
      </c>
      <c r="F4" s="97">
        <v>1392.7</v>
      </c>
      <c r="G4" s="97">
        <v>1391.4</v>
      </c>
      <c r="H4" s="97">
        <v>1391.4</v>
      </c>
      <c r="I4" s="97" cm="1">
        <f t="array" ref="I4">IF(SUM(Table18912[[#This Row],[SBMU01]:[SBMU05]])=0,0,SUMPRODUCT(IF(Table18912[[#This Row],[SBMU01]:[SBMU05]]=0,1,0),{1,2,4,8,16}))</f>
        <v>0</v>
      </c>
      <c r="J4" s="97">
        <v>0</v>
      </c>
      <c r="K4" s="97">
        <v>0</v>
      </c>
      <c r="L4" t="s">
        <v>785</v>
      </c>
      <c r="M4" t="b">
        <f t="shared" si="0"/>
        <v>1</v>
      </c>
      <c r="N4" t="s">
        <v>794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MID(Table18912[[#This Row],[IP]],LEN(Table18912[[#This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t="str">
        <f t="shared" si="1"/>
        <v>10.238.5.19</v>
      </c>
      <c r="B5">
        <f>MID(Table18912[[#This Row],[IP]],LEN(Table18912[[#This Row],[IP]])-1,1)+(--MID(Table18912[[#This Row],[IP]],8,1)-1)*9</f>
        <v>37</v>
      </c>
      <c r="C5" t="s">
        <v>52</v>
      </c>
      <c r="D5" s="97">
        <v>1391.4</v>
      </c>
      <c r="E5" s="97">
        <v>1391</v>
      </c>
      <c r="F5" s="97">
        <v>1392</v>
      </c>
      <c r="G5" s="97">
        <v>1391</v>
      </c>
      <c r="H5" s="97">
        <v>1392.2</v>
      </c>
      <c r="I5" s="97" cm="1">
        <f t="array" ref="I5">IF(SUM(Table18912[[#This Row],[SBMU01]:[SBMU05]])=0,0,SUMPRODUCT(IF(Table18912[[#This Row],[SBMU01]:[SBMU05]]=0,1,0),{1,2,4,8,16}))</f>
        <v>0</v>
      </c>
      <c r="J5" s="97">
        <v>0</v>
      </c>
      <c r="K5" s="97">
        <v>0</v>
      </c>
      <c r="L5" t="s">
        <v>785</v>
      </c>
      <c r="M5" t="b">
        <f t="shared" si="0"/>
        <v>1</v>
      </c>
      <c r="N5" t="s">
        <v>794</v>
      </c>
      <c r="Q5">
        <v>1076</v>
      </c>
      <c r="R5" t="s">
        <v>777</v>
      </c>
      <c r="V5" s="55" t="s">
        <v>65</v>
      </c>
      <c r="W5" s="58">
        <v>32</v>
      </c>
      <c r="X5" s="53">
        <f>MID(Table18912[[#This Row],[IP]],LEN(Table18912[[#This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t="str">
        <f t="shared" si="1"/>
        <v>10.238.5.26</v>
      </c>
      <c r="B6">
        <f>MID(Table18912[[#This Row],[IP]],LEN(Table18912[[#This Row],[IP]])-1,1)+(--MID(Table18912[[#This Row],[IP]],8,1)-1)*9</f>
        <v>38</v>
      </c>
      <c r="C6" t="s">
        <v>49</v>
      </c>
      <c r="D6" s="97">
        <v>1390.8</v>
      </c>
      <c r="E6" s="97">
        <v>1391.3</v>
      </c>
      <c r="F6" s="97">
        <v>1390.8</v>
      </c>
      <c r="G6" s="97">
        <v>1391</v>
      </c>
      <c r="H6" s="97">
        <v>1391.1</v>
      </c>
      <c r="I6" s="97" cm="1">
        <f t="array" ref="I6">IF(SUM(Table18912[[#This Row],[SBMU01]:[SBMU05]])=0,0,SUMPRODUCT(IF(Table18912[[#This Row],[SBMU01]:[SBMU05]]=0,1,0),{1,2,4,8,16}))</f>
        <v>0</v>
      </c>
      <c r="J6" s="97">
        <v>0</v>
      </c>
      <c r="K6" s="97">
        <v>0</v>
      </c>
      <c r="L6" t="s">
        <v>785</v>
      </c>
      <c r="M6" t="b">
        <f t="shared" si="0"/>
        <v>1</v>
      </c>
      <c r="Q6">
        <v>1077</v>
      </c>
      <c r="R6" t="s">
        <v>778</v>
      </c>
      <c r="V6" s="52" t="s">
        <v>66</v>
      </c>
      <c r="W6" s="57">
        <v>17</v>
      </c>
      <c r="X6" s="53">
        <f>MID(Table18912[[#This Row],[IP]],LEN(Table18912[[#This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10.238.5.27</v>
      </c>
      <c r="B7">
        <f>MID(Table18912[[#This Row],[IP]],LEN(Table18912[[#This Row],[IP]])-1,1)+(--MID(Table18912[[#This Row],[IP]],8,1)-1)*9</f>
        <v>38</v>
      </c>
      <c r="C7" t="s">
        <v>50</v>
      </c>
      <c r="D7" s="97">
        <v>1390.7</v>
      </c>
      <c r="E7" s="97">
        <v>1390.8</v>
      </c>
      <c r="F7" s="97">
        <v>1391.3</v>
      </c>
      <c r="G7" s="97">
        <v>1390.7</v>
      </c>
      <c r="H7" s="97">
        <v>1391.3</v>
      </c>
      <c r="I7" s="97" cm="1">
        <f t="array" ref="I7">IF(SUM(Table18912[[#This Row],[SBMU01]:[SBMU05]])=0,0,SUMPRODUCT(IF(Table18912[[#This Row],[SBMU01]:[SBMU05]]=0,1,0),{1,2,4,8,16}))</f>
        <v>0</v>
      </c>
      <c r="J7" s="97">
        <v>0</v>
      </c>
      <c r="K7" s="97">
        <v>0</v>
      </c>
      <c r="L7" t="s">
        <v>785</v>
      </c>
      <c r="M7" t="b">
        <f t="shared" si="0"/>
        <v>1</v>
      </c>
      <c r="Q7">
        <v>1078</v>
      </c>
      <c r="R7" t="s">
        <v>779</v>
      </c>
      <c r="V7" s="55" t="s">
        <v>67</v>
      </c>
      <c r="W7" s="58">
        <v>18</v>
      </c>
      <c r="X7" s="53">
        <f>MID(Table18912[[#This Row],[IP]],LEN(Table18912[[#This Row],[IP]])-1,1)+(--MID(V7,8,1)-1)*9</f>
        <v>65</v>
      </c>
      <c r="Y7" s="56" t="s">
        <v>50</v>
      </c>
      <c r="AA7">
        <v>6</v>
      </c>
      <c r="AC7" t="s">
        <v>788</v>
      </c>
    </row>
    <row r="8" spans="1:30">
      <c r="A8" t="str">
        <f t="shared" si="1"/>
        <v>10.238.5.28</v>
      </c>
      <c r="B8">
        <f>MID(Table18912[[#This Row],[IP]],LEN(Table18912[[#This Row],[IP]])-1,1)+(--MID(Table18912[[#This Row],[IP]],8,1)-1)*9</f>
        <v>38</v>
      </c>
      <c r="C8" t="s">
        <v>51</v>
      </c>
      <c r="D8" s="97">
        <v>1388.9</v>
      </c>
      <c r="E8" s="97">
        <v>1385.1</v>
      </c>
      <c r="F8" s="97">
        <v>1384.2</v>
      </c>
      <c r="G8" s="97">
        <v>1387.3</v>
      </c>
      <c r="H8" s="97">
        <v>1387.8</v>
      </c>
      <c r="I8" s="97" cm="1">
        <f t="array" ref="I8">IF(SUM(Table18912[[#This Row],[SBMU01]:[SBMU05]])=0,0,SUMPRODUCT(IF(Table18912[[#This Row],[SBMU01]:[SBMU05]]=0,1,0),{1,2,4,8,16}))</f>
        <v>0</v>
      </c>
      <c r="J8" s="97">
        <v>0</v>
      </c>
      <c r="K8" s="97">
        <v>0</v>
      </c>
      <c r="M8" t="b">
        <f t="shared" si="0"/>
        <v>1</v>
      </c>
      <c r="Q8">
        <v>1079</v>
      </c>
      <c r="R8" t="s">
        <v>780</v>
      </c>
      <c r="V8" s="52" t="s">
        <v>68</v>
      </c>
      <c r="W8" s="57">
        <v>13</v>
      </c>
      <c r="X8" s="53">
        <f>MID(Table18912[[#This Row],[IP]],LEN(Table18912[[#This Row],[IP]])-1,1)+(--MID(V8,8,1)-1)*9</f>
        <v>65</v>
      </c>
      <c r="Y8" s="54" t="s">
        <v>51</v>
      </c>
      <c r="AA8">
        <v>7</v>
      </c>
      <c r="AC8" t="s">
        <v>788</v>
      </c>
    </row>
    <row r="9" spans="1:30">
      <c r="A9" t="str">
        <f t="shared" si="1"/>
        <v>10.238.5.29</v>
      </c>
      <c r="B9">
        <f>MID(Table18912[[#This Row],[IP]],LEN(Table18912[[#This Row],[IP]])-1,1)+(--MID(Table18912[[#This Row],[IP]],8,1)-1)*9</f>
        <v>38</v>
      </c>
      <c r="C9" t="s">
        <v>52</v>
      </c>
      <c r="D9" s="97">
        <v>1392.4</v>
      </c>
      <c r="E9" s="97">
        <v>1392.7</v>
      </c>
      <c r="F9" s="97">
        <v>1391.3</v>
      </c>
      <c r="G9" s="97">
        <v>1391.2</v>
      </c>
      <c r="H9" s="97">
        <v>1391.5</v>
      </c>
      <c r="I9" s="97" cm="1">
        <f t="array" ref="I9">IF(SUM(Table18912[[#This Row],[SBMU01]:[SBMU05]])=0,0,SUMPRODUCT(IF(Table18912[[#This Row],[SBMU01]:[SBMU05]]=0,1,0),{1,2,4,8,16}))</f>
        <v>0</v>
      </c>
      <c r="J9" s="97">
        <v>0</v>
      </c>
      <c r="K9" s="97">
        <v>0</v>
      </c>
      <c r="L9" t="s">
        <v>785</v>
      </c>
      <c r="M9" t="b">
        <f t="shared" si="0"/>
        <v>1</v>
      </c>
      <c r="Q9">
        <v>1080</v>
      </c>
      <c r="R9" t="s">
        <v>781</v>
      </c>
      <c r="V9" s="55" t="s">
        <v>69</v>
      </c>
      <c r="W9" s="58">
        <v>17</v>
      </c>
      <c r="X9" s="53">
        <f>MID(Table18912[[#This Row],[IP]],LEN(Table18912[[#This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10.238.5.36</v>
      </c>
      <c r="B10">
        <f>MID(Table18912[[#This Row],[IP]],LEN(Table18912[[#This Row],[IP]])-1,1)+(--MID(Table18912[[#This Row],[IP]],8,1)-1)*9</f>
        <v>39</v>
      </c>
      <c r="C10" t="s">
        <v>49</v>
      </c>
      <c r="D10" s="97">
        <v>1392.8</v>
      </c>
      <c r="E10" s="97">
        <v>1391</v>
      </c>
      <c r="F10" s="97">
        <v>1393.1</v>
      </c>
      <c r="G10" s="97">
        <v>1392.1</v>
      </c>
      <c r="H10" s="97">
        <v>1392.6</v>
      </c>
      <c r="I10" s="97" cm="1">
        <f t="array" ref="I10">IF(SUM(Table18912[[#This Row],[SBMU01]:[SBMU05]])=0,0,SUMPRODUCT(IF(Table18912[[#This Row],[SBMU01]:[SBMU05]]=0,1,0),{1,2,4,8,16}))</f>
        <v>0</v>
      </c>
      <c r="J10" s="97">
        <v>0</v>
      </c>
      <c r="K10" s="97">
        <v>0</v>
      </c>
      <c r="L10" t="s">
        <v>785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MID(Table18912[[#This Row],[IP]],LEN(Table18912[[#This Row],[IP]])-1,1)+(--MID(V10,8,1)-1)*9</f>
        <v>66</v>
      </c>
      <c r="Y10" s="54" t="s">
        <v>49</v>
      </c>
    </row>
    <row r="11" spans="1:30">
      <c r="A11" t="str">
        <f t="shared" si="1"/>
        <v>10.238.5.37</v>
      </c>
      <c r="B11">
        <f>MID(Table18912[[#This Row],[IP]],LEN(Table18912[[#This Row],[IP]])-1,1)+(--MID(Table18912[[#This Row],[IP]],8,1)-1)*9</f>
        <v>39</v>
      </c>
      <c r="C11" t="s">
        <v>50</v>
      </c>
      <c r="D11" s="97">
        <v>1391.1</v>
      </c>
      <c r="E11" s="97">
        <v>1391.1</v>
      </c>
      <c r="F11" s="97">
        <v>1390.8</v>
      </c>
      <c r="G11" s="97">
        <v>1391.5</v>
      </c>
      <c r="H11" s="97">
        <v>1391</v>
      </c>
      <c r="I11" s="97" cm="1">
        <f t="array" ref="I11">IF(SUM(Table18912[[#This Row],[SBMU01]:[SBMU05]])=0,0,SUMPRODUCT(IF(Table18912[[#This Row],[SBMU01]:[SBMU05]]=0,1,0),{1,2,4,8,16}))</f>
        <v>0</v>
      </c>
      <c r="J11" s="97">
        <v>0</v>
      </c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MID(Table18912[[#This Row],[IP]],LEN(Table18912[[#This Row],[IP]])-1,1)+(--MID(V11,8,1)-1)*9</f>
        <v>66</v>
      </c>
      <c r="Y11" s="56" t="s">
        <v>50</v>
      </c>
    </row>
    <row r="12" spans="1:30">
      <c r="A12" t="str">
        <f t="shared" si="1"/>
        <v>10.238.5.38</v>
      </c>
      <c r="B12">
        <f>MID(Table18912[[#This Row],[IP]],LEN(Table18912[[#This Row],[IP]])-1,1)+(--MID(Table18912[[#This Row],[IP]],8,1)-1)*9</f>
        <v>39</v>
      </c>
      <c r="C12" t="s">
        <v>51</v>
      </c>
      <c r="D12" s="97">
        <v>1391.6</v>
      </c>
      <c r="E12" s="97">
        <v>1392.9</v>
      </c>
      <c r="F12" s="97">
        <v>1392.1</v>
      </c>
      <c r="G12" s="97">
        <v>1391.8</v>
      </c>
      <c r="H12" s="97">
        <v>1391.7</v>
      </c>
      <c r="I12" s="97" cm="1">
        <f t="array" ref="I12">IF(SUM(Table18912[[#This Row],[SBMU01]:[SBMU05]])=0,0,SUMPRODUCT(IF(Table18912[[#This Row],[SBMU01]:[SBMU05]]=0,1,0),{1,2,4,8,16}))</f>
        <v>0</v>
      </c>
      <c r="J12" s="97">
        <v>0</v>
      </c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MID(Table18912[[#This Row],[IP]],LEN(Table18912[[#This Row],[IP]])-1,1)+(--MID(V12,8,1)-1)*9</f>
        <v>66</v>
      </c>
      <c r="Y12" s="54" t="s">
        <v>51</v>
      </c>
    </row>
    <row r="13" spans="1:30">
      <c r="A13" t="str">
        <f t="shared" si="1"/>
        <v>10.238.5.39</v>
      </c>
      <c r="B13">
        <f>MID(Table18912[[#This Row],[IP]],LEN(Table18912[[#This Row],[IP]])-1,1)+(--MID(Table18912[[#This Row],[IP]],8,1)-1)*9</f>
        <v>39</v>
      </c>
      <c r="C13" t="s">
        <v>52</v>
      </c>
      <c r="D13" s="97">
        <v>1392.7</v>
      </c>
      <c r="E13" s="97">
        <v>1392.9</v>
      </c>
      <c r="F13" s="97">
        <v>1392.4</v>
      </c>
      <c r="G13" s="97">
        <v>1392.7</v>
      </c>
      <c r="H13" s="97">
        <v>1392</v>
      </c>
      <c r="I13" s="97" cm="1">
        <f t="array" ref="I13">IF(SUM(Table18912[[#This Row],[SBMU01]:[SBMU05]])=0,0,SUMPRODUCT(IF(Table18912[[#This Row],[SBMU01]:[SBMU05]]=0,1,0),{1,2,4,8,16}))</f>
        <v>0</v>
      </c>
      <c r="J13" s="97">
        <v>0</v>
      </c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MID(Table18912[[#This Row],[IP]],LEN(Table18912[[#This Row],[IP]])-1,1)+(--MID(V13,8,1)-1)*9</f>
        <v>66</v>
      </c>
      <c r="Y13" s="56" t="s">
        <v>52</v>
      </c>
    </row>
    <row r="14" spans="1:30">
      <c r="A14" t="str">
        <f t="shared" si="1"/>
        <v>10.238.5.46</v>
      </c>
      <c r="B14">
        <f>MID(Table18912[[#This Row],[IP]],LEN(Table18912[[#This Row],[IP]])-1,1)+(--MID(Table18912[[#This Row],[IP]],8,1)-1)*9</f>
        <v>40</v>
      </c>
      <c r="C14" t="s">
        <v>49</v>
      </c>
      <c r="D14" s="97">
        <v>1389.7</v>
      </c>
      <c r="E14" s="97">
        <v>1389.6</v>
      </c>
      <c r="F14" s="97">
        <v>1390.1</v>
      </c>
      <c r="G14" s="97">
        <v>1389.5</v>
      </c>
      <c r="H14" s="97">
        <v>1389.7</v>
      </c>
      <c r="I14" s="97" cm="1">
        <f t="array" ref="I14">IF(SUM(Table18912[[#This Row],[SBMU01]:[SBMU05]])=0,0,SUMPRODUCT(IF(Table18912[[#This Row],[SBMU01]:[SBMU05]]=0,1,0),{1,2,4,8,16}))</f>
        <v>0</v>
      </c>
      <c r="J14" s="97">
        <v>0</v>
      </c>
      <c r="K14" s="97">
        <v>0</v>
      </c>
      <c r="L14" t="s">
        <v>785</v>
      </c>
      <c r="M14" t="b">
        <f t="shared" si="0"/>
        <v>1</v>
      </c>
      <c r="N14" t="s">
        <v>794</v>
      </c>
      <c r="V14" s="52" t="s">
        <v>74</v>
      </c>
      <c r="W14" s="57">
        <v>30</v>
      </c>
      <c r="X14" s="53">
        <f>MID(Table18912[[#This Row],[IP]],LEN(Table18912[[#This Row],[IP]])-1,1)+(--MID(V14,8,1)-1)*9</f>
        <v>67</v>
      </c>
      <c r="Y14" s="54" t="s">
        <v>49</v>
      </c>
    </row>
    <row r="15" spans="1:30">
      <c r="A15" t="str">
        <f t="shared" si="1"/>
        <v>10.238.5.47</v>
      </c>
      <c r="B15">
        <f>MID(Table18912[[#This Row],[IP]],LEN(Table18912[[#This Row],[IP]])-1,1)+(--MID(Table18912[[#This Row],[IP]],8,1)-1)*9</f>
        <v>40</v>
      </c>
      <c r="C15" t="s">
        <v>50</v>
      </c>
      <c r="D15" s="97">
        <v>1391.7</v>
      </c>
      <c r="E15" s="97">
        <v>1392.2</v>
      </c>
      <c r="F15" s="97">
        <v>1390.7</v>
      </c>
      <c r="G15" s="97">
        <v>1390.3</v>
      </c>
      <c r="H15" s="97">
        <v>1390.7</v>
      </c>
      <c r="I15" s="97" cm="1">
        <f t="array" ref="I15">IF(SUM(Table18912[[#This Row],[SBMU01]:[SBMU05]])=0,0,SUMPRODUCT(IF(Table18912[[#This Row],[SBMU01]:[SBMU05]]=0,1,0),{1,2,4,8,16}))</f>
        <v>0</v>
      </c>
      <c r="J15" s="97">
        <v>0</v>
      </c>
      <c r="K15" s="97">
        <v>0</v>
      </c>
      <c r="L15" t="s">
        <v>785</v>
      </c>
      <c r="M15" t="b">
        <f t="shared" si="0"/>
        <v>1</v>
      </c>
      <c r="N15" t="s">
        <v>794</v>
      </c>
      <c r="V15" s="55" t="s">
        <v>75</v>
      </c>
      <c r="W15" s="58">
        <v>38</v>
      </c>
      <c r="X15" s="53">
        <f>MID(Table18912[[#This Row],[IP]],LEN(Table18912[[#This Row],[IP]])-1,1)+(--MID(V15,8,1)-1)*9</f>
        <v>67</v>
      </c>
      <c r="Y15" s="56" t="s">
        <v>50</v>
      </c>
    </row>
    <row r="16" spans="1:30">
      <c r="A16" t="str">
        <f t="shared" si="1"/>
        <v>10.238.5.48</v>
      </c>
      <c r="B16">
        <f>MID(Table18912[[#This Row],[IP]],LEN(Table18912[[#This Row],[IP]])-1,1)+(--MID(Table18912[[#This Row],[IP]],8,1)-1)*9</f>
        <v>40</v>
      </c>
      <c r="C16" t="s">
        <v>51</v>
      </c>
      <c r="D16" s="97">
        <v>1392.3</v>
      </c>
      <c r="E16" s="97">
        <v>1391.7</v>
      </c>
      <c r="F16" s="97">
        <v>1393.3</v>
      </c>
      <c r="G16" s="97">
        <v>1391.5</v>
      </c>
      <c r="H16" s="97">
        <v>1392.9</v>
      </c>
      <c r="I16" s="97" cm="1">
        <f t="array" ref="I16">IF(SUM(Table18912[[#This Row],[SBMU01]:[SBMU05]])=0,0,SUMPRODUCT(IF(Table18912[[#This Row],[SBMU01]:[SBMU05]]=0,1,0),{1,2,4,8,16}))</f>
        <v>0</v>
      </c>
      <c r="J16" s="97">
        <v>0</v>
      </c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MID(Table18912[[#This Row],[IP]],LEN(Table18912[[#This Row],[IP]])-1,1)+(--MID(V16,8,1)-1)*9</f>
        <v>67</v>
      </c>
      <c r="Y16" s="54" t="s">
        <v>51</v>
      </c>
    </row>
    <row r="17" spans="1:25">
      <c r="A17" t="str">
        <f t="shared" si="1"/>
        <v>10.238.5.49</v>
      </c>
      <c r="B17">
        <f>MID(Table18912[[#This Row],[IP]],LEN(Table18912[[#This Row],[IP]])-1,1)+(--MID(Table18912[[#This Row],[IP]],8,1)-1)*9</f>
        <v>40</v>
      </c>
      <c r="C17" t="s">
        <v>52</v>
      </c>
      <c r="D17" s="97">
        <v>1393.2</v>
      </c>
      <c r="E17" s="97">
        <v>1392.2</v>
      </c>
      <c r="F17" s="97">
        <v>1391.9</v>
      </c>
      <c r="G17" s="97">
        <v>1392.1</v>
      </c>
      <c r="H17" s="97">
        <v>1392</v>
      </c>
      <c r="I17" s="97" cm="1">
        <f t="array" ref="I17">IF(SUM(Table18912[[#This Row],[SBMU01]:[SBMU05]])=0,0,SUMPRODUCT(IF(Table18912[[#This Row],[SBMU01]:[SBMU05]]=0,1,0),{1,2,4,8,16}))</f>
        <v>0</v>
      </c>
      <c r="J17" s="97">
        <v>0</v>
      </c>
      <c r="K17" s="97">
        <v>0</v>
      </c>
      <c r="L17" t="s">
        <v>785</v>
      </c>
      <c r="M17" t="b">
        <f t="shared" si="0"/>
        <v>1</v>
      </c>
      <c r="N17" t="s">
        <v>794</v>
      </c>
      <c r="V17" s="55" t="s">
        <v>77</v>
      </c>
      <c r="W17" s="58">
        <v>38</v>
      </c>
      <c r="X17" s="53">
        <f>MID(Table18912[[#This Row],[IP]],LEN(Table18912[[#This Row],[IP]])-1,1)+(--MID(V17,8,1)-1)*9</f>
        <v>67</v>
      </c>
      <c r="Y17" s="56" t="s">
        <v>52</v>
      </c>
    </row>
    <row r="18" spans="1:25">
      <c r="A18" t="str">
        <f t="shared" si="1"/>
        <v>10.238.5.56</v>
      </c>
      <c r="B18">
        <f>MID(Table18912[[#This Row],[IP]],LEN(Table18912[[#This Row],[IP]])-1,1)+(--MID(Table18912[[#This Row],[IP]],8,1)-1)*9</f>
        <v>41</v>
      </c>
      <c r="C18" t="s">
        <v>49</v>
      </c>
      <c r="D18" s="97">
        <v>1385.5</v>
      </c>
      <c r="E18" s="97">
        <v>1385.3</v>
      </c>
      <c r="F18" s="97">
        <v>1386.5</v>
      </c>
      <c r="G18" s="97">
        <v>1386.1</v>
      </c>
      <c r="H18" s="97">
        <v>1384.4</v>
      </c>
      <c r="I18" s="97" cm="1">
        <f t="array" ref="I18">IF(SUM(Table18912[[#This Row],[SBMU01]:[SBMU05]])=0,0,SUMPRODUCT(IF(Table18912[[#This Row],[SBMU01]:[SBMU05]]=0,1,0),{1,2,4,8,16}))</f>
        <v>0</v>
      </c>
      <c r="J18" s="97">
        <v>0</v>
      </c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MID(Table18912[[#This Row],[IP]],LEN(Table18912[[#This Row],[IP]])-1,1)+(--MID(V18,8,1)-1)*9</f>
        <v>68</v>
      </c>
      <c r="Y18" s="54" t="s">
        <v>49</v>
      </c>
    </row>
    <row r="19" spans="1:25">
      <c r="A19" t="str">
        <f t="shared" si="1"/>
        <v>10.238.5.57</v>
      </c>
      <c r="B19">
        <f>MID(Table18912[[#This Row],[IP]],LEN(Table18912[[#This Row],[IP]])-1,1)+(--MID(Table18912[[#This Row],[IP]],8,1)-1)*9</f>
        <v>41</v>
      </c>
      <c r="C19" t="s">
        <v>50</v>
      </c>
      <c r="D19" s="97">
        <v>1385.5</v>
      </c>
      <c r="E19" s="97">
        <v>1385.5</v>
      </c>
      <c r="F19" s="97">
        <v>1384.7</v>
      </c>
      <c r="G19" s="97">
        <v>1384.7</v>
      </c>
      <c r="H19" s="97">
        <v>1383.7</v>
      </c>
      <c r="I19" s="97" cm="1">
        <f t="array" ref="I19">IF(SUM(Table18912[[#This Row],[SBMU01]:[SBMU05]])=0,0,SUMPRODUCT(IF(Table18912[[#This Row],[SBMU01]:[SBMU05]]=0,1,0),{1,2,4,8,16}))</f>
        <v>0</v>
      </c>
      <c r="J19" s="97">
        <v>0</v>
      </c>
      <c r="K19" s="97">
        <v>0</v>
      </c>
      <c r="L19" t="s">
        <v>785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MID(Table18912[[#This Row],[IP]],LEN(Table18912[[#This Row],[IP]])-1,1)+(--MID(V19,8,1)-1)*9</f>
        <v>68</v>
      </c>
      <c r="Y19" s="56" t="s">
        <v>50</v>
      </c>
    </row>
    <row r="20" spans="1:25">
      <c r="A20" t="str">
        <f t="shared" si="1"/>
        <v>10.238.5.58</v>
      </c>
      <c r="B20">
        <f>MID(Table18912[[#This Row],[IP]],LEN(Table18912[[#This Row],[IP]])-1,1)+(--MID(Table18912[[#This Row],[IP]],8,1)-1)*9</f>
        <v>41</v>
      </c>
      <c r="C20" t="s">
        <v>51</v>
      </c>
      <c r="D20" s="97">
        <v>1387</v>
      </c>
      <c r="E20" s="97">
        <v>1386.6</v>
      </c>
      <c r="F20" s="97">
        <v>1387.9</v>
      </c>
      <c r="G20" s="97">
        <v>1386.9</v>
      </c>
      <c r="H20" s="97">
        <v>1385.7</v>
      </c>
      <c r="I20" s="97" cm="1">
        <f t="array" ref="I20">IF(SUM(Table18912[[#This Row],[SBMU01]:[SBMU05]])=0,0,SUMPRODUCT(IF(Table18912[[#This Row],[SBMU01]:[SBMU05]]=0,1,0),{1,2,4,8,16}))</f>
        <v>0</v>
      </c>
      <c r="J20" s="97">
        <v>0</v>
      </c>
      <c r="K20" s="97">
        <v>0</v>
      </c>
      <c r="L20" t="s">
        <v>785</v>
      </c>
      <c r="M20" t="b">
        <f t="shared" si="0"/>
        <v>1</v>
      </c>
      <c r="N20" t="s">
        <v>794</v>
      </c>
      <c r="V20" s="52" t="s">
        <v>80</v>
      </c>
      <c r="W20" s="57">
        <v>22</v>
      </c>
      <c r="X20" s="53">
        <f>MID(Table18912[[#This Row],[IP]],LEN(Table18912[[#This Row],[IP]])-1,1)+(--MID(V20,8,1)-1)*9</f>
        <v>68</v>
      </c>
      <c r="Y20" s="54" t="s">
        <v>51</v>
      </c>
    </row>
    <row r="21" spans="1:25">
      <c r="A21" t="str">
        <f t="shared" si="1"/>
        <v>10.238.5.59</v>
      </c>
      <c r="B21">
        <f>MID(Table18912[[#This Row],[IP]],LEN(Table18912[[#This Row],[IP]])-1,1)+(--MID(Table18912[[#This Row],[IP]],8,1)-1)*9</f>
        <v>41</v>
      </c>
      <c r="C21" t="s">
        <v>52</v>
      </c>
      <c r="D21" s="97">
        <v>1384.5</v>
      </c>
      <c r="E21" s="97">
        <v>1384.6</v>
      </c>
      <c r="F21" s="97">
        <v>1383.9</v>
      </c>
      <c r="G21" s="97">
        <v>1385.4</v>
      </c>
      <c r="H21" s="97">
        <v>1385.1</v>
      </c>
      <c r="I21" s="97" cm="1">
        <f t="array" ref="I21">IF(SUM(Table18912[[#This Row],[SBMU01]:[SBMU05]])=0,0,SUMPRODUCT(IF(Table18912[[#This Row],[SBMU01]:[SBMU05]]=0,1,0),{1,2,4,8,16}))</f>
        <v>0</v>
      </c>
      <c r="J21" s="97">
        <v>0</v>
      </c>
      <c r="K21" s="97">
        <v>0</v>
      </c>
      <c r="L21" t="s">
        <v>785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MID(Table18912[[#This Row],[IP]],LEN(Table18912[[#This Row],[IP]])-1,1)+(--MID(V21,8,1)-1)*9</f>
        <v>68</v>
      </c>
      <c r="Y21" s="56" t="s">
        <v>52</v>
      </c>
    </row>
    <row r="22" spans="1:25">
      <c r="A22" t="str">
        <f t="shared" si="1"/>
        <v>10.238.5.66</v>
      </c>
      <c r="B22">
        <f>MID(Table18912[[#This Row],[IP]],LEN(Table18912[[#This Row],[IP]])-1,1)+(--MID(Table18912[[#This Row],[IP]],8,1)-1)*9</f>
        <v>42</v>
      </c>
      <c r="C22" t="s">
        <v>49</v>
      </c>
      <c r="D22" s="97">
        <v>1390.7</v>
      </c>
      <c r="E22" s="97">
        <v>1390.1</v>
      </c>
      <c r="F22" s="97">
        <v>1391</v>
      </c>
      <c r="G22" s="97">
        <v>1390.2</v>
      </c>
      <c r="H22" s="97">
        <v>1390.6</v>
      </c>
      <c r="I22" s="97" cm="1">
        <f t="array" ref="I22">IF(SUM(Table18912[[#This Row],[SBMU01]:[SBMU05]])=0,0,SUMPRODUCT(IF(Table18912[[#This Row],[SBMU01]:[SBMU05]]=0,1,0),{1,2,4,8,16}))</f>
        <v>0</v>
      </c>
      <c r="J22" s="97">
        <v>0</v>
      </c>
      <c r="K22" s="97">
        <v>0</v>
      </c>
      <c r="L22" t="s">
        <v>785</v>
      </c>
      <c r="M22" t="b">
        <f t="shared" si="0"/>
        <v>1</v>
      </c>
      <c r="N22" t="s">
        <v>794</v>
      </c>
      <c r="V22" s="52" t="s">
        <v>82</v>
      </c>
      <c r="W22" s="57">
        <v>22</v>
      </c>
      <c r="X22" s="53">
        <f>MID(Table18912[[#This Row],[IP]],LEN(Table18912[[#This Row],[IP]])-1,1)+(--MID(V22,8,1)-1)*9</f>
        <v>69</v>
      </c>
      <c r="Y22" s="54" t="s">
        <v>49</v>
      </c>
    </row>
    <row r="23" spans="1:25">
      <c r="A23" t="str">
        <f t="shared" si="1"/>
        <v>10.238.5.67</v>
      </c>
      <c r="B23">
        <f>MID(Table18912[[#This Row],[IP]],LEN(Table18912[[#This Row],[IP]])-1,1)+(--MID(Table18912[[#This Row],[IP]],8,1)-1)*9</f>
        <v>42</v>
      </c>
      <c r="C23" t="s">
        <v>50</v>
      </c>
      <c r="D23" s="97">
        <v>1390.9</v>
      </c>
      <c r="E23" s="97">
        <v>1391</v>
      </c>
      <c r="F23" s="97">
        <v>1392.1</v>
      </c>
      <c r="G23" s="97">
        <v>1390.1</v>
      </c>
      <c r="H23" s="97">
        <v>1391.2</v>
      </c>
      <c r="I23" s="97" cm="1">
        <f t="array" ref="I23">IF(SUM(Table18912[[#This Row],[SBMU01]:[SBMU05]])=0,0,SUMPRODUCT(IF(Table18912[[#This Row],[SBMU01]:[SBMU05]]=0,1,0),{1,2,4,8,16}))</f>
        <v>0</v>
      </c>
      <c r="J23" s="97">
        <v>0</v>
      </c>
      <c r="K23" s="97">
        <v>0</v>
      </c>
      <c r="L23" t="s">
        <v>785</v>
      </c>
      <c r="M23" t="b">
        <f t="shared" si="0"/>
        <v>1</v>
      </c>
      <c r="N23" t="s">
        <v>794</v>
      </c>
      <c r="V23" s="55" t="s">
        <v>83</v>
      </c>
      <c r="W23" s="58">
        <v>16</v>
      </c>
      <c r="X23" s="53">
        <f>MID(Table18912[[#This Row],[IP]],LEN(Table18912[[#This Row],[IP]])-1,1)+(--MID(V23,8,1)-1)*9</f>
        <v>69</v>
      </c>
      <c r="Y23" s="56" t="s">
        <v>50</v>
      </c>
    </row>
    <row r="24" spans="1:25">
      <c r="A24" t="str">
        <f t="shared" si="1"/>
        <v>10.238.5.68</v>
      </c>
      <c r="B24">
        <f>MID(Table18912[[#This Row],[IP]],LEN(Table18912[[#This Row],[IP]])-1,1)+(--MID(Table18912[[#This Row],[IP]],8,1)-1)*9</f>
        <v>42</v>
      </c>
      <c r="C24" t="s">
        <v>51</v>
      </c>
      <c r="D24" s="97">
        <v>1393.8</v>
      </c>
      <c r="E24" s="97">
        <v>1392.7</v>
      </c>
      <c r="F24" s="97">
        <v>1392.7</v>
      </c>
      <c r="G24" s="97">
        <v>1391.8</v>
      </c>
      <c r="H24" s="97">
        <v>1392.3</v>
      </c>
      <c r="I24" s="97" cm="1">
        <f t="array" ref="I24">IF(SUM(Table18912[[#This Row],[SBMU01]:[SBMU05]])=0,0,SUMPRODUCT(IF(Table18912[[#This Row],[SBMU01]:[SBMU05]]=0,1,0),{1,2,4,8,16}))</f>
        <v>0</v>
      </c>
      <c r="J24" s="97">
        <v>0</v>
      </c>
      <c r="K24" s="97">
        <v>0</v>
      </c>
      <c r="L24" t="s">
        <v>785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MID(Table18912[[#This Row],[IP]],LEN(Table18912[[#This Row],[IP]])-1,1)+(--MID(V24,8,1)-1)*9</f>
        <v>69</v>
      </c>
      <c r="Y24" s="54" t="s">
        <v>51</v>
      </c>
    </row>
    <row r="25" spans="1:25">
      <c r="A25" t="str">
        <f t="shared" si="1"/>
        <v>10.238.5.69</v>
      </c>
      <c r="B25">
        <f>MID(Table18912[[#This Row],[IP]],LEN(Table18912[[#This Row],[IP]])-1,1)+(--MID(Table18912[[#This Row],[IP]],8,1)-1)*9</f>
        <v>42</v>
      </c>
      <c r="C25" t="s">
        <v>52</v>
      </c>
      <c r="D25" s="97">
        <v>1391.8</v>
      </c>
      <c r="E25" s="97">
        <v>1391.9</v>
      </c>
      <c r="F25" s="97">
        <v>1392.8</v>
      </c>
      <c r="G25" s="97">
        <v>1392.8</v>
      </c>
      <c r="H25" s="97">
        <v>1391.9</v>
      </c>
      <c r="I25" s="97" cm="1">
        <f t="array" ref="I25">IF(SUM(Table18912[[#This Row],[SBMU01]:[SBMU05]])=0,0,SUMPRODUCT(IF(Table18912[[#This Row],[SBMU01]:[SBMU05]]=0,1,0),{1,2,4,8,16}))</f>
        <v>0</v>
      </c>
      <c r="J25" s="97">
        <v>0</v>
      </c>
      <c r="K25" s="97">
        <v>0</v>
      </c>
      <c r="L25" t="s">
        <v>785</v>
      </c>
      <c r="M25" t="b">
        <f t="shared" si="0"/>
        <v>1</v>
      </c>
      <c r="N25" t="s">
        <v>794</v>
      </c>
      <c r="V25" s="55" t="s">
        <v>85</v>
      </c>
      <c r="W25" s="58">
        <v>16</v>
      </c>
      <c r="X25" s="53">
        <f>MID(Table18912[[#This Row],[IP]],LEN(Table18912[[#This Row],[IP]])-1,1)+(--MID(V25,8,1)-1)*9</f>
        <v>69</v>
      </c>
      <c r="Y25" s="56" t="s">
        <v>52</v>
      </c>
    </row>
    <row r="26" spans="1:25">
      <c r="A26" t="str">
        <f t="shared" si="1"/>
        <v>10.238.5.76</v>
      </c>
      <c r="B26">
        <f>MID(Table18912[[#This Row],[IP]],LEN(Table18912[[#This Row],[IP]])-1,1)+(--MID(Table18912[[#This Row],[IP]],8,1)-1)*9</f>
        <v>43</v>
      </c>
      <c r="C26" t="s">
        <v>49</v>
      </c>
      <c r="D26" s="97">
        <v>1385.2</v>
      </c>
      <c r="E26" s="97">
        <v>1387.7</v>
      </c>
      <c r="F26" s="97">
        <v>1385</v>
      </c>
      <c r="G26" s="97">
        <v>1384.8</v>
      </c>
      <c r="H26" s="97">
        <v>1384.9</v>
      </c>
      <c r="I26" s="97" cm="1">
        <f t="array" ref="I26">IF(SUM(Table18912[[#This Row],[SBMU01]:[SBMU05]])=0,0,SUMPRODUCT(IF(Table18912[[#This Row],[SBMU01]:[SBMU05]]=0,1,0),{1,2,4,8,16}))</f>
        <v>0</v>
      </c>
      <c r="J26" s="97">
        <v>0</v>
      </c>
      <c r="K26" s="97">
        <v>0</v>
      </c>
      <c r="L26" t="s">
        <v>785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MID(Table18912[[#This Row],[IP]],LEN(Table18912[[#This Row],[IP]])-1,1)+(--MID(V26,8,1)-1)*9</f>
        <v>70</v>
      </c>
      <c r="Y26" s="54" t="s">
        <v>49</v>
      </c>
    </row>
    <row r="27" spans="1:25">
      <c r="A27" t="str">
        <f t="shared" si="1"/>
        <v>10.238.5.77</v>
      </c>
      <c r="B27">
        <f>MID(Table18912[[#This Row],[IP]],LEN(Table18912[[#This Row],[IP]])-1,1)+(--MID(Table18912[[#This Row],[IP]],8,1)-1)*9</f>
        <v>43</v>
      </c>
      <c r="C27" t="s">
        <v>50</v>
      </c>
      <c r="D27" s="97">
        <v>1383.8</v>
      </c>
      <c r="E27" s="97">
        <v>1386.5</v>
      </c>
      <c r="F27" s="97">
        <v>1386.1</v>
      </c>
      <c r="G27" s="97">
        <v>1385.9</v>
      </c>
      <c r="H27" s="97">
        <v>1386.5</v>
      </c>
      <c r="I27" s="97" cm="1">
        <f t="array" ref="I27">IF(SUM(Table18912[[#This Row],[SBMU01]:[SBMU05]])=0,0,SUMPRODUCT(IF(Table18912[[#This Row],[SBMU01]:[SBMU05]]=0,1,0),{1,2,4,8,16}))</f>
        <v>0</v>
      </c>
      <c r="J27" s="97">
        <v>0</v>
      </c>
      <c r="K27" s="97">
        <v>0</v>
      </c>
      <c r="L27" t="s">
        <v>785</v>
      </c>
      <c r="M27" t="b">
        <f t="shared" si="0"/>
        <v>1</v>
      </c>
      <c r="N27" t="s">
        <v>794</v>
      </c>
      <c r="V27" s="55" t="s">
        <v>87</v>
      </c>
      <c r="W27" s="58">
        <v>20</v>
      </c>
      <c r="X27" s="53">
        <f>MID(Table18912[[#This Row],[IP]],LEN(Table18912[[#This Row],[IP]])-1,1)+(--MID(V27,8,1)-1)*9</f>
        <v>70</v>
      </c>
      <c r="Y27" s="56" t="s">
        <v>50</v>
      </c>
    </row>
    <row r="28" spans="1:25">
      <c r="A28" t="str">
        <f t="shared" si="1"/>
        <v>10.238.5.78</v>
      </c>
      <c r="B28">
        <f>MID(Table18912[[#This Row],[IP]],LEN(Table18912[[#This Row],[IP]])-1,1)+(--MID(Table18912[[#This Row],[IP]],8,1)-1)*9</f>
        <v>43</v>
      </c>
      <c r="C28" t="s">
        <v>51</v>
      </c>
      <c r="D28" s="97">
        <v>1383.7</v>
      </c>
      <c r="E28" s="97">
        <v>1383.3</v>
      </c>
      <c r="F28" s="97">
        <v>1383.4</v>
      </c>
      <c r="G28" s="97">
        <v>1384.3</v>
      </c>
      <c r="H28" s="97">
        <v>1382.9</v>
      </c>
      <c r="I28" s="97" cm="1">
        <f t="array" ref="I28">IF(SUM(Table18912[[#This Row],[SBMU01]:[SBMU05]])=0,0,SUMPRODUCT(IF(Table18912[[#This Row],[SBMU01]:[SBMU05]]=0,1,0),{1,2,4,8,16}))</f>
        <v>0</v>
      </c>
      <c r="J28" s="97">
        <v>0</v>
      </c>
      <c r="K28" s="97">
        <v>0</v>
      </c>
      <c r="L28" t="s">
        <v>785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MID(Table18912[[#This Row],[IP]],LEN(Table18912[[#This Row],[IP]])-1,1)+(--MID(V28,8,1)-1)*9</f>
        <v>70</v>
      </c>
      <c r="Y28" s="54" t="s">
        <v>51</v>
      </c>
    </row>
    <row r="29" spans="1:25">
      <c r="A29" t="str">
        <f t="shared" si="1"/>
        <v>10.238.5.79</v>
      </c>
      <c r="B29">
        <f>MID(Table18912[[#This Row],[IP]],LEN(Table18912[[#This Row],[IP]])-1,1)+(--MID(Table18912[[#This Row],[IP]],8,1)-1)*9</f>
        <v>43</v>
      </c>
      <c r="C29" t="s">
        <v>52</v>
      </c>
      <c r="D29" s="97">
        <v>1384.9</v>
      </c>
      <c r="E29" s="97">
        <v>1385.1</v>
      </c>
      <c r="F29" s="97">
        <v>1383.8</v>
      </c>
      <c r="G29" s="97">
        <v>1384.8</v>
      </c>
      <c r="H29" s="97">
        <v>1385.3</v>
      </c>
      <c r="I29" s="97" cm="1">
        <f t="array" ref="I29">IF(SUM(Table18912[[#This Row],[SBMU01]:[SBMU05]])=0,0,SUMPRODUCT(IF(Table18912[[#This Row],[SBMU01]:[SBMU05]]=0,1,0),{1,2,4,8,16}))</f>
        <v>0</v>
      </c>
      <c r="J29" s="97">
        <v>0</v>
      </c>
      <c r="K29" s="97">
        <v>0</v>
      </c>
      <c r="L29" t="s">
        <v>785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MID(Table18912[[#This Row],[IP]],LEN(Table18912[[#This Row],[IP]])-1,1)+(--MID(V29,8,1)-1)*9</f>
        <v>70</v>
      </c>
      <c r="Y29" s="56" t="s">
        <v>52</v>
      </c>
    </row>
    <row r="30" spans="1:25">
      <c r="A30" t="str">
        <f t="shared" si="1"/>
        <v>10.238.5.86</v>
      </c>
      <c r="B30">
        <f>MID(Table18912[[#This Row],[IP]],LEN(Table18912[[#This Row],[IP]])-1,1)+(--MID(Table18912[[#This Row],[IP]],8,1)-1)*9</f>
        <v>44</v>
      </c>
      <c r="C30" t="s">
        <v>49</v>
      </c>
      <c r="D30" s="97">
        <v>1384.5</v>
      </c>
      <c r="E30" s="97">
        <v>1384.5</v>
      </c>
      <c r="F30" s="97">
        <v>1384.2</v>
      </c>
      <c r="G30" s="97">
        <v>1384.2</v>
      </c>
      <c r="H30" s="97">
        <v>1384.2</v>
      </c>
      <c r="I30" s="97" cm="1">
        <f t="array" ref="I30">IF(SUM(Table18912[[#This Row],[SBMU01]:[SBMU05]])=0,0,SUMPRODUCT(IF(Table18912[[#This Row],[SBMU01]:[SBMU05]]=0,1,0),{1,2,4,8,16}))</f>
        <v>0</v>
      </c>
      <c r="J30" s="97">
        <v>0</v>
      </c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MID(Table18912[[#This Row],[IP]],LEN(Table18912[[#This Row],[IP]])-1,1)+(--MID(V30,8,1)-1)*9</f>
        <v>71</v>
      </c>
      <c r="Y30" s="54" t="s">
        <v>49</v>
      </c>
    </row>
    <row r="31" spans="1:25">
      <c r="A31" t="str">
        <f t="shared" si="1"/>
        <v>10.238.5.87</v>
      </c>
      <c r="B31">
        <f>MID(Table18912[[#This Row],[IP]],LEN(Table18912[[#This Row],[IP]])-1,1)+(--MID(Table18912[[#This Row],[IP]],8,1)-1)*9</f>
        <v>44</v>
      </c>
      <c r="C31" t="s">
        <v>50</v>
      </c>
      <c r="D31" s="97">
        <v>1393.3</v>
      </c>
      <c r="E31" s="97">
        <v>1392.9</v>
      </c>
      <c r="F31" s="97">
        <v>1391.8</v>
      </c>
      <c r="G31" s="97">
        <v>1392.4</v>
      </c>
      <c r="H31" s="97">
        <v>1392.3</v>
      </c>
      <c r="I31" s="97" cm="1">
        <f t="array" ref="I31">IF(SUM(Table18912[[#This Row],[SBMU01]:[SBMU05]])=0,0,SUMPRODUCT(IF(Table18912[[#This Row],[SBMU01]:[SBMU05]]=0,1,0),{1,2,4,8,16}))</f>
        <v>0</v>
      </c>
      <c r="J31" s="97">
        <v>0</v>
      </c>
      <c r="K31" s="97">
        <v>0</v>
      </c>
      <c r="L31" t="s">
        <v>785</v>
      </c>
      <c r="M31" t="b">
        <f t="shared" si="0"/>
        <v>1</v>
      </c>
      <c r="N31" t="s">
        <v>794</v>
      </c>
      <c r="V31" s="55" t="s">
        <v>91</v>
      </c>
      <c r="W31" s="58">
        <v>28</v>
      </c>
      <c r="X31" s="53">
        <f>MID(Table18912[[#This Row],[IP]],LEN(Table18912[[#This Row],[IP]])-1,1)+(--MID(V31,8,1)-1)*9</f>
        <v>71</v>
      </c>
      <c r="Y31" s="56" t="s">
        <v>50</v>
      </c>
    </row>
    <row r="32" spans="1:25">
      <c r="A32" t="str">
        <f t="shared" si="1"/>
        <v>10.238.5.88</v>
      </c>
      <c r="B32">
        <f>MID(Table18912[[#This Row],[IP]],LEN(Table18912[[#This Row],[IP]])-1,1)+(--MID(Table18912[[#This Row],[IP]],8,1)-1)*9</f>
        <v>44</v>
      </c>
      <c r="C32" t="s">
        <v>51</v>
      </c>
      <c r="D32" s="97">
        <v>1391</v>
      </c>
      <c r="E32" s="97">
        <v>1391.4</v>
      </c>
      <c r="F32" s="97">
        <v>1392.4</v>
      </c>
      <c r="G32" s="97">
        <v>1392.2</v>
      </c>
      <c r="H32" s="97">
        <v>1391.3</v>
      </c>
      <c r="I32" s="97" cm="1">
        <f t="array" ref="I32">IF(SUM(Table18912[[#This Row],[SBMU01]:[SBMU05]])=0,0,SUMPRODUCT(IF(Table18912[[#This Row],[SBMU01]:[SBMU05]]=0,1,0),{1,2,4,8,16}))</f>
        <v>0</v>
      </c>
      <c r="J32" s="97">
        <v>0</v>
      </c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MID(Table18912[[#This Row],[IP]],LEN(Table18912[[#This Row],[IP]])-1,1)+(--MID(V32,8,1)-1)*9</f>
        <v>71</v>
      </c>
      <c r="Y32" s="54" t="s">
        <v>51</v>
      </c>
    </row>
    <row r="33" spans="1:25">
      <c r="A33" t="str">
        <f t="shared" si="1"/>
        <v>10.238.5.89</v>
      </c>
      <c r="B33">
        <f>MID(Table18912[[#This Row],[IP]],LEN(Table18912[[#This Row],[IP]])-1,1)+(--MID(Table18912[[#This Row],[IP]],8,1)-1)*9</f>
        <v>44</v>
      </c>
      <c r="C33" t="s">
        <v>52</v>
      </c>
      <c r="D33" s="97">
        <v>1383.4</v>
      </c>
      <c r="E33" s="97">
        <v>1383.3</v>
      </c>
      <c r="F33" s="97">
        <v>1384.2</v>
      </c>
      <c r="G33" s="97">
        <v>1382.5</v>
      </c>
      <c r="H33" s="97">
        <v>1384</v>
      </c>
      <c r="I33" s="97" cm="1">
        <f t="array" ref="I33">IF(SUM(Table18912[[#This Row],[SBMU01]:[SBMU05]])=0,0,SUMPRODUCT(IF(Table18912[[#This Row],[SBMU01]:[SBMU05]]=0,1,0),{1,2,4,8,16}))</f>
        <v>0</v>
      </c>
      <c r="J33" s="97">
        <v>0</v>
      </c>
      <c r="K33" s="97">
        <v>0</v>
      </c>
      <c r="M33" t="b">
        <f t="shared" si="0"/>
        <v>1</v>
      </c>
      <c r="N33" t="s">
        <v>794</v>
      </c>
      <c r="O33" t="s">
        <v>788</v>
      </c>
      <c r="V33" s="55" t="s">
        <v>93</v>
      </c>
      <c r="W33" s="58">
        <v>31</v>
      </c>
      <c r="X33" s="53">
        <f>MID(Table18912[[#This Row],[IP]],LEN(Table18912[[#This Row],[IP]])-1,1)+(--MID(V33,8,1)-1)*9</f>
        <v>71</v>
      </c>
      <c r="Y33" s="56" t="s">
        <v>52</v>
      </c>
    </row>
    <row r="34" spans="1:25">
      <c r="A34" t="str">
        <f t="shared" si="1"/>
        <v>10.238.5.96</v>
      </c>
      <c r="B34">
        <f>MID(Table18912[[#This Row],[IP]],LEN(Table18912[[#This Row],[IP]])-1,1)+(--MID(Table18912[[#This Row],[IP]],8,1)-1)*9</f>
        <v>45</v>
      </c>
      <c r="C34" t="s">
        <v>49</v>
      </c>
      <c r="D34" s="97">
        <v>1385.7</v>
      </c>
      <c r="E34" s="97">
        <v>1387.6</v>
      </c>
      <c r="F34" s="97">
        <v>1384.5</v>
      </c>
      <c r="G34" s="97">
        <v>1385.4</v>
      </c>
      <c r="H34" s="97">
        <v>1387</v>
      </c>
      <c r="I34" s="97" cm="1">
        <f t="array" ref="I34">IF(SUM(Table18912[[#This Row],[SBMU01]:[SBMU05]])=0,0,SUMPRODUCT(IF(Table18912[[#This Row],[SBMU01]:[SBMU05]]=0,1,0),{1,2,4,8,16}))</f>
        <v>0</v>
      </c>
      <c r="J34" s="97">
        <v>0</v>
      </c>
      <c r="K34" s="97">
        <v>0</v>
      </c>
      <c r="L34" t="s">
        <v>785</v>
      </c>
      <c r="M34" t="b">
        <f t="shared" si="0"/>
        <v>1</v>
      </c>
      <c r="N34" t="s">
        <v>794</v>
      </c>
      <c r="V34" s="52" t="s">
        <v>94</v>
      </c>
      <c r="W34" s="57">
        <v>23</v>
      </c>
      <c r="X34" s="53">
        <f>MID(Table18912[[#This Row],[IP]],LEN(Table18912[[#This Row],[IP]])-1,1)+(--MID(V34,8,1)-1)*9</f>
        <v>72</v>
      </c>
      <c r="Y34" s="54" t="s">
        <v>49</v>
      </c>
    </row>
    <row r="35" spans="1:25">
      <c r="A35" t="str">
        <f t="shared" si="1"/>
        <v>10.238.5.97</v>
      </c>
      <c r="B35">
        <f>MID(Table18912[[#This Row],[IP]],LEN(Table18912[[#This Row],[IP]])-1,1)+(--MID(Table18912[[#This Row],[IP]],8,1)-1)*9</f>
        <v>45</v>
      </c>
      <c r="C35" t="s">
        <v>50</v>
      </c>
      <c r="D35" s="97">
        <v>1384.3</v>
      </c>
      <c r="E35" s="97">
        <v>1384.5</v>
      </c>
      <c r="F35" s="97">
        <v>1384.2</v>
      </c>
      <c r="G35" s="97">
        <v>1384.6</v>
      </c>
      <c r="H35" s="97">
        <v>1384.1</v>
      </c>
      <c r="I35" s="97" cm="1">
        <f t="array" ref="I35">IF(SUM(Table18912[[#This Row],[SBMU01]:[SBMU05]])=0,0,SUMPRODUCT(IF(Table18912[[#This Row],[SBMU01]:[SBMU05]]=0,1,0),{1,2,4,8,16}))</f>
        <v>0</v>
      </c>
      <c r="J35" s="97">
        <v>0</v>
      </c>
      <c r="K35" s="97">
        <v>0</v>
      </c>
      <c r="L35" t="s">
        <v>785</v>
      </c>
      <c r="M35" t="b">
        <f t="shared" si="0"/>
        <v>1</v>
      </c>
      <c r="N35" t="s">
        <v>794</v>
      </c>
      <c r="V35" s="55" t="s">
        <v>95</v>
      </c>
      <c r="W35" s="58">
        <v>23</v>
      </c>
      <c r="X35" s="53">
        <f>MID(Table18912[[#This Row],[IP]],LEN(Table18912[[#This Row],[IP]])-1,1)+(--MID(V35,8,1)-1)*9</f>
        <v>72</v>
      </c>
      <c r="Y35" s="56" t="s">
        <v>50</v>
      </c>
    </row>
    <row r="36" spans="1:25">
      <c r="A36" t="str">
        <f t="shared" si="1"/>
        <v>10.238.5.98</v>
      </c>
      <c r="B36">
        <f>MID(Table18912[[#This Row],[IP]],LEN(Table18912[[#This Row],[IP]])-1,1)+(--MID(Table18912[[#This Row],[IP]],8,1)-1)*9</f>
        <v>45</v>
      </c>
      <c r="C36" t="s">
        <v>51</v>
      </c>
      <c r="D36" s="97">
        <v>1385.1</v>
      </c>
      <c r="E36" s="97">
        <v>1385.3</v>
      </c>
      <c r="F36" s="97">
        <v>1384</v>
      </c>
      <c r="G36" s="97">
        <v>1384.9</v>
      </c>
      <c r="H36" s="97">
        <v>1383.8</v>
      </c>
      <c r="I36" s="97" cm="1">
        <f t="array" ref="I36">IF(SUM(Table18912[[#This Row],[SBMU01]:[SBMU05]])=0,0,SUMPRODUCT(IF(Table18912[[#This Row],[SBMU01]:[SBMU05]]=0,1,0),{1,2,4,8,16}))</f>
        <v>0</v>
      </c>
      <c r="J36" s="97">
        <v>0</v>
      </c>
      <c r="K36" s="97">
        <v>0</v>
      </c>
      <c r="L36" t="s">
        <v>785</v>
      </c>
      <c r="M36" t="b">
        <f t="shared" si="0"/>
        <v>1</v>
      </c>
      <c r="N36" t="s">
        <v>794</v>
      </c>
      <c r="V36" s="52" t="s">
        <v>96</v>
      </c>
      <c r="W36" s="57">
        <v>24</v>
      </c>
      <c r="X36" s="53">
        <f>MID(Table18912[[#This Row],[IP]],LEN(Table18912[[#This Row],[IP]])-1,1)+(--MID(V36,8,1)-1)*9</f>
        <v>72</v>
      </c>
      <c r="Y36" s="54" t="s">
        <v>51</v>
      </c>
    </row>
    <row r="37" spans="1:25">
      <c r="A37" t="str">
        <f t="shared" si="1"/>
        <v>10.238.5.99</v>
      </c>
      <c r="B37">
        <f>MID(Table18912[[#This Row],[IP]],LEN(Table18912[[#This Row],[IP]])-1,1)+(--MID(Table18912[[#This Row],[IP]],8,1)-1)*9</f>
        <v>45</v>
      </c>
      <c r="C37" t="s">
        <v>52</v>
      </c>
      <c r="D37" s="97">
        <v>1384.8</v>
      </c>
      <c r="E37" s="97">
        <v>1383.4</v>
      </c>
      <c r="F37" s="97">
        <v>1383.4</v>
      </c>
      <c r="G37" s="97">
        <v>1383.6</v>
      </c>
      <c r="H37" s="97">
        <v>1383.3</v>
      </c>
      <c r="I37" s="97" cm="1">
        <f t="array" ref="I37">IF(SUM(Table18912[[#This Row],[SBMU01]:[SBMU05]])=0,0,SUMPRODUCT(IF(Table18912[[#This Row],[SBMU01]:[SBMU05]]=0,1,0),{1,2,4,8,16}))</f>
        <v>0</v>
      </c>
      <c r="J37" s="97">
        <v>0</v>
      </c>
      <c r="K37" s="97">
        <v>0</v>
      </c>
      <c r="L37" t="s">
        <v>785</v>
      </c>
      <c r="M37" t="b">
        <f t="shared" si="0"/>
        <v>1</v>
      </c>
      <c r="N37" t="s">
        <v>794</v>
      </c>
      <c r="V37" s="55" t="s">
        <v>97</v>
      </c>
      <c r="W37" s="58">
        <v>24</v>
      </c>
      <c r="X37" s="53">
        <f>MID(Table18912[[#This Row],[IP]],LEN(Table18912[[#This Row],[IP]])-1,1)+(--MID(V37,8,1)-1)*9</f>
        <v>72</v>
      </c>
      <c r="Y37" s="56" t="s">
        <v>52</v>
      </c>
    </row>
  </sheetData>
  <conditionalFormatting sqref="I2:I37">
    <cfRule type="cellIs" dxfId="99" priority="3" operator="notEqual">
      <formula>K2</formula>
    </cfRule>
  </conditionalFormatting>
  <conditionalFormatting sqref="M3:M37">
    <cfRule type="cellIs" dxfId="98" priority="2" operator="equal">
      <formula>TRUE</formula>
    </cfRule>
  </conditionalFormatting>
  <conditionalFormatting sqref="M2">
    <cfRule type="cellIs" dxfId="3" priority="1" operator="equal">
      <formula>TRUE</formula>
    </cfRule>
  </conditionalFormatting>
  <dataValidations count="2">
    <dataValidation type="list" allowBlank="1" showInputMessage="1" showErrorMessage="1" sqref="R1" xr:uid="{C8F9CD8C-8194-4A61-8CF4-2958C1814C26}">
      <formula1>$AA$2:$AA$9</formula1>
    </dataValidation>
    <dataValidation type="list" allowBlank="1" sqref="O1" xr:uid="{2F3FE119-BAD3-4B71-8C96-75CF65F9AC5C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8367-541F-4D8D-80E7-967D6A8AABDA}">
  <sheetPr codeName="Sheet13"/>
  <dimension ref="A1:AD37"/>
  <sheetViews>
    <sheetView workbookViewId="0">
      <pane ySplit="1" topLeftCell="A2" activePane="bottomLeft" state="frozen"/>
      <selection activeCell="M2" sqref="M2"/>
      <selection pane="bottomLeft" activeCell="H35" sqref="H35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6</v>
      </c>
      <c r="X1" t="s">
        <v>769</v>
      </c>
    </row>
    <row r="2" spans="1:30">
      <c r="A2" t="str">
        <f>SUBSTITUTE(V2,".8.","."&amp;$R$1&amp;".")</f>
        <v>10.238.6.16</v>
      </c>
      <c r="B2">
        <f>MID(Table1891213[[#This Row],[IP]],LEN(Table1891213[[#This Row],[IP]])-1,1)+(--MID(Table1891213[[#This Row],[IP]],8,1)-1)*9</f>
        <v>46</v>
      </c>
      <c r="C2" t="s">
        <v>49</v>
      </c>
      <c r="D2" s="97">
        <v>1391.3</v>
      </c>
      <c r="E2" s="97">
        <v>1392.2</v>
      </c>
      <c r="F2" s="97">
        <v>1391.7</v>
      </c>
      <c r="G2" s="97">
        <v>1391.8</v>
      </c>
      <c r="H2" s="97">
        <v>1390.5</v>
      </c>
      <c r="I2" s="97" cm="1">
        <f t="array" ref="I2">IF(SUM(Table1891213[[#This Row],[SBMU01]:[SBMU05]])=0,0,SUMPRODUCT(IF(Table1891213[[#This Row],[SBMU01]:[SBMU05]]=0,1,0),{1,2,4,8,16}))</f>
        <v>0</v>
      </c>
      <c r="J2" s="97">
        <v>0</v>
      </c>
      <c r="K2" s="97">
        <v>0</v>
      </c>
      <c r="L2" t="s">
        <v>785</v>
      </c>
      <c r="M2" t="b">
        <f t="shared" ref="M2:M37" si="0">MAX($D2:$H2)-MIN($D2:$H2)&lt;10</f>
        <v>1</v>
      </c>
      <c r="N2" t="s">
        <v>794</v>
      </c>
      <c r="V2" s="52" t="s">
        <v>62</v>
      </c>
      <c r="W2" s="57">
        <v>33</v>
      </c>
      <c r="X2" s="53">
        <f>MID(Table1891213[[#This Row],[IP]],LEN(Table1891213[[#This Row],[IP]])-1,1)+(--MID(V2,8,1)-1)*9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t="str">
        <f t="shared" ref="A3:A37" si="1">SUBSTITUTE(V3,".8.","."&amp;$R$1&amp;".")</f>
        <v>10.238.6.17</v>
      </c>
      <c r="B3">
        <f>MID(Table1891213[[#This Row],[IP]],LEN(Table1891213[[#This Row],[IP]])-1,1)+(--MID(Table1891213[[#This Row],[IP]],8,1)-1)*9</f>
        <v>46</v>
      </c>
      <c r="C3" t="s">
        <v>50</v>
      </c>
      <c r="D3" s="97">
        <v>1393.3</v>
      </c>
      <c r="E3" s="97">
        <v>1392.1</v>
      </c>
      <c r="F3" s="97">
        <v>1392.5</v>
      </c>
      <c r="G3" s="97">
        <v>1391.7</v>
      </c>
      <c r="H3" s="97">
        <v>1390.9</v>
      </c>
      <c r="I3" s="97" cm="1">
        <f t="array" ref="I3">IF(SUM(Table1891213[[#This Row],[SBMU01]:[SBMU05]])=0,0,SUMPRODUCT(IF(Table1891213[[#This Row],[SBMU01]:[SBMU05]]=0,1,0),{1,2,4,8,16}))</f>
        <v>0</v>
      </c>
      <c r="J3" s="97">
        <v>0</v>
      </c>
      <c r="K3" s="97">
        <v>0</v>
      </c>
      <c r="L3" t="s">
        <v>785</v>
      </c>
      <c r="M3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MID(Table1891213[[#This Row],[IP]],LEN(Table1891213[[#This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10.238.6.18</v>
      </c>
      <c r="B4">
        <f>MID(Table1891213[[#This Row],[IP]],LEN(Table1891213[[#This Row],[IP]])-1,1)+(--MID(Table1891213[[#This Row],[IP]],8,1)-1)*9</f>
        <v>46</v>
      </c>
      <c r="C4" t="s">
        <v>51</v>
      </c>
      <c r="D4" s="97">
        <v>1391.4</v>
      </c>
      <c r="E4" s="97">
        <v>1390.4</v>
      </c>
      <c r="F4" s="97">
        <v>1391.3</v>
      </c>
      <c r="G4" s="97">
        <v>1390.7</v>
      </c>
      <c r="H4" s="97">
        <v>1391.7</v>
      </c>
      <c r="I4" s="97" cm="1">
        <f t="array" ref="I4">IF(SUM(Table1891213[[#This Row],[SBMU01]:[SBMU05]])=0,0,SUMPRODUCT(IF(Table1891213[[#This Row],[SBMU01]:[SBMU05]]=0,1,0),{1,2,4,8,16}))</f>
        <v>0</v>
      </c>
      <c r="J4" s="97">
        <v>0</v>
      </c>
      <c r="K4" s="97">
        <v>0</v>
      </c>
      <c r="L4" t="s">
        <v>785</v>
      </c>
      <c r="M4" t="b">
        <f t="shared" si="0"/>
        <v>1</v>
      </c>
      <c r="N4" t="s">
        <v>794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MID(Table1891213[[#This Row],[IP]],LEN(Table1891213[[#This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t="str">
        <f t="shared" si="1"/>
        <v>10.238.6.19</v>
      </c>
      <c r="B5">
        <f>MID(Table1891213[[#This Row],[IP]],LEN(Table1891213[[#This Row],[IP]])-1,1)+(--MID(Table1891213[[#This Row],[IP]],8,1)-1)*9</f>
        <v>46</v>
      </c>
      <c r="C5" t="s">
        <v>52</v>
      </c>
      <c r="D5" s="97">
        <v>1391.3</v>
      </c>
      <c r="E5" s="97">
        <v>1391.7</v>
      </c>
      <c r="F5" s="97">
        <v>1390.9</v>
      </c>
      <c r="G5" s="97">
        <v>1390.6</v>
      </c>
      <c r="H5" s="97">
        <v>1390.7</v>
      </c>
      <c r="I5" s="97" cm="1">
        <f t="array" ref="I5">IF(SUM(Table1891213[[#This Row],[SBMU01]:[SBMU05]])=0,0,SUMPRODUCT(IF(Table1891213[[#This Row],[SBMU01]:[SBMU05]]=0,1,0),{1,2,4,8,16}))</f>
        <v>0</v>
      </c>
      <c r="J5" s="97">
        <v>0</v>
      </c>
      <c r="K5" s="97">
        <v>0</v>
      </c>
      <c r="L5" t="s">
        <v>785</v>
      </c>
      <c r="M5" t="b">
        <f t="shared" si="0"/>
        <v>1</v>
      </c>
      <c r="N5" t="s">
        <v>794</v>
      </c>
      <c r="Q5">
        <v>1076</v>
      </c>
      <c r="R5" t="s">
        <v>777</v>
      </c>
      <c r="V5" s="55" t="s">
        <v>65</v>
      </c>
      <c r="W5" s="58">
        <v>32</v>
      </c>
      <c r="X5" s="53">
        <f>MID(Table1891213[[#This Row],[IP]],LEN(Table1891213[[#This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t="str">
        <f t="shared" si="1"/>
        <v>10.238.6.26</v>
      </c>
      <c r="B6">
        <f>MID(Table1891213[[#This Row],[IP]],LEN(Table1891213[[#This Row],[IP]])-1,1)+(--MID(Table1891213[[#This Row],[IP]],8,1)-1)*9</f>
        <v>47</v>
      </c>
      <c r="C6" t="s">
        <v>49</v>
      </c>
      <c r="D6" s="97">
        <v>1392.4</v>
      </c>
      <c r="E6" s="97">
        <v>1390.6</v>
      </c>
      <c r="F6" s="97">
        <v>1392.5</v>
      </c>
      <c r="G6" s="97">
        <v>1395.9</v>
      </c>
      <c r="H6" s="97">
        <v>1391.9</v>
      </c>
      <c r="I6" s="97" cm="1">
        <f t="array" ref="I6">IF(SUM(Table1891213[[#This Row],[SBMU01]:[SBMU05]])=0,0,SUMPRODUCT(IF(Table1891213[[#This Row],[SBMU01]:[SBMU05]]=0,1,0),{1,2,4,8,16}))</f>
        <v>0</v>
      </c>
      <c r="J6" s="97">
        <v>0</v>
      </c>
      <c r="K6" s="97">
        <v>0</v>
      </c>
      <c r="L6" t="s">
        <v>785</v>
      </c>
      <c r="M6" t="b">
        <f t="shared" si="0"/>
        <v>1</v>
      </c>
      <c r="N6" t="s">
        <v>794</v>
      </c>
      <c r="Q6">
        <v>1077</v>
      </c>
      <c r="R6" t="s">
        <v>778</v>
      </c>
      <c r="V6" s="52" t="s">
        <v>66</v>
      </c>
      <c r="W6" s="57">
        <v>17</v>
      </c>
      <c r="X6" s="53" t="s">
        <v>769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10.238.6.27</v>
      </c>
      <c r="B7">
        <f>MID(Table1891213[[#This Row],[IP]],LEN(Table1891213[[#This Row],[IP]])-1,1)+(--MID(Table1891213[[#This Row],[IP]],8,1)-1)*9</f>
        <v>47</v>
      </c>
      <c r="C7" t="s">
        <v>50</v>
      </c>
      <c r="D7" s="97">
        <v>1392.6</v>
      </c>
      <c r="E7" s="97">
        <v>1392.1</v>
      </c>
      <c r="F7" s="97">
        <v>1392.9</v>
      </c>
      <c r="G7" s="97">
        <v>1393.3</v>
      </c>
      <c r="H7" s="97">
        <v>1392.8</v>
      </c>
      <c r="I7" s="97" cm="1">
        <f t="array" ref="I7">IF(SUM(Table1891213[[#This Row],[SBMU01]:[SBMU05]])=0,0,SUMPRODUCT(IF(Table1891213[[#This Row],[SBMU01]:[SBMU05]]=0,1,0),{1,2,4,8,16}))</f>
        <v>0</v>
      </c>
      <c r="J7" s="97">
        <v>0</v>
      </c>
      <c r="K7" s="97">
        <v>0</v>
      </c>
      <c r="L7" t="s">
        <v>785</v>
      </c>
      <c r="M7" t="b">
        <f t="shared" si="0"/>
        <v>1</v>
      </c>
      <c r="N7" t="s">
        <v>794</v>
      </c>
      <c r="Q7">
        <v>1078</v>
      </c>
      <c r="R7" t="s">
        <v>779</v>
      </c>
      <c r="V7" s="55" t="s">
        <v>67</v>
      </c>
      <c r="W7" s="58">
        <v>18</v>
      </c>
      <c r="X7" s="53">
        <f>MID(Table1891213[[#This Row],[IP]],LEN(Table1891213[[#This Row],[IP]])-1,1)+(--MID(V7,8,1)-1)*9</f>
        <v>65</v>
      </c>
      <c r="Y7" s="56" t="s">
        <v>50</v>
      </c>
      <c r="AA7">
        <v>6</v>
      </c>
    </row>
    <row r="8" spans="1:30">
      <c r="A8" t="str">
        <f t="shared" si="1"/>
        <v>10.238.6.28</v>
      </c>
      <c r="B8">
        <f>MID(Table1891213[[#This Row],[IP]],LEN(Table1891213[[#This Row],[IP]])-1,1)+(--MID(Table1891213[[#This Row],[IP]],8,1)-1)*9</f>
        <v>47</v>
      </c>
      <c r="C8" t="s">
        <v>51</v>
      </c>
      <c r="D8" s="97">
        <v>1392.7</v>
      </c>
      <c r="E8" s="97">
        <v>1394.6</v>
      </c>
      <c r="F8" s="97">
        <v>1393.6</v>
      </c>
      <c r="G8" s="97">
        <v>1392.4</v>
      </c>
      <c r="H8" s="97">
        <v>1393.7</v>
      </c>
      <c r="I8" s="97" cm="1">
        <f t="array" ref="I8">IF(SUM(Table1891213[[#This Row],[SBMU01]:[SBMU05]])=0,0,SUMPRODUCT(IF(Table1891213[[#This Row],[SBMU01]:[SBMU05]]=0,1,0),{1,2,4,8,16}))</f>
        <v>0</v>
      </c>
      <c r="J8" s="97">
        <v>0</v>
      </c>
      <c r="K8" s="97">
        <v>0</v>
      </c>
      <c r="L8" t="s">
        <v>785</v>
      </c>
      <c r="M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MID(Table1891213[[#This Row],[IP]],LEN(Table1891213[[#This Row],[IP]])-1,1)+(--MID(V8,8,1)-1)*9</f>
        <v>65</v>
      </c>
      <c r="Y8" s="54" t="s">
        <v>51</v>
      </c>
      <c r="AA8">
        <v>7</v>
      </c>
    </row>
    <row r="9" spans="1:30">
      <c r="A9" t="str">
        <f t="shared" si="1"/>
        <v>10.238.6.29</v>
      </c>
      <c r="B9">
        <f>MID(Table1891213[[#This Row],[IP]],LEN(Table1891213[[#This Row],[IP]])-1,1)+(--MID(Table1891213[[#This Row],[IP]],8,1)-1)*9</f>
        <v>47</v>
      </c>
      <c r="C9" t="s">
        <v>52</v>
      </c>
      <c r="D9" s="97">
        <v>1392</v>
      </c>
      <c r="E9" s="97">
        <v>1391.6</v>
      </c>
      <c r="F9" s="97">
        <v>1394.2</v>
      </c>
      <c r="G9" s="97">
        <v>1393.4</v>
      </c>
      <c r="H9" s="97">
        <v>1392.9</v>
      </c>
      <c r="I9" s="97" cm="1">
        <f t="array" ref="I9">IF(SUM(Table1891213[[#This Row],[SBMU01]:[SBMU05]])=0,0,SUMPRODUCT(IF(Table1891213[[#This Row],[SBMU01]:[SBMU05]]=0,1,0),{1,2,4,8,16}))</f>
        <v>0</v>
      </c>
      <c r="J9" s="97">
        <v>0</v>
      </c>
      <c r="K9" s="97">
        <v>0</v>
      </c>
      <c r="L9" t="s">
        <v>785</v>
      </c>
      <c r="M9" t="b">
        <f t="shared" si="0"/>
        <v>1</v>
      </c>
      <c r="N9" t="s">
        <v>794</v>
      </c>
      <c r="Q9">
        <v>1080</v>
      </c>
      <c r="R9" t="s">
        <v>781</v>
      </c>
      <c r="V9" s="55" t="s">
        <v>69</v>
      </c>
      <c r="W9" s="58">
        <v>17</v>
      </c>
      <c r="X9" s="53">
        <f>MID(Table1891213[[#This Row],[IP]],LEN(Table1891213[[#This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10.238.6.36</v>
      </c>
      <c r="B10">
        <f>MID(Table1891213[[#This Row],[IP]],LEN(Table1891213[[#This Row],[IP]])-1,1)+(--MID(Table1891213[[#This Row],[IP]],8,1)-1)*9</f>
        <v>48</v>
      </c>
      <c r="C10" t="s">
        <v>49</v>
      </c>
      <c r="D10" s="97">
        <v>1391.2</v>
      </c>
      <c r="E10" s="97">
        <v>1392.4</v>
      </c>
      <c r="F10" s="97">
        <v>1393.2</v>
      </c>
      <c r="G10" s="97">
        <v>1392</v>
      </c>
      <c r="H10" s="97">
        <v>1391.3</v>
      </c>
      <c r="I10" s="97" cm="1">
        <f t="array" ref="I10">IF(SUM(Table1891213[[#This Row],[SBMU01]:[SBMU05]])=0,0,SUMPRODUCT(IF(Table1891213[[#This Row],[SBMU01]:[SBMU05]]=0,1,0),{1,2,4,8,16}))</f>
        <v>0</v>
      </c>
      <c r="J10" s="97">
        <v>0</v>
      </c>
      <c r="K10" s="97">
        <v>0</v>
      </c>
      <c r="L10" t="s">
        <v>785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MID(Table1891213[[#This Row],[IP]],LEN(Table1891213[[#This Row],[IP]])-1,1)+(--MID(V10,8,1)-1)*9</f>
        <v>66</v>
      </c>
      <c r="Y10" s="54" t="s">
        <v>49</v>
      </c>
    </row>
    <row r="11" spans="1:30">
      <c r="A11" t="str">
        <f t="shared" si="1"/>
        <v>10.238.6.37</v>
      </c>
      <c r="B11">
        <f>MID(Table1891213[[#This Row],[IP]],LEN(Table1891213[[#This Row],[IP]])-1,1)+(--MID(Table1891213[[#This Row],[IP]],8,1)-1)*9</f>
        <v>48</v>
      </c>
      <c r="C11" t="s">
        <v>50</v>
      </c>
      <c r="D11" s="97">
        <v>1394.2</v>
      </c>
      <c r="E11" s="97">
        <v>1392.5</v>
      </c>
      <c r="F11" s="97">
        <v>1392.4</v>
      </c>
      <c r="G11" s="97">
        <v>1391.5</v>
      </c>
      <c r="H11" s="97">
        <v>1393</v>
      </c>
      <c r="I11" s="97" cm="1">
        <f t="array" ref="I11">IF(SUM(Table1891213[[#This Row],[SBMU01]:[SBMU05]])=0,0,SUMPRODUCT(IF(Table1891213[[#This Row],[SBMU01]:[SBMU05]]=0,1,0),{1,2,4,8,16}))</f>
        <v>0</v>
      </c>
      <c r="J11" s="97">
        <v>0</v>
      </c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MID(Table1891213[[#This Row],[IP]],LEN(Table1891213[[#This Row],[IP]])-1,1)+(--MID(V11,8,1)-1)*9</f>
        <v>66</v>
      </c>
      <c r="Y11" s="56" t="s">
        <v>50</v>
      </c>
    </row>
    <row r="12" spans="1:30">
      <c r="A12" t="str">
        <f t="shared" si="1"/>
        <v>10.238.6.38</v>
      </c>
      <c r="B12">
        <f>MID(Table1891213[[#This Row],[IP]],LEN(Table1891213[[#This Row],[IP]])-1,1)+(--MID(Table1891213[[#This Row],[IP]],8,1)-1)*9</f>
        <v>48</v>
      </c>
      <c r="C12" t="s">
        <v>51</v>
      </c>
      <c r="D12" s="97">
        <v>1392.9</v>
      </c>
      <c r="E12" s="97">
        <v>1393.3</v>
      </c>
      <c r="F12" s="97">
        <v>1391.9</v>
      </c>
      <c r="G12" s="97">
        <v>1392.8</v>
      </c>
      <c r="H12" s="97">
        <v>1392.8</v>
      </c>
      <c r="I12" s="97" cm="1">
        <f t="array" ref="I12">IF(SUM(Table1891213[[#This Row],[SBMU01]:[SBMU05]])=0,0,SUMPRODUCT(IF(Table1891213[[#This Row],[SBMU01]:[SBMU05]]=0,1,0),{1,2,4,8,16}))</f>
        <v>0</v>
      </c>
      <c r="J12" s="97">
        <v>0</v>
      </c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MID(Table1891213[[#This Row],[IP]],LEN(Table1891213[[#This Row],[IP]])-1,1)+(--MID(V12,8,1)-1)*9</f>
        <v>66</v>
      </c>
      <c r="Y12" s="54" t="s">
        <v>51</v>
      </c>
    </row>
    <row r="13" spans="1:30">
      <c r="A13" t="str">
        <f t="shared" si="1"/>
        <v>10.238.6.39</v>
      </c>
      <c r="B13">
        <f>MID(Table1891213[[#This Row],[IP]],LEN(Table1891213[[#This Row],[IP]])-1,1)+(--MID(Table1891213[[#This Row],[IP]],8,1)-1)*9</f>
        <v>48</v>
      </c>
      <c r="C13" t="s">
        <v>52</v>
      </c>
      <c r="D13" s="97">
        <v>1384</v>
      </c>
      <c r="E13" s="97">
        <v>1383.2</v>
      </c>
      <c r="F13" s="97">
        <v>1383.4</v>
      </c>
      <c r="G13" s="97">
        <v>1383.3</v>
      </c>
      <c r="H13" s="97">
        <v>1384</v>
      </c>
      <c r="I13" s="97" cm="1">
        <f t="array" ref="I13">IF(SUM(Table1891213[[#This Row],[SBMU01]:[SBMU05]])=0,0,SUMPRODUCT(IF(Table1891213[[#This Row],[SBMU01]:[SBMU05]]=0,1,0),{1,2,4,8,16}))</f>
        <v>0</v>
      </c>
      <c r="J13" s="97">
        <v>0</v>
      </c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MID(Table1891213[[#This Row],[IP]],LEN(Table1891213[[#This Row],[IP]])-1,1)+(--MID(V13,8,1)-1)*9</f>
        <v>66</v>
      </c>
      <c r="Y13" s="56" t="s">
        <v>52</v>
      </c>
    </row>
    <row r="14" spans="1:30">
      <c r="A14" t="str">
        <f t="shared" si="1"/>
        <v>10.238.6.46</v>
      </c>
      <c r="B14">
        <f>MID(Table1891213[[#This Row],[IP]],LEN(Table1891213[[#This Row],[IP]])-1,1)+(--MID(Table1891213[[#This Row],[IP]],8,1)-1)*9</f>
        <v>49</v>
      </c>
      <c r="C14" t="s">
        <v>49</v>
      </c>
      <c r="D14" s="97">
        <v>1393.4</v>
      </c>
      <c r="E14" s="97">
        <v>1392.7</v>
      </c>
      <c r="F14" s="97">
        <v>1392.6</v>
      </c>
      <c r="G14" s="97">
        <v>1394.2</v>
      </c>
      <c r="H14" s="97">
        <v>1393.2</v>
      </c>
      <c r="I14" s="97" cm="1">
        <f t="array" ref="I14">IF(SUM(Table1891213[[#This Row],[SBMU01]:[SBMU05]])=0,0,SUMPRODUCT(IF(Table1891213[[#This Row],[SBMU01]:[SBMU05]]=0,1,0),{1,2,4,8,16}))</f>
        <v>0</v>
      </c>
      <c r="J14" s="97">
        <v>0</v>
      </c>
      <c r="K14" s="97">
        <v>0</v>
      </c>
      <c r="L14" t="s">
        <v>785</v>
      </c>
      <c r="M14" t="b">
        <f t="shared" si="0"/>
        <v>1</v>
      </c>
      <c r="N14" t="s">
        <v>794</v>
      </c>
      <c r="V14" s="52" t="s">
        <v>74</v>
      </c>
      <c r="W14" s="57">
        <v>30</v>
      </c>
      <c r="X14" s="53">
        <f>MID(Table1891213[[#This Row],[IP]],LEN(Table1891213[[#This Row],[IP]])-1,1)+(--MID(V14,8,1)-1)*9</f>
        <v>67</v>
      </c>
      <c r="Y14" s="54" t="s">
        <v>49</v>
      </c>
    </row>
    <row r="15" spans="1:30">
      <c r="A15" t="str">
        <f t="shared" si="1"/>
        <v>10.238.6.47</v>
      </c>
      <c r="B15">
        <f>MID(Table1891213[[#This Row],[IP]],LEN(Table1891213[[#This Row],[IP]])-1,1)+(--MID(Table1891213[[#This Row],[IP]],8,1)-1)*9</f>
        <v>49</v>
      </c>
      <c r="C15" t="s">
        <v>50</v>
      </c>
      <c r="D15" s="97">
        <v>1392.4</v>
      </c>
      <c r="E15" s="97">
        <v>1392.6</v>
      </c>
      <c r="F15" s="97">
        <v>1395</v>
      </c>
      <c r="G15" s="97">
        <v>1393.9</v>
      </c>
      <c r="H15" s="97">
        <v>1393.3</v>
      </c>
      <c r="I15" s="97" cm="1">
        <f t="array" ref="I15">IF(SUM(Table1891213[[#This Row],[SBMU01]:[SBMU05]])=0,0,SUMPRODUCT(IF(Table1891213[[#This Row],[SBMU01]:[SBMU05]]=0,1,0),{1,2,4,8,16}))</f>
        <v>0</v>
      </c>
      <c r="J15" s="97">
        <v>0</v>
      </c>
      <c r="K15" s="97">
        <v>0</v>
      </c>
      <c r="L15" t="s">
        <v>785</v>
      </c>
      <c r="M15" t="b">
        <f t="shared" si="0"/>
        <v>1</v>
      </c>
      <c r="N15" t="s">
        <v>794</v>
      </c>
      <c r="V15" s="55" t="s">
        <v>75</v>
      </c>
      <c r="W15" s="58">
        <v>38</v>
      </c>
      <c r="X15" s="53">
        <f>MID(Table1891213[[#This Row],[IP]],LEN(Table1891213[[#This Row],[IP]])-1,1)+(--MID(V15,8,1)-1)*9</f>
        <v>67</v>
      </c>
      <c r="Y15" s="56" t="s">
        <v>50</v>
      </c>
    </row>
    <row r="16" spans="1:30">
      <c r="A16" t="str">
        <f t="shared" si="1"/>
        <v>10.238.6.48</v>
      </c>
      <c r="B16">
        <f>MID(Table1891213[[#This Row],[IP]],LEN(Table1891213[[#This Row],[IP]])-1,1)+(--MID(Table1891213[[#This Row],[IP]],8,1)-1)*9</f>
        <v>49</v>
      </c>
      <c r="C16" t="s">
        <v>51</v>
      </c>
      <c r="D16" s="97">
        <v>1392.4</v>
      </c>
      <c r="E16" s="97">
        <v>1392.1</v>
      </c>
      <c r="F16" s="97">
        <v>1393.8</v>
      </c>
      <c r="G16" s="97">
        <v>1392.9</v>
      </c>
      <c r="H16" s="97">
        <v>1392.9</v>
      </c>
      <c r="I16" s="97" cm="1">
        <f t="array" ref="I16">IF(SUM(Table1891213[[#This Row],[SBMU01]:[SBMU05]])=0,0,SUMPRODUCT(IF(Table1891213[[#This Row],[SBMU01]:[SBMU05]]=0,1,0),{1,2,4,8,16}))</f>
        <v>0</v>
      </c>
      <c r="J16" s="97">
        <v>0</v>
      </c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MID(Table1891213[[#This Row],[IP]],LEN(Table1891213[[#This Row],[IP]])-1,1)+(--MID(V16,8,1)-1)*9</f>
        <v>67</v>
      </c>
      <c r="Y16" s="54" t="s">
        <v>51</v>
      </c>
    </row>
    <row r="17" spans="1:25">
      <c r="A17" t="str">
        <f t="shared" si="1"/>
        <v>10.238.6.49</v>
      </c>
      <c r="B17">
        <f>MID(Table1891213[[#This Row],[IP]],LEN(Table1891213[[#This Row],[IP]])-1,1)+(--MID(Table1891213[[#This Row],[IP]],8,1)-1)*9</f>
        <v>49</v>
      </c>
      <c r="C17" t="s">
        <v>52</v>
      </c>
      <c r="D17" s="97">
        <v>1392.2</v>
      </c>
      <c r="E17" s="97">
        <v>1393.6</v>
      </c>
      <c r="F17" s="97">
        <v>1393.1</v>
      </c>
      <c r="G17" s="97">
        <v>1393.3</v>
      </c>
      <c r="H17" s="97">
        <v>1393</v>
      </c>
      <c r="I17" s="97" cm="1">
        <f t="array" ref="I17">IF(SUM(Table1891213[[#This Row],[SBMU01]:[SBMU05]])=0,0,SUMPRODUCT(IF(Table1891213[[#This Row],[SBMU01]:[SBMU05]]=0,1,0),{1,2,4,8,16}))</f>
        <v>0</v>
      </c>
      <c r="J17" s="97">
        <v>0</v>
      </c>
      <c r="K17" s="97">
        <v>0</v>
      </c>
      <c r="L17" t="s">
        <v>785</v>
      </c>
      <c r="M17" t="b">
        <f t="shared" si="0"/>
        <v>1</v>
      </c>
      <c r="N17" t="s">
        <v>794</v>
      </c>
      <c r="V17" s="55" t="s">
        <v>77</v>
      </c>
      <c r="W17" s="58">
        <v>38</v>
      </c>
      <c r="X17" s="53">
        <f>MID(Table1891213[[#This Row],[IP]],LEN(Table1891213[[#This Row],[IP]])-1,1)+(--MID(V17,8,1)-1)*9</f>
        <v>67</v>
      </c>
      <c r="Y17" s="56" t="s">
        <v>52</v>
      </c>
    </row>
    <row r="18" spans="1:25">
      <c r="A18" t="str">
        <f t="shared" si="1"/>
        <v>10.238.6.56</v>
      </c>
      <c r="B18">
        <f>MID(Table1891213[[#This Row],[IP]],LEN(Table1891213[[#This Row],[IP]])-1,1)+(--MID(Table1891213[[#This Row],[IP]],8,1)-1)*9</f>
        <v>50</v>
      </c>
      <c r="C18" t="s">
        <v>49</v>
      </c>
      <c r="D18" s="97">
        <v>1391.8</v>
      </c>
      <c r="E18" s="97">
        <v>1391.8</v>
      </c>
      <c r="F18" s="97">
        <v>1392.4</v>
      </c>
      <c r="G18" s="97">
        <v>1392</v>
      </c>
      <c r="H18" s="97">
        <v>1392.5</v>
      </c>
      <c r="I18" s="97" cm="1">
        <f t="array" ref="I18">IF(SUM(Table1891213[[#This Row],[SBMU01]:[SBMU05]])=0,0,SUMPRODUCT(IF(Table1891213[[#This Row],[SBMU01]:[SBMU05]]=0,1,0),{1,2,4,8,16}))</f>
        <v>0</v>
      </c>
      <c r="J18" s="97">
        <v>0</v>
      </c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MID(Table1891213[[#This Row],[IP]],LEN(Table1891213[[#This Row],[IP]])-1,1)+(--MID(V18,8,1)-1)*9</f>
        <v>68</v>
      </c>
      <c r="Y18" s="54" t="s">
        <v>49</v>
      </c>
    </row>
    <row r="19" spans="1:25">
      <c r="A19" t="str">
        <f t="shared" si="1"/>
        <v>10.238.6.57</v>
      </c>
      <c r="B19">
        <f>MID(Table1891213[[#This Row],[IP]],LEN(Table1891213[[#This Row],[IP]])-1,1)+(--MID(Table1891213[[#This Row],[IP]],8,1)-1)*9</f>
        <v>50</v>
      </c>
      <c r="C19" t="s">
        <v>50</v>
      </c>
      <c r="D19" s="97">
        <v>1392.8</v>
      </c>
      <c r="E19" s="97">
        <v>1393.1</v>
      </c>
      <c r="F19" s="97">
        <v>1393.3</v>
      </c>
      <c r="G19" s="97">
        <v>1393</v>
      </c>
      <c r="H19" s="97">
        <v>1393.9</v>
      </c>
      <c r="I19" s="97" cm="1">
        <f t="array" ref="I19">IF(SUM(Table1891213[[#This Row],[SBMU01]:[SBMU05]])=0,0,SUMPRODUCT(IF(Table1891213[[#This Row],[SBMU01]:[SBMU05]]=0,1,0),{1,2,4,8,16}))</f>
        <v>0</v>
      </c>
      <c r="J19" s="97">
        <v>0</v>
      </c>
      <c r="K19" s="97">
        <v>0</v>
      </c>
      <c r="L19" t="s">
        <v>785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MID(Table1891213[[#This Row],[IP]],LEN(Table1891213[[#This Row],[IP]])-1,1)+(--MID(V19,8,1)-1)*9</f>
        <v>68</v>
      </c>
      <c r="Y19" s="56" t="s">
        <v>50</v>
      </c>
    </row>
    <row r="20" spans="1:25">
      <c r="A20" t="str">
        <f t="shared" si="1"/>
        <v>10.238.6.58</v>
      </c>
      <c r="B20">
        <f>MID(Table1891213[[#This Row],[IP]],LEN(Table1891213[[#This Row],[IP]])-1,1)+(--MID(Table1891213[[#This Row],[IP]],8,1)-1)*9</f>
        <v>50</v>
      </c>
      <c r="C20" t="s">
        <v>51</v>
      </c>
      <c r="D20" s="97">
        <v>1384.5</v>
      </c>
      <c r="E20" s="97">
        <v>1385</v>
      </c>
      <c r="F20" s="97">
        <v>1383.4</v>
      </c>
      <c r="G20" s="97">
        <v>1384.9</v>
      </c>
      <c r="H20" s="97">
        <v>1384.8</v>
      </c>
      <c r="I20" s="97" cm="1">
        <f t="array" ref="I20">IF(SUM(Table1891213[[#This Row],[SBMU01]:[SBMU05]])=0,0,SUMPRODUCT(IF(Table1891213[[#This Row],[SBMU01]:[SBMU05]]=0,1,0),{1,2,4,8,16}))</f>
        <v>0</v>
      </c>
      <c r="J20" s="97">
        <v>0</v>
      </c>
      <c r="K20" s="97">
        <v>0</v>
      </c>
      <c r="M20" t="b">
        <f t="shared" si="0"/>
        <v>1</v>
      </c>
      <c r="N20" t="s">
        <v>794</v>
      </c>
      <c r="O20" t="s">
        <v>790</v>
      </c>
      <c r="V20" s="52" t="s">
        <v>80</v>
      </c>
      <c r="W20" s="57">
        <v>22</v>
      </c>
      <c r="X20" s="53">
        <f>MID(Table1891213[[#This Row],[IP]],LEN(Table1891213[[#This Row],[IP]])-1,1)+(--MID(V20,8,1)-1)*9</f>
        <v>68</v>
      </c>
      <c r="Y20" s="54" t="s">
        <v>51</v>
      </c>
    </row>
    <row r="21" spans="1:25">
      <c r="A21" t="str">
        <f t="shared" si="1"/>
        <v>10.238.6.59</v>
      </c>
      <c r="B21">
        <f>MID(Table1891213[[#This Row],[IP]],LEN(Table1891213[[#This Row],[IP]])-1,1)+(--MID(Table1891213[[#This Row],[IP]],8,1)-1)*9</f>
        <v>50</v>
      </c>
      <c r="C21" t="s">
        <v>52</v>
      </c>
      <c r="D21" s="97">
        <v>1392.7</v>
      </c>
      <c r="E21" s="97">
        <v>1392.5</v>
      </c>
      <c r="F21" s="97">
        <v>1393.8</v>
      </c>
      <c r="G21" s="97">
        <v>1393.4</v>
      </c>
      <c r="H21" s="97">
        <v>1393.6</v>
      </c>
      <c r="I21" s="97" cm="1">
        <f t="array" ref="I21">IF(SUM(Table1891213[[#This Row],[SBMU01]:[SBMU05]])=0,0,SUMPRODUCT(IF(Table1891213[[#This Row],[SBMU01]:[SBMU05]]=0,1,0),{1,2,4,8,16}))</f>
        <v>0</v>
      </c>
      <c r="J21" s="97">
        <v>0</v>
      </c>
      <c r="K21" s="97">
        <v>0</v>
      </c>
      <c r="L21" t="s">
        <v>785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MID(Table1891213[[#This Row],[IP]],LEN(Table1891213[[#This Row],[IP]])-1,1)+(--MID(V21,8,1)-1)*9</f>
        <v>68</v>
      </c>
      <c r="Y21" s="56" t="s">
        <v>52</v>
      </c>
    </row>
    <row r="22" spans="1:25">
      <c r="A22" t="str">
        <f t="shared" si="1"/>
        <v>10.238.6.66</v>
      </c>
      <c r="B22">
        <f>MID(Table1891213[[#This Row],[IP]],LEN(Table1891213[[#This Row],[IP]])-1,1)+(--MID(Table1891213[[#This Row],[IP]],8,1)-1)*9</f>
        <v>51</v>
      </c>
      <c r="C22" t="s">
        <v>49</v>
      </c>
      <c r="D22" s="97">
        <v>1392.1</v>
      </c>
      <c r="E22" s="97">
        <v>1391.1</v>
      </c>
      <c r="F22" s="97">
        <v>1391.8</v>
      </c>
      <c r="G22" s="97">
        <v>1392</v>
      </c>
      <c r="H22" s="97">
        <v>1391.9</v>
      </c>
      <c r="I22" s="97" cm="1">
        <f t="array" ref="I22">IF(SUM(Table1891213[[#This Row],[SBMU01]:[SBMU05]])=0,0,SUMPRODUCT(IF(Table1891213[[#This Row],[SBMU01]:[SBMU05]]=0,1,0),{1,2,4,8,16}))</f>
        <v>0</v>
      </c>
      <c r="J22" s="97">
        <v>0</v>
      </c>
      <c r="K22" s="97">
        <v>0</v>
      </c>
      <c r="L22" t="s">
        <v>785</v>
      </c>
      <c r="M22" t="b">
        <f t="shared" si="0"/>
        <v>1</v>
      </c>
      <c r="N22" t="s">
        <v>794</v>
      </c>
      <c r="V22" s="52" t="s">
        <v>82</v>
      </c>
      <c r="W22" s="57">
        <v>22</v>
      </c>
      <c r="X22" s="53">
        <f>MID(Table1891213[[#This Row],[IP]],LEN(Table1891213[[#This Row],[IP]])-1,1)+(--MID(V22,8,1)-1)*9</f>
        <v>69</v>
      </c>
      <c r="Y22" s="54" t="s">
        <v>49</v>
      </c>
    </row>
    <row r="23" spans="1:25">
      <c r="A23" t="str">
        <f t="shared" si="1"/>
        <v>10.238.6.67</v>
      </c>
      <c r="B23">
        <f>MID(Table1891213[[#This Row],[IP]],LEN(Table1891213[[#This Row],[IP]])-1,1)+(--MID(Table1891213[[#This Row],[IP]],8,1)-1)*9</f>
        <v>51</v>
      </c>
      <c r="C23" t="s">
        <v>50</v>
      </c>
      <c r="D23" s="97">
        <v>1392.5</v>
      </c>
      <c r="E23" s="97">
        <v>1394.6</v>
      </c>
      <c r="F23" s="97">
        <v>1392.3</v>
      </c>
      <c r="G23" s="97">
        <v>1393.4</v>
      </c>
      <c r="H23" s="97">
        <v>1392.5</v>
      </c>
      <c r="I23" s="97" cm="1">
        <f t="array" ref="I23">IF(SUM(Table1891213[[#This Row],[SBMU01]:[SBMU05]])=0,0,SUMPRODUCT(IF(Table1891213[[#This Row],[SBMU01]:[SBMU05]]=0,1,0),{1,2,4,8,16}))</f>
        <v>0</v>
      </c>
      <c r="J23" s="97">
        <v>0</v>
      </c>
      <c r="K23" s="97">
        <v>0</v>
      </c>
      <c r="L23" t="s">
        <v>785</v>
      </c>
      <c r="M23" t="b">
        <f t="shared" si="0"/>
        <v>1</v>
      </c>
      <c r="N23" t="s">
        <v>794</v>
      </c>
      <c r="V23" s="55" t="s">
        <v>83</v>
      </c>
      <c r="W23" s="58">
        <v>16</v>
      </c>
      <c r="X23" s="53">
        <f>MID(Table1891213[[#This Row],[IP]],LEN(Table1891213[[#This Row],[IP]])-1,1)+(--MID(V23,8,1)-1)*9</f>
        <v>69</v>
      </c>
      <c r="Y23" s="56" t="s">
        <v>50</v>
      </c>
    </row>
    <row r="24" spans="1:25">
      <c r="A24" t="str">
        <f t="shared" si="1"/>
        <v>10.238.6.68</v>
      </c>
      <c r="B24">
        <f>MID(Table1891213[[#This Row],[IP]],LEN(Table1891213[[#This Row],[IP]])-1,1)+(--MID(Table1891213[[#This Row],[IP]],8,1)-1)*9</f>
        <v>51</v>
      </c>
      <c r="C24" t="s">
        <v>51</v>
      </c>
      <c r="D24" s="97">
        <v>1391.3</v>
      </c>
      <c r="E24" s="97">
        <v>1391.4</v>
      </c>
      <c r="F24" s="97">
        <v>1392.5</v>
      </c>
      <c r="G24" s="97">
        <v>1391.6</v>
      </c>
      <c r="H24" s="97">
        <v>1391.9</v>
      </c>
      <c r="I24" s="97" cm="1">
        <f t="array" ref="I24">IF(SUM(Table1891213[[#This Row],[SBMU01]:[SBMU05]])=0,0,SUMPRODUCT(IF(Table1891213[[#This Row],[SBMU01]:[SBMU05]]=0,1,0),{1,2,4,8,16}))</f>
        <v>0</v>
      </c>
      <c r="J24" s="97">
        <v>0</v>
      </c>
      <c r="K24" s="97">
        <v>0</v>
      </c>
      <c r="L24" t="s">
        <v>785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MID(Table1891213[[#This Row],[IP]],LEN(Table1891213[[#This Row],[IP]])-1,1)+(--MID(V24,8,1)-1)*9</f>
        <v>69</v>
      </c>
      <c r="Y24" s="54" t="s">
        <v>51</v>
      </c>
    </row>
    <row r="25" spans="1:25">
      <c r="A25" t="str">
        <f t="shared" si="1"/>
        <v>10.238.6.69</v>
      </c>
      <c r="B25">
        <f>MID(Table1891213[[#This Row],[IP]],LEN(Table1891213[[#This Row],[IP]])-1,1)+(--MID(Table1891213[[#This Row],[IP]],8,1)-1)*9</f>
        <v>51</v>
      </c>
      <c r="C25" t="s">
        <v>52</v>
      </c>
      <c r="D25" s="97">
        <v>1393.1</v>
      </c>
      <c r="E25" s="97">
        <v>1393.4</v>
      </c>
      <c r="F25" s="97">
        <v>1393.6</v>
      </c>
      <c r="G25" s="97">
        <v>1394.2</v>
      </c>
      <c r="H25" s="97">
        <v>1391.6</v>
      </c>
      <c r="I25" s="97" cm="1">
        <f t="array" ref="I25">IF(SUM(Table1891213[[#This Row],[SBMU01]:[SBMU05]])=0,0,SUMPRODUCT(IF(Table1891213[[#This Row],[SBMU01]:[SBMU05]]=0,1,0),{1,2,4,8,16}))</f>
        <v>0</v>
      </c>
      <c r="J25" s="97">
        <v>0</v>
      </c>
      <c r="K25" s="97">
        <v>0</v>
      </c>
      <c r="L25" t="s">
        <v>785</v>
      </c>
      <c r="M25" t="b">
        <f t="shared" si="0"/>
        <v>1</v>
      </c>
      <c r="N25" t="s">
        <v>794</v>
      </c>
      <c r="V25" s="55" t="s">
        <v>85</v>
      </c>
      <c r="W25" s="58">
        <v>16</v>
      </c>
      <c r="X25" s="53">
        <f>MID(Table1891213[[#This Row],[IP]],LEN(Table1891213[[#This Row],[IP]])-1,1)+(--MID(V25,8,1)-1)*9</f>
        <v>69</v>
      </c>
      <c r="Y25" s="56" t="s">
        <v>52</v>
      </c>
    </row>
    <row r="26" spans="1:25">
      <c r="A26" t="str">
        <f t="shared" si="1"/>
        <v>10.238.6.76</v>
      </c>
      <c r="B26">
        <f>MID(Table1891213[[#This Row],[IP]],LEN(Table1891213[[#This Row],[IP]])-1,1)+(--MID(Table1891213[[#This Row],[IP]],8,1)-1)*9</f>
        <v>52</v>
      </c>
      <c r="C26" t="s">
        <v>49</v>
      </c>
      <c r="D26" s="97">
        <v>1367.7</v>
      </c>
      <c r="E26" s="97">
        <v>1368.2</v>
      </c>
      <c r="F26" s="97">
        <v>1366.6</v>
      </c>
      <c r="G26" s="97">
        <v>1366.5</v>
      </c>
      <c r="H26" s="97">
        <v>1367.1</v>
      </c>
      <c r="I26" s="97" cm="1">
        <f t="array" ref="I26">IF(SUM(Table1891213[[#This Row],[SBMU01]:[SBMU05]])=0,0,SUMPRODUCT(IF(Table1891213[[#This Row],[SBMU01]:[SBMU05]]=0,1,0),{1,2,4,8,16}))</f>
        <v>0</v>
      </c>
      <c r="J26" s="97">
        <v>0</v>
      </c>
      <c r="K26" s="97">
        <v>0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MID(Table1891213[[#This Row],[IP]],LEN(Table1891213[[#This Row],[IP]])-1,1)+(--MID(V26,8,1)-1)*9</f>
        <v>70</v>
      </c>
      <c r="Y26" s="54" t="s">
        <v>49</v>
      </c>
    </row>
    <row r="27" spans="1:25">
      <c r="A27" t="str">
        <f t="shared" si="1"/>
        <v>10.238.6.77</v>
      </c>
      <c r="B27">
        <f>MID(Table1891213[[#This Row],[IP]],LEN(Table1891213[[#This Row],[IP]])-1,1)+(--MID(Table1891213[[#This Row],[IP]],8,1)-1)*9</f>
        <v>52</v>
      </c>
      <c r="C27" t="s">
        <v>50</v>
      </c>
      <c r="D27" s="97">
        <v>1367.4</v>
      </c>
      <c r="E27" s="97">
        <v>1366.9</v>
      </c>
      <c r="F27" s="97">
        <v>1367.7</v>
      </c>
      <c r="G27" s="97">
        <v>1366.7</v>
      </c>
      <c r="H27" s="97">
        <v>1367.3</v>
      </c>
      <c r="I27" s="97" cm="1">
        <f t="array" ref="I27">IF(SUM(Table1891213[[#This Row],[SBMU01]:[SBMU05]])=0,0,SUMPRODUCT(IF(Table1891213[[#This Row],[SBMU01]:[SBMU05]]=0,1,0),{1,2,4,8,16}))</f>
        <v>0</v>
      </c>
      <c r="J27" s="97">
        <v>0</v>
      </c>
      <c r="K27" s="97">
        <v>0</v>
      </c>
      <c r="M27" t="b">
        <f t="shared" si="0"/>
        <v>1</v>
      </c>
      <c r="N27" t="s">
        <v>794</v>
      </c>
      <c r="V27" s="55" t="s">
        <v>87</v>
      </c>
      <c r="W27" s="58">
        <v>20</v>
      </c>
      <c r="X27" s="53">
        <f>MID(Table1891213[[#This Row],[IP]],LEN(Table1891213[[#This Row],[IP]])-1,1)+(--MID(V27,8,1)-1)*9</f>
        <v>70</v>
      </c>
      <c r="Y27" s="56" t="s">
        <v>50</v>
      </c>
    </row>
    <row r="28" spans="1:25">
      <c r="A28" t="str">
        <f t="shared" si="1"/>
        <v>10.238.6.78</v>
      </c>
      <c r="B28">
        <f>MID(Table1891213[[#This Row],[IP]],LEN(Table1891213[[#This Row],[IP]])-1,1)+(--MID(Table1891213[[#This Row],[IP]],8,1)-1)*9</f>
        <v>52</v>
      </c>
      <c r="C28" t="s">
        <v>51</v>
      </c>
      <c r="D28" s="97">
        <v>1367.4</v>
      </c>
      <c r="E28" s="97">
        <v>1366.8</v>
      </c>
      <c r="F28" s="97">
        <v>1367.6</v>
      </c>
      <c r="G28" s="97">
        <v>1367.3</v>
      </c>
      <c r="H28" s="97">
        <v>1367.6</v>
      </c>
      <c r="I28" s="97" cm="1">
        <f t="array" ref="I28">IF(SUM(Table1891213[[#This Row],[SBMU01]:[SBMU05]])=0,0,SUMPRODUCT(IF(Table1891213[[#This Row],[SBMU01]:[SBMU05]]=0,1,0),{1,2,4,8,16}))</f>
        <v>0</v>
      </c>
      <c r="J28" s="97">
        <v>0</v>
      </c>
      <c r="K28" s="97">
        <v>0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MID(Table1891213[[#This Row],[IP]],LEN(Table1891213[[#This Row],[IP]])-1,1)+(--MID(V28,8,1)-1)*9</f>
        <v>70</v>
      </c>
      <c r="Y28" s="54" t="s">
        <v>51</v>
      </c>
    </row>
    <row r="29" spans="1:25">
      <c r="A29" t="str">
        <f t="shared" si="1"/>
        <v>10.238.6.79</v>
      </c>
      <c r="B29">
        <f>MID(Table1891213[[#This Row],[IP]],LEN(Table1891213[[#This Row],[IP]])-1,1)+(--MID(Table1891213[[#This Row],[IP]],8,1)-1)*9</f>
        <v>52</v>
      </c>
      <c r="C29" t="s">
        <v>52</v>
      </c>
      <c r="D29" s="97">
        <v>1368.1</v>
      </c>
      <c r="E29" s="97">
        <v>1367.8</v>
      </c>
      <c r="F29" s="97">
        <v>1367.1</v>
      </c>
      <c r="G29" s="97">
        <v>1367.6</v>
      </c>
      <c r="H29" s="97">
        <v>1368.1</v>
      </c>
      <c r="I29" s="97" cm="1">
        <f t="array" ref="I29">IF(SUM(Table1891213[[#This Row],[SBMU01]:[SBMU05]])=0,0,SUMPRODUCT(IF(Table1891213[[#This Row],[SBMU01]:[SBMU05]]=0,1,0),{1,2,4,8,16}))</f>
        <v>0</v>
      </c>
      <c r="J29" s="97">
        <v>0</v>
      </c>
      <c r="K29" s="97">
        <v>0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MID(Table1891213[[#This Row],[IP]],LEN(Table1891213[[#This Row],[IP]])-1,1)+(--MID(V29,8,1)-1)*9</f>
        <v>70</v>
      </c>
      <c r="Y29" s="56" t="s">
        <v>52</v>
      </c>
    </row>
    <row r="30" spans="1:25">
      <c r="A30" t="str">
        <f t="shared" si="1"/>
        <v>10.238.6.86</v>
      </c>
      <c r="B30">
        <f>MID(Table1891213[[#This Row],[IP]],LEN(Table1891213[[#This Row],[IP]])-1,1)+(--MID(Table1891213[[#This Row],[IP]],8,1)-1)*9</f>
        <v>53</v>
      </c>
      <c r="C30" t="s">
        <v>49</v>
      </c>
      <c r="D30" s="97">
        <v>1384.2</v>
      </c>
      <c r="E30" s="97">
        <v>1384.1</v>
      </c>
      <c r="F30" s="97">
        <v>1384.5</v>
      </c>
      <c r="G30" s="97">
        <v>1383.8</v>
      </c>
      <c r="H30" s="97">
        <v>1383.4</v>
      </c>
      <c r="I30" s="97" cm="1">
        <f t="array" ref="I30">IF(SUM(Table1891213[[#This Row],[SBMU01]:[SBMU05]])=0,0,SUMPRODUCT(IF(Table1891213[[#This Row],[SBMU01]:[SBMU05]]=0,1,0),{1,2,4,8,16}))</f>
        <v>0</v>
      </c>
      <c r="J30" s="97">
        <v>0</v>
      </c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MID(Table1891213[[#This Row],[IP]],LEN(Table1891213[[#This Row],[IP]])-1,1)+(--MID(V30,8,1)-1)*9</f>
        <v>71</v>
      </c>
      <c r="Y30" s="54" t="s">
        <v>49</v>
      </c>
    </row>
    <row r="31" spans="1:25">
      <c r="A31" t="str">
        <f t="shared" si="1"/>
        <v>10.238.6.87</v>
      </c>
      <c r="B31">
        <f>MID(Table1891213[[#This Row],[IP]],LEN(Table1891213[[#This Row],[IP]])-1,1)+(--MID(Table1891213[[#This Row],[IP]],8,1)-1)*9</f>
        <v>53</v>
      </c>
      <c r="C31" t="s">
        <v>50</v>
      </c>
      <c r="D31" s="97">
        <v>1392.2</v>
      </c>
      <c r="E31" s="97">
        <v>1391.6</v>
      </c>
      <c r="F31" s="97">
        <v>1390.4</v>
      </c>
      <c r="G31" s="97">
        <v>1391.5</v>
      </c>
      <c r="H31" s="97">
        <v>1391.4</v>
      </c>
      <c r="I31" s="97" cm="1">
        <f t="array" ref="I31">IF(SUM(Table1891213[[#This Row],[SBMU01]:[SBMU05]])=0,0,SUMPRODUCT(IF(Table1891213[[#This Row],[SBMU01]:[SBMU05]]=0,1,0),{1,2,4,8,16}))</f>
        <v>0</v>
      </c>
      <c r="J31" s="97">
        <v>0</v>
      </c>
      <c r="K31" s="97">
        <v>0</v>
      </c>
      <c r="L31" t="s">
        <v>785</v>
      </c>
      <c r="M31" t="b">
        <f t="shared" si="0"/>
        <v>1</v>
      </c>
      <c r="N31" t="s">
        <v>794</v>
      </c>
      <c r="V31" s="55" t="s">
        <v>91</v>
      </c>
      <c r="W31" s="58">
        <v>28</v>
      </c>
      <c r="X31" s="53">
        <f>MID(Table1891213[[#This Row],[IP]],LEN(Table1891213[[#This Row],[IP]])-1,1)+(--MID(V31,8,1)-1)*9</f>
        <v>71</v>
      </c>
      <c r="Y31" s="56" t="s">
        <v>50</v>
      </c>
    </row>
    <row r="32" spans="1:25">
      <c r="A32" t="str">
        <f t="shared" si="1"/>
        <v>10.238.6.88</v>
      </c>
      <c r="B32">
        <f>MID(Table1891213[[#This Row],[IP]],LEN(Table1891213[[#This Row],[IP]])-1,1)+(--MID(Table1891213[[#This Row],[IP]],8,1)-1)*9</f>
        <v>53</v>
      </c>
      <c r="C32" t="s">
        <v>51</v>
      </c>
      <c r="D32" s="97">
        <v>1393.2</v>
      </c>
      <c r="E32" s="97">
        <v>1393.4</v>
      </c>
      <c r="F32" s="97">
        <v>1392.4</v>
      </c>
      <c r="G32" s="97">
        <v>1392.6</v>
      </c>
      <c r="H32" s="97">
        <v>1393.1</v>
      </c>
      <c r="I32" s="97" cm="1">
        <f t="array" ref="I32">IF(SUM(Table1891213[[#This Row],[SBMU01]:[SBMU05]])=0,0,SUMPRODUCT(IF(Table1891213[[#This Row],[SBMU01]:[SBMU05]]=0,1,0),{1,2,4,8,16}))</f>
        <v>0</v>
      </c>
      <c r="J32" s="97">
        <v>0</v>
      </c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MID(Table1891213[[#This Row],[IP]],LEN(Table1891213[[#This Row],[IP]])-1,1)+(--MID(V32,8,1)-1)*9</f>
        <v>71</v>
      </c>
      <c r="Y32" s="54" t="s">
        <v>51</v>
      </c>
    </row>
    <row r="33" spans="1:25">
      <c r="A33" t="str">
        <f t="shared" si="1"/>
        <v>10.238.6.89</v>
      </c>
      <c r="B33">
        <f>MID(Table1891213[[#This Row],[IP]],LEN(Table1891213[[#This Row],[IP]])-1,1)+(--MID(Table1891213[[#This Row],[IP]],8,1)-1)*9</f>
        <v>53</v>
      </c>
      <c r="C33" t="s">
        <v>52</v>
      </c>
      <c r="D33" s="97">
        <v>1393</v>
      </c>
      <c r="E33" s="97">
        <v>1393.1</v>
      </c>
      <c r="F33" s="97">
        <v>1393.5</v>
      </c>
      <c r="G33" s="97">
        <v>1392.2</v>
      </c>
      <c r="H33" s="97">
        <v>1394.9</v>
      </c>
      <c r="I33" s="97" cm="1">
        <f t="array" ref="I33">IF(SUM(Table1891213[[#This Row],[SBMU01]:[SBMU05]])=0,0,SUMPRODUCT(IF(Table1891213[[#This Row],[SBMU01]:[SBMU05]]=0,1,0),{1,2,4,8,16}))</f>
        <v>0</v>
      </c>
      <c r="J33" s="97">
        <v>0</v>
      </c>
      <c r="K33" s="97">
        <v>0</v>
      </c>
      <c r="L33" t="s">
        <v>785</v>
      </c>
      <c r="M33" t="b">
        <f t="shared" si="0"/>
        <v>1</v>
      </c>
      <c r="N33" t="s">
        <v>794</v>
      </c>
      <c r="V33" s="55" t="s">
        <v>93</v>
      </c>
      <c r="W33" s="58">
        <v>31</v>
      </c>
      <c r="X33" s="53">
        <f>MID(Table1891213[[#This Row],[IP]],LEN(Table1891213[[#This Row],[IP]])-1,1)+(--MID(V33,8,1)-1)*9</f>
        <v>71</v>
      </c>
      <c r="Y33" s="56" t="s">
        <v>52</v>
      </c>
    </row>
    <row r="34" spans="1:25">
      <c r="A34" t="str">
        <f t="shared" si="1"/>
        <v>10.238.6.96</v>
      </c>
      <c r="B34">
        <f>MID(Table1891213[[#This Row],[IP]],LEN(Table1891213[[#This Row],[IP]])-1,1)+(--MID(Table1891213[[#This Row],[IP]],8,1)-1)*9</f>
        <v>54</v>
      </c>
      <c r="C34" t="s">
        <v>49</v>
      </c>
      <c r="D34" s="97">
        <v>1406</v>
      </c>
      <c r="E34" s="97">
        <v>1404.6</v>
      </c>
      <c r="F34" s="97">
        <v>1405.1</v>
      </c>
      <c r="G34" s="97">
        <v>1404.6</v>
      </c>
      <c r="H34" s="97">
        <v>1405.1</v>
      </c>
      <c r="I34" s="97" cm="1">
        <f t="array" ref="I34">IF(SUM(Table1891213[[#This Row],[SBMU01]:[SBMU05]])=0,0,SUMPRODUCT(IF(Table1891213[[#This Row],[SBMU01]:[SBMU05]]=0,1,0),{1,2,4,8,16}))</f>
        <v>0</v>
      </c>
      <c r="J34" s="97">
        <v>0</v>
      </c>
      <c r="K34" s="97">
        <v>0</v>
      </c>
      <c r="L34" t="s">
        <v>785</v>
      </c>
      <c r="M34" t="b">
        <f t="shared" si="0"/>
        <v>1</v>
      </c>
      <c r="N34" t="s">
        <v>794</v>
      </c>
      <c r="V34" s="52" t="s">
        <v>94</v>
      </c>
      <c r="W34" s="57">
        <v>23</v>
      </c>
      <c r="X34" s="53">
        <f>MID(Table1891213[[#This Row],[IP]],LEN(Table1891213[[#This Row],[IP]])-1,1)+(--MID(V34,8,1)-1)*9</f>
        <v>72</v>
      </c>
      <c r="Y34" s="54" t="s">
        <v>49</v>
      </c>
    </row>
    <row r="35" spans="1:25">
      <c r="A35" t="str">
        <f t="shared" si="1"/>
        <v>10.238.6.97</v>
      </c>
      <c r="B35">
        <f>MID(Table1891213[[#This Row],[IP]],LEN(Table1891213[[#This Row],[IP]])-1,1)+(--MID(Table1891213[[#This Row],[IP]],8,1)-1)*9</f>
        <v>54</v>
      </c>
      <c r="C35" t="s">
        <v>50</v>
      </c>
      <c r="D35" s="97">
        <v>1228.8</v>
      </c>
      <c r="E35" s="97">
        <v>1227.3</v>
      </c>
      <c r="F35" s="97">
        <v>1227</v>
      </c>
      <c r="G35" s="97">
        <v>1228.9000000000001</v>
      </c>
      <c r="H35" s="97">
        <v>1228.3</v>
      </c>
      <c r="I35" s="97" cm="1">
        <f t="array" ref="I35">IF(SUM(Table1891213[[#This Row],[SBMU01]:[SBMU05]])=0,0,SUMPRODUCT(IF(Table1891213[[#This Row],[SBMU01]:[SBMU05]]=0,1,0),{1,2,4,8,16}))</f>
        <v>0</v>
      </c>
      <c r="J35" s="97">
        <v>0</v>
      </c>
      <c r="K35" s="97">
        <v>0</v>
      </c>
      <c r="M35" t="b">
        <f t="shared" si="0"/>
        <v>1</v>
      </c>
      <c r="N35" t="s">
        <v>794</v>
      </c>
      <c r="V35" s="55" t="s">
        <v>95</v>
      </c>
      <c r="W35" s="58">
        <v>23</v>
      </c>
      <c r="X35" s="53">
        <f>MID(Table1891213[[#This Row],[IP]],LEN(Table1891213[[#This Row],[IP]])-1,1)+(--MID(V35,8,1)-1)*9</f>
        <v>72</v>
      </c>
      <c r="Y35" s="56" t="s">
        <v>50</v>
      </c>
    </row>
    <row r="36" spans="1:25">
      <c r="A36" t="str">
        <f t="shared" si="1"/>
        <v>10.238.6.98</v>
      </c>
      <c r="B36">
        <f>MID(Table1891213[[#This Row],[IP]],LEN(Table1891213[[#This Row],[IP]])-1,1)+(--MID(Table1891213[[#This Row],[IP]],8,1)-1)*9</f>
        <v>54</v>
      </c>
      <c r="C36" t="s">
        <v>51</v>
      </c>
      <c r="D36" s="97">
        <v>1389.4</v>
      </c>
      <c r="E36" s="97">
        <v>1386.6</v>
      </c>
      <c r="F36" s="97">
        <v>1386.2</v>
      </c>
      <c r="G36" s="97">
        <v>1386.6</v>
      </c>
      <c r="H36" s="97">
        <v>1386</v>
      </c>
      <c r="I36" s="97" cm="1">
        <f t="array" ref="I36">IF(SUM(Table1891213[[#This Row],[SBMU01]:[SBMU05]])=0,0,SUMPRODUCT(IF(Table1891213[[#This Row],[SBMU01]:[SBMU05]]=0,1,0),{1,2,4,8,16}))</f>
        <v>0</v>
      </c>
      <c r="J36" s="97">
        <v>0</v>
      </c>
      <c r="K36" s="97">
        <v>0</v>
      </c>
      <c r="L36" t="s">
        <v>785</v>
      </c>
      <c r="M36" t="b">
        <f t="shared" si="0"/>
        <v>1</v>
      </c>
      <c r="N36" t="s">
        <v>794</v>
      </c>
      <c r="V36" s="52" t="s">
        <v>96</v>
      </c>
      <c r="W36" s="57">
        <v>24</v>
      </c>
      <c r="X36" s="53">
        <f>MID(Table1891213[[#This Row],[IP]],LEN(Table1891213[[#This Row],[IP]])-1,1)+(--MID(V36,8,1)-1)*9</f>
        <v>72</v>
      </c>
      <c r="Y36" s="54" t="s">
        <v>51</v>
      </c>
    </row>
    <row r="37" spans="1:25">
      <c r="A37" t="str">
        <f t="shared" si="1"/>
        <v>10.238.6.99</v>
      </c>
      <c r="B37">
        <f>MID(Table1891213[[#This Row],[IP]],LEN(Table1891213[[#This Row],[IP]])-1,1)+(--MID(Table1891213[[#This Row],[IP]],8,1)-1)*9</f>
        <v>54</v>
      </c>
      <c r="C37" t="s">
        <v>52</v>
      </c>
      <c r="D37" s="97">
        <v>1401.6</v>
      </c>
      <c r="E37" s="97">
        <v>1400.6</v>
      </c>
      <c r="F37" s="97">
        <v>1401.6</v>
      </c>
      <c r="G37" s="97">
        <v>1400.2</v>
      </c>
      <c r="H37" s="97">
        <v>1400.3</v>
      </c>
      <c r="I37" s="97" cm="1">
        <f t="array" ref="I37">IF(SUM(Table1891213[[#This Row],[SBMU01]:[SBMU05]])=0,0,SUMPRODUCT(IF(Table1891213[[#This Row],[SBMU01]:[SBMU05]]=0,1,0),{1,2,4,8,16}))</f>
        <v>0</v>
      </c>
      <c r="J37" s="97">
        <v>0</v>
      </c>
      <c r="K37" s="97">
        <v>0</v>
      </c>
      <c r="L37" t="s">
        <v>785</v>
      </c>
      <c r="M37" t="b">
        <f t="shared" si="0"/>
        <v>1</v>
      </c>
      <c r="N37" t="s">
        <v>794</v>
      </c>
      <c r="V37" s="55" t="s">
        <v>97</v>
      </c>
      <c r="W37" s="58">
        <v>24</v>
      </c>
      <c r="X37" s="53">
        <f>MID(Table1891213[[#This Row],[IP]],LEN(Table1891213[[#This Row],[IP]])-1,1)+(--MID(V37,8,1)-1)*9</f>
        <v>72</v>
      </c>
      <c r="Y37" s="56" t="s">
        <v>52</v>
      </c>
    </row>
  </sheetData>
  <conditionalFormatting sqref="I2:I37">
    <cfRule type="cellIs" dxfId="89" priority="3" operator="notEqual">
      <formula>K2</formula>
    </cfRule>
  </conditionalFormatting>
  <conditionalFormatting sqref="M3:M37">
    <cfRule type="cellIs" dxfId="88" priority="2" operator="equal">
      <formula>TRUE</formula>
    </cfRule>
  </conditionalFormatting>
  <conditionalFormatting sqref="M2">
    <cfRule type="cellIs" dxfId="1" priority="1" operator="equal">
      <formula>TRUE</formula>
    </cfRule>
  </conditionalFormatting>
  <dataValidations count="2">
    <dataValidation type="list" allowBlank="1" sqref="O1" xr:uid="{59A3A2C4-5C6A-49D8-9BA2-6AB4998C9F11}">
      <formula1>$Q$3:$Q$13</formula1>
    </dataValidation>
    <dataValidation type="list" allowBlank="1" showInputMessage="1" showErrorMessage="1" sqref="R1" xr:uid="{13F21FE7-193A-4FE4-BC99-852F2CCB8DD0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C0DA1-1627-47E2-8574-C6A24862AC63}">
  <sheetPr codeName="Sheet14"/>
  <dimension ref="A1:AD37"/>
  <sheetViews>
    <sheetView workbookViewId="0">
      <pane ySplit="1" topLeftCell="A2" activePane="bottomLeft" state="frozen"/>
      <selection activeCell="M2" sqref="M2"/>
      <selection pane="bottomLeft" activeCell="G18" sqref="G18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784</v>
      </c>
      <c r="M1" t="s">
        <v>787</v>
      </c>
      <c r="N1" t="s">
        <v>58</v>
      </c>
      <c r="O1" s="49">
        <v>1057</v>
      </c>
      <c r="Q1" t="s">
        <v>99</v>
      </c>
      <c r="R1" s="59">
        <v>7</v>
      </c>
      <c r="X1" t="s">
        <v>769</v>
      </c>
    </row>
    <row r="2" spans="1:30">
      <c r="A2" t="str">
        <f>SUBSTITUTE(V2,".8.","."&amp;$R$1&amp;".")</f>
        <v>10.238.7.16</v>
      </c>
      <c r="B2">
        <f>MID(Table189121314[[#This Row],[IP]],LEN(Table189121314[[#This Row],[IP]])-1,1)+(--MID(Table189121314[[#This Row],[IP]],8,1)-1)*9</f>
        <v>55</v>
      </c>
      <c r="C2" t="s">
        <v>49</v>
      </c>
      <c r="D2" s="97">
        <v>1377.6</v>
      </c>
      <c r="E2" s="97">
        <v>1379.3</v>
      </c>
      <c r="F2" s="97">
        <v>1378.6</v>
      </c>
      <c r="G2" s="97">
        <v>1380.1</v>
      </c>
      <c r="H2" s="97">
        <v>1379.5</v>
      </c>
      <c r="I2" s="97" cm="1">
        <f t="array" ref="I2">IF(SUM(Table189121314[[#This Row],[SBMU01]:[SBMU05]])=0,0,SUMPRODUCT(IF(Table189121314[[#This Row],[SBMU01]:[SBMU05]]=0,1,0),{1,2,4,8,16}))</f>
        <v>0</v>
      </c>
      <c r="J2" s="97" t="s">
        <v>795</v>
      </c>
      <c r="K2" s="97">
        <v>0</v>
      </c>
      <c r="L2" t="s">
        <v>785</v>
      </c>
      <c r="M2" t="b">
        <f t="shared" ref="M2:M37" si="0">MAX($D2:$H2)-MIN($D2:$H2)&lt;10</f>
        <v>1</v>
      </c>
      <c r="V2" s="52" t="s">
        <v>62</v>
      </c>
      <c r="W2" s="57">
        <v>33</v>
      </c>
      <c r="X2" s="53">
        <f>MID(Table189121314[[#This Row],[IP]],LEN(Table189121314[[#This Row],[IP]])-1,1)+(--MID(V2,8,1)-1)*9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t="str">
        <f t="shared" ref="A3:A37" si="1">SUBSTITUTE(V3,".8.","."&amp;$R$1&amp;".")</f>
        <v>10.238.7.17</v>
      </c>
      <c r="B3">
        <f>MID(Table189121314[[#This Row],[IP]],LEN(Table189121314[[#This Row],[IP]])-1,1)+(--MID(Table189121314[[#This Row],[IP]],8,1)-1)*9</f>
        <v>55</v>
      </c>
      <c r="C3" t="s">
        <v>50</v>
      </c>
      <c r="D3" s="97">
        <v>1385.8</v>
      </c>
      <c r="E3" s="97">
        <v>1386.3</v>
      </c>
      <c r="F3" s="97">
        <v>1384.7</v>
      </c>
      <c r="G3" s="97">
        <v>1386.8</v>
      </c>
      <c r="H3" s="97">
        <v>1385</v>
      </c>
      <c r="I3" s="97" cm="1">
        <f t="array" ref="I3">IF(SUM(Table189121314[[#This Row],[SBMU01]:[SBMU05]])=0,0,SUMPRODUCT(IF(Table189121314[[#This Row],[SBMU01]:[SBMU05]]=0,1,0),{1,2,4,8,16}))</f>
        <v>0</v>
      </c>
      <c r="J3" s="97" t="s">
        <v>795</v>
      </c>
      <c r="K3" s="97">
        <v>0</v>
      </c>
      <c r="L3" t="s">
        <v>785</v>
      </c>
      <c r="M3" t="b">
        <f t="shared" si="0"/>
        <v>1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MID(Table189121314[[#This Row],[IP]],LEN(Table189121314[[#This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10.238.7.18</v>
      </c>
      <c r="B4">
        <f>MID(Table189121314[[#This Row],[IP]],LEN(Table189121314[[#This Row],[IP]])-1,1)+(--MID(Table189121314[[#This Row],[IP]],8,1)-1)*9</f>
        <v>55</v>
      </c>
      <c r="C4" t="s">
        <v>51</v>
      </c>
      <c r="D4" s="97">
        <v>1381.6</v>
      </c>
      <c r="E4" s="97">
        <v>1381.1</v>
      </c>
      <c r="F4" s="97">
        <v>1381.5</v>
      </c>
      <c r="G4" s="97">
        <v>1381.9</v>
      </c>
      <c r="H4" s="97">
        <v>1380.8</v>
      </c>
      <c r="I4" s="97" cm="1">
        <f t="array" ref="I4">IF(SUM(Table189121314[[#This Row],[SBMU01]:[SBMU05]])=0,0,SUMPRODUCT(IF(Table189121314[[#This Row],[SBMU01]:[SBMU05]]=0,1,0),{1,2,4,8,16}))</f>
        <v>0</v>
      </c>
      <c r="J4" s="97" t="s">
        <v>795</v>
      </c>
      <c r="K4" s="97">
        <v>0</v>
      </c>
      <c r="L4" t="s">
        <v>785</v>
      </c>
      <c r="M4" t="b">
        <f t="shared" si="0"/>
        <v>1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MID(Table189121314[[#This Row],[IP]],LEN(Table189121314[[#This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t="str">
        <f t="shared" si="1"/>
        <v>10.238.7.19</v>
      </c>
      <c r="B5">
        <f>MID(Table189121314[[#This Row],[IP]],LEN(Table189121314[[#This Row],[IP]])-1,1)+(--MID(Table189121314[[#This Row],[IP]],8,1)-1)*9</f>
        <v>55</v>
      </c>
      <c r="C5" t="s">
        <v>52</v>
      </c>
      <c r="D5" s="97">
        <v>1382.4</v>
      </c>
      <c r="E5" s="97">
        <v>1381.4</v>
      </c>
      <c r="F5" s="97">
        <v>1382.7</v>
      </c>
      <c r="G5" s="97">
        <v>1381.9</v>
      </c>
      <c r="H5" s="97">
        <v>1381.9</v>
      </c>
      <c r="I5" s="97" cm="1">
        <f t="array" ref="I5">IF(SUM(Table189121314[[#This Row],[SBMU01]:[SBMU05]])=0,0,SUMPRODUCT(IF(Table189121314[[#This Row],[SBMU01]:[SBMU05]]=0,1,0),{1,2,4,8,16}))</f>
        <v>0</v>
      </c>
      <c r="J5" s="97" t="s">
        <v>795</v>
      </c>
      <c r="K5" s="97">
        <v>0</v>
      </c>
      <c r="L5" t="s">
        <v>785</v>
      </c>
      <c r="M5" t="b">
        <f t="shared" si="0"/>
        <v>1</v>
      </c>
      <c r="Q5">
        <v>1076</v>
      </c>
      <c r="R5" t="s">
        <v>777</v>
      </c>
      <c r="V5" s="55" t="s">
        <v>65</v>
      </c>
      <c r="W5" s="58">
        <v>32</v>
      </c>
      <c r="X5" s="53">
        <f>MID(Table189121314[[#This Row],[IP]],LEN(Table189121314[[#This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t="str">
        <f t="shared" si="1"/>
        <v>10.238.7.26</v>
      </c>
      <c r="B6">
        <f>MID(Table189121314[[#This Row],[IP]],LEN(Table189121314[[#This Row],[IP]])-1,1)+(--MID(Table189121314[[#This Row],[IP]],8,1)-1)*9</f>
        <v>56</v>
      </c>
      <c r="C6" t="s">
        <v>49</v>
      </c>
      <c r="D6" s="97">
        <v>1387.5</v>
      </c>
      <c r="E6" s="97">
        <v>1387.4</v>
      </c>
      <c r="F6" s="97">
        <v>1387.7</v>
      </c>
      <c r="G6" s="97">
        <v>1384.9</v>
      </c>
      <c r="H6" s="97">
        <v>1387.4</v>
      </c>
      <c r="I6" s="97" cm="1">
        <f t="array" ref="I6">IF(SUM(Table189121314[[#This Row],[SBMU01]:[SBMU05]])=0,0,SUMPRODUCT(IF(Table189121314[[#This Row],[SBMU01]:[SBMU05]]=0,1,0),{1,2,4,8,16}))</f>
        <v>0</v>
      </c>
      <c r="J6" s="97"/>
      <c r="K6" s="97">
        <v>0</v>
      </c>
      <c r="L6" t="s">
        <v>785</v>
      </c>
      <c r="M6" t="b">
        <f t="shared" si="0"/>
        <v>1</v>
      </c>
      <c r="Q6">
        <v>1077</v>
      </c>
      <c r="R6" t="s">
        <v>778</v>
      </c>
      <c r="V6" s="52" t="s">
        <v>66</v>
      </c>
      <c r="W6" s="57">
        <v>17</v>
      </c>
      <c r="X6" s="53">
        <f>MID(Table189121314[[#This Row],[IP]],LEN(Table189121314[[#This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10.238.7.27</v>
      </c>
      <c r="B7">
        <f>MID(Table189121314[[#This Row],[IP]],LEN(Table189121314[[#This Row],[IP]])-1,1)+(--MID(Table189121314[[#This Row],[IP]],8,1)-1)*9</f>
        <v>56</v>
      </c>
      <c r="C7" t="s">
        <v>50</v>
      </c>
      <c r="D7" s="97">
        <v>1387.6</v>
      </c>
      <c r="E7" s="97">
        <v>1387.1</v>
      </c>
      <c r="F7" s="97">
        <v>1388.1</v>
      </c>
      <c r="G7" s="97">
        <v>1386.4</v>
      </c>
      <c r="H7" s="97">
        <v>1386.4</v>
      </c>
      <c r="I7" s="97" cm="1">
        <f t="array" ref="I7">IF(SUM(Table189121314[[#This Row],[SBMU01]:[SBMU05]])=0,0,SUMPRODUCT(IF(Table189121314[[#This Row],[SBMU01]:[SBMU05]]=0,1,0),{1,2,4,8,16}))</f>
        <v>0</v>
      </c>
      <c r="J7" s="97"/>
      <c r="K7" s="97">
        <v>0</v>
      </c>
      <c r="L7" t="s">
        <v>785</v>
      </c>
      <c r="M7" t="b">
        <f t="shared" si="0"/>
        <v>1</v>
      </c>
      <c r="Q7">
        <v>1078</v>
      </c>
      <c r="R7" t="s">
        <v>779</v>
      </c>
      <c r="V7" s="55" t="s">
        <v>67</v>
      </c>
      <c r="W7" s="58">
        <v>18</v>
      </c>
      <c r="X7" s="53">
        <f>MID(Table189121314[[#This Row],[IP]],LEN(Table189121314[[#This Row],[IP]])-1,1)+(--MID(V7,8,1)-1)*9</f>
        <v>65</v>
      </c>
      <c r="Y7" s="56" t="s">
        <v>50</v>
      </c>
      <c r="AA7">
        <v>6</v>
      </c>
    </row>
    <row r="8" spans="1:30">
      <c r="A8" t="str">
        <f t="shared" si="1"/>
        <v>10.238.7.28</v>
      </c>
      <c r="B8">
        <f>MID(Table189121314[[#This Row],[IP]],LEN(Table189121314[[#This Row],[IP]])-1,1)+(--MID(Table189121314[[#This Row],[IP]],8,1)-1)*9</f>
        <v>56</v>
      </c>
      <c r="C8" t="s">
        <v>51</v>
      </c>
      <c r="D8" s="97">
        <v>1385.6</v>
      </c>
      <c r="E8" s="97">
        <v>1386.3</v>
      </c>
      <c r="F8" s="97">
        <v>1385.7</v>
      </c>
      <c r="G8" s="97">
        <v>1386.6</v>
      </c>
      <c r="H8" s="97">
        <v>1386.2</v>
      </c>
      <c r="I8" s="97" cm="1">
        <f t="array" ref="I8">IF(SUM(Table189121314[[#This Row],[SBMU01]:[SBMU05]])=0,0,SUMPRODUCT(IF(Table189121314[[#This Row],[SBMU01]:[SBMU05]]=0,1,0),{1,2,4,8,16}))</f>
        <v>0</v>
      </c>
      <c r="J8" s="97"/>
      <c r="K8" s="97">
        <v>0</v>
      </c>
      <c r="L8" t="s">
        <v>785</v>
      </c>
      <c r="M8" t="b">
        <f t="shared" si="0"/>
        <v>1</v>
      </c>
      <c r="N8" t="s">
        <v>794</v>
      </c>
      <c r="Q8">
        <v>1079</v>
      </c>
      <c r="R8" t="s">
        <v>780</v>
      </c>
      <c r="V8" s="52" t="s">
        <v>68</v>
      </c>
      <c r="W8" s="57">
        <v>13</v>
      </c>
      <c r="X8" s="53">
        <f>MID(Table189121314[[#This Row],[IP]],LEN(Table189121314[[#This Row],[IP]])-1,1)+(--MID(V8,8,1)-1)*9</f>
        <v>65</v>
      </c>
      <c r="Y8" s="54" t="s">
        <v>51</v>
      </c>
      <c r="AA8">
        <v>7</v>
      </c>
    </row>
    <row r="9" spans="1:30">
      <c r="A9" t="str">
        <f t="shared" si="1"/>
        <v>10.238.7.29</v>
      </c>
      <c r="B9">
        <f>MID(Table189121314[[#This Row],[IP]],LEN(Table189121314[[#This Row],[IP]])-1,1)+(--MID(Table189121314[[#This Row],[IP]],8,1)-1)*9</f>
        <v>56</v>
      </c>
      <c r="C9" t="s">
        <v>52</v>
      </c>
      <c r="D9" s="97">
        <v>1388.6</v>
      </c>
      <c r="E9" s="97">
        <v>1389.4</v>
      </c>
      <c r="F9" s="97">
        <v>1389</v>
      </c>
      <c r="G9" s="97">
        <v>1388.7</v>
      </c>
      <c r="H9" s="97">
        <v>1388.2</v>
      </c>
      <c r="I9" s="97" cm="1">
        <f t="array" ref="I9">IF(SUM(Table189121314[[#This Row],[SBMU01]:[SBMU05]])=0,0,SUMPRODUCT(IF(Table189121314[[#This Row],[SBMU01]:[SBMU05]]=0,1,0),{1,2,4,8,16}))</f>
        <v>0</v>
      </c>
      <c r="J9" s="97"/>
      <c r="K9" s="97">
        <v>0</v>
      </c>
      <c r="L9" t="s">
        <v>785</v>
      </c>
      <c r="M9" t="b">
        <f t="shared" si="0"/>
        <v>1</v>
      </c>
      <c r="Q9">
        <v>1080</v>
      </c>
      <c r="R9" t="s">
        <v>781</v>
      </c>
      <c r="V9" s="55" t="s">
        <v>69</v>
      </c>
      <c r="W9" s="58">
        <v>17</v>
      </c>
      <c r="X9" s="53">
        <f>MID(Table189121314[[#This Row],[IP]],LEN(Table189121314[[#This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10.238.7.36</v>
      </c>
      <c r="B10">
        <f>MID(Table189121314[[#This Row],[IP]],LEN(Table189121314[[#This Row],[IP]])-1,1)+(--MID(Table189121314[[#This Row],[IP]],8,1)-1)*9</f>
        <v>57</v>
      </c>
      <c r="C10" t="s">
        <v>49</v>
      </c>
      <c r="D10" s="97">
        <v>1385.2</v>
      </c>
      <c r="E10" s="97">
        <v>1385.9</v>
      </c>
      <c r="F10" s="97">
        <v>1384.7</v>
      </c>
      <c r="G10" s="97">
        <v>1384.5</v>
      </c>
      <c r="H10" s="97">
        <v>1382.6</v>
      </c>
      <c r="I10" s="97" cm="1">
        <f t="array" ref="I10">IF(SUM(Table189121314[[#This Row],[SBMU01]:[SBMU05]])=0,0,SUMPRODUCT(IF(Table189121314[[#This Row],[SBMU01]:[SBMU05]]=0,1,0),{1,2,4,8,16}))</f>
        <v>0</v>
      </c>
      <c r="J10" s="97"/>
      <c r="K10" s="97">
        <v>0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MID(Table189121314[[#This Row],[IP]],LEN(Table189121314[[#This Row],[IP]])-1,1)+(--MID(V10,8,1)-1)*9</f>
        <v>66</v>
      </c>
      <c r="Y10" s="54" t="s">
        <v>49</v>
      </c>
    </row>
    <row r="11" spans="1:30">
      <c r="A11" t="str">
        <f t="shared" si="1"/>
        <v>10.238.7.37</v>
      </c>
      <c r="B11">
        <f>MID(Table189121314[[#This Row],[IP]],LEN(Table189121314[[#This Row],[IP]])-1,1)+(--MID(Table189121314[[#This Row],[IP]],8,1)-1)*9</f>
        <v>57</v>
      </c>
      <c r="C11" t="s">
        <v>50</v>
      </c>
      <c r="D11" s="97">
        <v>1385.9</v>
      </c>
      <c r="E11" s="97">
        <v>1384</v>
      </c>
      <c r="F11" s="97">
        <v>1383.8</v>
      </c>
      <c r="G11" s="97">
        <v>1384.7</v>
      </c>
      <c r="H11" s="97">
        <v>1385.1</v>
      </c>
      <c r="I11" s="97" cm="1">
        <f t="array" ref="I11">IF(SUM(Table189121314[[#This Row],[SBMU01]:[SBMU05]])=0,0,SUMPRODUCT(IF(Table189121314[[#This Row],[SBMU01]:[SBMU05]]=0,1,0),{1,2,4,8,16}))</f>
        <v>0</v>
      </c>
      <c r="J11" s="97"/>
      <c r="K11" s="97">
        <v>0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MID(Table189121314[[#This Row],[IP]],LEN(Table189121314[[#This Row],[IP]])-1,1)+(--MID(V11,8,1)-1)*9</f>
        <v>66</v>
      </c>
      <c r="Y11" s="56" t="s">
        <v>50</v>
      </c>
    </row>
    <row r="12" spans="1:30">
      <c r="A12" t="str">
        <f t="shared" si="1"/>
        <v>10.238.7.38</v>
      </c>
      <c r="B12">
        <f>MID(Table189121314[[#This Row],[IP]],LEN(Table189121314[[#This Row],[IP]])-1,1)+(--MID(Table189121314[[#This Row],[IP]],8,1)-1)*9</f>
        <v>57</v>
      </c>
      <c r="C12" t="s">
        <v>51</v>
      </c>
      <c r="D12" s="97">
        <v>1384.9</v>
      </c>
      <c r="E12" s="97">
        <v>1384.5</v>
      </c>
      <c r="F12" s="97">
        <v>1384.6</v>
      </c>
      <c r="G12" s="97">
        <v>1383.4</v>
      </c>
      <c r="H12" s="97">
        <v>1384.4</v>
      </c>
      <c r="I12" s="97" cm="1">
        <f t="array" ref="I12">IF(SUM(Table189121314[[#This Row],[SBMU01]:[SBMU05]])=0,0,SUMPRODUCT(IF(Table189121314[[#This Row],[SBMU01]:[SBMU05]]=0,1,0),{1,2,4,8,16}))</f>
        <v>0</v>
      </c>
      <c r="J12" s="97"/>
      <c r="K12" s="97">
        <v>0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MID(Table189121314[[#This Row],[IP]],LEN(Table189121314[[#This Row],[IP]])-1,1)+(--MID(V12,8,1)-1)*9</f>
        <v>66</v>
      </c>
      <c r="Y12" s="54" t="s">
        <v>51</v>
      </c>
    </row>
    <row r="13" spans="1:30">
      <c r="A13" t="str">
        <f t="shared" si="1"/>
        <v>10.238.7.39</v>
      </c>
      <c r="B13">
        <f>MID(Table189121314[[#This Row],[IP]],LEN(Table189121314[[#This Row],[IP]])-1,1)+(--MID(Table189121314[[#This Row],[IP]],8,1)-1)*9</f>
        <v>57</v>
      </c>
      <c r="C13" t="s">
        <v>52</v>
      </c>
      <c r="D13" s="97">
        <v>1383.9</v>
      </c>
      <c r="E13" s="97">
        <v>1383.7</v>
      </c>
      <c r="F13" s="97">
        <v>1383.9</v>
      </c>
      <c r="G13" s="97">
        <v>1384.7</v>
      </c>
      <c r="H13" s="97">
        <v>1385.4</v>
      </c>
      <c r="I13" s="97" cm="1">
        <f t="array" ref="I13">IF(SUM(Table189121314[[#This Row],[SBMU01]:[SBMU05]])=0,0,SUMPRODUCT(IF(Table189121314[[#This Row],[SBMU01]:[SBMU05]]=0,1,0),{1,2,4,8,16}))</f>
        <v>0</v>
      </c>
      <c r="J13" s="97"/>
      <c r="K13" s="97">
        <v>0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MID(Table189121314[[#This Row],[IP]],LEN(Table189121314[[#This Row],[IP]])-1,1)+(--MID(V13,8,1)-1)*9</f>
        <v>66</v>
      </c>
      <c r="Y13" s="56" t="s">
        <v>52</v>
      </c>
    </row>
    <row r="14" spans="1:30">
      <c r="A14" t="str">
        <f t="shared" si="1"/>
        <v>10.238.7.46</v>
      </c>
      <c r="B14">
        <f>MID(Table189121314[[#This Row],[IP]],LEN(Table189121314[[#This Row],[IP]])-1,1)+(--MID(Table189121314[[#This Row],[IP]],8,1)-1)*9</f>
        <v>58</v>
      </c>
      <c r="C14" t="s">
        <v>49</v>
      </c>
      <c r="D14" s="97">
        <v>1387.4</v>
      </c>
      <c r="E14" s="97">
        <v>1386.7</v>
      </c>
      <c r="F14" s="97">
        <v>1387</v>
      </c>
      <c r="G14" s="97">
        <v>1389.2</v>
      </c>
      <c r="H14" s="97">
        <v>1387.8</v>
      </c>
      <c r="I14" s="97" cm="1">
        <f t="array" ref="I14">IF(SUM(Table189121314[[#This Row],[SBMU01]:[SBMU05]])=0,0,SUMPRODUCT(IF(Table189121314[[#This Row],[SBMU01]:[SBMU05]]=0,1,0),{1,2,4,8,16}))</f>
        <v>0</v>
      </c>
      <c r="J14" s="97"/>
      <c r="K14" s="97">
        <v>0</v>
      </c>
      <c r="L14" t="s">
        <v>785</v>
      </c>
      <c r="M14" t="b">
        <f t="shared" si="0"/>
        <v>1</v>
      </c>
      <c r="V14" s="52" t="s">
        <v>74</v>
      </c>
      <c r="W14" s="57">
        <v>30</v>
      </c>
      <c r="X14" s="53">
        <f>MID(Table189121314[[#This Row],[IP]],LEN(Table189121314[[#This Row],[IP]])-1,1)+(--MID(V14,8,1)-1)*9</f>
        <v>67</v>
      </c>
      <c r="Y14" s="54" t="s">
        <v>49</v>
      </c>
    </row>
    <row r="15" spans="1:30">
      <c r="A15" t="str">
        <f t="shared" si="1"/>
        <v>10.238.7.47</v>
      </c>
      <c r="B15">
        <f>MID(Table189121314[[#This Row],[IP]],LEN(Table189121314[[#This Row],[IP]])-1,1)+(--MID(Table189121314[[#This Row],[IP]],8,1)-1)*9</f>
        <v>58</v>
      </c>
      <c r="C15" t="s">
        <v>50</v>
      </c>
      <c r="D15" s="97">
        <v>1388.5</v>
      </c>
      <c r="E15" s="97">
        <v>1386.9</v>
      </c>
      <c r="F15" s="97">
        <v>1386.4</v>
      </c>
      <c r="G15" s="97">
        <v>1387.6</v>
      </c>
      <c r="H15" s="97">
        <v>1388.4</v>
      </c>
      <c r="I15" s="97" cm="1">
        <f t="array" ref="I15">IF(SUM(Table189121314[[#This Row],[SBMU01]:[SBMU05]])=0,0,SUMPRODUCT(IF(Table189121314[[#This Row],[SBMU01]:[SBMU05]]=0,1,0),{1,2,4,8,16}))</f>
        <v>0</v>
      </c>
      <c r="J15" s="97"/>
      <c r="K15" s="97">
        <v>0</v>
      </c>
      <c r="L15" t="s">
        <v>785</v>
      </c>
      <c r="M15" t="b">
        <f t="shared" si="0"/>
        <v>1</v>
      </c>
      <c r="V15" s="55" t="s">
        <v>75</v>
      </c>
      <c r="W15" s="58">
        <v>38</v>
      </c>
      <c r="X15" s="53">
        <f>MID(Table189121314[[#This Row],[IP]],LEN(Table189121314[[#This Row],[IP]])-1,1)+(--MID(V15,8,1)-1)*9</f>
        <v>67</v>
      </c>
      <c r="Y15" s="56" t="s">
        <v>50</v>
      </c>
    </row>
    <row r="16" spans="1:30">
      <c r="A16" t="str">
        <f t="shared" si="1"/>
        <v>10.238.7.48</v>
      </c>
      <c r="B16">
        <f>MID(Table189121314[[#This Row],[IP]],LEN(Table189121314[[#This Row],[IP]])-1,1)+(--MID(Table189121314[[#This Row],[IP]],8,1)-1)*9</f>
        <v>58</v>
      </c>
      <c r="C16" t="s">
        <v>51</v>
      </c>
      <c r="D16" s="97">
        <v>1385.4</v>
      </c>
      <c r="E16" s="97">
        <v>1386.1</v>
      </c>
      <c r="F16" s="97">
        <v>1386.5</v>
      </c>
      <c r="G16" s="97">
        <v>1385.4</v>
      </c>
      <c r="H16" s="97">
        <v>1386.2</v>
      </c>
      <c r="I16" s="97" cm="1">
        <f t="array" ref="I16">IF(SUM(Table189121314[[#This Row],[SBMU01]:[SBMU05]])=0,0,SUMPRODUCT(IF(Table189121314[[#This Row],[SBMU01]:[SBMU05]]=0,1,0),{1,2,4,8,16}))</f>
        <v>0</v>
      </c>
      <c r="J16" s="97"/>
      <c r="K16" s="97">
        <v>0</v>
      </c>
      <c r="L16" t="s">
        <v>785</v>
      </c>
      <c r="M16" t="b">
        <f t="shared" si="0"/>
        <v>1</v>
      </c>
      <c r="N16" t="s">
        <v>794</v>
      </c>
      <c r="V16" s="52" t="s">
        <v>76</v>
      </c>
      <c r="W16" s="57">
        <v>38</v>
      </c>
      <c r="X16" s="53">
        <f>MID(Table189121314[[#This Row],[IP]],LEN(Table189121314[[#This Row],[IP]])-1,1)+(--MID(V16,8,1)-1)*9</f>
        <v>67</v>
      </c>
      <c r="Y16" s="54" t="s">
        <v>51</v>
      </c>
    </row>
    <row r="17" spans="1:25">
      <c r="A17" t="str">
        <f t="shared" si="1"/>
        <v>10.238.7.49</v>
      </c>
      <c r="B17">
        <f>MID(Table189121314[[#This Row],[IP]],LEN(Table189121314[[#This Row],[IP]])-1,1)+(--MID(Table189121314[[#This Row],[IP]],8,1)-1)*9</f>
        <v>58</v>
      </c>
      <c r="C17" t="s">
        <v>52</v>
      </c>
      <c r="D17" s="97">
        <v>1388.1</v>
      </c>
      <c r="E17" s="97">
        <v>1387.3</v>
      </c>
      <c r="F17" s="97">
        <v>1388</v>
      </c>
      <c r="G17" s="97">
        <v>1388.2</v>
      </c>
      <c r="H17" s="97">
        <v>1387.5</v>
      </c>
      <c r="I17" s="97" cm="1">
        <f t="array" ref="I17">IF(SUM(Table189121314[[#This Row],[SBMU01]:[SBMU05]])=0,0,SUMPRODUCT(IF(Table189121314[[#This Row],[SBMU01]:[SBMU05]]=0,1,0),{1,2,4,8,16}))</f>
        <v>0</v>
      </c>
      <c r="J17" s="97"/>
      <c r="K17" s="97">
        <v>0</v>
      </c>
      <c r="L17" t="s">
        <v>785</v>
      </c>
      <c r="M17" t="b">
        <f t="shared" si="0"/>
        <v>1</v>
      </c>
      <c r="V17" s="55" t="s">
        <v>77</v>
      </c>
      <c r="W17" s="58">
        <v>38</v>
      </c>
      <c r="X17" s="53">
        <f>MID(Table189121314[[#This Row],[IP]],LEN(Table189121314[[#This Row],[IP]])-1,1)+(--MID(V17,8,1)-1)*9</f>
        <v>67</v>
      </c>
      <c r="Y17" s="56" t="s">
        <v>52</v>
      </c>
    </row>
    <row r="18" spans="1:25">
      <c r="A18" t="str">
        <f t="shared" si="1"/>
        <v>10.238.7.56</v>
      </c>
      <c r="B18">
        <f>MID(Table189121314[[#This Row],[IP]],LEN(Table189121314[[#This Row],[IP]])-1,1)+(--MID(Table189121314[[#This Row],[IP]],8,1)-1)*9</f>
        <v>59</v>
      </c>
      <c r="C18" t="s">
        <v>49</v>
      </c>
      <c r="D18" s="97">
        <v>1393</v>
      </c>
      <c r="E18" s="97">
        <v>1392.3</v>
      </c>
      <c r="F18" s="97">
        <v>1393.8</v>
      </c>
      <c r="G18" s="97">
        <v>1396.4</v>
      </c>
      <c r="H18" s="97">
        <v>1393.4</v>
      </c>
      <c r="I18" s="97" cm="1">
        <f t="array" ref="I18">IF(SUM(Table189121314[[#This Row],[SBMU01]:[SBMU05]])=0,0,SUMPRODUCT(IF(Table189121314[[#This Row],[SBMU01]:[SBMU05]]=0,1,0),{1,2,4,8,16}))</f>
        <v>0</v>
      </c>
      <c r="J18" s="97"/>
      <c r="K18" s="97">
        <v>0</v>
      </c>
      <c r="L18" t="s">
        <v>785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MID(Table189121314[[#This Row],[IP]],LEN(Table189121314[[#This Row],[IP]])-1,1)+(--MID(V18,8,1)-1)*9</f>
        <v>68</v>
      </c>
      <c r="Y18" s="54" t="s">
        <v>49</v>
      </c>
    </row>
    <row r="19" spans="1:25">
      <c r="A19" t="str">
        <f t="shared" si="1"/>
        <v>10.238.7.57</v>
      </c>
      <c r="B19">
        <f>MID(Table189121314[[#This Row],[IP]],LEN(Table189121314[[#This Row],[IP]])-1,1)+(--MID(Table189121314[[#This Row],[IP]],8,1)-1)*9</f>
        <v>59</v>
      </c>
      <c r="C19" t="s">
        <v>50</v>
      </c>
      <c r="D19" s="97">
        <v>1390.9</v>
      </c>
      <c r="E19" s="97">
        <v>1390.5</v>
      </c>
      <c r="F19" s="97">
        <v>1392.4</v>
      </c>
      <c r="G19" s="97">
        <v>1391.7</v>
      </c>
      <c r="H19" s="97">
        <v>1392.7</v>
      </c>
      <c r="I19" s="97" cm="1">
        <f t="array" ref="I19">IF(SUM(Table189121314[[#This Row],[SBMU01]:[SBMU05]])=0,0,SUMPRODUCT(IF(Table189121314[[#This Row],[SBMU01]:[SBMU05]]=0,1,0),{1,2,4,8,16}))</f>
        <v>0</v>
      </c>
      <c r="J19" s="97"/>
      <c r="K19" s="97">
        <v>0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MID(Table189121314[[#This Row],[IP]],LEN(Table189121314[[#This Row],[IP]])-1,1)+(--MID(V19,8,1)-1)*9</f>
        <v>68</v>
      </c>
      <c r="Y19" s="56" t="s">
        <v>50</v>
      </c>
    </row>
    <row r="20" spans="1:25">
      <c r="A20" t="str">
        <f t="shared" si="1"/>
        <v>10.238.7.58</v>
      </c>
      <c r="B20">
        <f>MID(Table189121314[[#This Row],[IP]],LEN(Table189121314[[#This Row],[IP]])-1,1)+(--MID(Table189121314[[#This Row],[IP]],8,1)-1)*9</f>
        <v>59</v>
      </c>
      <c r="C20" t="s">
        <v>51</v>
      </c>
      <c r="D20" s="97">
        <v>1384.5</v>
      </c>
      <c r="E20" s="97">
        <v>1385.2</v>
      </c>
      <c r="F20" s="97">
        <v>1384.3</v>
      </c>
      <c r="G20" s="97">
        <v>1384.7</v>
      </c>
      <c r="H20" s="97">
        <v>1384.5</v>
      </c>
      <c r="I20" s="97" cm="1">
        <f t="array" ref="I20">IF(SUM(Table189121314[[#This Row],[SBMU01]:[SBMU05]])=0,0,SUMPRODUCT(IF(Table189121314[[#This Row],[SBMU01]:[SBMU05]]=0,1,0),{1,2,4,8,16}))</f>
        <v>0</v>
      </c>
      <c r="J20" s="97"/>
      <c r="K20" s="97">
        <v>0</v>
      </c>
      <c r="M20" t="b">
        <f t="shared" si="0"/>
        <v>1</v>
      </c>
      <c r="N20" t="s">
        <v>794</v>
      </c>
      <c r="O20" t="s">
        <v>791</v>
      </c>
      <c r="V20" s="52" t="s">
        <v>80</v>
      </c>
      <c r="W20" s="57">
        <v>22</v>
      </c>
      <c r="X20" s="53">
        <f>MID(Table189121314[[#This Row],[IP]],LEN(Table189121314[[#This Row],[IP]])-1,1)+(--MID(V20,8,1)-1)*9</f>
        <v>68</v>
      </c>
      <c r="Y20" s="54" t="s">
        <v>51</v>
      </c>
    </row>
    <row r="21" spans="1:25">
      <c r="A21" t="str">
        <f t="shared" si="1"/>
        <v>10.238.7.59</v>
      </c>
      <c r="B21">
        <f>MID(Table189121314[[#This Row],[IP]],LEN(Table189121314[[#This Row],[IP]])-1,1)+(--MID(Table189121314[[#This Row],[IP]],8,1)-1)*9</f>
        <v>59</v>
      </c>
      <c r="C21" t="s">
        <v>52</v>
      </c>
      <c r="D21" s="97">
        <v>1395.2</v>
      </c>
      <c r="E21" s="97">
        <v>1394</v>
      </c>
      <c r="F21" s="97">
        <v>1394.5</v>
      </c>
      <c r="G21" s="97">
        <v>1394.7</v>
      </c>
      <c r="H21" s="97">
        <v>1393.6</v>
      </c>
      <c r="I21" s="97" cm="1">
        <f t="array" ref="I21">IF(SUM(Table189121314[[#This Row],[SBMU01]:[SBMU05]])=0,0,SUMPRODUCT(IF(Table189121314[[#This Row],[SBMU01]:[SBMU05]]=0,1,0),{1,2,4,8,16}))</f>
        <v>0</v>
      </c>
      <c r="J21" s="97"/>
      <c r="K21" s="97">
        <v>0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MID(Table189121314[[#This Row],[IP]],LEN(Table189121314[[#This Row],[IP]])-1,1)+(--MID(V21,8,1)-1)*9</f>
        <v>68</v>
      </c>
      <c r="Y21" s="56" t="s">
        <v>52</v>
      </c>
    </row>
    <row r="22" spans="1:25">
      <c r="A22" t="str">
        <f t="shared" si="1"/>
        <v>10.238.7.66</v>
      </c>
      <c r="B22">
        <f>MID(Table189121314[[#This Row],[IP]],LEN(Table189121314[[#This Row],[IP]])-1,1)+(--MID(Table189121314[[#This Row],[IP]],8,1)-1)*9</f>
        <v>60</v>
      </c>
      <c r="C22" t="s">
        <v>49</v>
      </c>
      <c r="D22" s="97">
        <v>1392.3</v>
      </c>
      <c r="E22" s="97">
        <v>1391.6</v>
      </c>
      <c r="F22" s="97">
        <v>1390.9</v>
      </c>
      <c r="G22" s="97">
        <v>1392.7</v>
      </c>
      <c r="H22" s="97">
        <v>1390.8</v>
      </c>
      <c r="I22" s="97" cm="1">
        <f t="array" ref="I22">IF(SUM(Table189121314[[#This Row],[SBMU01]:[SBMU05]])=0,0,SUMPRODUCT(IF(Table189121314[[#This Row],[SBMU01]:[SBMU05]]=0,1,0),{1,2,4,8,16}))</f>
        <v>0</v>
      </c>
      <c r="J22" s="97"/>
      <c r="K22" s="97">
        <v>0</v>
      </c>
      <c r="L22" t="s">
        <v>785</v>
      </c>
      <c r="M22" t="b">
        <f t="shared" si="0"/>
        <v>1</v>
      </c>
      <c r="N22" t="s">
        <v>794</v>
      </c>
      <c r="V22" s="52" t="s">
        <v>82</v>
      </c>
      <c r="W22" s="57">
        <v>22</v>
      </c>
      <c r="X22" s="53">
        <f>MID(Table189121314[[#This Row],[IP]],LEN(Table189121314[[#This Row],[IP]])-1,1)+(--MID(V22,8,1)-1)*9</f>
        <v>69</v>
      </c>
      <c r="Y22" s="54" t="s">
        <v>49</v>
      </c>
    </row>
    <row r="23" spans="1:25">
      <c r="A23" t="str">
        <f t="shared" si="1"/>
        <v>10.238.7.67</v>
      </c>
      <c r="B23">
        <f>MID(Table189121314[[#This Row],[IP]],LEN(Table189121314[[#This Row],[IP]])-1,1)+(--MID(Table189121314[[#This Row],[IP]],8,1)-1)*9</f>
        <v>60</v>
      </c>
      <c r="C23" t="s">
        <v>50</v>
      </c>
      <c r="D23" s="97">
        <v>1390.6</v>
      </c>
      <c r="E23" s="97">
        <v>1391.6</v>
      </c>
      <c r="F23" s="97">
        <v>1391.2</v>
      </c>
      <c r="G23" s="97">
        <v>1391.2</v>
      </c>
      <c r="H23" s="97">
        <v>1392.8</v>
      </c>
      <c r="I23" s="97" cm="1">
        <f t="array" ref="I23">IF(SUM(Table189121314[[#This Row],[SBMU01]:[SBMU05]])=0,0,SUMPRODUCT(IF(Table189121314[[#This Row],[SBMU01]:[SBMU05]]=0,1,0),{1,2,4,8,16}))</f>
        <v>0</v>
      </c>
      <c r="J23" s="97"/>
      <c r="K23" s="97">
        <v>0</v>
      </c>
      <c r="L23" t="s">
        <v>785</v>
      </c>
      <c r="M23" t="b">
        <f t="shared" si="0"/>
        <v>1</v>
      </c>
      <c r="N23" t="s">
        <v>794</v>
      </c>
      <c r="V23" s="55" t="s">
        <v>83</v>
      </c>
      <c r="W23" s="58">
        <v>16</v>
      </c>
      <c r="X23" s="53">
        <f>MID(Table189121314[[#This Row],[IP]],LEN(Table189121314[[#This Row],[IP]])-1,1)+(--MID(V23,8,1)-1)*9</f>
        <v>69</v>
      </c>
      <c r="Y23" s="56" t="s">
        <v>50</v>
      </c>
    </row>
    <row r="24" spans="1:25">
      <c r="A24" t="str">
        <f t="shared" si="1"/>
        <v>10.238.7.68</v>
      </c>
      <c r="B24">
        <f>MID(Table189121314[[#This Row],[IP]],LEN(Table189121314[[#This Row],[IP]])-1,1)+(--MID(Table189121314[[#This Row],[IP]],8,1)-1)*9</f>
        <v>60</v>
      </c>
      <c r="C24" t="s">
        <v>51</v>
      </c>
      <c r="D24" s="97">
        <v>1393.2</v>
      </c>
      <c r="E24" s="97">
        <v>1393.7</v>
      </c>
      <c r="F24" s="97">
        <v>1392.6</v>
      </c>
      <c r="G24" s="97">
        <v>1391.3</v>
      </c>
      <c r="H24" s="97">
        <v>1393</v>
      </c>
      <c r="I24" s="97" cm="1">
        <f t="array" ref="I24">IF(SUM(Table189121314[[#This Row],[SBMU01]:[SBMU05]])=0,0,SUMPRODUCT(IF(Table189121314[[#This Row],[SBMU01]:[SBMU05]]=0,1,0),{1,2,4,8,16}))</f>
        <v>0</v>
      </c>
      <c r="J24" s="97"/>
      <c r="K24" s="97">
        <v>0</v>
      </c>
      <c r="L24" t="s">
        <v>785</v>
      </c>
      <c r="M24" t="b">
        <f t="shared" si="0"/>
        <v>1</v>
      </c>
      <c r="N24" t="s">
        <v>794</v>
      </c>
      <c r="V24" s="52" t="s">
        <v>84</v>
      </c>
      <c r="W24" s="57">
        <v>16</v>
      </c>
      <c r="X24" s="53">
        <f>MID(Table189121314[[#This Row],[IP]],LEN(Table189121314[[#This Row],[IP]])-1,1)+(--MID(V24,8,1)-1)*9</f>
        <v>69</v>
      </c>
      <c r="Y24" s="54" t="s">
        <v>51</v>
      </c>
    </row>
    <row r="25" spans="1:25">
      <c r="A25" t="str">
        <f t="shared" si="1"/>
        <v>10.238.7.69</v>
      </c>
      <c r="B25">
        <f>MID(Table189121314[[#This Row],[IP]],LEN(Table189121314[[#This Row],[IP]])-1,1)+(--MID(Table189121314[[#This Row],[IP]],8,1)-1)*9</f>
        <v>60</v>
      </c>
      <c r="C25" t="s">
        <v>52</v>
      </c>
      <c r="D25" s="97">
        <v>1393.9</v>
      </c>
      <c r="E25" s="97">
        <v>1392.4</v>
      </c>
      <c r="F25" s="97">
        <v>1391.6</v>
      </c>
      <c r="G25" s="97">
        <v>1392.1</v>
      </c>
      <c r="H25" s="97">
        <v>1394.4</v>
      </c>
      <c r="I25" s="97" cm="1">
        <f t="array" ref="I25">IF(SUM(Table189121314[[#This Row],[SBMU01]:[SBMU05]])=0,0,SUMPRODUCT(IF(Table189121314[[#This Row],[SBMU01]:[SBMU05]]=0,1,0),{1,2,4,8,16}))</f>
        <v>0</v>
      </c>
      <c r="J25" s="97"/>
      <c r="K25" s="97">
        <v>0</v>
      </c>
      <c r="L25" t="s">
        <v>785</v>
      </c>
      <c r="M25" t="b">
        <f t="shared" si="0"/>
        <v>1</v>
      </c>
      <c r="N25" t="s">
        <v>794</v>
      </c>
      <c r="V25" s="55" t="s">
        <v>85</v>
      </c>
      <c r="W25" s="58">
        <v>16</v>
      </c>
      <c r="X25" s="53">
        <f>MID(Table189121314[[#This Row],[IP]],LEN(Table189121314[[#This Row],[IP]])-1,1)+(--MID(V25,8,1)-1)*9</f>
        <v>69</v>
      </c>
      <c r="Y25" s="56" t="s">
        <v>52</v>
      </c>
    </row>
    <row r="26" spans="1:25">
      <c r="A26" t="str">
        <f t="shared" si="1"/>
        <v>10.238.7.76</v>
      </c>
      <c r="B26">
        <f>MID(Table189121314[[#This Row],[IP]],LEN(Table189121314[[#This Row],[IP]])-1,1)+(--MID(Table189121314[[#This Row],[IP]],8,1)-1)*9</f>
        <v>61</v>
      </c>
      <c r="C26" t="s">
        <v>49</v>
      </c>
      <c r="D26" s="97">
        <v>1391.9</v>
      </c>
      <c r="E26" s="97">
        <v>1392.2</v>
      </c>
      <c r="F26" s="97">
        <v>1391.9</v>
      </c>
      <c r="G26" s="97">
        <v>1391.6</v>
      </c>
      <c r="H26" s="97">
        <v>1391.4</v>
      </c>
      <c r="I26" s="97" cm="1">
        <f t="array" ref="I26">IF(SUM(Table189121314[[#This Row],[SBMU01]:[SBMU05]])=0,0,SUMPRODUCT(IF(Table189121314[[#This Row],[SBMU01]:[SBMU05]]=0,1,0),{1,2,4,8,16}))</f>
        <v>0</v>
      </c>
      <c r="J26" s="97"/>
      <c r="K26" s="97">
        <v>0</v>
      </c>
      <c r="L26" t="s">
        <v>785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MID(Table189121314[[#This Row],[IP]],LEN(Table189121314[[#This Row],[IP]])-1,1)+(--MID(V26,8,1)-1)*9</f>
        <v>70</v>
      </c>
      <c r="Y26" s="54" t="s">
        <v>49</v>
      </c>
    </row>
    <row r="27" spans="1:25">
      <c r="A27" t="str">
        <f t="shared" si="1"/>
        <v>10.238.7.77</v>
      </c>
      <c r="B27">
        <f>MID(Table189121314[[#This Row],[IP]],LEN(Table189121314[[#This Row],[IP]])-1,1)+(--MID(Table189121314[[#This Row],[IP]],8,1)-1)*9</f>
        <v>61</v>
      </c>
      <c r="C27" t="s">
        <v>50</v>
      </c>
      <c r="D27" s="97">
        <v>1391.6</v>
      </c>
      <c r="E27" s="97">
        <v>1391.5</v>
      </c>
      <c r="F27" s="97">
        <v>1390.9</v>
      </c>
      <c r="G27" s="97">
        <v>1391</v>
      </c>
      <c r="H27" s="97">
        <v>1391.7</v>
      </c>
      <c r="I27" s="97" cm="1">
        <f t="array" ref="I27">IF(SUM(Table189121314[[#This Row],[SBMU01]:[SBMU05]])=0,0,SUMPRODUCT(IF(Table189121314[[#This Row],[SBMU01]:[SBMU05]]=0,1,0),{1,2,4,8,16}))</f>
        <v>0</v>
      </c>
      <c r="J27" s="97"/>
      <c r="K27" s="97">
        <v>0</v>
      </c>
      <c r="L27" t="s">
        <v>785</v>
      </c>
      <c r="M27" t="b">
        <f t="shared" si="0"/>
        <v>1</v>
      </c>
      <c r="N27" t="s">
        <v>794</v>
      </c>
      <c r="V27" s="55" t="s">
        <v>87</v>
      </c>
      <c r="W27" s="58">
        <v>20</v>
      </c>
      <c r="X27" s="53">
        <f>MID(Table189121314[[#This Row],[IP]],LEN(Table189121314[[#This Row],[IP]])-1,1)+(--MID(V27,8,1)-1)*9</f>
        <v>70</v>
      </c>
      <c r="Y27" s="56" t="s">
        <v>50</v>
      </c>
    </row>
    <row r="28" spans="1:25">
      <c r="A28" t="str">
        <f t="shared" si="1"/>
        <v>10.238.7.78</v>
      </c>
      <c r="B28">
        <f>MID(Table189121314[[#This Row],[IP]],LEN(Table189121314[[#This Row],[IP]])-1,1)+(--MID(Table189121314[[#This Row],[IP]],8,1)-1)*9</f>
        <v>61</v>
      </c>
      <c r="C28" t="s">
        <v>51</v>
      </c>
      <c r="D28" s="97">
        <v>1391</v>
      </c>
      <c r="E28" s="97">
        <v>1392.4</v>
      </c>
      <c r="F28" s="97">
        <v>1392.4</v>
      </c>
      <c r="G28" s="97">
        <v>1391</v>
      </c>
      <c r="H28" s="97">
        <v>1391.6</v>
      </c>
      <c r="I28" s="97" cm="1">
        <f t="array" ref="I28">IF(SUM(Table189121314[[#This Row],[SBMU01]:[SBMU05]])=0,0,SUMPRODUCT(IF(Table189121314[[#This Row],[SBMU01]:[SBMU05]]=0,1,0),{1,2,4,8,16}))</f>
        <v>0</v>
      </c>
      <c r="J28" s="97"/>
      <c r="K28" s="97">
        <v>0</v>
      </c>
      <c r="L28" t="s">
        <v>785</v>
      </c>
      <c r="M28" t="b">
        <f t="shared" si="0"/>
        <v>1</v>
      </c>
      <c r="N28" t="s">
        <v>794</v>
      </c>
      <c r="V28" s="52" t="s">
        <v>88</v>
      </c>
      <c r="W28" s="57">
        <v>34</v>
      </c>
      <c r="X28" s="53">
        <f>MID(Table189121314[[#This Row],[IP]],LEN(Table189121314[[#This Row],[IP]])-1,1)+(--MID(V28,8,1)-1)*9</f>
        <v>70</v>
      </c>
      <c r="Y28" s="54" t="s">
        <v>51</v>
      </c>
    </row>
    <row r="29" spans="1:25">
      <c r="A29" t="str">
        <f t="shared" si="1"/>
        <v>10.238.7.79</v>
      </c>
      <c r="B29">
        <f>MID(Table189121314[[#This Row],[IP]],LEN(Table189121314[[#This Row],[IP]])-1,1)+(--MID(Table189121314[[#This Row],[IP]],8,1)-1)*9</f>
        <v>61</v>
      </c>
      <c r="C29" t="s">
        <v>52</v>
      </c>
      <c r="D29" s="97">
        <v>1393.6</v>
      </c>
      <c r="E29" s="97">
        <v>1393.7</v>
      </c>
      <c r="F29" s="97">
        <v>1391.9</v>
      </c>
      <c r="G29" s="97">
        <v>1392.9</v>
      </c>
      <c r="H29" s="97">
        <v>1392.2</v>
      </c>
      <c r="I29" s="97" cm="1">
        <f t="array" ref="I29">IF(SUM(Table189121314[[#This Row],[SBMU01]:[SBMU05]])=0,0,SUMPRODUCT(IF(Table189121314[[#This Row],[SBMU01]:[SBMU05]]=0,1,0),{1,2,4,8,16}))</f>
        <v>0</v>
      </c>
      <c r="J29" s="97"/>
      <c r="K29" s="97">
        <v>0</v>
      </c>
      <c r="L29" t="s">
        <v>785</v>
      </c>
      <c r="M29" t="b">
        <f t="shared" si="0"/>
        <v>1</v>
      </c>
      <c r="N29" t="s">
        <v>794</v>
      </c>
      <c r="V29" s="55" t="s">
        <v>89</v>
      </c>
      <c r="W29" s="58">
        <v>34</v>
      </c>
      <c r="X29" s="53">
        <f>MID(Table189121314[[#This Row],[IP]],LEN(Table189121314[[#This Row],[IP]])-1,1)+(--MID(V29,8,1)-1)*9</f>
        <v>70</v>
      </c>
      <c r="Y29" s="56" t="s">
        <v>52</v>
      </c>
    </row>
    <row r="30" spans="1:25">
      <c r="A30" t="str">
        <f t="shared" si="1"/>
        <v>10.238.7.86</v>
      </c>
      <c r="B30">
        <f>MID(Table189121314[[#This Row],[IP]],LEN(Table189121314[[#This Row],[IP]])-1,1)+(--MID(Table189121314[[#This Row],[IP]],8,1)-1)*9</f>
        <v>62</v>
      </c>
      <c r="C30" t="s">
        <v>49</v>
      </c>
      <c r="D30" s="97">
        <v>1374.3</v>
      </c>
      <c r="E30" s="97">
        <v>1374.2</v>
      </c>
      <c r="F30" s="97">
        <v>1375.6</v>
      </c>
      <c r="G30" s="97">
        <v>1375.4</v>
      </c>
      <c r="H30" s="97">
        <v>1374.8</v>
      </c>
      <c r="I30" s="97" cm="1">
        <f t="array" ref="I30">IF(SUM(Table189121314[[#This Row],[SBMU01]:[SBMU05]])=0,0,SUMPRODUCT(IF(Table189121314[[#This Row],[SBMU01]:[SBMU05]]=0,1,0),{1,2,4,8,16}))</f>
        <v>0</v>
      </c>
      <c r="J30" s="97"/>
      <c r="K30" s="97">
        <v>0</v>
      </c>
      <c r="L30" t="s">
        <v>785</v>
      </c>
      <c r="M30" t="b">
        <f t="shared" si="0"/>
        <v>1</v>
      </c>
      <c r="N30" t="s">
        <v>794</v>
      </c>
      <c r="V30" s="52" t="s">
        <v>90</v>
      </c>
      <c r="W30" s="57">
        <v>30</v>
      </c>
      <c r="X30" s="53">
        <f>MID(Table189121314[[#This Row],[IP]],LEN(Table189121314[[#This Row],[IP]])-1,1)+(--MID(V30,8,1)-1)*9</f>
        <v>71</v>
      </c>
      <c r="Y30" s="54" t="s">
        <v>49</v>
      </c>
    </row>
    <row r="31" spans="1:25">
      <c r="A31" t="str">
        <f t="shared" si="1"/>
        <v>10.238.7.87</v>
      </c>
      <c r="B31">
        <f>MID(Table189121314[[#This Row],[IP]],LEN(Table189121314[[#This Row],[IP]])-1,1)+(--MID(Table189121314[[#This Row],[IP]],8,1)-1)*9</f>
        <v>62</v>
      </c>
      <c r="C31" t="s">
        <v>50</v>
      </c>
      <c r="D31" s="97">
        <v>1385.2</v>
      </c>
      <c r="E31" s="97">
        <v>1384.1</v>
      </c>
      <c r="F31" s="97">
        <v>1382.6</v>
      </c>
      <c r="G31" s="97">
        <v>1386</v>
      </c>
      <c r="H31" s="97">
        <v>1384.2</v>
      </c>
      <c r="I31" s="97" cm="1">
        <f t="array" ref="I31">IF(SUM(Table189121314[[#This Row],[SBMU01]:[SBMU05]])=0,0,SUMPRODUCT(IF(Table189121314[[#This Row],[SBMU01]:[SBMU05]]=0,1,0),{1,2,4,8,16}))</f>
        <v>0</v>
      </c>
      <c r="J31" s="97"/>
      <c r="K31" s="97">
        <v>0</v>
      </c>
      <c r="L31" t="s">
        <v>785</v>
      </c>
      <c r="M31" t="b">
        <f t="shared" si="0"/>
        <v>1</v>
      </c>
      <c r="N31" t="s">
        <v>794</v>
      </c>
      <c r="O31" t="s">
        <v>791</v>
      </c>
      <c r="V31" s="55" t="s">
        <v>91</v>
      </c>
      <c r="W31" s="58">
        <v>28</v>
      </c>
      <c r="X31" s="53">
        <f>MID(Table189121314[[#This Row],[IP]],LEN(Table189121314[[#This Row],[IP]])-1,1)+(--MID(V31,8,1)-1)*9</f>
        <v>71</v>
      </c>
      <c r="Y31" s="56" t="s">
        <v>50</v>
      </c>
    </row>
    <row r="32" spans="1:25">
      <c r="A32" t="str">
        <f t="shared" si="1"/>
        <v>10.238.7.88</v>
      </c>
      <c r="B32">
        <f>MID(Table189121314[[#This Row],[IP]],LEN(Table189121314[[#This Row],[IP]])-1,1)+(--MID(Table189121314[[#This Row],[IP]],8,1)-1)*9</f>
        <v>62</v>
      </c>
      <c r="C32" t="s">
        <v>51</v>
      </c>
      <c r="D32" s="97">
        <v>1385</v>
      </c>
      <c r="E32" s="97">
        <v>1381.3</v>
      </c>
      <c r="F32" s="97">
        <v>1382.1</v>
      </c>
      <c r="G32" s="97">
        <v>1382.9</v>
      </c>
      <c r="H32" s="97">
        <v>1382.3</v>
      </c>
      <c r="I32" s="97" cm="1">
        <f t="array" ref="I32">IF(SUM(Table189121314[[#This Row],[SBMU01]:[SBMU05]])=0,0,SUMPRODUCT(IF(Table189121314[[#This Row],[SBMU01]:[SBMU05]]=0,1,0),{1,2,4,8,16}))</f>
        <v>0</v>
      </c>
      <c r="J32" s="97"/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MID(Table189121314[[#This Row],[IP]],LEN(Table189121314[[#This Row],[IP]])-1,1)+(--MID(V32,8,1)-1)*9</f>
        <v>71</v>
      </c>
      <c r="Y32" s="54" t="s">
        <v>51</v>
      </c>
    </row>
    <row r="33" spans="1:25">
      <c r="A33" t="str">
        <f t="shared" si="1"/>
        <v>10.238.7.89</v>
      </c>
      <c r="B33">
        <f>MID(Table189121314[[#This Row],[IP]],LEN(Table189121314[[#This Row],[IP]])-1,1)+(--MID(Table189121314[[#This Row],[IP]],8,1)-1)*9</f>
        <v>62</v>
      </c>
      <c r="C33" t="s">
        <v>52</v>
      </c>
      <c r="D33" s="97">
        <v>1383.9</v>
      </c>
      <c r="E33" s="97">
        <v>1383.9</v>
      </c>
      <c r="F33" s="97">
        <v>1384.5</v>
      </c>
      <c r="G33" s="97">
        <v>1385.5</v>
      </c>
      <c r="H33" s="97">
        <v>1384.9</v>
      </c>
      <c r="I33" s="97" cm="1">
        <f t="array" ref="I33">IF(SUM(Table189121314[[#This Row],[SBMU01]:[SBMU05]])=0,0,SUMPRODUCT(IF(Table189121314[[#This Row],[SBMU01]:[SBMU05]]=0,1,0),{1,2,4,8,16}))</f>
        <v>0</v>
      </c>
      <c r="J33" s="97"/>
      <c r="K33" s="97">
        <v>0</v>
      </c>
      <c r="M33" t="b">
        <f t="shared" si="0"/>
        <v>1</v>
      </c>
      <c r="N33" t="s">
        <v>794</v>
      </c>
      <c r="O33" t="s">
        <v>791</v>
      </c>
      <c r="V33" s="55" t="s">
        <v>93</v>
      </c>
      <c r="W33" s="58">
        <v>31</v>
      </c>
      <c r="X33" s="53">
        <f>MID(Table189121314[[#This Row],[IP]],LEN(Table189121314[[#This Row],[IP]])-1,1)+(--MID(V33,8,1)-1)*9</f>
        <v>71</v>
      </c>
      <c r="Y33" s="56" t="s">
        <v>52</v>
      </c>
    </row>
    <row r="34" spans="1:25">
      <c r="A34" t="str">
        <f t="shared" si="1"/>
        <v>10.238.7.96</v>
      </c>
      <c r="B34">
        <f>MID(Table189121314[[#This Row],[IP]],LEN(Table189121314[[#This Row],[IP]])-1,1)+(--MID(Table189121314[[#This Row],[IP]],8,1)-1)*9</f>
        <v>63</v>
      </c>
      <c r="C34" t="s">
        <v>49</v>
      </c>
      <c r="D34" s="97">
        <v>1385.5</v>
      </c>
      <c r="E34" s="97">
        <v>1385</v>
      </c>
      <c r="F34" s="97">
        <v>1386.4</v>
      </c>
      <c r="G34" s="97">
        <v>1384.9</v>
      </c>
      <c r="H34" s="97">
        <v>1384.9</v>
      </c>
      <c r="I34" s="97" cm="1">
        <f t="array" ref="I34">IF(SUM(Table189121314[[#This Row],[SBMU01]:[SBMU05]])=0,0,SUMPRODUCT(IF(Table189121314[[#This Row],[SBMU01]:[SBMU05]]=0,1,0),{1,2,4,8,16}))</f>
        <v>0</v>
      </c>
      <c r="J34" s="97"/>
      <c r="K34" s="97">
        <v>0</v>
      </c>
      <c r="L34" t="s">
        <v>785</v>
      </c>
      <c r="M34" t="b">
        <f t="shared" si="0"/>
        <v>1</v>
      </c>
      <c r="V34" s="52" t="s">
        <v>94</v>
      </c>
      <c r="W34" s="57">
        <v>23</v>
      </c>
      <c r="X34" s="53">
        <f>MID(Table189121314[[#This Row],[IP]],LEN(Table189121314[[#This Row],[IP]])-1,1)+(--MID(V34,8,1)-1)*9</f>
        <v>72</v>
      </c>
      <c r="Y34" s="54" t="s">
        <v>49</v>
      </c>
    </row>
    <row r="35" spans="1:25">
      <c r="A35" t="str">
        <f t="shared" si="1"/>
        <v>10.238.7.97</v>
      </c>
      <c r="B35">
        <f>MID(Table189121314[[#This Row],[IP]],LEN(Table189121314[[#This Row],[IP]])-1,1)+(--MID(Table189121314[[#This Row],[IP]],8,1)-1)*9</f>
        <v>63</v>
      </c>
      <c r="C35" t="s">
        <v>50</v>
      </c>
      <c r="D35" s="97">
        <v>1385.9</v>
      </c>
      <c r="E35" s="97">
        <v>1385.5</v>
      </c>
      <c r="F35" s="97">
        <v>1386.2</v>
      </c>
      <c r="G35" s="97">
        <v>1385.6</v>
      </c>
      <c r="H35" s="97">
        <v>1386.2</v>
      </c>
      <c r="I35" s="97" cm="1">
        <f t="array" ref="I35">IF(SUM(Table189121314[[#This Row],[SBMU01]:[SBMU05]])=0,0,SUMPRODUCT(IF(Table189121314[[#This Row],[SBMU01]:[SBMU05]]=0,1,0),{1,2,4,8,16}))</f>
        <v>0</v>
      </c>
      <c r="J35" s="97"/>
      <c r="K35" s="97">
        <v>0</v>
      </c>
      <c r="L35" t="s">
        <v>785</v>
      </c>
      <c r="M35" t="b">
        <f t="shared" si="0"/>
        <v>1</v>
      </c>
      <c r="V35" s="55" t="s">
        <v>95</v>
      </c>
      <c r="W35" s="58">
        <v>23</v>
      </c>
      <c r="X35" s="53">
        <f>MID(Table189121314[[#This Row],[IP]],LEN(Table189121314[[#This Row],[IP]])-1,1)+(--MID(V35,8,1)-1)*9</f>
        <v>72</v>
      </c>
      <c r="Y35" s="56" t="s">
        <v>50</v>
      </c>
    </row>
    <row r="36" spans="1:25">
      <c r="A36" t="str">
        <f t="shared" si="1"/>
        <v>10.238.7.98</v>
      </c>
      <c r="B36">
        <f>MID(Table189121314[[#This Row],[IP]],LEN(Table189121314[[#This Row],[IP]])-1,1)+(--MID(Table189121314[[#This Row],[IP]],8,1)-1)*9</f>
        <v>63</v>
      </c>
      <c r="C36" t="s">
        <v>51</v>
      </c>
      <c r="D36" s="97">
        <v>1386.2</v>
      </c>
      <c r="E36" s="97">
        <v>1383.8</v>
      </c>
      <c r="F36" s="97">
        <v>1387.1</v>
      </c>
      <c r="G36" s="97">
        <v>1385.3</v>
      </c>
      <c r="H36" s="97">
        <v>1386</v>
      </c>
      <c r="I36" s="97" cm="1">
        <f t="array" ref="I36">IF(SUM(Table189121314[[#This Row],[SBMU01]:[SBMU05]])=0,0,SUMPRODUCT(IF(Table189121314[[#This Row],[SBMU01]:[SBMU05]]=0,1,0),{1,2,4,8,16}))</f>
        <v>0</v>
      </c>
      <c r="J36" s="97"/>
      <c r="K36" s="97">
        <v>0</v>
      </c>
      <c r="L36" t="s">
        <v>785</v>
      </c>
      <c r="M36" t="b">
        <f t="shared" si="0"/>
        <v>1</v>
      </c>
      <c r="V36" s="52" t="s">
        <v>96</v>
      </c>
      <c r="W36" s="57">
        <v>24</v>
      </c>
      <c r="X36" s="53">
        <f>MID(Table189121314[[#This Row],[IP]],LEN(Table189121314[[#This Row],[IP]])-1,1)+(--MID(V36,8,1)-1)*9</f>
        <v>72</v>
      </c>
      <c r="Y36" s="54" t="s">
        <v>51</v>
      </c>
    </row>
    <row r="37" spans="1:25">
      <c r="A37" t="str">
        <f t="shared" si="1"/>
        <v>10.238.7.99</v>
      </c>
      <c r="B37">
        <f>MID(Table189121314[[#This Row],[IP]],LEN(Table189121314[[#This Row],[IP]])-1,1)+(--MID(Table189121314[[#This Row],[IP]],8,1)-1)*9</f>
        <v>63</v>
      </c>
      <c r="C37" t="s">
        <v>52</v>
      </c>
      <c r="D37" s="97">
        <v>1386.7</v>
      </c>
      <c r="E37" s="97">
        <v>1386.3</v>
      </c>
      <c r="F37" s="97">
        <v>1387</v>
      </c>
      <c r="G37" s="97">
        <v>1386.4</v>
      </c>
      <c r="H37" s="97">
        <v>1387</v>
      </c>
      <c r="I37" s="97" cm="1">
        <f t="array" ref="I37">IF(SUM(Table189121314[[#This Row],[SBMU01]:[SBMU05]])=0,0,SUMPRODUCT(IF(Table189121314[[#This Row],[SBMU01]:[SBMU05]]=0,1,0),{1,2,4,8,16}))</f>
        <v>0</v>
      </c>
      <c r="J37" s="97"/>
      <c r="K37" s="97">
        <v>0</v>
      </c>
      <c r="L37" t="s">
        <v>785</v>
      </c>
      <c r="M37" t="b">
        <f t="shared" si="0"/>
        <v>1</v>
      </c>
      <c r="V37" s="55" t="s">
        <v>97</v>
      </c>
      <c r="W37" s="58">
        <v>24</v>
      </c>
      <c r="X37" s="53">
        <f>MID(Table189121314[[#This Row],[IP]],LEN(Table189121314[[#This Row],[IP]])-1,1)+(--MID(V37,8,1)-1)*9</f>
        <v>72</v>
      </c>
      <c r="Y37" s="56" t="s">
        <v>52</v>
      </c>
    </row>
  </sheetData>
  <conditionalFormatting sqref="I2:I37">
    <cfRule type="cellIs" dxfId="79" priority="2" operator="notEqual">
      <formula>K2</formula>
    </cfRule>
  </conditionalFormatting>
  <conditionalFormatting sqref="M2:M37">
    <cfRule type="cellIs" dxfId="78" priority="1" operator="equal">
      <formula>TRUE</formula>
    </cfRule>
  </conditionalFormatting>
  <dataValidations count="2">
    <dataValidation type="list" allowBlank="1" showInputMessage="1" showErrorMessage="1" sqref="R1" xr:uid="{2FF676BE-D54B-4580-8F53-002DEDCB1941}">
      <formula1>$AA$2:$AA$9</formula1>
    </dataValidation>
    <dataValidation type="list" allowBlank="1" sqref="O1" xr:uid="{7C31B9F2-5748-4B70-A12D-A3698847527D}">
      <formula1>$Q$3:$Q$13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F6434-73EF-4BAD-9D79-F72E0AB52899}">
  <sheetPr codeName="Sheet15"/>
  <dimension ref="A1:AD37"/>
  <sheetViews>
    <sheetView zoomScaleNormal="100" workbookViewId="0">
      <pane ySplit="1" topLeftCell="A2" activePane="bottomLeft" state="frozen"/>
      <selection activeCell="Q21" sqref="Q21"/>
      <selection pane="bottomLeft" activeCell="H17" sqref="H17"/>
    </sheetView>
  </sheetViews>
  <sheetFormatPr defaultRowHeight="13.5"/>
  <cols>
    <col min="1" max="1" width="13.5" customWidth="1"/>
    <col min="2" max="2" width="5.375" bestFit="1" customWidth="1"/>
    <col min="3" max="3" width="7.625" bestFit="1" customWidth="1"/>
    <col min="10" max="10" width="11.25" bestFit="1" customWidth="1"/>
    <col min="12" max="12" width="11.25" bestFit="1" customWidth="1"/>
    <col min="17" max="17" width="13.625" bestFit="1" customWidth="1"/>
    <col min="22" max="22" width="0" hidden="1" customWidth="1"/>
    <col min="23" max="23" width="11.875" hidden="1" customWidth="1"/>
    <col min="24" max="28" width="0" hidden="1" customWidth="1"/>
  </cols>
  <sheetData>
    <row r="1" spans="1:30">
      <c r="A1" t="s">
        <v>37</v>
      </c>
      <c r="B1" t="s">
        <v>38</v>
      </c>
      <c r="C1" t="s">
        <v>772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773</v>
      </c>
      <c r="J1" t="s">
        <v>774</v>
      </c>
      <c r="K1" t="s">
        <v>783</v>
      </c>
      <c r="L1" t="s">
        <v>796</v>
      </c>
      <c r="M1" t="s">
        <v>787</v>
      </c>
      <c r="N1" t="s">
        <v>58</v>
      </c>
      <c r="O1" s="49">
        <v>1057</v>
      </c>
      <c r="Q1" t="s">
        <v>99</v>
      </c>
      <c r="R1" s="59">
        <v>8</v>
      </c>
      <c r="X1" t="s">
        <v>769</v>
      </c>
    </row>
    <row r="2" spans="1:30">
      <c r="A2" t="str">
        <f>SUBSTITUTE(V2,".8.","."&amp;$R$1&amp;".")</f>
        <v>10.238.8.16</v>
      </c>
      <c r="B2">
        <f>MID(Table18912131415[[#This Row],[IP]],LEN(Table18912131415[[#This Row],[IP]])-1,1)+(--MID(Table18912131415[[#This Row],[IP]],8,1)-1)*9</f>
        <v>64</v>
      </c>
      <c r="C2" t="s">
        <v>49</v>
      </c>
      <c r="D2" s="97">
        <v>1385.1</v>
      </c>
      <c r="E2" s="97">
        <v>1385.3</v>
      </c>
      <c r="F2" s="97">
        <v>1386.5</v>
      </c>
      <c r="G2" s="97">
        <v>1386.3</v>
      </c>
      <c r="H2" s="97">
        <v>1386.4</v>
      </c>
      <c r="I2" s="97" cm="1">
        <f t="array" ref="I2">IF(SUM(Table18912131415[[#This Row],[SBMU01]:[SBMU05]])=0,0,SUMPRODUCT(IF(Table18912131415[[#This Row],[SBMU01]:[SBMU05]]=0,1,0),{1,2,4,8,16}))</f>
        <v>0</v>
      </c>
      <c r="J2" s="97">
        <v>0</v>
      </c>
      <c r="K2" s="97">
        <v>0</v>
      </c>
      <c r="L2" t="s">
        <v>785</v>
      </c>
      <c r="M2" t="b">
        <f t="shared" ref="M2:M37" si="0">MAX($D2:$H2)-MIN($D2:$H2)&lt;10</f>
        <v>1</v>
      </c>
      <c r="V2" s="52" t="s">
        <v>62</v>
      </c>
      <c r="W2" s="57">
        <v>33</v>
      </c>
      <c r="X2" s="53">
        <f>MID(Table18912131415[[#This Row],[IP]],LEN(Table18912131415[[#This Row],[IP]])-1,1)+(--MID(V2,8,1)-1)*9</f>
        <v>64</v>
      </c>
      <c r="Y2" s="54" t="s">
        <v>49</v>
      </c>
      <c r="AA2">
        <v>1</v>
      </c>
      <c r="AD2">
        <f>O1</f>
        <v>1057</v>
      </c>
    </row>
    <row r="3" spans="1:30">
      <c r="A3" t="str">
        <f t="shared" ref="A3:A37" si="1">SUBSTITUTE(V3,".8.","."&amp;$R$1&amp;".")</f>
        <v>10.238.8.17</v>
      </c>
      <c r="B3">
        <f>MID(Table18912131415[[#This Row],[IP]],LEN(Table18912131415[[#This Row],[IP]])-1,1)+(--MID(Table18912131415[[#This Row],[IP]],8,1)-1)*9</f>
        <v>64</v>
      </c>
      <c r="C3" t="s">
        <v>50</v>
      </c>
      <c r="D3" s="97">
        <v>1381.4</v>
      </c>
      <c r="E3" s="97">
        <v>1383.1</v>
      </c>
      <c r="F3" s="97">
        <v>1382.4</v>
      </c>
      <c r="G3" s="97">
        <v>1382.6</v>
      </c>
      <c r="H3" s="97">
        <v>1381.8</v>
      </c>
      <c r="I3" s="97" cm="1">
        <f t="array" ref="I3">IF(SUM(Table18912131415[[#This Row],[SBMU01]:[SBMU05]])=0,0,SUMPRODUCT(IF(Table18912131415[[#This Row],[SBMU01]:[SBMU05]]=0,1,0),{1,2,4,8,16}))</f>
        <v>0</v>
      </c>
      <c r="J3" s="97">
        <v>0</v>
      </c>
      <c r="K3" s="97">
        <v>0</v>
      </c>
      <c r="L3" t="s">
        <v>785</v>
      </c>
      <c r="M3" t="b">
        <f t="shared" si="0"/>
        <v>1</v>
      </c>
      <c r="N3" t="s">
        <v>794</v>
      </c>
      <c r="Q3" s="98">
        <v>1067</v>
      </c>
      <c r="R3" t="s">
        <v>775</v>
      </c>
      <c r="V3" s="55" t="s">
        <v>63</v>
      </c>
      <c r="W3" s="58">
        <v>32</v>
      </c>
      <c r="X3" s="53">
        <f>MID(Table18912131415[[#This Row],[IP]],LEN(Table18912131415[[#This Row],[IP]])-1,1)+(--MID(V3,8,1)-1)*9</f>
        <v>64</v>
      </c>
      <c r="Y3" s="56" t="s">
        <v>50</v>
      </c>
      <c r="AA3">
        <v>2</v>
      </c>
      <c r="AD3">
        <f>AD2+1024</f>
        <v>2081</v>
      </c>
    </row>
    <row r="4" spans="1:30">
      <c r="A4" t="str">
        <f t="shared" si="1"/>
        <v>10.238.8.18</v>
      </c>
      <c r="B4">
        <f>MID(Table18912131415[[#This Row],[IP]],LEN(Table18912131415[[#This Row],[IP]])-1,1)+(--MID(Table18912131415[[#This Row],[IP]],8,1)-1)*9</f>
        <v>64</v>
      </c>
      <c r="C4" t="s">
        <v>51</v>
      </c>
      <c r="D4" s="97">
        <v>1387.5</v>
      </c>
      <c r="E4" s="97">
        <v>1387.6</v>
      </c>
      <c r="F4" s="97">
        <v>1387.5</v>
      </c>
      <c r="G4" s="97">
        <v>1387.4</v>
      </c>
      <c r="H4" s="97">
        <v>1387.5</v>
      </c>
      <c r="I4" s="97" cm="1">
        <f t="array" ref="I4">IF(SUM(Table18912131415[[#This Row],[SBMU01]:[SBMU05]])=0,0,SUMPRODUCT(IF(Table18912131415[[#This Row],[SBMU01]:[SBMU05]]=0,1,0),{1,2,4,8,16}))</f>
        <v>0</v>
      </c>
      <c r="J4" s="97">
        <v>0</v>
      </c>
      <c r="K4" s="97">
        <v>0</v>
      </c>
      <c r="L4" t="s">
        <v>785</v>
      </c>
      <c r="M4" t="b">
        <f t="shared" si="0"/>
        <v>1</v>
      </c>
      <c r="Q4" s="99">
        <v>1068</v>
      </c>
      <c r="R4" t="s">
        <v>776</v>
      </c>
      <c r="V4" s="52" t="s">
        <v>64</v>
      </c>
      <c r="W4" s="57">
        <v>32</v>
      </c>
      <c r="X4" s="53">
        <f>MID(Table18912131415[[#This Row],[IP]],LEN(Table18912131415[[#This Row],[IP]])-1,1)+(--MID(V4,8,1)-1)*9</f>
        <v>64</v>
      </c>
      <c r="Y4" s="54" t="s">
        <v>51</v>
      </c>
      <c r="AA4">
        <v>3</v>
      </c>
      <c r="AD4">
        <f t="shared" ref="AD4:AD6" si="2">AD3+1024</f>
        <v>3105</v>
      </c>
    </row>
    <row r="5" spans="1:30">
      <c r="A5" t="str">
        <f t="shared" si="1"/>
        <v>10.238.8.19</v>
      </c>
      <c r="B5">
        <f>MID(Table18912131415[[#This Row],[IP]],LEN(Table18912131415[[#This Row],[IP]])-1,1)+(--MID(Table18912131415[[#This Row],[IP]],8,1)-1)*9</f>
        <v>64</v>
      </c>
      <c r="C5" t="s">
        <v>52</v>
      </c>
      <c r="D5" s="97">
        <v>1387.6</v>
      </c>
      <c r="E5" s="97">
        <v>1386.4</v>
      </c>
      <c r="F5" s="97">
        <v>1388</v>
      </c>
      <c r="G5" s="97">
        <v>1385.9</v>
      </c>
      <c r="H5" s="97">
        <v>1386.9</v>
      </c>
      <c r="I5" s="97" cm="1">
        <f t="array" ref="I5">IF(SUM(Table18912131415[[#This Row],[SBMU01]:[SBMU05]])=0,0,SUMPRODUCT(IF(Table18912131415[[#This Row],[SBMU01]:[SBMU05]]=0,1,0),{1,2,4,8,16}))</f>
        <v>0</v>
      </c>
      <c r="J5" s="97">
        <v>0</v>
      </c>
      <c r="K5" s="97">
        <v>0</v>
      </c>
      <c r="L5" t="s">
        <v>785</v>
      </c>
      <c r="M5" t="b">
        <f t="shared" si="0"/>
        <v>1</v>
      </c>
      <c r="Q5">
        <v>1076</v>
      </c>
      <c r="R5" t="s">
        <v>777</v>
      </c>
      <c r="V5" s="55" t="s">
        <v>65</v>
      </c>
      <c r="W5" s="58">
        <v>32</v>
      </c>
      <c r="X5" s="53">
        <f>MID(Table18912131415[[#This Row],[IP]],LEN(Table18912131415[[#This Row],[IP]])-1,1)+(--MID(V5,8,1)-1)*9</f>
        <v>64</v>
      </c>
      <c r="Y5" s="56" t="s">
        <v>52</v>
      </c>
      <c r="AA5">
        <v>4</v>
      </c>
      <c r="AD5">
        <f t="shared" si="2"/>
        <v>4129</v>
      </c>
    </row>
    <row r="6" spans="1:30">
      <c r="A6" t="str">
        <f t="shared" si="1"/>
        <v>10.238.8.26</v>
      </c>
      <c r="B6">
        <f>MID(Table18912131415[[#This Row],[IP]],LEN(Table18912131415[[#This Row],[IP]])-1,1)+(--MID(Table18912131415[[#This Row],[IP]],8,1)-1)*9</f>
        <v>65</v>
      </c>
      <c r="C6" t="s">
        <v>49</v>
      </c>
      <c r="D6" s="97">
        <v>1382.7</v>
      </c>
      <c r="E6" s="97">
        <v>1384.5</v>
      </c>
      <c r="F6" s="97">
        <v>1384.1</v>
      </c>
      <c r="G6" s="97">
        <v>1383.7</v>
      </c>
      <c r="H6" s="97">
        <v>1383.4</v>
      </c>
      <c r="I6" s="97" cm="1">
        <f t="array" ref="I6">IF(SUM(Table18912131415[[#This Row],[SBMU01]:[SBMU05]])=0,0,SUMPRODUCT(IF(Table18912131415[[#This Row],[SBMU01]:[SBMU05]]=0,1,0),{1,2,4,8,16}))</f>
        <v>0</v>
      </c>
      <c r="J6" s="97">
        <v>0</v>
      </c>
      <c r="K6" s="97">
        <v>0</v>
      </c>
      <c r="L6" t="s">
        <v>785</v>
      </c>
      <c r="M6" t="b">
        <f t="shared" si="0"/>
        <v>1</v>
      </c>
      <c r="Q6">
        <v>1077</v>
      </c>
      <c r="R6" t="s">
        <v>778</v>
      </c>
      <c r="V6" s="52" t="s">
        <v>66</v>
      </c>
      <c r="W6" s="57">
        <v>17</v>
      </c>
      <c r="X6" s="53">
        <f>MID(Table18912131415[[#This Row],[IP]],LEN(Table18912131415[[#This Row],[IP]])-1,1)+(--MID(V6,8,1)-1)*9</f>
        <v>65</v>
      </c>
      <c r="Y6" s="54" t="s">
        <v>49</v>
      </c>
      <c r="AA6">
        <v>5</v>
      </c>
      <c r="AD6">
        <f t="shared" si="2"/>
        <v>5153</v>
      </c>
    </row>
    <row r="7" spans="1:30">
      <c r="A7" t="str">
        <f t="shared" si="1"/>
        <v>10.238.8.27</v>
      </c>
      <c r="B7">
        <f>MID(Table18912131415[[#This Row],[IP]],LEN(Table18912131415[[#This Row],[IP]])-1,1)+(--MID(Table18912131415[[#This Row],[IP]],8,1)-1)*9</f>
        <v>65</v>
      </c>
      <c r="C7" t="s">
        <v>50</v>
      </c>
      <c r="D7" s="97">
        <v>1382.4</v>
      </c>
      <c r="E7" s="97">
        <v>1382.8</v>
      </c>
      <c r="F7" s="97">
        <v>1382.4</v>
      </c>
      <c r="G7" s="97">
        <v>1383.6</v>
      </c>
      <c r="H7" s="97">
        <v>1383.3</v>
      </c>
      <c r="I7" s="97" cm="1">
        <f t="array" ref="I7">IF(SUM(Table18912131415[[#This Row],[SBMU01]:[SBMU05]])=0,0,SUMPRODUCT(IF(Table18912131415[[#This Row],[SBMU01]:[SBMU05]]=0,1,0),{1,2,4,8,16}))</f>
        <v>0</v>
      </c>
      <c r="J7" s="97">
        <v>0</v>
      </c>
      <c r="K7" s="97">
        <v>0</v>
      </c>
      <c r="L7" t="s">
        <v>785</v>
      </c>
      <c r="M7" t="b">
        <f t="shared" si="0"/>
        <v>1</v>
      </c>
      <c r="Q7">
        <v>1078</v>
      </c>
      <c r="R7" t="s">
        <v>779</v>
      </c>
      <c r="V7" s="55" t="s">
        <v>67</v>
      </c>
      <c r="W7" s="58">
        <v>18</v>
      </c>
      <c r="X7" s="53">
        <f>MID(Table18912131415[[#This Row],[IP]],LEN(Table18912131415[[#This Row],[IP]])-1,1)+(--MID(V7,8,1)-1)*9</f>
        <v>65</v>
      </c>
      <c r="Y7" s="56" t="s">
        <v>50</v>
      </c>
      <c r="AA7">
        <v>6</v>
      </c>
    </row>
    <row r="8" spans="1:30">
      <c r="A8" t="str">
        <f t="shared" si="1"/>
        <v>10.238.8.28</v>
      </c>
      <c r="B8">
        <f>MID(Table18912131415[[#This Row],[IP]],LEN(Table18912131415[[#This Row],[IP]])-1,1)+(--MID(Table18912131415[[#This Row],[IP]],8,1)-1)*9</f>
        <v>65</v>
      </c>
      <c r="C8" t="s">
        <v>51</v>
      </c>
      <c r="D8" s="97">
        <v>1383.5</v>
      </c>
      <c r="E8" s="97">
        <v>1386</v>
      </c>
      <c r="F8" s="97">
        <v>1384.8</v>
      </c>
      <c r="G8" s="97">
        <v>1384</v>
      </c>
      <c r="H8" s="97">
        <v>1384.1</v>
      </c>
      <c r="I8" s="97" cm="1">
        <f t="array" ref="I8">IF(SUM(Table18912131415[[#This Row],[SBMU01]:[SBMU05]])=0,0,SUMPRODUCT(IF(Table18912131415[[#This Row],[SBMU01]:[SBMU05]]=0,1,0),{1,2,4,8,16}))</f>
        <v>0</v>
      </c>
      <c r="J8" s="97">
        <v>0</v>
      </c>
      <c r="K8" s="97">
        <v>0</v>
      </c>
      <c r="L8" t="s">
        <v>785</v>
      </c>
      <c r="M8" t="b">
        <f t="shared" si="0"/>
        <v>1</v>
      </c>
      <c r="Q8">
        <v>1079</v>
      </c>
      <c r="R8" t="s">
        <v>780</v>
      </c>
      <c r="V8" s="52" t="s">
        <v>68</v>
      </c>
      <c r="W8" s="57">
        <v>13</v>
      </c>
      <c r="X8" s="53">
        <f>MID(Table18912131415[[#This Row],[IP]],LEN(Table18912131415[[#This Row],[IP]])-1,1)+(--MID(V8,8,1)-1)*9</f>
        <v>65</v>
      </c>
      <c r="Y8" s="54" t="s">
        <v>51</v>
      </c>
      <c r="AA8">
        <v>7</v>
      </c>
    </row>
    <row r="9" spans="1:30">
      <c r="A9" t="str">
        <f t="shared" si="1"/>
        <v>10.238.8.29</v>
      </c>
      <c r="B9">
        <f>MID(Table18912131415[[#This Row],[IP]],LEN(Table18912131415[[#This Row],[IP]])-1,1)+(--MID(Table18912131415[[#This Row],[IP]],8,1)-1)*9</f>
        <v>65</v>
      </c>
      <c r="C9" t="s">
        <v>52</v>
      </c>
      <c r="D9" s="97">
        <v>1385.7</v>
      </c>
      <c r="E9" s="97">
        <v>1384.9</v>
      </c>
      <c r="F9" s="97">
        <v>1383.6</v>
      </c>
      <c r="G9" s="97">
        <v>1385</v>
      </c>
      <c r="H9" s="97">
        <v>1384.5</v>
      </c>
      <c r="I9" s="97" cm="1">
        <f t="array" ref="I9">IF(SUM(Table18912131415[[#This Row],[SBMU01]:[SBMU05]])=0,0,SUMPRODUCT(IF(Table18912131415[[#This Row],[SBMU01]:[SBMU05]]=0,1,0),{1,2,4,8,16}))</f>
        <v>0</v>
      </c>
      <c r="J9" s="97">
        <v>0</v>
      </c>
      <c r="K9" s="97">
        <v>0</v>
      </c>
      <c r="L9" t="s">
        <v>785</v>
      </c>
      <c r="M9" t="b">
        <f t="shared" si="0"/>
        <v>1</v>
      </c>
      <c r="Q9">
        <v>1080</v>
      </c>
      <c r="R9" t="s">
        <v>781</v>
      </c>
      <c r="V9" s="55" t="s">
        <v>69</v>
      </c>
      <c r="W9" s="58">
        <v>17</v>
      </c>
      <c r="X9" s="53">
        <f>MID(Table18912131415[[#This Row],[IP]],LEN(Table18912131415[[#This Row],[IP]])-1,1)+(--MID(V9,8,1)-1)*9</f>
        <v>65</v>
      </c>
      <c r="Y9" s="56" t="s">
        <v>52</v>
      </c>
      <c r="AA9">
        <v>8</v>
      </c>
    </row>
    <row r="10" spans="1:30" ht="12.75" customHeight="1">
      <c r="A10" t="str">
        <f t="shared" si="1"/>
        <v>10.238.8.36</v>
      </c>
      <c r="B10">
        <f>MID(Table18912131415[[#This Row],[IP]],LEN(Table18912131415[[#This Row],[IP]])-1,1)+(--MID(Table18912131415[[#This Row],[IP]],8,1)-1)*9</f>
        <v>66</v>
      </c>
      <c r="C10" t="s">
        <v>49</v>
      </c>
      <c r="D10" s="97">
        <v>1391.9</v>
      </c>
      <c r="E10" s="97">
        <v>1392.5</v>
      </c>
      <c r="F10" s="97">
        <v>1390.9</v>
      </c>
      <c r="G10" s="97">
        <v>1391.8</v>
      </c>
      <c r="H10" s="97">
        <v>1392.6</v>
      </c>
      <c r="I10" s="97" cm="1">
        <f t="array" ref="I10">IF(SUM(Table18912131415[[#This Row],[SBMU01]:[SBMU05]])=0,0,SUMPRODUCT(IF(Table18912131415[[#This Row],[SBMU01]:[SBMU05]]=0,1,0),{1,2,4,8,16}))</f>
        <v>0</v>
      </c>
      <c r="J10" s="97">
        <v>0</v>
      </c>
      <c r="K10" s="97">
        <v>0</v>
      </c>
      <c r="L10" t="s">
        <v>785</v>
      </c>
      <c r="M10" t="b">
        <f t="shared" si="0"/>
        <v>1</v>
      </c>
      <c r="N10" t="s">
        <v>794</v>
      </c>
      <c r="Q10">
        <v>909</v>
      </c>
      <c r="R10" t="s">
        <v>782</v>
      </c>
      <c r="V10" s="52" t="s">
        <v>70</v>
      </c>
      <c r="W10" s="57">
        <v>20</v>
      </c>
      <c r="X10" s="53">
        <f>MID(Table18912131415[[#This Row],[IP]],LEN(Table18912131415[[#This Row],[IP]])-1,1)+(--MID(V10,8,1)-1)*9</f>
        <v>66</v>
      </c>
      <c r="Y10" s="54" t="s">
        <v>49</v>
      </c>
    </row>
    <row r="11" spans="1:30">
      <c r="A11" t="str">
        <f t="shared" si="1"/>
        <v>10.238.8.37</v>
      </c>
      <c r="B11">
        <f>MID(Table18912131415[[#This Row],[IP]],LEN(Table18912131415[[#This Row],[IP]])-1,1)+(--MID(Table18912131415[[#This Row],[IP]],8,1)-1)*9</f>
        <v>66</v>
      </c>
      <c r="C11" t="s">
        <v>50</v>
      </c>
      <c r="D11" s="97">
        <v>1393</v>
      </c>
      <c r="E11" s="97">
        <v>1393.1</v>
      </c>
      <c r="F11" s="97">
        <v>1394.3</v>
      </c>
      <c r="G11" s="97">
        <v>1394.8</v>
      </c>
      <c r="H11" s="97">
        <v>1392.6</v>
      </c>
      <c r="I11" s="97" cm="1">
        <f t="array" ref="I11">IF(SUM(Table18912131415[[#This Row],[SBMU01]:[SBMU05]])=0,0,SUMPRODUCT(IF(Table18912131415[[#This Row],[SBMU01]:[SBMU05]]=0,1,0),{1,2,4,8,16}))</f>
        <v>0</v>
      </c>
      <c r="J11" s="97">
        <v>0</v>
      </c>
      <c r="K11" s="97">
        <v>0</v>
      </c>
      <c r="L11" t="s">
        <v>785</v>
      </c>
      <c r="M11" t="b">
        <f t="shared" si="0"/>
        <v>1</v>
      </c>
      <c r="N11" t="s">
        <v>794</v>
      </c>
      <c r="Q11">
        <v>1057</v>
      </c>
      <c r="R11" t="s">
        <v>6</v>
      </c>
      <c r="V11" s="55" t="s">
        <v>71</v>
      </c>
      <c r="W11" s="58">
        <v>18</v>
      </c>
      <c r="X11" s="53">
        <f>MID(Table18912131415[[#This Row],[IP]],LEN(Table18912131415[[#This Row],[IP]])-1,1)+(--MID(V11,8,1)-1)*9</f>
        <v>66</v>
      </c>
      <c r="Y11" s="56" t="s">
        <v>50</v>
      </c>
    </row>
    <row r="12" spans="1:30">
      <c r="A12" t="str">
        <f t="shared" si="1"/>
        <v>10.238.8.38</v>
      </c>
      <c r="B12">
        <f>MID(Table18912131415[[#This Row],[IP]],LEN(Table18912131415[[#This Row],[IP]])-1,1)+(--MID(Table18912131415[[#This Row],[IP]],8,1)-1)*9</f>
        <v>66</v>
      </c>
      <c r="C12" t="s">
        <v>51</v>
      </c>
      <c r="D12" s="97">
        <v>1391.5</v>
      </c>
      <c r="E12" s="97">
        <v>1391.3</v>
      </c>
      <c r="F12" s="97">
        <v>1392.4</v>
      </c>
      <c r="G12" s="97">
        <v>1392.6</v>
      </c>
      <c r="H12" s="97">
        <v>1392</v>
      </c>
      <c r="I12" s="97" cm="1">
        <f t="array" ref="I12">IF(SUM(Table18912131415[[#This Row],[SBMU01]:[SBMU05]])=0,0,SUMPRODUCT(IF(Table18912131415[[#This Row],[SBMU01]:[SBMU05]]=0,1,0),{1,2,4,8,16}))</f>
        <v>0</v>
      </c>
      <c r="J12" s="97">
        <v>0</v>
      </c>
      <c r="K12" s="97">
        <v>0</v>
      </c>
      <c r="L12" t="s">
        <v>785</v>
      </c>
      <c r="M12" t="b">
        <f t="shared" si="0"/>
        <v>1</v>
      </c>
      <c r="N12" t="s">
        <v>794</v>
      </c>
      <c r="Q12">
        <v>1058</v>
      </c>
      <c r="R12" t="s">
        <v>7</v>
      </c>
      <c r="V12" s="52" t="s">
        <v>72</v>
      </c>
      <c r="W12" s="57">
        <v>18</v>
      </c>
      <c r="X12" s="53">
        <f>MID(Table18912131415[[#This Row],[IP]],LEN(Table18912131415[[#This Row],[IP]])-1,1)+(--MID(V12,8,1)-1)*9</f>
        <v>66</v>
      </c>
      <c r="Y12" s="54" t="s">
        <v>51</v>
      </c>
    </row>
    <row r="13" spans="1:30">
      <c r="A13" t="str">
        <f t="shared" si="1"/>
        <v>10.238.8.39</v>
      </c>
      <c r="B13">
        <f>MID(Table18912131415[[#This Row],[IP]],LEN(Table18912131415[[#This Row],[IP]])-1,1)+(--MID(Table18912131415[[#This Row],[IP]],8,1)-1)*9</f>
        <v>66</v>
      </c>
      <c r="C13" t="s">
        <v>52</v>
      </c>
      <c r="D13" s="97">
        <v>1393.1</v>
      </c>
      <c r="E13" s="97">
        <v>1392.7</v>
      </c>
      <c r="F13" s="97">
        <v>1393.1</v>
      </c>
      <c r="G13" s="97">
        <v>1392.5</v>
      </c>
      <c r="H13" s="97">
        <v>1392.4</v>
      </c>
      <c r="I13" s="97" cm="1">
        <f t="array" ref="I13">IF(SUM(Table18912131415[[#This Row],[SBMU01]:[SBMU05]])=0,0,SUMPRODUCT(IF(Table18912131415[[#This Row],[SBMU01]:[SBMU05]]=0,1,0),{1,2,4,8,16}))</f>
        <v>0</v>
      </c>
      <c r="J13" s="97">
        <v>0</v>
      </c>
      <c r="K13" s="97">
        <v>0</v>
      </c>
      <c r="L13" t="s">
        <v>785</v>
      </c>
      <c r="M13" t="b">
        <f t="shared" si="0"/>
        <v>1</v>
      </c>
      <c r="N13" t="s">
        <v>794</v>
      </c>
      <c r="Q13">
        <v>1059</v>
      </c>
      <c r="R13" t="s">
        <v>104</v>
      </c>
      <c r="V13" s="55" t="s">
        <v>73</v>
      </c>
      <c r="W13" s="58">
        <v>18</v>
      </c>
      <c r="X13" s="53">
        <f>MID(Table18912131415[[#This Row],[IP]],LEN(Table18912131415[[#This Row],[IP]])-1,1)+(--MID(V13,8,1)-1)*9</f>
        <v>66</v>
      </c>
      <c r="Y13" s="56" t="s">
        <v>52</v>
      </c>
    </row>
    <row r="14" spans="1:30">
      <c r="A14" t="str">
        <f t="shared" si="1"/>
        <v>10.238.8.46</v>
      </c>
      <c r="B14">
        <f>MID(Table18912131415[[#This Row],[IP]],LEN(Table18912131415[[#This Row],[IP]])-1,1)+(--MID(Table18912131415[[#This Row],[IP]],8,1)-1)*9</f>
        <v>67</v>
      </c>
      <c r="C14" t="s">
        <v>49</v>
      </c>
      <c r="D14" s="97">
        <v>1407</v>
      </c>
      <c r="E14" s="97">
        <v>1407.7</v>
      </c>
      <c r="F14" s="97">
        <v>1406</v>
      </c>
      <c r="G14" s="97">
        <v>1406.4</v>
      </c>
      <c r="H14" s="97">
        <v>1402.5</v>
      </c>
      <c r="I14" s="97" cm="1">
        <f t="array" ref="I14">IF(SUM(Table18912131415[[#This Row],[SBMU01]:[SBMU05]])=0,0,SUMPRODUCT(IF(Table18912131415[[#This Row],[SBMU01]:[SBMU05]]=0,1,0),{1,2,4,8,16}))</f>
        <v>0</v>
      </c>
      <c r="J14" s="97">
        <v>0</v>
      </c>
      <c r="K14" s="97">
        <v>0</v>
      </c>
      <c r="L14" t="s">
        <v>785</v>
      </c>
      <c r="M14" t="b">
        <f t="shared" si="0"/>
        <v>1</v>
      </c>
      <c r="O14" t="s">
        <v>792</v>
      </c>
      <c r="V14" s="52" t="s">
        <v>74</v>
      </c>
      <c r="W14" s="57">
        <v>30</v>
      </c>
      <c r="X14" s="53">
        <f>MID(Table18912131415[[#This Row],[IP]],LEN(Table18912131415[[#This Row],[IP]])-1,1)+(--MID(V14,8,1)-1)*9</f>
        <v>67</v>
      </c>
      <c r="Y14" s="54" t="s">
        <v>49</v>
      </c>
    </row>
    <row r="15" spans="1:30">
      <c r="A15" t="str">
        <f t="shared" si="1"/>
        <v>10.238.8.47</v>
      </c>
      <c r="B15">
        <f>MID(Table18912131415[[#This Row],[IP]],LEN(Table18912131415[[#This Row],[IP]])-1,1)+(--MID(Table18912131415[[#This Row],[IP]],8,1)-1)*9</f>
        <v>67</v>
      </c>
      <c r="C15" t="s">
        <v>50</v>
      </c>
      <c r="D15" s="97">
        <v>1395.7</v>
      </c>
      <c r="E15" s="97">
        <v>1394.3</v>
      </c>
      <c r="F15" s="97">
        <v>1394.4</v>
      </c>
      <c r="G15" s="97">
        <v>1395.1</v>
      </c>
      <c r="H15" s="97">
        <v>1394.6</v>
      </c>
      <c r="I15" s="97" cm="1">
        <f t="array" ref="I15">IF(SUM(Table18912131415[[#This Row],[SBMU01]:[SBMU05]])=0,0,SUMPRODUCT(IF(Table18912131415[[#This Row],[SBMU01]:[SBMU05]]=0,1,0),{1,2,4,8,16}))</f>
        <v>0</v>
      </c>
      <c r="J15" s="97">
        <v>0</v>
      </c>
      <c r="K15" s="97">
        <v>0</v>
      </c>
      <c r="L15" t="s">
        <v>785</v>
      </c>
      <c r="M15" t="b">
        <f t="shared" si="0"/>
        <v>1</v>
      </c>
      <c r="N15" t="s">
        <v>794</v>
      </c>
      <c r="O15" t="s">
        <v>792</v>
      </c>
      <c r="V15" s="55" t="s">
        <v>75</v>
      </c>
      <c r="W15" s="58">
        <v>38</v>
      </c>
      <c r="X15" s="53">
        <f>MID(Table18912131415[[#This Row],[IP]],LEN(Table18912131415[[#This Row],[IP]])-1,1)+(--MID(V15,8,1)-1)*9</f>
        <v>67</v>
      </c>
      <c r="Y15" s="56" t="s">
        <v>50</v>
      </c>
    </row>
    <row r="16" spans="1:30">
      <c r="A16" t="str">
        <f t="shared" si="1"/>
        <v>10.238.8.48</v>
      </c>
      <c r="B16">
        <f>MID(Table18912131415[[#This Row],[IP]],LEN(Table18912131415[[#This Row],[IP]])-1,1)+(--MID(Table18912131415[[#This Row],[IP]],8,1)-1)*9</f>
        <v>67</v>
      </c>
      <c r="C16" t="s">
        <v>51</v>
      </c>
      <c r="D16" s="97">
        <v>1386.8</v>
      </c>
      <c r="E16" s="97">
        <v>1386.6</v>
      </c>
      <c r="F16" s="97">
        <v>1387.3</v>
      </c>
      <c r="G16" s="97">
        <v>1386.8</v>
      </c>
      <c r="H16" s="97">
        <v>1386.5</v>
      </c>
      <c r="I16" s="97" cm="1">
        <f t="array" ref="I16">IF(SUM(Table18912131415[[#This Row],[SBMU01]:[SBMU05]])=0,0,SUMPRODUCT(IF(Table18912131415[[#This Row],[SBMU01]:[SBMU05]]=0,1,0),{1,2,4,8,16}))</f>
        <v>0</v>
      </c>
      <c r="J16" s="97">
        <v>0</v>
      </c>
      <c r="K16" s="97">
        <v>0</v>
      </c>
      <c r="M16" t="b">
        <f t="shared" si="0"/>
        <v>1</v>
      </c>
      <c r="N16" t="s">
        <v>794</v>
      </c>
      <c r="O16" t="s">
        <v>792</v>
      </c>
      <c r="V16" s="52" t="s">
        <v>76</v>
      </c>
      <c r="W16" s="57">
        <v>38</v>
      </c>
      <c r="X16" s="53">
        <f>MID(Table18912131415[[#This Row],[IP]],LEN(Table18912131415[[#This Row],[IP]])-1,1)+(--MID(V16,8,1)-1)*9</f>
        <v>67</v>
      </c>
      <c r="Y16" s="54" t="s">
        <v>51</v>
      </c>
    </row>
    <row r="17" spans="1:25">
      <c r="A17" t="str">
        <f t="shared" si="1"/>
        <v>10.238.8.49</v>
      </c>
      <c r="B17">
        <f>MID(Table18912131415[[#This Row],[IP]],LEN(Table18912131415[[#This Row],[IP]])-1,1)+(--MID(Table18912131415[[#This Row],[IP]],8,1)-1)*9</f>
        <v>67</v>
      </c>
      <c r="C17" t="s">
        <v>52</v>
      </c>
      <c r="D17" s="97">
        <v>1384.6</v>
      </c>
      <c r="E17" s="97">
        <v>1339.4</v>
      </c>
      <c r="F17" s="97">
        <v>1391.1</v>
      </c>
      <c r="G17" s="97">
        <v>1392</v>
      </c>
      <c r="H17" s="97">
        <v>1338.8</v>
      </c>
      <c r="I17" s="97" cm="1">
        <f t="array" ref="I17">IF(SUM(Table18912131415[[#This Row],[SBMU01]:[SBMU05]])=0,0,SUMPRODUCT(IF(Table18912131415[[#This Row],[SBMU01]:[SBMU05]]=0,1,0),{1,2,4,8,16}))</f>
        <v>0</v>
      </c>
      <c r="J17" s="97">
        <v>15</v>
      </c>
      <c r="K17" s="97">
        <v>0</v>
      </c>
      <c r="M17" t="b">
        <f t="shared" si="0"/>
        <v>0</v>
      </c>
      <c r="O17" t="s">
        <v>792</v>
      </c>
      <c r="V17" s="55" t="s">
        <v>77</v>
      </c>
      <c r="W17" s="58">
        <v>38</v>
      </c>
      <c r="X17" s="53">
        <f>MID(Table18912131415[[#This Row],[IP]],LEN(Table18912131415[[#This Row],[IP]])-1,1)+(--MID(V17,8,1)-1)*9</f>
        <v>67</v>
      </c>
      <c r="Y17" s="56" t="s">
        <v>52</v>
      </c>
    </row>
    <row r="18" spans="1:25">
      <c r="A18" t="str">
        <f t="shared" si="1"/>
        <v>10.238.8.56</v>
      </c>
      <c r="B18">
        <f>MID(Table18912131415[[#This Row],[IP]],LEN(Table18912131415[[#This Row],[IP]])-1,1)+(--MID(Table18912131415[[#This Row],[IP]],8,1)-1)*9</f>
        <v>68</v>
      </c>
      <c r="C18" t="s">
        <v>49</v>
      </c>
      <c r="D18" s="97">
        <v>1385</v>
      </c>
      <c r="E18" s="97">
        <v>1385.4</v>
      </c>
      <c r="F18" s="97">
        <v>1386.3</v>
      </c>
      <c r="G18" s="97">
        <v>1384.8</v>
      </c>
      <c r="H18" s="97">
        <v>1385.9</v>
      </c>
      <c r="I18" s="97" cm="1">
        <f t="array" ref="I18">IF(SUM(Table18912131415[[#This Row],[SBMU01]:[SBMU05]])=0,0,SUMPRODUCT(IF(Table18912131415[[#This Row],[SBMU01]:[SBMU05]]=0,1,0),{1,2,4,8,16}))</f>
        <v>0</v>
      </c>
      <c r="J18" s="97">
        <v>0</v>
      </c>
      <c r="K18" s="97">
        <v>0</v>
      </c>
      <c r="M18" t="b">
        <f t="shared" si="0"/>
        <v>1</v>
      </c>
      <c r="N18" t="s">
        <v>794</v>
      </c>
      <c r="V18" s="52" t="s">
        <v>78</v>
      </c>
      <c r="W18" s="57">
        <v>26</v>
      </c>
      <c r="X18" s="53">
        <f>MID(Table18912131415[[#This Row],[IP]],LEN(Table18912131415[[#This Row],[IP]])-1,1)+(--MID(V18,8,1)-1)*9</f>
        <v>68</v>
      </c>
      <c r="Y18" s="54" t="s">
        <v>49</v>
      </c>
    </row>
    <row r="19" spans="1:25">
      <c r="A19" t="str">
        <f t="shared" si="1"/>
        <v>10.238.8.57</v>
      </c>
      <c r="B19">
        <f>MID(Table18912131415[[#This Row],[IP]],LEN(Table18912131415[[#This Row],[IP]])-1,1)+(--MID(Table18912131415[[#This Row],[IP]],8,1)-1)*9</f>
        <v>68</v>
      </c>
      <c r="C19" t="s">
        <v>50</v>
      </c>
      <c r="D19" s="97">
        <v>1386.5</v>
      </c>
      <c r="E19" s="97">
        <v>1385.5</v>
      </c>
      <c r="F19" s="97">
        <v>1386.5</v>
      </c>
      <c r="G19" s="97">
        <v>1386.9</v>
      </c>
      <c r="H19" s="97">
        <v>1387.1</v>
      </c>
      <c r="I19" s="97" cm="1">
        <f t="array" ref="I19">IF(SUM(Table18912131415[[#This Row],[SBMU01]:[SBMU05]])=0,0,SUMPRODUCT(IF(Table18912131415[[#This Row],[SBMU01]:[SBMU05]]=0,1,0),{1,2,4,8,16}))</f>
        <v>0</v>
      </c>
      <c r="J19" s="97">
        <v>0</v>
      </c>
      <c r="K19" s="97">
        <v>0</v>
      </c>
      <c r="L19" t="s">
        <v>785</v>
      </c>
      <c r="M19" t="b">
        <f t="shared" si="0"/>
        <v>1</v>
      </c>
      <c r="N19" t="s">
        <v>794</v>
      </c>
      <c r="V19" s="55" t="s">
        <v>79</v>
      </c>
      <c r="W19" s="58">
        <v>23</v>
      </c>
      <c r="X19" s="53">
        <f>MID(Table18912131415[[#This Row],[IP]],LEN(Table18912131415[[#This Row],[IP]])-1,1)+(--MID(V19,8,1)-1)*9</f>
        <v>68</v>
      </c>
      <c r="Y19" s="56" t="s">
        <v>50</v>
      </c>
    </row>
    <row r="20" spans="1:25">
      <c r="A20" t="str">
        <f t="shared" si="1"/>
        <v>10.238.8.58</v>
      </c>
      <c r="B20">
        <f>MID(Table18912131415[[#This Row],[IP]],LEN(Table18912131415[[#This Row],[IP]])-1,1)+(--MID(Table18912131415[[#This Row],[IP]],8,1)-1)*9</f>
        <v>68</v>
      </c>
      <c r="C20" t="s">
        <v>51</v>
      </c>
      <c r="D20" s="97">
        <v>1394.5</v>
      </c>
      <c r="E20" s="97">
        <v>1393.9</v>
      </c>
      <c r="F20" s="97">
        <v>1393.9</v>
      </c>
      <c r="G20" s="97">
        <v>1393.5</v>
      </c>
      <c r="H20" s="97">
        <v>1393.1</v>
      </c>
      <c r="I20" s="97" cm="1">
        <f t="array" ref="I20">IF(SUM(Table18912131415[[#This Row],[SBMU01]:[SBMU05]])=0,0,SUMPRODUCT(IF(Table18912131415[[#This Row],[SBMU01]:[SBMU05]]=0,1,0),{1,2,4,8,16}))</f>
        <v>0</v>
      </c>
      <c r="J20" s="97">
        <v>0</v>
      </c>
      <c r="K20" s="97">
        <v>0</v>
      </c>
      <c r="M20" t="b">
        <f t="shared" si="0"/>
        <v>1</v>
      </c>
      <c r="N20" t="s">
        <v>794</v>
      </c>
      <c r="V20" s="52" t="s">
        <v>80</v>
      </c>
      <c r="W20" s="57">
        <v>22</v>
      </c>
      <c r="X20" s="53">
        <f>MID(Table18912131415[[#This Row],[IP]],LEN(Table18912131415[[#This Row],[IP]])-1,1)+(--MID(V20,8,1)-1)*9</f>
        <v>68</v>
      </c>
      <c r="Y20" s="54" t="s">
        <v>51</v>
      </c>
    </row>
    <row r="21" spans="1:25">
      <c r="A21" t="str">
        <f t="shared" si="1"/>
        <v>10.238.8.59</v>
      </c>
      <c r="B21">
        <f>MID(Table18912131415[[#This Row],[IP]],LEN(Table18912131415[[#This Row],[IP]])-1,1)+(--MID(Table18912131415[[#This Row],[IP]],8,1)-1)*9</f>
        <v>68</v>
      </c>
      <c r="C21" t="s">
        <v>52</v>
      </c>
      <c r="D21" s="97">
        <v>1393.5</v>
      </c>
      <c r="E21" s="97">
        <v>1395.1</v>
      </c>
      <c r="F21" s="97">
        <v>1393.6</v>
      </c>
      <c r="G21" s="97">
        <v>1392.8</v>
      </c>
      <c r="H21" s="97">
        <v>1392.4</v>
      </c>
      <c r="I21" s="97" cm="1">
        <f t="array" ref="I21">IF(SUM(Table18912131415[[#This Row],[SBMU01]:[SBMU05]])=0,0,SUMPRODUCT(IF(Table18912131415[[#This Row],[SBMU01]:[SBMU05]]=0,1,0),{1,2,4,8,16}))</f>
        <v>0</v>
      </c>
      <c r="J21" s="97">
        <v>0</v>
      </c>
      <c r="K21" s="97">
        <v>0</v>
      </c>
      <c r="L21" t="s">
        <v>785</v>
      </c>
      <c r="M21" t="b">
        <f t="shared" si="0"/>
        <v>1</v>
      </c>
      <c r="N21" t="s">
        <v>794</v>
      </c>
      <c r="V21" s="55" t="s">
        <v>81</v>
      </c>
      <c r="W21" s="58">
        <v>22</v>
      </c>
      <c r="X21" s="53">
        <f>MID(Table18912131415[[#This Row],[IP]],LEN(Table18912131415[[#This Row],[IP]])-1,1)+(--MID(V21,8,1)-1)*9</f>
        <v>68</v>
      </c>
      <c r="Y21" s="56" t="s">
        <v>52</v>
      </c>
    </row>
    <row r="22" spans="1:25">
      <c r="A22" t="str">
        <f t="shared" si="1"/>
        <v>10.238.8.66</v>
      </c>
      <c r="B22">
        <f>MID(Table18912131415[[#This Row],[IP]],LEN(Table18912131415[[#This Row],[IP]])-1,1)+(--MID(Table18912131415[[#This Row],[IP]],8,1)-1)*9</f>
        <v>69</v>
      </c>
      <c r="C22" t="s">
        <v>49</v>
      </c>
      <c r="D22" s="97">
        <v>1383.9</v>
      </c>
      <c r="E22" s="97">
        <v>1384.7</v>
      </c>
      <c r="F22" s="97">
        <v>1384.2</v>
      </c>
      <c r="G22" s="97">
        <v>1385.1</v>
      </c>
      <c r="H22" s="97">
        <v>1383.8</v>
      </c>
      <c r="I22" s="97" cm="1">
        <f t="array" ref="I22">IF(SUM(Table18912131415[[#This Row],[SBMU01]:[SBMU05]])=0,0,SUMPRODUCT(IF(Table18912131415[[#This Row],[SBMU01]:[SBMU05]]=0,1,0),{1,2,4,8,16}))</f>
        <v>0</v>
      </c>
      <c r="J22" s="97">
        <v>0</v>
      </c>
      <c r="K22" s="97">
        <v>0</v>
      </c>
      <c r="L22" t="s">
        <v>785</v>
      </c>
      <c r="M22" t="b">
        <f t="shared" si="0"/>
        <v>1</v>
      </c>
      <c r="V22" s="52" t="s">
        <v>82</v>
      </c>
      <c r="W22" s="57">
        <v>22</v>
      </c>
      <c r="X22" s="53">
        <f>MID(Table18912131415[[#This Row],[IP]],LEN(Table18912131415[[#This Row],[IP]])-1,1)+(--MID(V22,8,1)-1)*9</f>
        <v>69</v>
      </c>
      <c r="Y22" s="54" t="s">
        <v>49</v>
      </c>
    </row>
    <row r="23" spans="1:25">
      <c r="A23" t="str">
        <f t="shared" si="1"/>
        <v>10.238.8.67</v>
      </c>
      <c r="B23">
        <f>MID(Table18912131415[[#This Row],[IP]],LEN(Table18912131415[[#This Row],[IP]])-1,1)+(--MID(Table18912131415[[#This Row],[IP]],8,1)-1)*9</f>
        <v>69</v>
      </c>
      <c r="C23" t="s">
        <v>50</v>
      </c>
      <c r="D23" s="97">
        <v>1384.5</v>
      </c>
      <c r="E23" s="97">
        <v>1384.9</v>
      </c>
      <c r="F23" s="97">
        <v>1384.8</v>
      </c>
      <c r="G23" s="97">
        <v>1385.6</v>
      </c>
      <c r="H23" s="97">
        <v>1384.9</v>
      </c>
      <c r="I23" s="97" cm="1">
        <f t="array" ref="I23">IF(SUM(Table18912131415[[#This Row],[SBMU01]:[SBMU05]])=0,0,SUMPRODUCT(IF(Table18912131415[[#This Row],[SBMU01]:[SBMU05]]=0,1,0),{1,2,4,8,16}))</f>
        <v>0</v>
      </c>
      <c r="J23" s="97">
        <v>0</v>
      </c>
      <c r="K23" s="97">
        <v>0</v>
      </c>
      <c r="L23" t="s">
        <v>785</v>
      </c>
      <c r="M23" t="b">
        <f t="shared" si="0"/>
        <v>1</v>
      </c>
      <c r="V23" s="55" t="s">
        <v>83</v>
      </c>
      <c r="W23" s="58">
        <v>16</v>
      </c>
      <c r="X23" s="53">
        <f>MID(Table18912131415[[#This Row],[IP]],LEN(Table18912131415[[#This Row],[IP]])-1,1)+(--MID(V23,8,1)-1)*9</f>
        <v>69</v>
      </c>
      <c r="Y23" s="56" t="s">
        <v>50</v>
      </c>
    </row>
    <row r="24" spans="1:25">
      <c r="A24" t="str">
        <f t="shared" si="1"/>
        <v>10.238.8.68</v>
      </c>
      <c r="B24">
        <f>MID(Table18912131415[[#This Row],[IP]],LEN(Table18912131415[[#This Row],[IP]])-1,1)+(--MID(Table18912131415[[#This Row],[IP]],8,1)-1)*9</f>
        <v>69</v>
      </c>
      <c r="C24" t="s">
        <v>51</v>
      </c>
      <c r="D24" s="97">
        <v>1383.5</v>
      </c>
      <c r="E24" s="97">
        <v>1385.1</v>
      </c>
      <c r="F24" s="97">
        <v>1385.3</v>
      </c>
      <c r="G24" s="97">
        <v>1383.6</v>
      </c>
      <c r="H24" s="97">
        <v>1384.8</v>
      </c>
      <c r="I24" s="97" cm="1">
        <f t="array" ref="I24">IF(SUM(Table18912131415[[#This Row],[SBMU01]:[SBMU05]])=0,0,SUMPRODUCT(IF(Table18912131415[[#This Row],[SBMU01]:[SBMU05]]=0,1,0),{1,2,4,8,16}))</f>
        <v>0</v>
      </c>
      <c r="J24" s="97">
        <v>0</v>
      </c>
      <c r="K24" s="97">
        <v>0</v>
      </c>
      <c r="L24" t="s">
        <v>785</v>
      </c>
      <c r="M24" t="b">
        <f t="shared" si="0"/>
        <v>1</v>
      </c>
      <c r="V24" s="52" t="s">
        <v>84</v>
      </c>
      <c r="W24" s="57">
        <v>16</v>
      </c>
      <c r="X24" s="53">
        <f>MID(Table18912131415[[#This Row],[IP]],LEN(Table18912131415[[#This Row],[IP]])-1,1)+(--MID(V24,8,1)-1)*9</f>
        <v>69</v>
      </c>
      <c r="Y24" s="54" t="s">
        <v>51</v>
      </c>
    </row>
    <row r="25" spans="1:25">
      <c r="A25" t="str">
        <f t="shared" si="1"/>
        <v>10.238.8.69</v>
      </c>
      <c r="B25">
        <f>MID(Table18912131415[[#This Row],[IP]],LEN(Table18912131415[[#This Row],[IP]])-1,1)+(--MID(Table18912131415[[#This Row],[IP]],8,1)-1)*9</f>
        <v>69</v>
      </c>
      <c r="C25" t="s">
        <v>52</v>
      </c>
      <c r="D25" s="97">
        <v>1382.6</v>
      </c>
      <c r="E25" s="97">
        <v>1382.9</v>
      </c>
      <c r="F25" s="97">
        <v>1381.4</v>
      </c>
      <c r="G25" s="97">
        <v>1383.2</v>
      </c>
      <c r="H25" s="97">
        <v>1383.2</v>
      </c>
      <c r="I25" s="97" cm="1">
        <f t="array" ref="I25">IF(SUM(Table18912131415[[#This Row],[SBMU01]:[SBMU05]])=0,0,SUMPRODUCT(IF(Table18912131415[[#This Row],[SBMU01]:[SBMU05]]=0,1,0),{1,2,4,8,16}))</f>
        <v>0</v>
      </c>
      <c r="J25" s="97">
        <v>0</v>
      </c>
      <c r="K25" s="97">
        <v>0</v>
      </c>
      <c r="L25" t="s">
        <v>785</v>
      </c>
      <c r="M25" t="b">
        <f t="shared" si="0"/>
        <v>1</v>
      </c>
      <c r="N25" t="s">
        <v>794</v>
      </c>
      <c r="V25" s="55" t="s">
        <v>85</v>
      </c>
      <c r="W25" s="58">
        <v>16</v>
      </c>
      <c r="X25" s="53">
        <f>MID(Table18912131415[[#This Row],[IP]],LEN(Table18912131415[[#This Row],[IP]])-1,1)+(--MID(V25,8,1)-1)*9</f>
        <v>69</v>
      </c>
      <c r="Y25" s="56" t="s">
        <v>52</v>
      </c>
    </row>
    <row r="26" spans="1:25">
      <c r="A26" t="str">
        <f t="shared" si="1"/>
        <v>10.238.8.76</v>
      </c>
      <c r="B26">
        <f>MID(Table18912131415[[#This Row],[IP]],LEN(Table18912131415[[#This Row],[IP]])-1,1)+(--MID(Table18912131415[[#This Row],[IP]],8,1)-1)*9</f>
        <v>70</v>
      </c>
      <c r="C26" t="s">
        <v>49</v>
      </c>
      <c r="D26" s="97">
        <v>1388</v>
      </c>
      <c r="E26" s="97">
        <v>1388.7</v>
      </c>
      <c r="F26" s="97">
        <v>1390</v>
      </c>
      <c r="G26" s="97">
        <v>1389.6</v>
      </c>
      <c r="H26" s="97">
        <v>1389.2</v>
      </c>
      <c r="I26" s="97" cm="1">
        <f t="array" ref="I26">IF(SUM(Table18912131415[[#This Row],[SBMU01]:[SBMU05]])=0,0,SUMPRODUCT(IF(Table18912131415[[#This Row],[SBMU01]:[SBMU05]]=0,1,0),{1,2,4,8,16}))</f>
        <v>0</v>
      </c>
      <c r="J26" s="97">
        <v>0</v>
      </c>
      <c r="K26" s="97">
        <v>0</v>
      </c>
      <c r="L26" t="s">
        <v>785</v>
      </c>
      <c r="M26" t="b">
        <f t="shared" si="0"/>
        <v>1</v>
      </c>
      <c r="N26" t="s">
        <v>794</v>
      </c>
      <c r="V26" s="52" t="s">
        <v>86</v>
      </c>
      <c r="W26" s="57">
        <v>34</v>
      </c>
      <c r="X26" s="53">
        <f>MID(Table18912131415[[#This Row],[IP]],LEN(Table18912131415[[#This Row],[IP]])-1,1)+(--MID(V26,8,1)-1)*9</f>
        <v>70</v>
      </c>
      <c r="Y26" s="54" t="s">
        <v>49</v>
      </c>
    </row>
    <row r="27" spans="1:25">
      <c r="A27" t="str">
        <f t="shared" si="1"/>
        <v>10.238.8.77</v>
      </c>
      <c r="B27">
        <f>MID(Table18912131415[[#This Row],[IP]],LEN(Table18912131415[[#This Row],[IP]])-1,1)+(--MID(Table18912131415[[#This Row],[IP]],8,1)-1)*9</f>
        <v>70</v>
      </c>
      <c r="C27" t="s">
        <v>50</v>
      </c>
      <c r="D27" s="97">
        <v>1387.2</v>
      </c>
      <c r="E27" s="97">
        <v>1388.3</v>
      </c>
      <c r="F27" s="97">
        <v>1387.9</v>
      </c>
      <c r="G27" s="97">
        <v>1387.2</v>
      </c>
      <c r="H27" s="97">
        <v>1387.8</v>
      </c>
      <c r="I27" s="97" cm="1">
        <f t="array" ref="I27">IF(SUM(Table18912131415[[#This Row],[SBMU01]:[SBMU05]])=0,0,SUMPRODUCT(IF(Table18912131415[[#This Row],[SBMU01]:[SBMU05]]=0,1,0),{1,2,4,8,16}))</f>
        <v>0</v>
      </c>
      <c r="J27" s="97">
        <v>0</v>
      </c>
      <c r="K27" s="97">
        <v>0</v>
      </c>
      <c r="M27" t="b">
        <f t="shared" si="0"/>
        <v>1</v>
      </c>
      <c r="V27" s="55" t="s">
        <v>87</v>
      </c>
      <c r="W27" s="58">
        <v>20</v>
      </c>
      <c r="X27" s="53">
        <f>MID(Table18912131415[[#This Row],[IP]],LEN(Table18912131415[[#This Row],[IP]])-1,1)+(--MID(V27,8,1)-1)*9</f>
        <v>70</v>
      </c>
      <c r="Y27" s="56" t="s">
        <v>50</v>
      </c>
    </row>
    <row r="28" spans="1:25">
      <c r="A28" t="str">
        <f t="shared" si="1"/>
        <v>10.238.8.78</v>
      </c>
      <c r="B28">
        <f>MID(Table18912131415[[#This Row],[IP]],LEN(Table18912131415[[#This Row],[IP]])-1,1)+(--MID(Table18912131415[[#This Row],[IP]],8,1)-1)*9</f>
        <v>70</v>
      </c>
      <c r="C28" t="s">
        <v>51</v>
      </c>
      <c r="D28" s="97">
        <v>1387.6</v>
      </c>
      <c r="E28" s="97">
        <v>1388</v>
      </c>
      <c r="F28" s="97">
        <v>1386.9</v>
      </c>
      <c r="G28" s="97">
        <v>1388</v>
      </c>
      <c r="H28" s="97">
        <v>1387.6</v>
      </c>
      <c r="I28" s="97" cm="1">
        <f t="array" ref="I28">IF(SUM(Table18912131415[[#This Row],[SBMU01]:[SBMU05]])=0,0,SUMPRODUCT(IF(Table18912131415[[#This Row],[SBMU01]:[SBMU05]]=0,1,0),{1,2,4,8,16}))</f>
        <v>0</v>
      </c>
      <c r="J28" s="97">
        <v>0</v>
      </c>
      <c r="K28" s="97">
        <v>0</v>
      </c>
      <c r="L28" t="s">
        <v>785</v>
      </c>
      <c r="M28" t="b">
        <f t="shared" si="0"/>
        <v>1</v>
      </c>
      <c r="V28" s="52" t="s">
        <v>88</v>
      </c>
      <c r="W28" s="57">
        <v>34</v>
      </c>
      <c r="X28" s="53">
        <f>MID(Table18912131415[[#This Row],[IP]],LEN(Table18912131415[[#This Row],[IP]])-1,1)+(--MID(V28,8,1)-1)*9</f>
        <v>70</v>
      </c>
      <c r="Y28" s="54" t="s">
        <v>51</v>
      </c>
    </row>
    <row r="29" spans="1:25">
      <c r="A29" t="str">
        <f t="shared" si="1"/>
        <v>10.238.8.79</v>
      </c>
      <c r="B29">
        <f>MID(Table18912131415[[#This Row],[IP]],LEN(Table18912131415[[#This Row],[IP]])-1,1)+(--MID(Table18912131415[[#This Row],[IP]],8,1)-1)*9</f>
        <v>70</v>
      </c>
      <c r="C29" t="s">
        <v>52</v>
      </c>
      <c r="D29" s="97">
        <v>1386.1</v>
      </c>
      <c r="E29" s="97">
        <v>1385.4</v>
      </c>
      <c r="F29" s="97">
        <v>1386.9</v>
      </c>
      <c r="G29" s="97">
        <v>1385.9</v>
      </c>
      <c r="H29" s="97">
        <v>1384.8</v>
      </c>
      <c r="I29" s="97" cm="1">
        <f t="array" ref="I29">IF(SUM(Table18912131415[[#This Row],[SBMU01]:[SBMU05]])=0,0,SUMPRODUCT(IF(Table18912131415[[#This Row],[SBMU01]:[SBMU05]]=0,1,0),{1,2,4,8,16}))</f>
        <v>0</v>
      </c>
      <c r="J29" s="97">
        <v>0</v>
      </c>
      <c r="K29" s="97">
        <v>0</v>
      </c>
      <c r="L29" t="s">
        <v>785</v>
      </c>
      <c r="M29" t="b">
        <f t="shared" si="0"/>
        <v>1</v>
      </c>
      <c r="V29" s="55" t="s">
        <v>89</v>
      </c>
      <c r="W29" s="58">
        <v>34</v>
      </c>
      <c r="X29" s="53">
        <f>MID(Table18912131415[[#This Row],[IP]],LEN(Table18912131415[[#This Row],[IP]])-1,1)+(--MID(V29,8,1)-1)*9</f>
        <v>70</v>
      </c>
      <c r="Y29" s="56" t="s">
        <v>52</v>
      </c>
    </row>
    <row r="30" spans="1:25">
      <c r="A30" t="str">
        <f t="shared" si="1"/>
        <v>10.238.8.86</v>
      </c>
      <c r="B30">
        <f>MID(Table18912131415[[#This Row],[IP]],LEN(Table18912131415[[#This Row],[IP]])-1,1)+(--MID(Table18912131415[[#This Row],[IP]],8,1)-1)*9</f>
        <v>71</v>
      </c>
      <c r="C30" t="s">
        <v>49</v>
      </c>
      <c r="D30" s="97">
        <v>1385.9</v>
      </c>
      <c r="E30" s="97">
        <v>1385.3</v>
      </c>
      <c r="F30" s="97">
        <v>1384.7</v>
      </c>
      <c r="G30" s="97">
        <v>1384.9</v>
      </c>
      <c r="H30" s="97">
        <v>1385.4</v>
      </c>
      <c r="I30" s="97" cm="1">
        <f t="array" ref="I30">IF(SUM(Table18912131415[[#This Row],[SBMU01]:[SBMU05]])=0,0,SUMPRODUCT(IF(Table18912131415[[#This Row],[SBMU01]:[SBMU05]]=0,1,0),{1,2,4,8,16}))</f>
        <v>0</v>
      </c>
      <c r="J30" s="97">
        <v>0</v>
      </c>
      <c r="K30" s="97">
        <v>0</v>
      </c>
      <c r="L30" t="s">
        <v>785</v>
      </c>
      <c r="M30" t="b">
        <f t="shared" si="0"/>
        <v>1</v>
      </c>
      <c r="V30" s="52" t="s">
        <v>90</v>
      </c>
      <c r="W30" s="57">
        <v>30</v>
      </c>
      <c r="X30" s="53">
        <f>MID(Table18912131415[[#This Row],[IP]],LEN(Table18912131415[[#This Row],[IP]])-1,1)+(--MID(V30,8,1)-1)*9</f>
        <v>71</v>
      </c>
      <c r="Y30" s="54" t="s">
        <v>49</v>
      </c>
    </row>
    <row r="31" spans="1:25">
      <c r="A31" t="str">
        <f t="shared" si="1"/>
        <v>10.238.8.87</v>
      </c>
      <c r="B31">
        <f>MID(Table18912131415[[#This Row],[IP]],LEN(Table18912131415[[#This Row],[IP]])-1,1)+(--MID(Table18912131415[[#This Row],[IP]],8,1)-1)*9</f>
        <v>71</v>
      </c>
      <c r="C31" t="s">
        <v>50</v>
      </c>
      <c r="D31" s="97">
        <v>1383.1</v>
      </c>
      <c r="E31" s="97">
        <v>1385.3</v>
      </c>
      <c r="F31" s="97">
        <v>1385</v>
      </c>
      <c r="G31" s="97">
        <v>1385.8</v>
      </c>
      <c r="H31" s="97">
        <v>1385.9</v>
      </c>
      <c r="I31" s="97" cm="1">
        <f t="array" ref="I31">IF(SUM(Table18912131415[[#This Row],[SBMU01]:[SBMU05]])=0,0,SUMPRODUCT(IF(Table18912131415[[#This Row],[SBMU01]:[SBMU05]]=0,1,0),{1,2,4,8,16}))</f>
        <v>0</v>
      </c>
      <c r="J31" s="97">
        <v>0</v>
      </c>
      <c r="K31" s="97">
        <v>0</v>
      </c>
      <c r="L31" t="s">
        <v>785</v>
      </c>
      <c r="M31" t="b">
        <f t="shared" si="0"/>
        <v>1</v>
      </c>
      <c r="V31" s="55" t="s">
        <v>91</v>
      </c>
      <c r="W31" s="58">
        <v>28</v>
      </c>
      <c r="X31" s="53">
        <f>MID(Table18912131415[[#This Row],[IP]],LEN(Table18912131415[[#This Row],[IP]])-1,1)+(--MID(V31,8,1)-1)*9</f>
        <v>71</v>
      </c>
      <c r="Y31" s="56" t="s">
        <v>50</v>
      </c>
    </row>
    <row r="32" spans="1:25">
      <c r="A32" t="str">
        <f t="shared" si="1"/>
        <v>10.238.8.88</v>
      </c>
      <c r="B32">
        <f>MID(Table18912131415[[#This Row],[IP]],LEN(Table18912131415[[#This Row],[IP]])-1,1)+(--MID(Table18912131415[[#This Row],[IP]],8,1)-1)*9</f>
        <v>71</v>
      </c>
      <c r="C32" t="s">
        <v>51</v>
      </c>
      <c r="D32" s="97">
        <v>1383.8</v>
      </c>
      <c r="E32" s="97">
        <v>1382.8</v>
      </c>
      <c r="F32" s="97">
        <v>1385.2</v>
      </c>
      <c r="G32" s="97">
        <v>1385</v>
      </c>
      <c r="H32" s="97">
        <v>1384.2</v>
      </c>
      <c r="I32" s="97" cm="1">
        <f t="array" ref="I32">IF(SUM(Table18912131415[[#This Row],[SBMU01]:[SBMU05]])=0,0,SUMPRODUCT(IF(Table18912131415[[#This Row],[SBMU01]:[SBMU05]]=0,1,0),{1,2,4,8,16}))</f>
        <v>0</v>
      </c>
      <c r="J32" s="97">
        <v>0</v>
      </c>
      <c r="K32" s="97">
        <v>0</v>
      </c>
      <c r="L32" t="s">
        <v>785</v>
      </c>
      <c r="M32" t="b">
        <f t="shared" si="0"/>
        <v>1</v>
      </c>
      <c r="N32" t="s">
        <v>794</v>
      </c>
      <c r="V32" s="52" t="s">
        <v>92</v>
      </c>
      <c r="W32" s="57">
        <v>31</v>
      </c>
      <c r="X32" s="53">
        <f>MID(Table18912131415[[#This Row],[IP]],LEN(Table18912131415[[#This Row],[IP]])-1,1)+(--MID(V32,8,1)-1)*9</f>
        <v>71</v>
      </c>
      <c r="Y32" s="54" t="s">
        <v>51</v>
      </c>
    </row>
    <row r="33" spans="1:25">
      <c r="A33" t="str">
        <f t="shared" si="1"/>
        <v>10.238.8.89</v>
      </c>
      <c r="B33">
        <f>MID(Table18912131415[[#This Row],[IP]],LEN(Table18912131415[[#This Row],[IP]])-1,1)+(--MID(Table18912131415[[#This Row],[IP]],8,1)-1)*9</f>
        <v>71</v>
      </c>
      <c r="C33" t="s">
        <v>52</v>
      </c>
      <c r="D33" s="97">
        <v>1385.1</v>
      </c>
      <c r="E33" s="97">
        <v>1385.1</v>
      </c>
      <c r="F33" s="97">
        <v>1384.6</v>
      </c>
      <c r="G33" s="97">
        <v>1384.4</v>
      </c>
      <c r="H33" s="97">
        <v>1383.7</v>
      </c>
      <c r="I33" s="97" cm="1">
        <f t="array" ref="I33">IF(SUM(Table18912131415[[#This Row],[SBMU01]:[SBMU05]])=0,0,SUMPRODUCT(IF(Table18912131415[[#This Row],[SBMU01]:[SBMU05]]=0,1,0),{1,2,4,8,16}))</f>
        <v>0</v>
      </c>
      <c r="J33" s="97">
        <v>0</v>
      </c>
      <c r="K33" s="97">
        <v>0</v>
      </c>
      <c r="L33" t="s">
        <v>785</v>
      </c>
      <c r="M33" t="b">
        <f t="shared" si="0"/>
        <v>1</v>
      </c>
      <c r="V33" s="55" t="s">
        <v>93</v>
      </c>
      <c r="W33" s="58">
        <v>31</v>
      </c>
      <c r="X33" s="53">
        <f>MID(Table18912131415[[#This Row],[IP]],LEN(Table18912131415[[#This Row],[IP]])-1,1)+(--MID(V33,8,1)-1)*9</f>
        <v>71</v>
      </c>
      <c r="Y33" s="56" t="s">
        <v>52</v>
      </c>
    </row>
    <row r="34" spans="1:25">
      <c r="A34" t="str">
        <f t="shared" si="1"/>
        <v>10.238.8.96</v>
      </c>
      <c r="B34">
        <f>MID(Table18912131415[[#This Row],[IP]],LEN(Table18912131415[[#This Row],[IP]])-1,1)+(--MID(Table18912131415[[#This Row],[IP]],8,1)-1)*9</f>
        <v>72</v>
      </c>
      <c r="C34" t="s">
        <v>49</v>
      </c>
      <c r="D34" s="97">
        <v>1393.6</v>
      </c>
      <c r="E34" s="97">
        <v>1391.7</v>
      </c>
      <c r="F34" s="97">
        <v>1391.7</v>
      </c>
      <c r="G34" s="97">
        <v>1392.3</v>
      </c>
      <c r="H34" s="97">
        <v>1392.1</v>
      </c>
      <c r="I34" s="97" cm="1">
        <f t="array" ref="I34">IF(SUM(Table18912131415[[#This Row],[SBMU01]:[SBMU05]])=0,0,SUMPRODUCT(IF(Table18912131415[[#This Row],[SBMU01]:[SBMU05]]=0,1,0),{1,2,4,8,16}))</f>
        <v>0</v>
      </c>
      <c r="J34" s="97">
        <v>0</v>
      </c>
      <c r="K34" s="97">
        <v>0</v>
      </c>
      <c r="L34" t="s">
        <v>785</v>
      </c>
      <c r="M34" t="b">
        <f t="shared" si="0"/>
        <v>1</v>
      </c>
      <c r="N34" t="s">
        <v>794</v>
      </c>
      <c r="V34" s="52" t="s">
        <v>94</v>
      </c>
      <c r="W34" s="57">
        <v>23</v>
      </c>
      <c r="X34" s="53">
        <f>MID(Table18912131415[[#This Row],[IP]],LEN(Table18912131415[[#This Row],[IP]])-1,1)+(--MID(V34,8,1)-1)*9</f>
        <v>72</v>
      </c>
      <c r="Y34" s="54" t="s">
        <v>49</v>
      </c>
    </row>
    <row r="35" spans="1:25">
      <c r="A35" t="str">
        <f t="shared" si="1"/>
        <v>10.238.8.97</v>
      </c>
      <c r="B35">
        <f>MID(Table18912131415[[#This Row],[IP]],LEN(Table18912131415[[#This Row],[IP]])-1,1)+(--MID(Table18912131415[[#This Row],[IP]],8,1)-1)*9</f>
        <v>72</v>
      </c>
      <c r="C35" t="s">
        <v>50</v>
      </c>
      <c r="D35" s="97">
        <v>1391.9</v>
      </c>
      <c r="E35" s="97">
        <v>1392</v>
      </c>
      <c r="F35" s="97">
        <v>1392.6</v>
      </c>
      <c r="G35" s="97">
        <v>1394</v>
      </c>
      <c r="H35" s="97">
        <v>1392.2</v>
      </c>
      <c r="I35" s="97" cm="1">
        <f t="array" ref="I35">IF(SUM(Table18912131415[[#This Row],[SBMU01]:[SBMU05]])=0,0,SUMPRODUCT(IF(Table18912131415[[#This Row],[SBMU01]:[SBMU05]]=0,1,0),{1,2,4,8,16}))</f>
        <v>0</v>
      </c>
      <c r="J35" s="97">
        <v>0</v>
      </c>
      <c r="K35" s="97">
        <v>0</v>
      </c>
      <c r="L35" t="s">
        <v>785</v>
      </c>
      <c r="M35" t="b">
        <f t="shared" si="0"/>
        <v>1</v>
      </c>
      <c r="N35" t="s">
        <v>794</v>
      </c>
      <c r="V35" s="55" t="s">
        <v>95</v>
      </c>
      <c r="W35" s="58">
        <v>23</v>
      </c>
      <c r="X35" s="53">
        <f>MID(Table18912131415[[#This Row],[IP]],LEN(Table18912131415[[#This Row],[IP]])-1,1)+(--MID(V35,8,1)-1)*9</f>
        <v>72</v>
      </c>
      <c r="Y35" s="56" t="s">
        <v>50</v>
      </c>
    </row>
    <row r="36" spans="1:25">
      <c r="A36" t="str">
        <f t="shared" si="1"/>
        <v>10.238.8.98</v>
      </c>
      <c r="B36">
        <f>MID(Table18912131415[[#This Row],[IP]],LEN(Table18912131415[[#This Row],[IP]])-1,1)+(--MID(Table18912131415[[#This Row],[IP]],8,1)-1)*9</f>
        <v>72</v>
      </c>
      <c r="C36" t="s">
        <v>51</v>
      </c>
      <c r="D36" s="97">
        <v>1390.8</v>
      </c>
      <c r="E36" s="97">
        <v>1391.5</v>
      </c>
      <c r="F36" s="97">
        <v>1390.9</v>
      </c>
      <c r="G36" s="97">
        <v>1390.2</v>
      </c>
      <c r="H36" s="97">
        <v>1391.4</v>
      </c>
      <c r="I36" s="97" cm="1">
        <f t="array" ref="I36">IF(SUM(Table18912131415[[#This Row],[SBMU01]:[SBMU05]])=0,0,SUMPRODUCT(IF(Table18912131415[[#This Row],[SBMU01]:[SBMU05]]=0,1,0),{1,2,4,8,16}))</f>
        <v>0</v>
      </c>
      <c r="J36" s="97">
        <v>0</v>
      </c>
      <c r="K36" s="97">
        <v>0</v>
      </c>
      <c r="L36" t="s">
        <v>785</v>
      </c>
      <c r="M36" t="b">
        <f t="shared" si="0"/>
        <v>1</v>
      </c>
      <c r="N36" t="s">
        <v>794</v>
      </c>
      <c r="V36" s="52" t="s">
        <v>96</v>
      </c>
      <c r="W36" s="57">
        <v>24</v>
      </c>
      <c r="X36" s="53">
        <f>MID(Table18912131415[[#This Row],[IP]],LEN(Table18912131415[[#This Row],[IP]])-1,1)+(--MID(V36,8,1)-1)*9</f>
        <v>72</v>
      </c>
      <c r="Y36" s="54" t="s">
        <v>51</v>
      </c>
    </row>
    <row r="37" spans="1:25">
      <c r="A37" t="str">
        <f t="shared" si="1"/>
        <v>10.238.8.99</v>
      </c>
      <c r="B37">
        <f>MID(Table18912131415[[#This Row],[IP]],LEN(Table18912131415[[#This Row],[IP]])-1,1)+(--MID(Table18912131415[[#This Row],[IP]],8,1)-1)*9</f>
        <v>72</v>
      </c>
      <c r="C37" t="s">
        <v>52</v>
      </c>
      <c r="D37" s="97">
        <v>1394.8</v>
      </c>
      <c r="E37" s="97">
        <v>1392.6</v>
      </c>
      <c r="F37" s="97">
        <v>1392.9</v>
      </c>
      <c r="G37" s="97">
        <v>1393</v>
      </c>
      <c r="H37" s="97">
        <v>1394.5</v>
      </c>
      <c r="I37" s="97" cm="1">
        <f t="array" ref="I37">IF(SUM(Table18912131415[[#This Row],[SBMU01]:[SBMU05]])=0,0,SUMPRODUCT(IF(Table18912131415[[#This Row],[SBMU01]:[SBMU05]]=0,1,0),{1,2,4,8,16}))</f>
        <v>0</v>
      </c>
      <c r="J37" s="97">
        <v>0</v>
      </c>
      <c r="K37" s="97">
        <v>0</v>
      </c>
      <c r="L37" t="s">
        <v>785</v>
      </c>
      <c r="M37" t="b">
        <f t="shared" si="0"/>
        <v>1</v>
      </c>
      <c r="N37" t="s">
        <v>794</v>
      </c>
      <c r="V37" s="55" t="s">
        <v>97</v>
      </c>
      <c r="W37" s="58">
        <v>24</v>
      </c>
      <c r="X37" s="53">
        <f>MID(Table18912131415[[#This Row],[IP]],LEN(Table18912131415[[#This Row],[IP]])-1,1)+(--MID(V37,8,1)-1)*9</f>
        <v>72</v>
      </c>
      <c r="Y37" s="56" t="s">
        <v>52</v>
      </c>
    </row>
  </sheetData>
  <conditionalFormatting sqref="I2:I37">
    <cfRule type="cellIs" dxfId="13" priority="2" operator="notEqual">
      <formula>K2</formula>
    </cfRule>
  </conditionalFormatting>
  <conditionalFormatting sqref="M2:M37">
    <cfRule type="cellIs" dxfId="12" priority="1" operator="equal">
      <formula>TRUE</formula>
    </cfRule>
  </conditionalFormatting>
  <dataValidations count="2">
    <dataValidation type="list" allowBlank="1" sqref="O1" xr:uid="{CFD19C32-155A-4B5E-82D7-F79BD8F1F8F1}">
      <formula1>$Q$3:$Q$13</formula1>
    </dataValidation>
    <dataValidation type="list" allowBlank="1" showInputMessage="1" showErrorMessage="1" sqref="R1" xr:uid="{EC021076-4D41-448C-BF1D-47ADF174F055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CalibrateRead">
                <anchor>
                  <from>
                    <xdr:col>14</xdr:col>
                    <xdr:colOff>38100</xdr:colOff>
                    <xdr:row>1</xdr:row>
                    <xdr:rowOff>114300</xdr:rowOff>
                  </from>
                  <to>
                    <xdr:col>15</xdr:col>
                    <xdr:colOff>247650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alibrateWrite">
                <anchor>
                  <from>
                    <xdr:col>14</xdr:col>
                    <xdr:colOff>38100</xdr:colOff>
                    <xdr:row>5</xdr:row>
                    <xdr:rowOff>57150</xdr:rowOff>
                  </from>
                  <to>
                    <xdr:col>15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N290"/>
  <sheetViews>
    <sheetView workbookViewId="0">
      <selection activeCell="I9" sqref="I9"/>
    </sheetView>
  </sheetViews>
  <sheetFormatPr defaultRowHeight="13.5"/>
  <cols>
    <col min="1" max="1" width="11.875" bestFit="1" customWidth="1"/>
    <col min="2" max="2" width="4.25" customWidth="1"/>
    <col min="3" max="27" width="6.625" customWidth="1"/>
  </cols>
  <sheetData>
    <row r="1" spans="1:40" ht="15">
      <c r="A1" s="88" t="s">
        <v>37</v>
      </c>
      <c r="B1" s="88" t="s">
        <v>38</v>
      </c>
      <c r="C1" s="88" t="s">
        <v>139</v>
      </c>
      <c r="D1" s="88" t="s">
        <v>140</v>
      </c>
      <c r="E1" s="88" t="s">
        <v>141</v>
      </c>
      <c r="F1" s="88" t="s">
        <v>142</v>
      </c>
      <c r="G1" s="88" t="s">
        <v>143</v>
      </c>
      <c r="H1" s="88" t="s">
        <v>144</v>
      </c>
      <c r="I1" s="88" t="s">
        <v>145</v>
      </c>
      <c r="J1" s="88" t="s">
        <v>146</v>
      </c>
      <c r="K1" s="88" t="s">
        <v>147</v>
      </c>
      <c r="L1" s="88" t="s">
        <v>148</v>
      </c>
      <c r="M1" s="88" t="s">
        <v>149</v>
      </c>
      <c r="N1" s="88" t="s">
        <v>150</v>
      </c>
      <c r="O1" s="89" t="s">
        <v>405</v>
      </c>
      <c r="P1" s="89" t="s">
        <v>406</v>
      </c>
      <c r="Q1" s="88" t="s">
        <v>407</v>
      </c>
      <c r="R1" s="88" t="s">
        <v>722</v>
      </c>
      <c r="S1" s="88" t="s">
        <v>737</v>
      </c>
      <c r="T1" s="88" t="s">
        <v>738</v>
      </c>
      <c r="U1" s="61"/>
      <c r="V1" s="61"/>
      <c r="W1" s="61"/>
      <c r="X1" s="87">
        <v>16</v>
      </c>
      <c r="Z1" s="87">
        <v>17</v>
      </c>
      <c r="AB1" t="str">
        <f>"D:\Download\00-CATL\KBESS\HotCommissionTool\data\"&amp;AB6</f>
        <v>D:\Download\00-CATL\KBESS\HotCommissionTool\data\SocVolt-20250120-075252.csv</v>
      </c>
    </row>
    <row r="2" spans="1:40" ht="15">
      <c r="A2" s="61" t="s">
        <v>37</v>
      </c>
      <c r="B2" s="61" t="s">
        <v>38</v>
      </c>
      <c r="C2" s="61">
        <v>34</v>
      </c>
      <c r="D2" s="61">
        <v>32</v>
      </c>
      <c r="E2" s="61">
        <v>1059</v>
      </c>
      <c r="F2" s="61">
        <f>E2+1024</f>
        <v>2083</v>
      </c>
      <c r="G2" s="61">
        <f t="shared" ref="G2:I2" si="0">F2+1024</f>
        <v>3107</v>
      </c>
      <c r="H2" s="61">
        <f t="shared" si="0"/>
        <v>4131</v>
      </c>
      <c r="I2" s="61">
        <f t="shared" si="0"/>
        <v>5155</v>
      </c>
      <c r="J2" s="61">
        <v>1057</v>
      </c>
      <c r="K2" s="61">
        <f>J2+1024</f>
        <v>2081</v>
      </c>
      <c r="L2" s="61">
        <f t="shared" ref="L2:N2" si="1">K2+1024</f>
        <v>3105</v>
      </c>
      <c r="M2" s="61">
        <f t="shared" si="1"/>
        <v>4129</v>
      </c>
      <c r="N2" s="61">
        <f t="shared" si="1"/>
        <v>5153</v>
      </c>
      <c r="O2" s="87">
        <v>16</v>
      </c>
      <c r="P2" s="87">
        <v>17</v>
      </c>
      <c r="Q2" s="87">
        <v>770</v>
      </c>
      <c r="R2" s="87">
        <v>56</v>
      </c>
      <c r="S2" s="77"/>
      <c r="T2" s="77"/>
      <c r="X2" cm="1">
        <f t="array" ref="X2">_xlfn._xlws.SORT(_xlfn.UNIQUE(O3:O290))</f>
        <v>0</v>
      </c>
      <c r="Z2" cm="1">
        <f t="array" ref="Z2:Z4">_xlfn._xlws.SORT(_xlfn.UNIQUE(P3:P290))</f>
        <v>0</v>
      </c>
      <c r="AJ2" t="str" cm="1">
        <f t="array" ref="AJ2:AN2">GetLatestCSVFiles("D:\Download\00-CATL\KBESS\HotCommissionTool\data\")</f>
        <v>SocVolt-20250120-075252.csv</v>
      </c>
      <c r="AK2" t="str">
        <v>SocVolt-20250119-060449.csv</v>
      </c>
      <c r="AL2" t="str">
        <v>SocVolt-20250119-112029.csv</v>
      </c>
      <c r="AM2" t="str">
        <v>SocVolt-20250118-062025.csv</v>
      </c>
      <c r="AN2" t="str">
        <v>SocVolt-20250118-151429.csv</v>
      </c>
    </row>
    <row r="3" spans="1:40">
      <c r="A3" t="s">
        <v>152</v>
      </c>
      <c r="B3" t="s">
        <v>428</v>
      </c>
      <c r="C3" s="77">
        <v>99.7</v>
      </c>
      <c r="D3" s="77">
        <v>0</v>
      </c>
      <c r="E3" s="77">
        <v>99.8</v>
      </c>
      <c r="F3" s="77">
        <v>99.8</v>
      </c>
      <c r="G3" s="77">
        <v>99.8</v>
      </c>
      <c r="H3" s="77">
        <v>99.6</v>
      </c>
      <c r="I3" s="77">
        <v>99.8</v>
      </c>
      <c r="J3" s="85">
        <v>1385.4</v>
      </c>
      <c r="K3" s="85">
        <v>1386.5</v>
      </c>
      <c r="L3" s="85">
        <v>1385.7</v>
      </c>
      <c r="M3" s="85">
        <v>1386.4</v>
      </c>
      <c r="N3" s="85">
        <v>1384.7</v>
      </c>
      <c r="O3" s="77">
        <v>0</v>
      </c>
      <c r="P3" s="77">
        <v>0</v>
      </c>
      <c r="Q3" s="77">
        <v>1</v>
      </c>
      <c r="R3" s="77">
        <v>30</v>
      </c>
      <c r="S3" s="77">
        <f>_xlfn.STDEV.P(Table2[[#This Row],[volt-sbmu1]:[volt-sbmu5]])</f>
        <v>0.66513156593262956</v>
      </c>
      <c r="T3" s="77">
        <f>STDEV(Table2[[#This Row],[soc-sbmu1]:[soc-sbmu5]])</f>
        <v>8.9442719099992865E-2</v>
      </c>
      <c r="U3" s="77"/>
      <c r="V3" s="77"/>
      <c r="Y3">
        <f>COUNTIF(O:O,X3)</f>
        <v>288</v>
      </c>
      <c r="Z3">
        <v>64</v>
      </c>
      <c r="AA3">
        <f t="shared" ref="AA3:AA4" si="2">COUNTIF(P:P,Z3)</f>
        <v>1</v>
      </c>
    </row>
    <row r="4" spans="1:40">
      <c r="A4" t="s">
        <v>153</v>
      </c>
      <c r="B4" t="s">
        <v>429</v>
      </c>
      <c r="C4" s="77">
        <v>80.599999999999994</v>
      </c>
      <c r="D4" s="77">
        <v>1393.7</v>
      </c>
      <c r="E4" s="77">
        <v>80.900000000000006</v>
      </c>
      <c r="F4" s="77">
        <v>80.2</v>
      </c>
      <c r="G4" s="77">
        <v>80.3</v>
      </c>
      <c r="H4" s="77">
        <v>80.2</v>
      </c>
      <c r="I4" s="77">
        <v>79.7</v>
      </c>
      <c r="J4" s="85">
        <v>1392.9</v>
      </c>
      <c r="K4" s="85">
        <v>1394.4</v>
      </c>
      <c r="L4" s="85">
        <v>1395.3</v>
      </c>
      <c r="M4" s="85">
        <v>1393.1</v>
      </c>
      <c r="N4" s="85">
        <v>1394.2</v>
      </c>
      <c r="O4" s="77">
        <v>0</v>
      </c>
      <c r="P4" s="77">
        <v>0</v>
      </c>
      <c r="Q4" s="77">
        <v>1</v>
      </c>
      <c r="R4" s="77">
        <v>30</v>
      </c>
      <c r="S4" s="77">
        <f>_xlfn.STDEV.P(Table2[[#This Row],[volt-sbmu1]:[volt-sbmu5]])</f>
        <v>0.88408144421200685</v>
      </c>
      <c r="T4" s="77">
        <f>MAX(Table2[[#This Row],[soc-sbmu1]:[soc-sbmu5]])-MIN(Table2[[#This Row],[soc-sbmu1]:[soc-sbmu5]])</f>
        <v>1.2000000000000028</v>
      </c>
      <c r="U4" s="77"/>
      <c r="V4" s="77"/>
      <c r="Y4">
        <f>COUNTIF(O:O,X4)</f>
        <v>288</v>
      </c>
      <c r="Z4">
        <v>128</v>
      </c>
      <c r="AA4">
        <f t="shared" si="2"/>
        <v>1</v>
      </c>
    </row>
    <row r="5" spans="1:40">
      <c r="A5" t="s">
        <v>154</v>
      </c>
      <c r="B5" t="s">
        <v>430</v>
      </c>
      <c r="C5" s="77">
        <v>80.599999999999994</v>
      </c>
      <c r="D5" s="77">
        <v>1393.4</v>
      </c>
      <c r="E5" s="77">
        <v>81</v>
      </c>
      <c r="F5" s="77">
        <v>79.599999999999994</v>
      </c>
      <c r="G5" s="77">
        <v>79.400000000000006</v>
      </c>
      <c r="H5" s="77">
        <v>80.8</v>
      </c>
      <c r="I5" s="77">
        <v>80.900000000000006</v>
      </c>
      <c r="J5" s="85">
        <v>1394.4</v>
      </c>
      <c r="K5" s="85">
        <v>1393.2</v>
      </c>
      <c r="L5" s="85">
        <v>1393.9</v>
      </c>
      <c r="M5" s="85">
        <v>1394.4</v>
      </c>
      <c r="N5" s="85">
        <v>1394.1</v>
      </c>
      <c r="O5" s="77">
        <v>0</v>
      </c>
      <c r="P5" s="77">
        <v>0</v>
      </c>
      <c r="Q5" s="77">
        <v>1</v>
      </c>
      <c r="R5" s="77">
        <v>30</v>
      </c>
      <c r="S5" s="77">
        <f>_xlfn.STDEV.P(Table2[[#This Row],[volt-sbmu1]:[volt-sbmu5]])</f>
        <v>0.44271887242358132</v>
      </c>
      <c r="T5" s="77">
        <f>MAX(Table2[[#This Row],[soc-sbmu1]:[soc-sbmu5]])-MIN(Table2[[#This Row],[soc-sbmu1]:[soc-sbmu5]])</f>
        <v>1.5999999999999943</v>
      </c>
      <c r="U5" s="77"/>
      <c r="V5" s="77"/>
    </row>
    <row r="6" spans="1:40">
      <c r="A6" t="s">
        <v>155</v>
      </c>
      <c r="B6" t="s">
        <v>431</v>
      </c>
      <c r="C6" s="77">
        <v>80.599999999999994</v>
      </c>
      <c r="D6" s="77">
        <v>1394</v>
      </c>
      <c r="E6" s="77">
        <v>80.5</v>
      </c>
      <c r="F6" s="77">
        <v>80.900000000000006</v>
      </c>
      <c r="G6" s="77">
        <v>79.599999999999994</v>
      </c>
      <c r="H6" s="77">
        <v>80.900000000000006</v>
      </c>
      <c r="I6" s="77">
        <v>80.7</v>
      </c>
      <c r="J6" s="85">
        <v>1394.5</v>
      </c>
      <c r="K6" s="85">
        <v>1393.5</v>
      </c>
      <c r="L6" s="85">
        <v>1393.8</v>
      </c>
      <c r="M6" s="85">
        <v>1393.6</v>
      </c>
      <c r="N6" s="85">
        <v>1393.8</v>
      </c>
      <c r="O6" s="77">
        <v>0</v>
      </c>
      <c r="P6" s="77">
        <v>0</v>
      </c>
      <c r="Q6" s="77">
        <v>1</v>
      </c>
      <c r="R6" s="77">
        <v>34</v>
      </c>
      <c r="S6" s="77">
        <f>_xlfn.STDEV.P(Table2[[#This Row],[volt-sbmu1]:[volt-sbmu5]])</f>
        <v>0.34985711369073258</v>
      </c>
      <c r="T6" s="77">
        <f>MAX(Table2[[#This Row],[soc-sbmu1]:[soc-sbmu5]])-MIN(Table2[[#This Row],[soc-sbmu1]:[soc-sbmu5]])</f>
        <v>1.3000000000000114</v>
      </c>
      <c r="U6" s="77"/>
      <c r="V6" s="77"/>
      <c r="AB6" t="s">
        <v>797</v>
      </c>
    </row>
    <row r="7" spans="1:40">
      <c r="A7" t="s">
        <v>156</v>
      </c>
      <c r="B7" t="s">
        <v>443</v>
      </c>
      <c r="C7" s="77">
        <v>83.2</v>
      </c>
      <c r="D7" s="77">
        <v>1391.5</v>
      </c>
      <c r="E7" s="77">
        <v>83.1</v>
      </c>
      <c r="F7" s="77">
        <v>83.3</v>
      </c>
      <c r="G7" s="77">
        <v>83.2</v>
      </c>
      <c r="H7" s="77">
        <v>83.2</v>
      </c>
      <c r="I7" s="77">
        <v>83.3</v>
      </c>
      <c r="J7" s="85">
        <v>1392.3</v>
      </c>
      <c r="K7" s="85">
        <v>1391.1</v>
      </c>
      <c r="L7" s="85">
        <v>1393.1</v>
      </c>
      <c r="M7" s="85">
        <v>1391.7</v>
      </c>
      <c r="N7" s="85">
        <v>1390.9</v>
      </c>
      <c r="O7" s="77">
        <v>0</v>
      </c>
      <c r="P7" s="77">
        <v>0</v>
      </c>
      <c r="Q7" s="77">
        <v>1</v>
      </c>
      <c r="R7" s="77">
        <v>35</v>
      </c>
      <c r="S7" s="77">
        <f>_xlfn.STDEV.P(Table2[[#This Row],[volt-sbmu1]:[volt-sbmu5]])</f>
        <v>0.80597766718435515</v>
      </c>
      <c r="T7" s="77">
        <f>MAX(Table2[[#This Row],[soc-sbmu1]:[soc-sbmu5]])-MIN(Table2[[#This Row],[soc-sbmu1]:[soc-sbmu5]])</f>
        <v>0.20000000000000284</v>
      </c>
      <c r="U7" s="77"/>
      <c r="V7" s="77"/>
    </row>
    <row r="8" spans="1:40">
      <c r="A8" t="s">
        <v>157</v>
      </c>
      <c r="B8" t="s">
        <v>444</v>
      </c>
      <c r="C8" s="77">
        <v>83.2</v>
      </c>
      <c r="D8" s="77">
        <v>1394</v>
      </c>
      <c r="E8" s="77">
        <v>83</v>
      </c>
      <c r="F8" s="77">
        <v>83.4</v>
      </c>
      <c r="G8" s="77">
        <v>83.3</v>
      </c>
      <c r="H8" s="77">
        <v>83.3</v>
      </c>
      <c r="I8" s="77">
        <v>82.7</v>
      </c>
      <c r="J8" s="85">
        <v>1392.2</v>
      </c>
      <c r="K8" s="85">
        <v>1392.6</v>
      </c>
      <c r="L8" s="85">
        <v>1395.7</v>
      </c>
      <c r="M8" s="85">
        <v>1394.6</v>
      </c>
      <c r="N8" s="85">
        <v>1395.2</v>
      </c>
      <c r="O8" s="77">
        <v>0</v>
      </c>
      <c r="P8" s="77">
        <v>0</v>
      </c>
      <c r="Q8" s="77">
        <v>1</v>
      </c>
      <c r="R8" s="77">
        <v>32</v>
      </c>
      <c r="S8" s="77">
        <f>_xlfn.STDEV.P(Table2[[#This Row],[volt-sbmu1]:[volt-sbmu5]])</f>
        <v>1.4051334456200415</v>
      </c>
      <c r="T8" s="77">
        <f>MAX(Table2[[#This Row],[soc-sbmu1]:[soc-sbmu5]])-MIN(Table2[[#This Row],[soc-sbmu1]:[soc-sbmu5]])</f>
        <v>0.70000000000000284</v>
      </c>
      <c r="U8" s="77"/>
      <c r="V8" s="77"/>
    </row>
    <row r="9" spans="1:40" ht="15">
      <c r="A9" t="s">
        <v>158</v>
      </c>
      <c r="B9" t="s">
        <v>445</v>
      </c>
      <c r="C9" s="77">
        <v>84.1</v>
      </c>
      <c r="D9" s="77">
        <v>1392.9</v>
      </c>
      <c r="E9" s="77">
        <v>83.8</v>
      </c>
      <c r="F9" s="77">
        <v>83.6</v>
      </c>
      <c r="G9" s="77">
        <v>83.7</v>
      </c>
      <c r="H9" s="77">
        <v>83.7</v>
      </c>
      <c r="I9" s="77">
        <v>84.2</v>
      </c>
      <c r="J9" s="85">
        <v>1392.4</v>
      </c>
      <c r="K9" s="85">
        <v>1393.1</v>
      </c>
      <c r="L9" s="85">
        <v>1392.6</v>
      </c>
      <c r="M9" s="85">
        <v>1392.6</v>
      </c>
      <c r="N9" s="85">
        <v>1394</v>
      </c>
      <c r="O9" s="77">
        <v>0</v>
      </c>
      <c r="P9" s="77">
        <v>0</v>
      </c>
      <c r="Q9" s="77">
        <v>1</v>
      </c>
      <c r="R9" s="77">
        <v>32</v>
      </c>
      <c r="S9" s="77">
        <f>_xlfn.STDEV.P(Table2[[#This Row],[volt-sbmu1]:[volt-sbmu5]])</f>
        <v>0.57827329179203779</v>
      </c>
      <c r="T9" s="77">
        <f>MAX(Table2[[#This Row],[soc-sbmu1]:[soc-sbmu5]])-MIN(Table2[[#This Row],[soc-sbmu1]:[soc-sbmu5]])</f>
        <v>0.60000000000000853</v>
      </c>
      <c r="U9" s="77"/>
      <c r="V9" s="77"/>
      <c r="X9" s="62"/>
    </row>
    <row r="10" spans="1:40">
      <c r="A10" t="s">
        <v>159</v>
      </c>
      <c r="B10" t="s">
        <v>446</v>
      </c>
      <c r="C10" s="77">
        <v>83</v>
      </c>
      <c r="D10" s="77">
        <v>1392.2</v>
      </c>
      <c r="E10" s="77">
        <v>82.9</v>
      </c>
      <c r="F10" s="77">
        <v>83.1</v>
      </c>
      <c r="G10" s="77">
        <v>82.6</v>
      </c>
      <c r="H10" s="77">
        <v>83.2</v>
      </c>
      <c r="I10" s="77">
        <v>83.1</v>
      </c>
      <c r="J10" s="85">
        <v>1392.4</v>
      </c>
      <c r="K10" s="85">
        <v>1392</v>
      </c>
      <c r="L10" s="85">
        <v>1392.6</v>
      </c>
      <c r="M10" s="85">
        <v>1392.7</v>
      </c>
      <c r="N10" s="85">
        <v>1391.8</v>
      </c>
      <c r="O10" s="77">
        <v>0</v>
      </c>
      <c r="P10" s="77">
        <v>0</v>
      </c>
      <c r="Q10" s="77">
        <v>1</v>
      </c>
      <c r="R10" s="77">
        <v>34</v>
      </c>
      <c r="S10" s="77">
        <f>_xlfn.STDEV.P(Table2[[#This Row],[volt-sbmu1]:[volt-sbmu5]])</f>
        <v>0.34641016151378862</v>
      </c>
      <c r="T10" s="77">
        <f>MAX(Table2[[#This Row],[soc-sbmu1]:[soc-sbmu5]])-MIN(Table2[[#This Row],[soc-sbmu1]:[soc-sbmu5]])</f>
        <v>0.60000000000000853</v>
      </c>
      <c r="U10" s="77"/>
      <c r="V10" s="77"/>
      <c r="Y10" s="77"/>
    </row>
    <row r="11" spans="1:40">
      <c r="A11" t="s">
        <v>160</v>
      </c>
      <c r="B11" t="s">
        <v>447</v>
      </c>
      <c r="C11" s="77">
        <v>99.7</v>
      </c>
      <c r="D11" s="77">
        <v>1385.8</v>
      </c>
      <c r="E11" s="77">
        <v>99.8</v>
      </c>
      <c r="F11" s="77">
        <v>99.7</v>
      </c>
      <c r="G11" s="77">
        <v>99.7</v>
      </c>
      <c r="H11" s="77">
        <v>99.7</v>
      </c>
      <c r="I11" s="77">
        <v>99.8</v>
      </c>
      <c r="J11" s="85">
        <v>1385.6</v>
      </c>
      <c r="K11" s="85">
        <v>1384.5</v>
      </c>
      <c r="L11" s="85">
        <v>1385.8</v>
      </c>
      <c r="M11" s="85">
        <v>1386.7</v>
      </c>
      <c r="N11" s="85">
        <v>1384.2</v>
      </c>
      <c r="O11" s="77">
        <v>0</v>
      </c>
      <c r="P11" s="77">
        <v>0</v>
      </c>
      <c r="Q11" s="77">
        <v>2</v>
      </c>
      <c r="R11" s="77">
        <v>31</v>
      </c>
      <c r="S11" s="77">
        <f>_xlfn.STDEV.P(Table2[[#This Row],[volt-sbmu1]:[volt-sbmu5]])</f>
        <v>0.90906545418907359</v>
      </c>
      <c r="T11" s="77">
        <f>MAX(Table2[[#This Row],[soc-sbmu1]:[soc-sbmu5]])-MIN(Table2[[#This Row],[soc-sbmu1]:[soc-sbmu5]])</f>
        <v>9.9999999999994316E-2</v>
      </c>
      <c r="U11" s="77"/>
      <c r="V11" s="77"/>
    </row>
    <row r="12" spans="1:40">
      <c r="A12" t="s">
        <v>161</v>
      </c>
      <c r="B12" t="s">
        <v>448</v>
      </c>
      <c r="C12" s="77">
        <v>80.2</v>
      </c>
      <c r="D12" s="77">
        <v>1392.7</v>
      </c>
      <c r="E12" s="77">
        <v>79.5</v>
      </c>
      <c r="F12" s="77">
        <v>79.7</v>
      </c>
      <c r="G12" s="77">
        <v>80.400000000000006</v>
      </c>
      <c r="H12" s="77">
        <v>80</v>
      </c>
      <c r="I12" s="77">
        <v>79.7</v>
      </c>
      <c r="J12" s="85">
        <v>1392.2</v>
      </c>
      <c r="K12" s="85">
        <v>1393.3</v>
      </c>
      <c r="L12" s="85">
        <v>1390.9</v>
      </c>
      <c r="M12" s="85">
        <v>1391.9</v>
      </c>
      <c r="N12" s="85">
        <v>1392.8</v>
      </c>
      <c r="O12" s="77">
        <v>0</v>
      </c>
      <c r="P12" s="77">
        <v>0</v>
      </c>
      <c r="Q12" s="77">
        <v>1</v>
      </c>
      <c r="R12" s="77">
        <v>30</v>
      </c>
      <c r="S12" s="77">
        <f>_xlfn.STDEV.P(Table2[[#This Row],[volt-sbmu1]:[volt-sbmu5]])</f>
        <v>0.81829090181909625</v>
      </c>
      <c r="T12" s="77">
        <f>MAX(Table2[[#This Row],[soc-sbmu1]:[soc-sbmu5]])-MIN(Table2[[#This Row],[soc-sbmu1]:[soc-sbmu5]])</f>
        <v>0.90000000000000568</v>
      </c>
      <c r="U12" s="77"/>
      <c r="V12" s="77"/>
    </row>
    <row r="13" spans="1:40">
      <c r="A13" t="s">
        <v>162</v>
      </c>
      <c r="B13" t="s">
        <v>449</v>
      </c>
      <c r="C13" s="77">
        <v>79.900000000000006</v>
      </c>
      <c r="D13" s="77">
        <v>1392.5</v>
      </c>
      <c r="E13" s="77">
        <v>80</v>
      </c>
      <c r="F13" s="77">
        <v>79.400000000000006</v>
      </c>
      <c r="G13" s="77">
        <v>79.400000000000006</v>
      </c>
      <c r="H13" s="77">
        <v>80.099999999999994</v>
      </c>
      <c r="I13" s="77">
        <v>79.8</v>
      </c>
      <c r="J13" s="85">
        <v>1394.1</v>
      </c>
      <c r="K13" s="85">
        <v>1392</v>
      </c>
      <c r="L13" s="85">
        <v>1392.2</v>
      </c>
      <c r="M13" s="85">
        <v>1392.7</v>
      </c>
      <c r="N13" s="85">
        <v>1391.5</v>
      </c>
      <c r="O13" s="77">
        <v>0</v>
      </c>
      <c r="P13" s="77">
        <v>0</v>
      </c>
      <c r="Q13" s="77">
        <v>1</v>
      </c>
      <c r="R13" s="77">
        <v>32</v>
      </c>
      <c r="S13" s="77">
        <f>_xlfn.STDEV.P(Table2[[#This Row],[volt-sbmu1]:[volt-sbmu5]])</f>
        <v>0.88769364084685209</v>
      </c>
      <c r="T13" s="77">
        <f>MAX(Table2[[#This Row],[soc-sbmu1]:[soc-sbmu5]])-MIN(Table2[[#This Row],[soc-sbmu1]:[soc-sbmu5]])</f>
        <v>0.69999999999998863</v>
      </c>
      <c r="U13" s="77"/>
      <c r="V13" s="77"/>
    </row>
    <row r="14" spans="1:40">
      <c r="A14" t="s">
        <v>163</v>
      </c>
      <c r="B14" t="s">
        <v>450</v>
      </c>
      <c r="C14" s="77">
        <v>80</v>
      </c>
      <c r="D14" s="77">
        <v>1391.8</v>
      </c>
      <c r="E14" s="77">
        <v>80.2</v>
      </c>
      <c r="F14" s="77">
        <v>80</v>
      </c>
      <c r="G14" s="77">
        <v>79.599999999999994</v>
      </c>
      <c r="H14" s="77">
        <v>80</v>
      </c>
      <c r="I14" s="77">
        <v>79.8</v>
      </c>
      <c r="J14" s="85">
        <v>1391.8</v>
      </c>
      <c r="K14" s="85">
        <v>1392.6</v>
      </c>
      <c r="L14" s="85">
        <v>1392.1</v>
      </c>
      <c r="M14" s="85">
        <v>1393.1</v>
      </c>
      <c r="N14" s="85">
        <v>1392</v>
      </c>
      <c r="O14" s="77">
        <v>0</v>
      </c>
      <c r="P14" s="77">
        <v>0</v>
      </c>
      <c r="Q14" s="77">
        <v>1</v>
      </c>
      <c r="R14" s="77">
        <v>33</v>
      </c>
      <c r="S14" s="77">
        <f>_xlfn.STDEV.P(Table2[[#This Row],[volt-sbmu1]:[volt-sbmu5]])</f>
        <v>0.47074409183757043</v>
      </c>
      <c r="T14" s="77">
        <f>MAX(Table2[[#This Row],[soc-sbmu1]:[soc-sbmu5]])-MIN(Table2[[#This Row],[soc-sbmu1]:[soc-sbmu5]])</f>
        <v>0.60000000000000853</v>
      </c>
      <c r="U14" s="77"/>
      <c r="V14" s="77"/>
    </row>
    <row r="15" spans="1:40">
      <c r="A15" t="s">
        <v>164</v>
      </c>
      <c r="B15" t="s">
        <v>451</v>
      </c>
      <c r="C15" s="77">
        <v>99.7</v>
      </c>
      <c r="D15" s="77">
        <v>1383.4</v>
      </c>
      <c r="E15" s="77">
        <v>99.6</v>
      </c>
      <c r="F15" s="77">
        <v>99.6</v>
      </c>
      <c r="G15" s="77">
        <v>99.7</v>
      </c>
      <c r="H15" s="77">
        <v>99.8</v>
      </c>
      <c r="I15" s="77">
        <v>99.7</v>
      </c>
      <c r="J15" s="85">
        <v>1383.9</v>
      </c>
      <c r="K15" s="85">
        <v>1383.5</v>
      </c>
      <c r="L15" s="85">
        <v>1382.8</v>
      </c>
      <c r="M15" s="85">
        <v>1384.7</v>
      </c>
      <c r="N15" s="85">
        <v>1382.7</v>
      </c>
      <c r="O15" s="77">
        <v>0</v>
      </c>
      <c r="P15" s="77">
        <v>0</v>
      </c>
      <c r="Q15" s="77">
        <v>2</v>
      </c>
      <c r="R15" s="77">
        <v>34</v>
      </c>
      <c r="S15" s="77">
        <f>_xlfn.STDEV.P(Table2[[#This Row],[volt-sbmu1]:[volt-sbmu5]])</f>
        <v>0.73864741250479815</v>
      </c>
      <c r="T15" s="77">
        <f>MAX(Table2[[#This Row],[soc-sbmu1]:[soc-sbmu5]])-MIN(Table2[[#This Row],[soc-sbmu1]:[soc-sbmu5]])</f>
        <v>0.20000000000000284</v>
      </c>
      <c r="U15" s="77"/>
      <c r="V15" s="77"/>
    </row>
    <row r="16" spans="1:40">
      <c r="A16" t="s">
        <v>165</v>
      </c>
      <c r="B16" t="s">
        <v>452</v>
      </c>
      <c r="C16" s="77">
        <v>99.7</v>
      </c>
      <c r="D16" s="77">
        <v>1384.9</v>
      </c>
      <c r="E16" s="77">
        <v>99.8</v>
      </c>
      <c r="F16" s="77">
        <v>99.6</v>
      </c>
      <c r="G16" s="77">
        <v>99.7</v>
      </c>
      <c r="H16" s="77">
        <v>99.7</v>
      </c>
      <c r="I16" s="77">
        <v>99.6</v>
      </c>
      <c r="J16" s="85">
        <v>1384.6</v>
      </c>
      <c r="K16" s="85">
        <v>1385.2</v>
      </c>
      <c r="L16" s="85">
        <v>1385.1</v>
      </c>
      <c r="M16" s="85">
        <v>1385.8</v>
      </c>
      <c r="N16" s="85">
        <v>1385.2</v>
      </c>
      <c r="O16" s="77">
        <v>0</v>
      </c>
      <c r="P16" s="77">
        <v>0</v>
      </c>
      <c r="Q16" s="77">
        <v>2</v>
      </c>
      <c r="R16" s="77">
        <v>32</v>
      </c>
      <c r="S16" s="77">
        <f>_xlfn.STDEV.P(Table2[[#This Row],[volt-sbmu1]:[volt-sbmu5]])</f>
        <v>0.38157568056679592</v>
      </c>
      <c r="T16" s="77">
        <f>MAX(Table2[[#This Row],[soc-sbmu1]:[soc-sbmu5]])-MIN(Table2[[#This Row],[soc-sbmu1]:[soc-sbmu5]])</f>
        <v>0.20000000000000284</v>
      </c>
      <c r="U16" s="77"/>
      <c r="V16" s="77"/>
    </row>
    <row r="17" spans="1:22">
      <c r="A17" t="s">
        <v>166</v>
      </c>
      <c r="B17" t="s">
        <v>453</v>
      </c>
      <c r="C17" s="77">
        <v>99.6</v>
      </c>
      <c r="D17" s="77">
        <v>1384.8</v>
      </c>
      <c r="E17" s="77">
        <v>99.7</v>
      </c>
      <c r="F17" s="77">
        <v>99.6</v>
      </c>
      <c r="G17" s="77">
        <v>99.6</v>
      </c>
      <c r="H17" s="77">
        <v>99.7</v>
      </c>
      <c r="I17" s="77">
        <v>99.7</v>
      </c>
      <c r="J17" s="85">
        <v>1385.4</v>
      </c>
      <c r="K17" s="85">
        <v>1383.8</v>
      </c>
      <c r="L17" s="85">
        <v>1384.8</v>
      </c>
      <c r="M17" s="85">
        <v>1385.8</v>
      </c>
      <c r="N17" s="85">
        <v>1384.1</v>
      </c>
      <c r="O17" s="77">
        <v>0</v>
      </c>
      <c r="P17" s="77">
        <v>0</v>
      </c>
      <c r="Q17" s="77">
        <v>2</v>
      </c>
      <c r="R17" s="77">
        <v>32</v>
      </c>
      <c r="S17" s="77">
        <f>_xlfn.STDEV.P(Table2[[#This Row],[volt-sbmu1]:[volt-sbmu5]])</f>
        <v>0.75471849056455897</v>
      </c>
      <c r="T17" s="77">
        <f>MAX(Table2[[#This Row],[soc-sbmu1]:[soc-sbmu5]])-MIN(Table2[[#This Row],[soc-sbmu1]:[soc-sbmu5]])</f>
        <v>0.10000000000000853</v>
      </c>
      <c r="U17" s="77"/>
      <c r="V17" s="77"/>
    </row>
    <row r="18" spans="1:22">
      <c r="A18" t="s">
        <v>167</v>
      </c>
      <c r="B18" t="s">
        <v>454</v>
      </c>
      <c r="C18" s="77">
        <v>99.7</v>
      </c>
      <c r="D18" s="77">
        <v>1385.3</v>
      </c>
      <c r="E18" s="77">
        <v>99.7</v>
      </c>
      <c r="F18" s="77">
        <v>99.8</v>
      </c>
      <c r="G18" s="77">
        <v>99.6</v>
      </c>
      <c r="H18" s="77">
        <v>99.7</v>
      </c>
      <c r="I18" s="77">
        <v>99.5</v>
      </c>
      <c r="J18" s="85">
        <v>1385.1</v>
      </c>
      <c r="K18" s="85">
        <v>1385.2</v>
      </c>
      <c r="L18" s="85">
        <v>1384</v>
      </c>
      <c r="M18" s="85">
        <v>1386.1</v>
      </c>
      <c r="N18" s="85">
        <v>1384.4</v>
      </c>
      <c r="O18" s="77">
        <v>0</v>
      </c>
      <c r="P18" s="77">
        <v>0</v>
      </c>
      <c r="Q18" s="77">
        <v>2</v>
      </c>
      <c r="R18" s="77">
        <v>34</v>
      </c>
      <c r="S18" s="77">
        <f>_xlfn.STDEV.P(Table2[[#This Row],[volt-sbmu1]:[volt-sbmu5]])</f>
        <v>0.7227724399836627</v>
      </c>
      <c r="T18" s="77">
        <f>MAX(Table2[[#This Row],[soc-sbmu1]:[soc-sbmu5]])-MIN(Table2[[#This Row],[soc-sbmu1]:[soc-sbmu5]])</f>
        <v>0.29999999999999716</v>
      </c>
      <c r="U18" s="77"/>
      <c r="V18" s="77"/>
    </row>
    <row r="19" spans="1:22">
      <c r="A19" t="s">
        <v>168</v>
      </c>
      <c r="B19" t="s">
        <v>455</v>
      </c>
      <c r="C19" s="77">
        <v>98.6</v>
      </c>
      <c r="D19" s="77">
        <v>1384.4</v>
      </c>
      <c r="E19" s="77">
        <v>98.7</v>
      </c>
      <c r="F19" s="77">
        <v>98.7</v>
      </c>
      <c r="G19" s="77">
        <v>98.7</v>
      </c>
      <c r="H19" s="77">
        <v>98.7</v>
      </c>
      <c r="I19" s="77">
        <v>98.6</v>
      </c>
      <c r="J19" s="85">
        <v>1384.9</v>
      </c>
      <c r="K19" s="85">
        <v>1383.6</v>
      </c>
      <c r="L19" s="85">
        <v>1384.6</v>
      </c>
      <c r="M19" s="85">
        <v>1382.9</v>
      </c>
      <c r="N19" s="85">
        <v>1384.2</v>
      </c>
      <c r="O19" s="77">
        <v>0</v>
      </c>
      <c r="P19" s="77">
        <v>0</v>
      </c>
      <c r="Q19" s="77">
        <v>2</v>
      </c>
      <c r="R19" s="77">
        <v>30</v>
      </c>
      <c r="S19" s="77">
        <f>_xlfn.STDEV.P(Table2[[#This Row],[volt-sbmu1]:[volt-sbmu5]])</f>
        <v>0.71721684308163614</v>
      </c>
      <c r="T19" s="77">
        <f>MAX(Table2[[#This Row],[soc-sbmu1]:[soc-sbmu5]])-MIN(Table2[[#This Row],[soc-sbmu1]:[soc-sbmu5]])</f>
        <v>0.10000000000000853</v>
      </c>
      <c r="U19" s="77"/>
      <c r="V19" s="77"/>
    </row>
    <row r="20" spans="1:22">
      <c r="A20" t="s">
        <v>169</v>
      </c>
      <c r="B20" t="s">
        <v>456</v>
      </c>
      <c r="C20" s="77">
        <v>81.599999999999994</v>
      </c>
      <c r="D20" s="77">
        <v>1387.3</v>
      </c>
      <c r="E20" s="77">
        <v>81.599999999999994</v>
      </c>
      <c r="F20" s="77">
        <v>81.5</v>
      </c>
      <c r="G20" s="77">
        <v>81.2</v>
      </c>
      <c r="H20" s="77">
        <v>81.8</v>
      </c>
      <c r="I20" s="77">
        <v>81.400000000000006</v>
      </c>
      <c r="J20" s="85">
        <v>1386.9</v>
      </c>
      <c r="K20" s="85">
        <v>1386.3</v>
      </c>
      <c r="L20" s="85">
        <v>1388.5</v>
      </c>
      <c r="M20" s="85">
        <v>1386.8</v>
      </c>
      <c r="N20" s="85">
        <v>1385.8</v>
      </c>
      <c r="O20" s="77">
        <v>0</v>
      </c>
      <c r="P20" s="77">
        <v>0</v>
      </c>
      <c r="Q20" s="77">
        <v>1</v>
      </c>
      <c r="R20" s="77">
        <v>30</v>
      </c>
      <c r="S20" s="77">
        <f>_xlfn.STDEV.P(Table2[[#This Row],[volt-sbmu1]:[volt-sbmu5]])</f>
        <v>0.90906545418909857</v>
      </c>
      <c r="T20" s="77">
        <f>MAX(Table2[[#This Row],[soc-sbmu1]:[soc-sbmu5]])-MIN(Table2[[#This Row],[soc-sbmu1]:[soc-sbmu5]])</f>
        <v>0.59999999999999432</v>
      </c>
      <c r="U20" s="77"/>
      <c r="V20" s="77"/>
    </row>
    <row r="21" spans="1:22">
      <c r="A21" t="s">
        <v>170</v>
      </c>
      <c r="B21" t="s">
        <v>457</v>
      </c>
      <c r="C21" s="77">
        <v>81.900000000000006</v>
      </c>
      <c r="D21" s="77">
        <v>1387</v>
      </c>
      <c r="E21" s="77">
        <v>81.7</v>
      </c>
      <c r="F21" s="77">
        <v>81.3</v>
      </c>
      <c r="G21" s="77">
        <v>81.2</v>
      </c>
      <c r="H21" s="77">
        <v>81.5</v>
      </c>
      <c r="I21" s="77">
        <v>82.1</v>
      </c>
      <c r="J21" s="85">
        <v>1386.5</v>
      </c>
      <c r="K21" s="85">
        <v>1387.5</v>
      </c>
      <c r="L21" s="85">
        <v>1386.3</v>
      </c>
      <c r="M21" s="85">
        <v>1388</v>
      </c>
      <c r="N21" s="85">
        <v>1387.8</v>
      </c>
      <c r="O21" s="77">
        <v>0</v>
      </c>
      <c r="P21" s="77">
        <v>0</v>
      </c>
      <c r="Q21" s="77">
        <v>1</v>
      </c>
      <c r="R21" s="77">
        <v>31</v>
      </c>
      <c r="S21" s="77">
        <f>_xlfn.STDEV.P(Table2[[#This Row],[volt-sbmu1]:[volt-sbmu5]])</f>
        <v>0.69108610172684426</v>
      </c>
      <c r="T21" s="77">
        <f>MAX(Table2[[#This Row],[soc-sbmu1]:[soc-sbmu5]])-MIN(Table2[[#This Row],[soc-sbmu1]:[soc-sbmu5]])</f>
        <v>0.89999999999999147</v>
      </c>
      <c r="U21" s="77"/>
      <c r="V21" s="77"/>
    </row>
    <row r="22" spans="1:22">
      <c r="A22" t="s">
        <v>171</v>
      </c>
      <c r="B22" t="s">
        <v>458</v>
      </c>
      <c r="C22" s="77">
        <v>81.7</v>
      </c>
      <c r="D22" s="77">
        <v>1386.8</v>
      </c>
      <c r="E22" s="77">
        <v>81.900000000000006</v>
      </c>
      <c r="F22" s="77">
        <v>81</v>
      </c>
      <c r="G22" s="77">
        <v>81.900000000000006</v>
      </c>
      <c r="H22" s="77">
        <v>81.599999999999994</v>
      </c>
      <c r="I22" s="77">
        <v>81.099999999999994</v>
      </c>
      <c r="J22" s="85">
        <v>1385.7</v>
      </c>
      <c r="K22" s="85">
        <v>1386.1</v>
      </c>
      <c r="L22" s="85">
        <v>1386.6</v>
      </c>
      <c r="M22" s="85">
        <v>1387.3</v>
      </c>
      <c r="N22" s="85">
        <v>1386.4</v>
      </c>
      <c r="O22" s="77">
        <v>0</v>
      </c>
      <c r="P22" s="77">
        <v>0</v>
      </c>
      <c r="Q22" s="77">
        <v>1</v>
      </c>
      <c r="R22" s="77">
        <v>33</v>
      </c>
      <c r="S22" s="77">
        <f>_xlfn.STDEV.P(Table2[[#This Row],[volt-sbmu1]:[volt-sbmu5]])</f>
        <v>0.53441556863547235</v>
      </c>
      <c r="T22" s="77">
        <f>MAX(Table2[[#This Row],[soc-sbmu1]:[soc-sbmu5]])-MIN(Table2[[#This Row],[soc-sbmu1]:[soc-sbmu5]])</f>
        <v>0.90000000000000568</v>
      </c>
      <c r="U22" s="77"/>
      <c r="V22" s="77"/>
    </row>
    <row r="23" spans="1:22">
      <c r="A23" t="s">
        <v>172</v>
      </c>
      <c r="B23" t="s">
        <v>459</v>
      </c>
      <c r="C23" s="77">
        <v>4.5</v>
      </c>
      <c r="D23" s="77">
        <v>1335.4</v>
      </c>
      <c r="E23" s="77">
        <v>4.5999999999999996</v>
      </c>
      <c r="F23" s="77">
        <v>5.5</v>
      </c>
      <c r="G23" s="77">
        <v>6.2</v>
      </c>
      <c r="H23" s="77">
        <v>4.5</v>
      </c>
      <c r="I23" s="77">
        <v>89</v>
      </c>
      <c r="J23" s="85">
        <v>1335.1</v>
      </c>
      <c r="K23" s="85">
        <v>1336</v>
      </c>
      <c r="L23" s="85">
        <v>1335.4</v>
      </c>
      <c r="M23" s="85">
        <v>1335.3</v>
      </c>
      <c r="N23" s="85">
        <v>1385.8</v>
      </c>
      <c r="O23" s="77">
        <v>0</v>
      </c>
      <c r="P23" s="77">
        <v>0</v>
      </c>
      <c r="Q23" s="77">
        <v>4</v>
      </c>
      <c r="R23" s="77">
        <v>34</v>
      </c>
      <c r="S23" s="77">
        <f>_xlfn.STDEV.P(Table2[[#This Row],[volt-sbmu1]:[volt-sbmu5]])</f>
        <v>20.142234235555883</v>
      </c>
      <c r="T23" s="77">
        <f>MAX(Table2[[#This Row],[soc-sbmu1]:[soc-sbmu5]])-MIN(Table2[[#This Row],[soc-sbmu1]:[soc-sbmu5]])</f>
        <v>84.5</v>
      </c>
      <c r="U23" s="77"/>
      <c r="V23" s="77"/>
    </row>
    <row r="24" spans="1:22">
      <c r="A24" t="s">
        <v>173</v>
      </c>
      <c r="B24" t="s">
        <v>460</v>
      </c>
      <c r="C24" s="77">
        <v>5</v>
      </c>
      <c r="D24" s="77">
        <v>1335</v>
      </c>
      <c r="E24" s="77">
        <v>0.3</v>
      </c>
      <c r="F24" s="77">
        <v>5.4</v>
      </c>
      <c r="G24" s="77">
        <v>7.1</v>
      </c>
      <c r="H24" s="77">
        <v>5</v>
      </c>
      <c r="I24" s="77">
        <v>5.4</v>
      </c>
      <c r="J24" s="85">
        <v>1184.3</v>
      </c>
      <c r="K24" s="85">
        <v>1334.6</v>
      </c>
      <c r="L24" s="85">
        <v>1336.4</v>
      </c>
      <c r="M24" s="85">
        <v>1334.2</v>
      </c>
      <c r="N24" s="85">
        <v>1334.8</v>
      </c>
      <c r="O24" s="77">
        <v>0</v>
      </c>
      <c r="P24" s="77">
        <v>0</v>
      </c>
      <c r="Q24" s="77">
        <v>4</v>
      </c>
      <c r="R24" s="77">
        <v>32</v>
      </c>
      <c r="S24" s="77">
        <f>_xlfn.STDEV.P(Table2[[#This Row],[volt-sbmu1]:[volt-sbmu5]])</f>
        <v>60.284644811095987</v>
      </c>
      <c r="T24" s="77">
        <f>MAX(Table2[[#This Row],[soc-sbmu1]:[soc-sbmu5]])-MIN(Table2[[#This Row],[soc-sbmu1]:[soc-sbmu5]])</f>
        <v>6.8</v>
      </c>
      <c r="U24" s="77"/>
      <c r="V24" s="77"/>
    </row>
    <row r="25" spans="1:22">
      <c r="A25" t="s">
        <v>174</v>
      </c>
      <c r="B25" t="s">
        <v>461</v>
      </c>
      <c r="C25" s="77">
        <v>87.2</v>
      </c>
      <c r="D25" s="77">
        <v>1380.5</v>
      </c>
      <c r="E25" s="77">
        <v>87.4</v>
      </c>
      <c r="F25" s="77">
        <v>86.9</v>
      </c>
      <c r="G25" s="77">
        <v>87.1</v>
      </c>
      <c r="H25" s="77">
        <v>86.8</v>
      </c>
      <c r="I25" s="77">
        <v>86.6</v>
      </c>
      <c r="J25" s="85">
        <v>1380.4</v>
      </c>
      <c r="K25" s="85">
        <v>1380.1</v>
      </c>
      <c r="L25" s="85">
        <v>1380.6</v>
      </c>
      <c r="M25" s="85">
        <v>1380.6</v>
      </c>
      <c r="N25" s="85">
        <v>1381.9</v>
      </c>
      <c r="O25" s="77">
        <v>0</v>
      </c>
      <c r="P25" s="77">
        <v>0</v>
      </c>
      <c r="Q25" s="77">
        <v>1</v>
      </c>
      <c r="R25" s="77">
        <v>32</v>
      </c>
      <c r="S25" s="77">
        <f>_xlfn.STDEV.P(Table2[[#This Row],[volt-sbmu1]:[volt-sbmu5]])</f>
        <v>0.61773780845927062</v>
      </c>
      <c r="T25" s="77">
        <f>MAX(Table2[[#This Row],[soc-sbmu1]:[soc-sbmu5]])-MIN(Table2[[#This Row],[soc-sbmu1]:[soc-sbmu5]])</f>
        <v>0.80000000000001137</v>
      </c>
      <c r="U25" s="77"/>
      <c r="V25" s="77"/>
    </row>
    <row r="26" spans="1:22">
      <c r="A26" t="s">
        <v>175</v>
      </c>
      <c r="B26" t="s">
        <v>462</v>
      </c>
      <c r="C26" s="77">
        <v>3.3</v>
      </c>
      <c r="D26" s="77">
        <v>1333.8</v>
      </c>
      <c r="E26" s="77">
        <v>5.7</v>
      </c>
      <c r="F26" s="77">
        <v>3.6</v>
      </c>
      <c r="G26" s="77">
        <v>3.3</v>
      </c>
      <c r="H26" s="77">
        <v>50.7</v>
      </c>
      <c r="I26" s="77">
        <v>6.2</v>
      </c>
      <c r="J26" s="85">
        <v>1333.3</v>
      </c>
      <c r="K26" s="85">
        <v>1334.7</v>
      </c>
      <c r="L26" s="85">
        <v>1335.2</v>
      </c>
      <c r="M26" s="85">
        <v>1372</v>
      </c>
      <c r="N26" s="85">
        <v>1333.7</v>
      </c>
      <c r="O26" s="77">
        <v>0</v>
      </c>
      <c r="P26" s="77">
        <v>0</v>
      </c>
      <c r="Q26" s="77">
        <v>4</v>
      </c>
      <c r="R26" s="77">
        <v>34</v>
      </c>
      <c r="S26" s="77">
        <f>_xlfn.STDEV.P(Table2[[#This Row],[volt-sbmu1]:[volt-sbmu5]])</f>
        <v>15.125263634066011</v>
      </c>
      <c r="T26" s="77">
        <f>MAX(Table2[[#This Row],[soc-sbmu1]:[soc-sbmu5]])-MIN(Table2[[#This Row],[soc-sbmu1]:[soc-sbmu5]])</f>
        <v>47.400000000000006</v>
      </c>
      <c r="U26" s="77"/>
      <c r="V26" s="77"/>
    </row>
    <row r="27" spans="1:22">
      <c r="A27" t="s">
        <v>176</v>
      </c>
      <c r="B27" t="s">
        <v>463</v>
      </c>
      <c r="C27" s="77">
        <v>99.8</v>
      </c>
      <c r="D27" s="77">
        <v>1386.9</v>
      </c>
      <c r="E27" s="77">
        <v>99.9</v>
      </c>
      <c r="F27" s="77">
        <v>99.7</v>
      </c>
      <c r="G27" s="77">
        <v>99.9</v>
      </c>
      <c r="H27" s="77">
        <v>99.7</v>
      </c>
      <c r="I27" s="77">
        <v>99.7</v>
      </c>
      <c r="J27" s="85">
        <v>1387.6</v>
      </c>
      <c r="K27" s="85">
        <v>1386.2</v>
      </c>
      <c r="L27" s="85">
        <v>1387.3</v>
      </c>
      <c r="M27" s="85">
        <v>1386.8</v>
      </c>
      <c r="N27" s="85">
        <v>1387.7</v>
      </c>
      <c r="O27" s="77">
        <v>0</v>
      </c>
      <c r="P27" s="77">
        <v>0</v>
      </c>
      <c r="Q27" s="77">
        <v>2</v>
      </c>
      <c r="R27" s="77">
        <v>31</v>
      </c>
      <c r="S27" s="77">
        <f>_xlfn.STDEV.P(Table2[[#This Row],[volt-sbmu1]:[volt-sbmu5]])</f>
        <v>0.55641710972972325</v>
      </c>
      <c r="T27" s="77">
        <f>MAX(Table2[[#This Row],[soc-sbmu1]:[soc-sbmu5]])-MIN(Table2[[#This Row],[soc-sbmu1]:[soc-sbmu5]])</f>
        <v>0.20000000000000284</v>
      </c>
      <c r="U27" s="77"/>
      <c r="V27" s="77"/>
    </row>
    <row r="28" spans="1:22">
      <c r="A28" t="s">
        <v>177</v>
      </c>
      <c r="B28" t="s">
        <v>464</v>
      </c>
      <c r="C28" s="77">
        <v>99.6</v>
      </c>
      <c r="D28" s="77">
        <v>0</v>
      </c>
      <c r="E28" s="77">
        <v>97.2</v>
      </c>
      <c r="F28" s="77">
        <v>99.7</v>
      </c>
      <c r="G28" s="77">
        <v>96</v>
      </c>
      <c r="H28" s="77">
        <v>86.9</v>
      </c>
      <c r="I28" s="77">
        <v>96.1</v>
      </c>
      <c r="J28" s="85">
        <v>1366.6</v>
      </c>
      <c r="K28" s="85">
        <v>1384.1</v>
      </c>
      <c r="L28" s="85">
        <v>1366.1</v>
      </c>
      <c r="M28" s="85">
        <v>1384.5</v>
      </c>
      <c r="N28" s="85">
        <v>1366.6</v>
      </c>
      <c r="O28" s="77">
        <v>0</v>
      </c>
      <c r="P28" s="77">
        <v>0</v>
      </c>
      <c r="Q28" s="77">
        <v>1</v>
      </c>
      <c r="R28" s="77">
        <v>30</v>
      </c>
      <c r="S28" s="77">
        <f>_xlfn.STDEV.P(Table2[[#This Row],[volt-sbmu1]:[volt-sbmu5]])</f>
        <v>8.7556610258735112</v>
      </c>
      <c r="T28" s="77">
        <f>MAX(Table2[[#This Row],[soc-sbmu1]:[soc-sbmu5]])-MIN(Table2[[#This Row],[soc-sbmu1]:[soc-sbmu5]])</f>
        <v>12.799999999999997</v>
      </c>
      <c r="U28" s="77"/>
      <c r="V28" s="77"/>
    </row>
    <row r="29" spans="1:22">
      <c r="A29" t="s">
        <v>178</v>
      </c>
      <c r="B29" t="s">
        <v>465</v>
      </c>
      <c r="C29" s="77">
        <v>99.8</v>
      </c>
      <c r="D29" s="77">
        <v>1386.9</v>
      </c>
      <c r="E29" s="77">
        <v>99.8</v>
      </c>
      <c r="F29" s="77">
        <v>99.8</v>
      </c>
      <c r="G29" s="77">
        <v>99.8</v>
      </c>
      <c r="H29" s="77">
        <v>99.8</v>
      </c>
      <c r="I29" s="77">
        <v>99.8</v>
      </c>
      <c r="J29" s="85">
        <v>1387.8</v>
      </c>
      <c r="K29" s="85">
        <v>1387.2</v>
      </c>
      <c r="L29" s="85">
        <v>1386</v>
      </c>
      <c r="M29" s="85">
        <v>1386.9</v>
      </c>
      <c r="N29" s="85">
        <v>1386.2</v>
      </c>
      <c r="O29" s="77">
        <v>0</v>
      </c>
      <c r="P29" s="77">
        <v>0</v>
      </c>
      <c r="Q29" s="77">
        <v>2</v>
      </c>
      <c r="R29" s="77">
        <v>30</v>
      </c>
      <c r="S29" s="77">
        <f>_xlfn.STDEV.P(Table2[[#This Row],[volt-sbmu1]:[volt-sbmu5]])</f>
        <v>0.6584831053261585</v>
      </c>
      <c r="T29" s="77">
        <f>MAX(Table2[[#This Row],[soc-sbmu1]:[soc-sbmu5]])-MIN(Table2[[#This Row],[soc-sbmu1]:[soc-sbmu5]])</f>
        <v>0</v>
      </c>
      <c r="U29" s="77"/>
      <c r="V29" s="77"/>
    </row>
    <row r="30" spans="1:22">
      <c r="A30" t="s">
        <v>179</v>
      </c>
      <c r="B30" t="s">
        <v>466</v>
      </c>
      <c r="C30" s="77">
        <v>99.7</v>
      </c>
      <c r="D30" s="77">
        <v>1385.7</v>
      </c>
      <c r="E30" s="77">
        <v>99.8</v>
      </c>
      <c r="F30" s="77">
        <v>99.8</v>
      </c>
      <c r="G30" s="77">
        <v>99.7</v>
      </c>
      <c r="H30" s="77">
        <v>99.8</v>
      </c>
      <c r="I30" s="77">
        <v>99.7</v>
      </c>
      <c r="J30" s="85">
        <v>1385.8</v>
      </c>
      <c r="K30" s="85">
        <v>1386.1</v>
      </c>
      <c r="L30" s="85">
        <v>1385.3</v>
      </c>
      <c r="M30" s="85">
        <v>1385.5</v>
      </c>
      <c r="N30" s="85">
        <v>1385.9</v>
      </c>
      <c r="O30" s="77">
        <v>0</v>
      </c>
      <c r="P30" s="77">
        <v>0</v>
      </c>
      <c r="Q30" s="77">
        <v>2</v>
      </c>
      <c r="R30" s="77">
        <v>33</v>
      </c>
      <c r="S30" s="77">
        <f>_xlfn.STDEV.P(Table2[[#This Row],[volt-sbmu1]:[volt-sbmu5]])</f>
        <v>0.28565713714171209</v>
      </c>
      <c r="T30" s="77">
        <f>MAX(Table2[[#This Row],[soc-sbmu1]:[soc-sbmu5]])-MIN(Table2[[#This Row],[soc-sbmu1]:[soc-sbmu5]])</f>
        <v>9.9999999999994316E-2</v>
      </c>
      <c r="U30" s="77"/>
      <c r="V30" s="77"/>
    </row>
    <row r="31" spans="1:22">
      <c r="A31" t="s">
        <v>180</v>
      </c>
      <c r="B31" t="s">
        <v>467</v>
      </c>
      <c r="C31" s="77">
        <v>83.3</v>
      </c>
      <c r="D31" s="77">
        <v>1392.9</v>
      </c>
      <c r="E31" s="77">
        <v>83.4</v>
      </c>
      <c r="F31" s="77">
        <v>83.2</v>
      </c>
      <c r="G31" s="77">
        <v>83.2</v>
      </c>
      <c r="H31" s="77">
        <v>83.1</v>
      </c>
      <c r="I31" s="77">
        <v>83</v>
      </c>
      <c r="J31" s="85">
        <v>1394.2</v>
      </c>
      <c r="K31" s="85">
        <v>1392.3</v>
      </c>
      <c r="L31" s="85">
        <v>1392.6</v>
      </c>
      <c r="M31" s="85">
        <v>1391.5</v>
      </c>
      <c r="N31" s="85">
        <v>1393</v>
      </c>
      <c r="O31" s="77">
        <v>0</v>
      </c>
      <c r="P31" s="77">
        <v>0</v>
      </c>
      <c r="Q31" s="77">
        <v>1</v>
      </c>
      <c r="R31" s="77">
        <v>34</v>
      </c>
      <c r="S31" s="77">
        <f>_xlfn.STDEV.P(Table2[[#This Row],[volt-sbmu1]:[volt-sbmu5]])</f>
        <v>0.88859439566094434</v>
      </c>
      <c r="T31" s="77">
        <f>MAX(Table2[[#This Row],[soc-sbmu1]:[soc-sbmu5]])-MIN(Table2[[#This Row],[soc-sbmu1]:[soc-sbmu5]])</f>
        <v>0.40000000000000568</v>
      </c>
      <c r="U31" s="77"/>
      <c r="V31" s="77"/>
    </row>
    <row r="32" spans="1:22">
      <c r="A32" t="s">
        <v>181</v>
      </c>
      <c r="B32" t="s">
        <v>468</v>
      </c>
      <c r="C32" s="77">
        <v>83.4</v>
      </c>
      <c r="D32" s="77">
        <v>1392.6</v>
      </c>
      <c r="E32" s="77">
        <v>83.5</v>
      </c>
      <c r="F32" s="77">
        <v>82.8</v>
      </c>
      <c r="G32" s="77">
        <v>82.9</v>
      </c>
      <c r="H32" s="77">
        <v>82.5</v>
      </c>
      <c r="I32" s="77">
        <v>83.6</v>
      </c>
      <c r="J32" s="85">
        <v>1392.9</v>
      </c>
      <c r="K32" s="85">
        <v>1392.4</v>
      </c>
      <c r="L32" s="85">
        <v>1391.7</v>
      </c>
      <c r="M32" s="85">
        <v>1391.5</v>
      </c>
      <c r="N32" s="85">
        <v>1393.5</v>
      </c>
      <c r="O32" s="77">
        <v>0</v>
      </c>
      <c r="P32" s="77">
        <v>0</v>
      </c>
      <c r="Q32" s="77">
        <v>1</v>
      </c>
      <c r="R32" s="77">
        <v>33</v>
      </c>
      <c r="S32" s="77">
        <f>_xlfn.STDEV.P(Table2[[#This Row],[volt-sbmu1]:[volt-sbmu5]])</f>
        <v>0.74296702484027211</v>
      </c>
      <c r="T32" s="77">
        <f>MAX(Table2[[#This Row],[soc-sbmu1]:[soc-sbmu5]])-MIN(Table2[[#This Row],[soc-sbmu1]:[soc-sbmu5]])</f>
        <v>1.0999999999999943</v>
      </c>
      <c r="U32" s="77"/>
      <c r="V32" s="77"/>
    </row>
    <row r="33" spans="1:27">
      <c r="A33" t="s">
        <v>182</v>
      </c>
      <c r="B33" t="s">
        <v>469</v>
      </c>
      <c r="C33" s="77">
        <v>83.3</v>
      </c>
      <c r="D33" s="77">
        <v>1391.7</v>
      </c>
      <c r="E33" s="77">
        <v>83</v>
      </c>
      <c r="F33" s="77">
        <v>83.1</v>
      </c>
      <c r="G33" s="77">
        <v>83.4</v>
      </c>
      <c r="H33" s="77">
        <v>83.3</v>
      </c>
      <c r="I33" s="77">
        <v>83.3</v>
      </c>
      <c r="J33" s="85">
        <v>1393.1</v>
      </c>
      <c r="K33" s="85">
        <v>1392.4</v>
      </c>
      <c r="L33" s="85">
        <v>1393.4</v>
      </c>
      <c r="M33" s="85">
        <v>1390.7</v>
      </c>
      <c r="N33" s="85">
        <v>1391.6</v>
      </c>
      <c r="O33" s="77">
        <v>0</v>
      </c>
      <c r="P33" s="77">
        <v>0</v>
      </c>
      <c r="Q33" s="77">
        <v>1</v>
      </c>
      <c r="R33" s="77">
        <v>32</v>
      </c>
      <c r="S33" s="77">
        <f>_xlfn.STDEV.P(Table2[[#This Row],[volt-sbmu1]:[volt-sbmu5]])</f>
        <v>0.98914104151026505</v>
      </c>
      <c r="T33" s="77">
        <f>MAX(Table2[[#This Row],[soc-sbmu1]:[soc-sbmu5]])-MIN(Table2[[#This Row],[soc-sbmu1]:[soc-sbmu5]])</f>
        <v>0.40000000000000568</v>
      </c>
      <c r="U33" s="77"/>
      <c r="V33" s="77"/>
      <c r="X33" t="s">
        <v>402</v>
      </c>
      <c r="Y33" t="s">
        <v>403</v>
      </c>
      <c r="Z33" t="s">
        <v>404</v>
      </c>
    </row>
    <row r="34" spans="1:27">
      <c r="A34" t="s">
        <v>183</v>
      </c>
      <c r="B34" t="s">
        <v>470</v>
      </c>
      <c r="C34" s="77">
        <v>83.2</v>
      </c>
      <c r="D34" s="77">
        <v>1392.5</v>
      </c>
      <c r="E34" s="77">
        <v>82.9</v>
      </c>
      <c r="F34" s="77">
        <v>83.1</v>
      </c>
      <c r="G34" s="77">
        <v>83</v>
      </c>
      <c r="H34" s="77">
        <v>83</v>
      </c>
      <c r="I34" s="77">
        <v>83.3</v>
      </c>
      <c r="J34" s="85">
        <v>1391.1</v>
      </c>
      <c r="K34" s="85">
        <v>1392.2</v>
      </c>
      <c r="L34" s="85">
        <v>1393.6</v>
      </c>
      <c r="M34" s="85">
        <v>1392.9</v>
      </c>
      <c r="N34" s="85">
        <v>1393.3</v>
      </c>
      <c r="O34" s="77">
        <v>0</v>
      </c>
      <c r="P34" s="77">
        <v>0</v>
      </c>
      <c r="Q34" s="77">
        <v>1</v>
      </c>
      <c r="R34" s="77">
        <v>34</v>
      </c>
      <c r="S34" s="77">
        <f>_xlfn.STDEV.P(Table2[[#This Row],[volt-sbmu1]:[volt-sbmu5]])</f>
        <v>0.89308454247064983</v>
      </c>
      <c r="T34" s="77">
        <f>MAX(Table2[[#This Row],[soc-sbmu1]:[soc-sbmu5]])-MIN(Table2[[#This Row],[soc-sbmu1]:[soc-sbmu5]])</f>
        <v>0.39999999999999147</v>
      </c>
      <c r="U34" s="77"/>
      <c r="V34" s="77"/>
      <c r="X34" s="63">
        <f>COUNTIF(Q:Q,5)</f>
        <v>1</v>
      </c>
      <c r="Y34" s="49">
        <f>COUNTIF(Q:Q,4)</f>
        <v>7</v>
      </c>
      <c r="Z34" s="64">
        <f>COUNTIF(Q:Q,1)</f>
        <v>170</v>
      </c>
    </row>
    <row r="35" spans="1:27">
      <c r="A35" t="s">
        <v>184</v>
      </c>
      <c r="B35" t="s">
        <v>471</v>
      </c>
      <c r="C35" s="77">
        <v>99.6</v>
      </c>
      <c r="D35" s="77">
        <v>1383.5</v>
      </c>
      <c r="E35" s="77">
        <v>99.3</v>
      </c>
      <c r="F35" s="77">
        <v>99.3</v>
      </c>
      <c r="G35" s="77">
        <v>99.7</v>
      </c>
      <c r="H35" s="77">
        <v>99.6</v>
      </c>
      <c r="I35" s="77">
        <v>99.6</v>
      </c>
      <c r="J35" s="85">
        <v>1383.1</v>
      </c>
      <c r="K35" s="85">
        <v>1383.5</v>
      </c>
      <c r="L35" s="85">
        <v>1382.6</v>
      </c>
      <c r="M35" s="85">
        <v>1383.6</v>
      </c>
      <c r="N35" s="85">
        <v>1384.1</v>
      </c>
      <c r="O35" s="77">
        <v>0</v>
      </c>
      <c r="P35" s="77">
        <v>0</v>
      </c>
      <c r="Q35" s="77">
        <v>2</v>
      </c>
      <c r="R35" s="77">
        <v>31</v>
      </c>
      <c r="S35" s="77">
        <f>_xlfn.STDEV.P(Table2[[#This Row],[volt-sbmu1]:[volt-sbmu5]])</f>
        <v>0.50358713248057119</v>
      </c>
      <c r="T35" s="77">
        <f>MAX(Table2[[#This Row],[soc-sbmu1]:[soc-sbmu5]])-MIN(Table2[[#This Row],[soc-sbmu1]:[soc-sbmu5]])</f>
        <v>0.40000000000000568</v>
      </c>
      <c r="U35" s="77"/>
      <c r="V35" s="77"/>
    </row>
    <row r="36" spans="1:27">
      <c r="A36" t="s">
        <v>185</v>
      </c>
      <c r="B36" t="s">
        <v>472</v>
      </c>
      <c r="C36" s="77">
        <v>99.7</v>
      </c>
      <c r="D36" s="77">
        <v>1384.1</v>
      </c>
      <c r="E36" s="77">
        <v>99.2</v>
      </c>
      <c r="F36" s="77">
        <v>99.5</v>
      </c>
      <c r="G36" s="77">
        <v>99.7</v>
      </c>
      <c r="H36" s="77">
        <v>99.8</v>
      </c>
      <c r="I36" s="77">
        <v>99.6</v>
      </c>
      <c r="J36" s="85">
        <v>1383.2</v>
      </c>
      <c r="K36" s="85">
        <v>1385.2</v>
      </c>
      <c r="L36" s="85">
        <v>1383.9</v>
      </c>
      <c r="M36" s="85">
        <v>1383.9</v>
      </c>
      <c r="N36" s="85">
        <v>1385.1</v>
      </c>
      <c r="O36" s="77">
        <v>0</v>
      </c>
      <c r="P36" s="77">
        <v>0</v>
      </c>
      <c r="Q36" s="77">
        <v>2</v>
      </c>
      <c r="R36" s="77">
        <v>30</v>
      </c>
      <c r="S36" s="77">
        <f>_xlfn.STDEV.P(Table2[[#This Row],[volt-sbmu1]:[volt-sbmu5]])</f>
        <v>0.77097341069581715</v>
      </c>
      <c r="T36" s="77">
        <f>MAX(Table2[[#This Row],[soc-sbmu1]:[soc-sbmu5]])-MIN(Table2[[#This Row],[soc-sbmu1]:[soc-sbmu5]])</f>
        <v>0.59999999999999432</v>
      </c>
      <c r="U36" s="77"/>
      <c r="V36" s="77"/>
    </row>
    <row r="37" spans="1:27">
      <c r="A37" t="s">
        <v>186</v>
      </c>
      <c r="B37" t="s">
        <v>473</v>
      </c>
      <c r="C37" s="77">
        <v>99.4</v>
      </c>
      <c r="D37" s="77">
        <v>1385.2</v>
      </c>
      <c r="E37" s="77">
        <v>99.5</v>
      </c>
      <c r="F37" s="77">
        <v>99.4</v>
      </c>
      <c r="G37" s="77">
        <v>99.4</v>
      </c>
      <c r="H37" s="77">
        <v>99.4</v>
      </c>
      <c r="I37" s="77">
        <v>99.4</v>
      </c>
      <c r="J37" s="85">
        <v>1385.1</v>
      </c>
      <c r="K37" s="85">
        <v>1385.6</v>
      </c>
      <c r="L37" s="85">
        <v>1385.2</v>
      </c>
      <c r="M37" s="85">
        <v>1386.7</v>
      </c>
      <c r="N37" s="85">
        <v>1385.4</v>
      </c>
      <c r="O37" s="77">
        <v>0</v>
      </c>
      <c r="P37" s="77">
        <v>0</v>
      </c>
      <c r="Q37" s="77">
        <v>2</v>
      </c>
      <c r="R37" s="77">
        <v>31</v>
      </c>
      <c r="S37" s="77">
        <f>_xlfn.STDEV.P(Table2[[#This Row],[volt-sbmu1]:[volt-sbmu5]])</f>
        <v>0.57619441163553786</v>
      </c>
      <c r="T37" s="77">
        <f>MAX(Table2[[#This Row],[soc-sbmu1]:[soc-sbmu5]])-MIN(Table2[[#This Row],[soc-sbmu1]:[soc-sbmu5]])</f>
        <v>9.9999999999994316E-2</v>
      </c>
      <c r="U37" s="77"/>
      <c r="V37" s="77"/>
      <c r="X37">
        <v>256</v>
      </c>
      <c r="Y37" t="s">
        <v>727</v>
      </c>
      <c r="Z37">
        <v>512</v>
      </c>
      <c r="AA37" t="s">
        <v>724</v>
      </c>
    </row>
    <row r="38" spans="1:27">
      <c r="A38" t="s">
        <v>187</v>
      </c>
      <c r="B38" t="s">
        <v>474</v>
      </c>
      <c r="C38" s="77">
        <v>99.6</v>
      </c>
      <c r="D38" s="77">
        <v>1384.7</v>
      </c>
      <c r="E38" s="77">
        <v>99.7</v>
      </c>
      <c r="F38" s="77">
        <v>99.4</v>
      </c>
      <c r="G38" s="77">
        <v>99.6</v>
      </c>
      <c r="H38" s="77">
        <v>99.6</v>
      </c>
      <c r="I38" s="77">
        <v>99.2</v>
      </c>
      <c r="J38" s="85">
        <v>1384</v>
      </c>
      <c r="K38" s="85">
        <v>1383.4</v>
      </c>
      <c r="L38" s="85">
        <v>1384.3</v>
      </c>
      <c r="M38" s="85">
        <v>1384.1</v>
      </c>
      <c r="N38" s="85">
        <v>1385.2</v>
      </c>
      <c r="O38" s="77">
        <v>0</v>
      </c>
      <c r="P38" s="77">
        <v>0</v>
      </c>
      <c r="Q38" s="77">
        <v>2</v>
      </c>
      <c r="R38" s="77">
        <v>32</v>
      </c>
      <c r="S38" s="77">
        <f>_xlfn.STDEV.P(Table2[[#This Row],[volt-sbmu1]:[volt-sbmu5]])</f>
        <v>0.58309518948452221</v>
      </c>
      <c r="T38" s="77">
        <f>MAX(Table2[[#This Row],[soc-sbmu1]:[soc-sbmu5]])-MIN(Table2[[#This Row],[soc-sbmu1]:[soc-sbmu5]])</f>
        <v>0.5</v>
      </c>
      <c r="U38" s="77"/>
      <c r="V38" s="77"/>
      <c r="X38">
        <v>128</v>
      </c>
      <c r="Y38" t="s">
        <v>728</v>
      </c>
      <c r="Z38">
        <v>128</v>
      </c>
      <c r="AA38" t="s">
        <v>723</v>
      </c>
    </row>
    <row r="39" spans="1:27">
      <c r="A39" t="s">
        <v>188</v>
      </c>
      <c r="B39" t="s">
        <v>475</v>
      </c>
      <c r="C39" s="77">
        <v>99.7</v>
      </c>
      <c r="D39" s="77">
        <v>1385.4</v>
      </c>
      <c r="E39" s="77">
        <v>99.4</v>
      </c>
      <c r="F39" s="77">
        <v>99.8</v>
      </c>
      <c r="G39" s="77">
        <v>99.8</v>
      </c>
      <c r="H39" s="77">
        <v>99.7</v>
      </c>
      <c r="I39" s="77">
        <v>99.6</v>
      </c>
      <c r="J39" s="85">
        <v>1385.6</v>
      </c>
      <c r="K39" s="85">
        <v>1385.3</v>
      </c>
      <c r="L39" s="85">
        <v>1385.9</v>
      </c>
      <c r="M39" s="85">
        <v>1383.7</v>
      </c>
      <c r="N39" s="85">
        <v>1386.7</v>
      </c>
      <c r="O39" s="77">
        <v>0</v>
      </c>
      <c r="P39" s="77">
        <v>0</v>
      </c>
      <c r="Q39" s="77">
        <v>2</v>
      </c>
      <c r="R39" s="77">
        <v>34</v>
      </c>
      <c r="S39" s="77">
        <f>_xlfn.STDEV.P(Table2[[#This Row],[volt-sbmu1]:[volt-sbmu5]])</f>
        <v>0.98711701434024768</v>
      </c>
      <c r="T39" s="77">
        <f>MAX(Table2[[#This Row],[soc-sbmu1]:[soc-sbmu5]])-MIN(Table2[[#This Row],[soc-sbmu1]:[soc-sbmu5]])</f>
        <v>0.39999999999999147</v>
      </c>
      <c r="U39" s="77"/>
      <c r="V39" s="77"/>
      <c r="X39">
        <v>16384</v>
      </c>
      <c r="Y39" t="s">
        <v>731</v>
      </c>
      <c r="Z39">
        <v>1024</v>
      </c>
      <c r="AA39" t="s">
        <v>725</v>
      </c>
    </row>
    <row r="40" spans="1:27">
      <c r="A40" t="s">
        <v>189</v>
      </c>
      <c r="B40" t="s">
        <v>476</v>
      </c>
      <c r="C40" s="77">
        <v>73.5</v>
      </c>
      <c r="D40" s="77">
        <v>1392.8</v>
      </c>
      <c r="E40" s="77">
        <v>73.5</v>
      </c>
      <c r="F40" s="77">
        <v>73.400000000000006</v>
      </c>
      <c r="G40" s="77">
        <v>73.900000000000006</v>
      </c>
      <c r="H40" s="77">
        <v>73.099999999999994</v>
      </c>
      <c r="I40" s="77">
        <v>72.7</v>
      </c>
      <c r="J40" s="85">
        <v>1393.5</v>
      </c>
      <c r="K40" s="85">
        <v>1392.3</v>
      </c>
      <c r="L40" s="85">
        <v>1391.5</v>
      </c>
      <c r="M40" s="85">
        <v>1393.5</v>
      </c>
      <c r="N40" s="85">
        <v>1391.9</v>
      </c>
      <c r="O40" s="77">
        <v>0</v>
      </c>
      <c r="P40" s="77">
        <v>0</v>
      </c>
      <c r="Q40" s="77">
        <v>1</v>
      </c>
      <c r="R40" s="77">
        <v>36</v>
      </c>
      <c r="S40" s="77">
        <f>_xlfn.STDEV.P(Table2[[#This Row],[volt-sbmu1]:[volt-sbmu5]])</f>
        <v>0.82365041127894856</v>
      </c>
      <c r="T40" s="77">
        <f>MAX(Table2[[#This Row],[soc-sbmu1]:[soc-sbmu5]])-MIN(Table2[[#This Row],[soc-sbmu1]:[soc-sbmu5]])</f>
        <v>1.2000000000000028</v>
      </c>
      <c r="U40" s="77"/>
      <c r="V40" s="77"/>
      <c r="X40">
        <v>8192</v>
      </c>
      <c r="Y40" t="s">
        <v>732</v>
      </c>
      <c r="Z40">
        <v>64</v>
      </c>
      <c r="AA40" t="s">
        <v>726</v>
      </c>
    </row>
    <row r="41" spans="1:27">
      <c r="A41" t="s">
        <v>190</v>
      </c>
      <c r="B41" t="s">
        <v>477</v>
      </c>
      <c r="C41" s="77">
        <v>99.7</v>
      </c>
      <c r="D41" s="77">
        <v>1386.4</v>
      </c>
      <c r="E41" s="77">
        <v>99.7</v>
      </c>
      <c r="F41" s="77">
        <v>99.8</v>
      </c>
      <c r="G41" s="77">
        <v>99.5</v>
      </c>
      <c r="H41" s="77">
        <v>99.8</v>
      </c>
      <c r="I41" s="77">
        <v>99.6</v>
      </c>
      <c r="J41" s="85">
        <v>1386.6</v>
      </c>
      <c r="K41" s="85">
        <v>1386.7</v>
      </c>
      <c r="L41" s="85">
        <v>1387.1</v>
      </c>
      <c r="M41" s="85">
        <v>1385.9</v>
      </c>
      <c r="N41" s="85">
        <v>1387</v>
      </c>
      <c r="O41" s="77">
        <v>0</v>
      </c>
      <c r="P41" s="77">
        <v>0</v>
      </c>
      <c r="Q41" s="77">
        <v>2</v>
      </c>
      <c r="R41" s="77">
        <v>33</v>
      </c>
      <c r="S41" s="77">
        <f>_xlfn.STDEV.P(Table2[[#This Row],[volt-sbmu1]:[volt-sbmu5]])</f>
        <v>0.42237424163880927</v>
      </c>
      <c r="T41" s="77">
        <f>MAX(Table2[[#This Row],[soc-sbmu1]:[soc-sbmu5]])-MIN(Table2[[#This Row],[soc-sbmu1]:[soc-sbmu5]])</f>
        <v>0.29999999999999716</v>
      </c>
      <c r="U41" s="77"/>
      <c r="V41" s="77"/>
    </row>
    <row r="42" spans="1:27">
      <c r="A42" t="s">
        <v>191</v>
      </c>
      <c r="B42" t="s">
        <v>478</v>
      </c>
      <c r="C42" s="77">
        <v>73.599999999999994</v>
      </c>
      <c r="D42" s="77">
        <v>1392.9</v>
      </c>
      <c r="E42" s="77">
        <v>73.099999999999994</v>
      </c>
      <c r="F42" s="77">
        <v>73.3</v>
      </c>
      <c r="G42" s="77">
        <v>73.8</v>
      </c>
      <c r="H42" s="77">
        <v>73.5</v>
      </c>
      <c r="I42" s="77">
        <v>73.3</v>
      </c>
      <c r="J42" s="85">
        <v>1392.8</v>
      </c>
      <c r="K42" s="85">
        <v>1392.2</v>
      </c>
      <c r="L42" s="85">
        <v>1395.2</v>
      </c>
      <c r="M42" s="85">
        <v>1393</v>
      </c>
      <c r="N42" s="85">
        <v>1392</v>
      </c>
      <c r="O42" s="77">
        <v>0</v>
      </c>
      <c r="P42" s="77">
        <v>0</v>
      </c>
      <c r="Q42" s="77">
        <v>1</v>
      </c>
      <c r="R42" s="77">
        <v>37</v>
      </c>
      <c r="S42" s="77">
        <f>_xlfn.STDEV.P(Table2[[#This Row],[volt-sbmu1]:[volt-sbmu5]])</f>
        <v>1.1412274094149808</v>
      </c>
      <c r="T42" s="77">
        <f>MAX(Table2[[#This Row],[soc-sbmu1]:[soc-sbmu5]])-MIN(Table2[[#This Row],[soc-sbmu1]:[soc-sbmu5]])</f>
        <v>0.70000000000000284</v>
      </c>
      <c r="U42" s="77"/>
      <c r="V42" s="77"/>
    </row>
    <row r="43" spans="1:27">
      <c r="A43" t="s">
        <v>192</v>
      </c>
      <c r="B43" t="s">
        <v>479</v>
      </c>
      <c r="C43" s="77">
        <v>80.8</v>
      </c>
      <c r="D43" s="77">
        <v>1391.6</v>
      </c>
      <c r="E43" s="77">
        <v>81</v>
      </c>
      <c r="F43" s="77">
        <v>80.3</v>
      </c>
      <c r="G43" s="77">
        <v>80.3</v>
      </c>
      <c r="H43" s="77">
        <v>80.7</v>
      </c>
      <c r="I43" s="77">
        <v>80.099999999999994</v>
      </c>
      <c r="J43" s="85">
        <v>1391.1</v>
      </c>
      <c r="K43" s="85">
        <v>1390.5</v>
      </c>
      <c r="L43" s="85">
        <v>1391.9</v>
      </c>
      <c r="M43" s="85">
        <v>1391.8</v>
      </c>
      <c r="N43" s="85">
        <v>1391.3</v>
      </c>
      <c r="O43" s="77">
        <v>0</v>
      </c>
      <c r="P43" s="77">
        <v>0</v>
      </c>
      <c r="Q43" s="77">
        <v>1</v>
      </c>
      <c r="R43" s="77">
        <v>33</v>
      </c>
      <c r="S43" s="77">
        <f>_xlfn.STDEV.P(Table2[[#This Row],[volt-sbmu1]:[volt-sbmu5]])</f>
        <v>0.50754310161800131</v>
      </c>
      <c r="T43" s="77">
        <f>MAX(Table2[[#This Row],[soc-sbmu1]:[soc-sbmu5]])-MIN(Table2[[#This Row],[soc-sbmu1]:[soc-sbmu5]])</f>
        <v>0.90000000000000568</v>
      </c>
      <c r="U43" s="77"/>
      <c r="V43" s="77"/>
    </row>
    <row r="44" spans="1:27">
      <c r="A44" t="s">
        <v>193</v>
      </c>
      <c r="B44" t="s">
        <v>480</v>
      </c>
      <c r="C44" s="77">
        <v>99.7</v>
      </c>
      <c r="D44" s="77">
        <v>1384.3</v>
      </c>
      <c r="E44" s="77">
        <v>99.8</v>
      </c>
      <c r="F44" s="77">
        <v>99.8</v>
      </c>
      <c r="G44" s="77">
        <v>99.1</v>
      </c>
      <c r="H44" s="77">
        <v>99.6</v>
      </c>
      <c r="I44" s="77">
        <v>99.6</v>
      </c>
      <c r="J44" s="85">
        <v>1384.4</v>
      </c>
      <c r="K44" s="85">
        <v>1384.5</v>
      </c>
      <c r="L44" s="85">
        <v>1384.4</v>
      </c>
      <c r="M44" s="85">
        <v>1383.8</v>
      </c>
      <c r="N44" s="85">
        <v>1384.3</v>
      </c>
      <c r="O44" s="77">
        <v>0</v>
      </c>
      <c r="P44" s="77">
        <v>0</v>
      </c>
      <c r="Q44" s="77">
        <v>2</v>
      </c>
      <c r="R44" s="77">
        <v>31</v>
      </c>
      <c r="S44" s="77">
        <f>_xlfn.STDEV.P(Table2[[#This Row],[volt-sbmu1]:[volt-sbmu5]])</f>
        <v>0.24819347291985158</v>
      </c>
      <c r="T44" s="77">
        <f>MAX(Table2[[#This Row],[soc-sbmu1]:[soc-sbmu5]])-MIN(Table2[[#This Row],[soc-sbmu1]:[soc-sbmu5]])</f>
        <v>0.70000000000000284</v>
      </c>
      <c r="U44" s="77"/>
      <c r="V44" s="77"/>
    </row>
    <row r="45" spans="1:27">
      <c r="A45" t="s">
        <v>194</v>
      </c>
      <c r="B45" t="s">
        <v>481</v>
      </c>
      <c r="C45" s="77">
        <v>80.8</v>
      </c>
      <c r="D45" s="77">
        <v>1392.4</v>
      </c>
      <c r="E45" s="77">
        <v>81.2</v>
      </c>
      <c r="F45" s="77">
        <v>79.599999999999994</v>
      </c>
      <c r="G45" s="77">
        <v>81</v>
      </c>
      <c r="H45" s="77">
        <v>80.3</v>
      </c>
      <c r="I45" s="77">
        <v>80.5</v>
      </c>
      <c r="J45" s="85">
        <v>1394.3</v>
      </c>
      <c r="K45" s="85">
        <v>1393</v>
      </c>
      <c r="L45" s="85">
        <v>1392.3</v>
      </c>
      <c r="M45" s="85">
        <v>1391.4</v>
      </c>
      <c r="N45" s="85">
        <v>1391.7</v>
      </c>
      <c r="O45" s="77">
        <v>0</v>
      </c>
      <c r="P45" s="77">
        <v>0</v>
      </c>
      <c r="Q45" s="77">
        <v>1</v>
      </c>
      <c r="R45" s="77">
        <v>33</v>
      </c>
      <c r="S45" s="77">
        <f>_xlfn.STDEV.P(Table2[[#This Row],[volt-sbmu1]:[volt-sbmu5]])</f>
        <v>1.0365326815879543</v>
      </c>
      <c r="T45" s="77">
        <f>MAX(Table2[[#This Row],[soc-sbmu1]:[soc-sbmu5]])-MIN(Table2[[#This Row],[soc-sbmu1]:[soc-sbmu5]])</f>
        <v>1.6000000000000085</v>
      </c>
      <c r="U45" s="77"/>
      <c r="V45" s="77"/>
    </row>
    <row r="46" spans="1:27">
      <c r="A46" t="s">
        <v>195</v>
      </c>
      <c r="B46" t="s">
        <v>482</v>
      </c>
      <c r="C46" s="77">
        <v>80.8</v>
      </c>
      <c r="D46" s="77">
        <v>1392.3</v>
      </c>
      <c r="E46" s="77">
        <v>80.099999999999994</v>
      </c>
      <c r="F46" s="77">
        <v>80</v>
      </c>
      <c r="G46" s="77">
        <v>79.599999999999994</v>
      </c>
      <c r="H46" s="77">
        <v>80.400000000000006</v>
      </c>
      <c r="I46" s="77">
        <v>81.2</v>
      </c>
      <c r="J46" s="85">
        <v>1392</v>
      </c>
      <c r="K46" s="85">
        <v>1392.3</v>
      </c>
      <c r="L46" s="85">
        <v>1391.2</v>
      </c>
      <c r="M46" s="85">
        <v>1392.7</v>
      </c>
      <c r="N46" s="85">
        <v>1393.5</v>
      </c>
      <c r="O46" s="77">
        <v>0</v>
      </c>
      <c r="P46" s="77">
        <v>0</v>
      </c>
      <c r="Q46" s="77">
        <v>1</v>
      </c>
      <c r="R46" s="77">
        <v>36</v>
      </c>
      <c r="S46" s="77">
        <f>_xlfn.STDEV.P(Table2[[#This Row],[volt-sbmu1]:[volt-sbmu5]])</f>
        <v>0.76052613367325295</v>
      </c>
      <c r="T46" s="77">
        <f>MAX(Table2[[#This Row],[soc-sbmu1]:[soc-sbmu5]])-MIN(Table2[[#This Row],[soc-sbmu1]:[soc-sbmu5]])</f>
        <v>1.6000000000000085</v>
      </c>
      <c r="U46" s="77"/>
      <c r="V46" s="77"/>
    </row>
    <row r="47" spans="1:27">
      <c r="A47" t="s">
        <v>196</v>
      </c>
      <c r="B47" t="s">
        <v>483</v>
      </c>
      <c r="C47" s="77">
        <v>84</v>
      </c>
      <c r="D47" s="77">
        <v>1391.6</v>
      </c>
      <c r="E47" s="77">
        <v>84.3</v>
      </c>
      <c r="F47" s="77">
        <v>83.4</v>
      </c>
      <c r="G47" s="77">
        <v>83.3</v>
      </c>
      <c r="H47" s="77">
        <v>83.4</v>
      </c>
      <c r="I47" s="77">
        <v>82.8</v>
      </c>
      <c r="J47" s="85">
        <v>1391.8</v>
      </c>
      <c r="K47" s="85">
        <v>1393</v>
      </c>
      <c r="L47" s="85">
        <v>1390.9</v>
      </c>
      <c r="M47" s="85">
        <v>1390.7</v>
      </c>
      <c r="N47" s="85">
        <v>1393.6</v>
      </c>
      <c r="O47" s="77">
        <v>0</v>
      </c>
      <c r="P47" s="77">
        <v>0</v>
      </c>
      <c r="Q47" s="77">
        <v>1</v>
      </c>
      <c r="R47" s="77">
        <v>35</v>
      </c>
      <c r="S47" s="77">
        <f>_xlfn.STDEV.P(Table2[[#This Row],[volt-sbmu1]:[volt-sbmu5]])</f>
        <v>1.1401754250990861</v>
      </c>
      <c r="T47" s="77">
        <f>MAX(Table2[[#This Row],[soc-sbmu1]:[soc-sbmu5]])-MIN(Table2[[#This Row],[soc-sbmu1]:[soc-sbmu5]])</f>
        <v>1.5</v>
      </c>
      <c r="U47" s="77"/>
      <c r="V47" s="77"/>
    </row>
    <row r="48" spans="1:27">
      <c r="A48" t="s">
        <v>197</v>
      </c>
      <c r="B48" t="s">
        <v>484</v>
      </c>
      <c r="C48" s="77">
        <v>84</v>
      </c>
      <c r="D48" s="77">
        <v>1392.4</v>
      </c>
      <c r="E48" s="77">
        <v>84.3</v>
      </c>
      <c r="F48" s="77">
        <v>84</v>
      </c>
      <c r="G48" s="77">
        <v>83.7</v>
      </c>
      <c r="H48" s="77">
        <v>83</v>
      </c>
      <c r="I48" s="77">
        <v>83.9</v>
      </c>
      <c r="J48" s="85">
        <v>1391.9</v>
      </c>
      <c r="K48" s="85">
        <v>1391.7</v>
      </c>
      <c r="L48" s="85">
        <v>1392.6</v>
      </c>
      <c r="M48" s="85">
        <v>1392.5</v>
      </c>
      <c r="N48" s="85">
        <v>1393.1</v>
      </c>
      <c r="O48" s="77">
        <v>0</v>
      </c>
      <c r="P48" s="77">
        <v>0</v>
      </c>
      <c r="Q48" s="77">
        <v>1</v>
      </c>
      <c r="R48" s="77">
        <v>35</v>
      </c>
      <c r="S48" s="77">
        <f>_xlfn.STDEV.P(Table2[[#This Row],[volt-sbmu1]:[volt-sbmu5]])</f>
        <v>0.50438080851667577</v>
      </c>
      <c r="T48" s="77">
        <f>MAX(Table2[[#This Row],[soc-sbmu1]:[soc-sbmu5]])-MIN(Table2[[#This Row],[soc-sbmu1]:[soc-sbmu5]])</f>
        <v>1.2999999999999972</v>
      </c>
      <c r="U48" s="77"/>
      <c r="V48" s="77"/>
    </row>
    <row r="49" spans="1:22">
      <c r="A49" t="s">
        <v>198</v>
      </c>
      <c r="B49" t="s">
        <v>485</v>
      </c>
      <c r="C49" s="77">
        <v>84</v>
      </c>
      <c r="D49" s="77">
        <v>1392.7</v>
      </c>
      <c r="E49" s="77">
        <v>84.3</v>
      </c>
      <c r="F49" s="77">
        <v>84.5</v>
      </c>
      <c r="G49" s="77">
        <v>84.2</v>
      </c>
      <c r="H49" s="77">
        <v>83.7</v>
      </c>
      <c r="I49" s="77">
        <v>81.599999999999994</v>
      </c>
      <c r="J49" s="85">
        <v>1392.9</v>
      </c>
      <c r="K49" s="85">
        <v>1392.1</v>
      </c>
      <c r="L49" s="85">
        <v>1393.6</v>
      </c>
      <c r="M49" s="85">
        <v>1392.3</v>
      </c>
      <c r="N49" s="85">
        <v>1391.9</v>
      </c>
      <c r="O49" s="77">
        <v>0</v>
      </c>
      <c r="P49" s="77">
        <v>0</v>
      </c>
      <c r="Q49" s="77">
        <v>1</v>
      </c>
      <c r="R49" s="77">
        <v>34</v>
      </c>
      <c r="S49" s="77">
        <f>_xlfn.STDEV.P(Table2[[#This Row],[volt-sbmu1]:[volt-sbmu5]])</f>
        <v>0.61838499334958963</v>
      </c>
      <c r="T49" s="77">
        <f>MAX(Table2[[#This Row],[soc-sbmu1]:[soc-sbmu5]])-MIN(Table2[[#This Row],[soc-sbmu1]:[soc-sbmu5]])</f>
        <v>2.9000000000000057</v>
      </c>
      <c r="U49" s="77"/>
      <c r="V49" s="77"/>
    </row>
    <row r="50" spans="1:22">
      <c r="A50" t="s">
        <v>199</v>
      </c>
      <c r="B50" t="s">
        <v>486</v>
      </c>
      <c r="C50" s="77">
        <v>83.9</v>
      </c>
      <c r="D50" s="77">
        <v>1392.7</v>
      </c>
      <c r="E50" s="77">
        <v>84.1</v>
      </c>
      <c r="F50" s="77">
        <v>83.9</v>
      </c>
      <c r="G50" s="77">
        <v>83.5</v>
      </c>
      <c r="H50" s="77">
        <v>83.1</v>
      </c>
      <c r="I50" s="77">
        <v>83.5</v>
      </c>
      <c r="J50" s="85">
        <v>1392</v>
      </c>
      <c r="K50" s="85">
        <v>1392</v>
      </c>
      <c r="L50" s="85">
        <v>1392.2</v>
      </c>
      <c r="M50" s="85">
        <v>1391.7</v>
      </c>
      <c r="N50" s="85">
        <v>1393.7</v>
      </c>
      <c r="O50" s="77">
        <v>0</v>
      </c>
      <c r="P50" s="77">
        <v>0</v>
      </c>
      <c r="Q50" s="77">
        <v>1</v>
      </c>
      <c r="R50" s="77">
        <v>35</v>
      </c>
      <c r="S50" s="77">
        <f>_xlfn.STDEV.P(Table2[[#This Row],[volt-sbmu1]:[volt-sbmu5]])</f>
        <v>0.7082372483850391</v>
      </c>
      <c r="T50" s="77">
        <f>MAX(Table2[[#This Row],[soc-sbmu1]:[soc-sbmu5]])-MIN(Table2[[#This Row],[soc-sbmu1]:[soc-sbmu5]])</f>
        <v>1</v>
      </c>
      <c r="U50" s="77"/>
      <c r="V50" s="77"/>
    </row>
    <row r="51" spans="1:22">
      <c r="A51" t="s">
        <v>200</v>
      </c>
      <c r="B51" t="s">
        <v>487</v>
      </c>
      <c r="C51" s="77">
        <v>99.6</v>
      </c>
      <c r="D51" s="77">
        <v>1386.1</v>
      </c>
      <c r="E51" s="77">
        <v>99.4</v>
      </c>
      <c r="F51" s="77">
        <v>99.4</v>
      </c>
      <c r="G51" s="77">
        <v>99.7</v>
      </c>
      <c r="H51" s="77">
        <v>99.7</v>
      </c>
      <c r="I51" s="77">
        <v>99.5</v>
      </c>
      <c r="J51" s="85">
        <v>1385.9</v>
      </c>
      <c r="K51" s="85">
        <v>1386.3</v>
      </c>
      <c r="L51" s="85">
        <v>1385.4</v>
      </c>
      <c r="M51" s="85">
        <v>1386.4</v>
      </c>
      <c r="N51" s="85">
        <v>1384.8</v>
      </c>
      <c r="O51" s="77">
        <v>0</v>
      </c>
      <c r="P51" s="77">
        <v>0</v>
      </c>
      <c r="Q51" s="77">
        <v>2</v>
      </c>
      <c r="R51" s="77">
        <v>31</v>
      </c>
      <c r="S51" s="77">
        <f>_xlfn.STDEV.P(Table2[[#This Row],[volt-sbmu1]:[volt-sbmu5]])</f>
        <v>0.59531504264550794</v>
      </c>
      <c r="T51" s="77">
        <f>MAX(Table2[[#This Row],[soc-sbmu1]:[soc-sbmu5]])-MIN(Table2[[#This Row],[soc-sbmu1]:[soc-sbmu5]])</f>
        <v>0.29999999999999716</v>
      </c>
      <c r="U51" s="77"/>
      <c r="V51" s="77"/>
    </row>
    <row r="52" spans="1:22">
      <c r="A52" t="s">
        <v>201</v>
      </c>
      <c r="B52" t="s">
        <v>488</v>
      </c>
      <c r="C52" s="77">
        <v>98.9</v>
      </c>
      <c r="D52" s="77">
        <v>1384.2</v>
      </c>
      <c r="E52" s="77">
        <v>99</v>
      </c>
      <c r="F52" s="77">
        <v>98.9</v>
      </c>
      <c r="G52" s="77">
        <v>99</v>
      </c>
      <c r="H52" s="77">
        <v>99</v>
      </c>
      <c r="I52" s="77">
        <v>98.8</v>
      </c>
      <c r="J52" s="85">
        <v>1383.8</v>
      </c>
      <c r="K52" s="85">
        <v>1384.4</v>
      </c>
      <c r="L52" s="85">
        <v>1383.2</v>
      </c>
      <c r="M52" s="85">
        <v>1383.5</v>
      </c>
      <c r="N52" s="85">
        <v>1384.5</v>
      </c>
      <c r="O52" s="77">
        <v>0</v>
      </c>
      <c r="P52" s="77">
        <v>0</v>
      </c>
      <c r="Q52" s="77">
        <v>2</v>
      </c>
      <c r="R52" s="77">
        <v>32</v>
      </c>
      <c r="S52" s="77">
        <f>_xlfn.STDEV.P(Table2[[#This Row],[volt-sbmu1]:[volt-sbmu5]])</f>
        <v>0.50358713248057485</v>
      </c>
      <c r="T52" s="77">
        <f>MAX(Table2[[#This Row],[soc-sbmu1]:[soc-sbmu5]])-MIN(Table2[[#This Row],[soc-sbmu1]:[soc-sbmu5]])</f>
        <v>0.20000000000000284</v>
      </c>
      <c r="U52" s="77"/>
      <c r="V52" s="77"/>
    </row>
    <row r="53" spans="1:22">
      <c r="A53" t="s">
        <v>202</v>
      </c>
      <c r="B53" t="s">
        <v>489</v>
      </c>
      <c r="C53" s="77">
        <v>98.9</v>
      </c>
      <c r="D53" s="77">
        <v>1384.3</v>
      </c>
      <c r="E53" s="77">
        <v>99</v>
      </c>
      <c r="F53" s="77">
        <v>98.9</v>
      </c>
      <c r="G53" s="77">
        <v>98.9</v>
      </c>
      <c r="H53" s="77">
        <v>99</v>
      </c>
      <c r="I53" s="77">
        <v>98.9</v>
      </c>
      <c r="J53" s="85">
        <v>1384.2</v>
      </c>
      <c r="K53" s="85">
        <v>1385.5</v>
      </c>
      <c r="L53" s="85">
        <v>1384.3</v>
      </c>
      <c r="M53" s="85">
        <v>1382.8</v>
      </c>
      <c r="N53" s="85">
        <v>1384</v>
      </c>
      <c r="O53" s="77">
        <v>0</v>
      </c>
      <c r="P53" s="77">
        <v>0</v>
      </c>
      <c r="Q53" s="77">
        <v>2</v>
      </c>
      <c r="R53" s="77">
        <v>31</v>
      </c>
      <c r="S53" s="77">
        <f>_xlfn.STDEV.P(Table2[[#This Row],[volt-sbmu1]:[volt-sbmu5]])</f>
        <v>0.85930204235764673</v>
      </c>
      <c r="T53" s="77">
        <f>MAX(Table2[[#This Row],[soc-sbmu1]:[soc-sbmu5]])-MIN(Table2[[#This Row],[soc-sbmu1]:[soc-sbmu5]])</f>
        <v>9.9999999999994316E-2</v>
      </c>
      <c r="U53" s="77"/>
      <c r="V53" s="77"/>
    </row>
    <row r="54" spans="1:22">
      <c r="A54" t="s">
        <v>203</v>
      </c>
      <c r="B54" t="s">
        <v>490</v>
      </c>
      <c r="C54" s="77">
        <v>99.6</v>
      </c>
      <c r="D54" s="77">
        <v>1384.8</v>
      </c>
      <c r="E54" s="77">
        <v>99.5</v>
      </c>
      <c r="F54" s="77">
        <v>99.7</v>
      </c>
      <c r="G54" s="77">
        <v>99.4</v>
      </c>
      <c r="H54" s="77">
        <v>99.3</v>
      </c>
      <c r="I54" s="77">
        <v>99.1</v>
      </c>
      <c r="J54" s="85">
        <v>1384.3</v>
      </c>
      <c r="K54" s="85">
        <v>1383.5</v>
      </c>
      <c r="L54" s="85">
        <v>1388.6</v>
      </c>
      <c r="M54" s="85">
        <v>1385.1</v>
      </c>
      <c r="N54" s="85">
        <v>1385.7</v>
      </c>
      <c r="O54" s="77">
        <v>0</v>
      </c>
      <c r="P54" s="77">
        <v>0</v>
      </c>
      <c r="Q54" s="77">
        <v>2</v>
      </c>
      <c r="R54" s="77">
        <v>32</v>
      </c>
      <c r="S54" s="77">
        <f>_xlfn.STDEV.P(Table2[[#This Row],[volt-sbmu1]:[volt-sbmu5]])</f>
        <v>1.7453939383416923</v>
      </c>
      <c r="T54" s="77">
        <f>MAX(Table2[[#This Row],[soc-sbmu1]:[soc-sbmu5]])-MIN(Table2[[#This Row],[soc-sbmu1]:[soc-sbmu5]])</f>
        <v>0.60000000000000853</v>
      </c>
      <c r="U54" s="77"/>
      <c r="V54" s="77"/>
    </row>
    <row r="55" spans="1:22">
      <c r="A55" t="s">
        <v>204</v>
      </c>
      <c r="B55" t="s">
        <v>491</v>
      </c>
      <c r="C55" s="77">
        <v>83.7</v>
      </c>
      <c r="D55" s="77">
        <v>1391.6</v>
      </c>
      <c r="E55" s="77">
        <v>82.1</v>
      </c>
      <c r="F55" s="77">
        <v>84.1</v>
      </c>
      <c r="G55" s="77">
        <v>82.3</v>
      </c>
      <c r="H55" s="77">
        <v>82.4</v>
      </c>
      <c r="I55" s="77">
        <v>82</v>
      </c>
      <c r="J55" s="85">
        <v>1390</v>
      </c>
      <c r="K55" s="85">
        <v>1391.6</v>
      </c>
      <c r="L55" s="85">
        <v>1391</v>
      </c>
      <c r="M55" s="85">
        <v>1392.9</v>
      </c>
      <c r="N55" s="85">
        <v>1391.7</v>
      </c>
      <c r="O55" s="77">
        <v>0</v>
      </c>
      <c r="P55" s="77">
        <v>0</v>
      </c>
      <c r="Q55" s="77">
        <v>1</v>
      </c>
      <c r="R55" s="77">
        <v>37</v>
      </c>
      <c r="S55" s="77">
        <f>_xlfn.STDEV.P(Table2[[#This Row],[volt-sbmu1]:[volt-sbmu5]])</f>
        <v>0.94783964888585037</v>
      </c>
      <c r="T55" s="77">
        <f>MAX(Table2[[#This Row],[soc-sbmu1]:[soc-sbmu5]])-MIN(Table2[[#This Row],[soc-sbmu1]:[soc-sbmu5]])</f>
        <v>2.0999999999999943</v>
      </c>
      <c r="U55" s="77"/>
      <c r="V55" s="77"/>
    </row>
    <row r="56" spans="1:22">
      <c r="A56" t="s">
        <v>205</v>
      </c>
      <c r="B56" t="s">
        <v>492</v>
      </c>
      <c r="C56" s="77">
        <v>83.7</v>
      </c>
      <c r="D56" s="77">
        <v>1391.3</v>
      </c>
      <c r="E56" s="77">
        <v>82.3</v>
      </c>
      <c r="F56" s="77">
        <v>83.4</v>
      </c>
      <c r="G56" s="77">
        <v>84.1</v>
      </c>
      <c r="H56" s="77">
        <v>81.8</v>
      </c>
      <c r="I56" s="77">
        <v>82.7</v>
      </c>
      <c r="J56" s="85">
        <v>1390.7</v>
      </c>
      <c r="K56" s="85">
        <v>1390.8</v>
      </c>
      <c r="L56" s="85">
        <v>1391.1</v>
      </c>
      <c r="M56" s="85">
        <v>1391.7</v>
      </c>
      <c r="N56" s="85">
        <v>1392.1</v>
      </c>
      <c r="O56" s="77">
        <v>0</v>
      </c>
      <c r="P56" s="77">
        <v>0</v>
      </c>
      <c r="Q56" s="77">
        <v>1</v>
      </c>
      <c r="R56" s="77">
        <v>34</v>
      </c>
      <c r="S56" s="77">
        <f>_xlfn.STDEV.P(Table2[[#This Row],[volt-sbmu1]:[volt-sbmu5]])</f>
        <v>0.53814496188293226</v>
      </c>
      <c r="T56" s="77">
        <f>MAX(Table2[[#This Row],[soc-sbmu1]:[soc-sbmu5]])-MIN(Table2[[#This Row],[soc-sbmu1]:[soc-sbmu5]])</f>
        <v>2.2999999999999972</v>
      </c>
      <c r="U56" s="77"/>
      <c r="V56" s="77"/>
    </row>
    <row r="57" spans="1:22">
      <c r="A57" t="s">
        <v>206</v>
      </c>
      <c r="B57" t="s">
        <v>493</v>
      </c>
      <c r="C57" s="77">
        <v>83.4</v>
      </c>
      <c r="D57" s="77">
        <v>1392.3</v>
      </c>
      <c r="E57" s="77">
        <v>83.5</v>
      </c>
      <c r="F57" s="77">
        <v>83.3</v>
      </c>
      <c r="G57" s="77">
        <v>83.3</v>
      </c>
      <c r="H57" s="77">
        <v>83.2</v>
      </c>
      <c r="I57" s="77">
        <v>83.2</v>
      </c>
      <c r="J57" s="85">
        <v>1391.7</v>
      </c>
      <c r="K57" s="85">
        <v>1391.8</v>
      </c>
      <c r="L57" s="85">
        <v>1392.5</v>
      </c>
      <c r="M57" s="85">
        <v>1393.9</v>
      </c>
      <c r="N57" s="85">
        <v>1391.3</v>
      </c>
      <c r="O57" s="77">
        <v>0</v>
      </c>
      <c r="P57" s="77">
        <v>0</v>
      </c>
      <c r="Q57" s="77">
        <v>1</v>
      </c>
      <c r="R57" s="77">
        <v>34</v>
      </c>
      <c r="S57" s="77">
        <f>_xlfn.STDEV.P(Table2[[#This Row],[volt-sbmu1]:[volt-sbmu5]])</f>
        <v>0.91564185138080911</v>
      </c>
      <c r="T57" s="77">
        <f>MAX(Table2[[#This Row],[soc-sbmu1]:[soc-sbmu5]])-MIN(Table2[[#This Row],[soc-sbmu1]:[soc-sbmu5]])</f>
        <v>0.29999999999999716</v>
      </c>
      <c r="U57" s="77"/>
      <c r="V57" s="77"/>
    </row>
    <row r="58" spans="1:22">
      <c r="A58" t="s">
        <v>207</v>
      </c>
      <c r="B58" t="s">
        <v>494</v>
      </c>
      <c r="C58" s="77">
        <v>83.4</v>
      </c>
      <c r="D58" s="77">
        <v>1393.5</v>
      </c>
      <c r="E58" s="77">
        <v>82.9</v>
      </c>
      <c r="F58" s="77">
        <v>82.8</v>
      </c>
      <c r="G58" s="77">
        <v>83.6</v>
      </c>
      <c r="H58" s="77">
        <v>83</v>
      </c>
      <c r="I58" s="77">
        <v>82.5</v>
      </c>
      <c r="J58" s="85">
        <v>1393.2</v>
      </c>
      <c r="K58" s="85">
        <v>1391.3</v>
      </c>
      <c r="L58" s="85">
        <v>1393.9</v>
      </c>
      <c r="M58" s="85">
        <v>1395</v>
      </c>
      <c r="N58" s="85">
        <v>1393.6</v>
      </c>
      <c r="O58" s="77">
        <v>0</v>
      </c>
      <c r="P58" s="77">
        <v>0</v>
      </c>
      <c r="Q58" s="77">
        <v>1</v>
      </c>
      <c r="R58" s="77">
        <v>35</v>
      </c>
      <c r="S58" s="77">
        <f>_xlfn.STDEV.P(Table2[[#This Row],[volt-sbmu1]:[volt-sbmu5]])</f>
        <v>1.2083045973594759</v>
      </c>
      <c r="T58" s="77">
        <f>MAX(Table2[[#This Row],[soc-sbmu1]:[soc-sbmu5]])-MIN(Table2[[#This Row],[soc-sbmu1]:[soc-sbmu5]])</f>
        <v>1.0999999999999943</v>
      </c>
      <c r="U58" s="77"/>
      <c r="V58" s="77"/>
    </row>
    <row r="59" spans="1:22">
      <c r="A59" t="s">
        <v>208</v>
      </c>
      <c r="B59" t="s">
        <v>495</v>
      </c>
      <c r="C59" s="77">
        <v>85.4</v>
      </c>
      <c r="D59" s="77">
        <v>1393.9</v>
      </c>
      <c r="E59" s="77">
        <v>85.6</v>
      </c>
      <c r="F59" s="77">
        <v>84.8</v>
      </c>
      <c r="G59" s="77">
        <v>85.4</v>
      </c>
      <c r="H59" s="77">
        <v>85.2</v>
      </c>
      <c r="I59" s="77">
        <v>85.4</v>
      </c>
      <c r="J59" s="85">
        <v>1393.8</v>
      </c>
      <c r="K59" s="85">
        <v>1393.6</v>
      </c>
      <c r="L59" s="85">
        <v>1394.9</v>
      </c>
      <c r="M59" s="85">
        <v>1394.4</v>
      </c>
      <c r="N59" s="85">
        <v>1393.2</v>
      </c>
      <c r="O59" s="77">
        <v>0</v>
      </c>
      <c r="P59" s="77">
        <v>0</v>
      </c>
      <c r="Q59" s="77">
        <v>1</v>
      </c>
      <c r="R59" s="77">
        <v>32</v>
      </c>
      <c r="S59" s="77">
        <f>_xlfn.STDEV.P(Table2[[#This Row],[volt-sbmu1]:[volt-sbmu5]])</f>
        <v>0.60133185513495924</v>
      </c>
      <c r="T59" s="77">
        <f>MAX(Table2[[#This Row],[soc-sbmu1]:[soc-sbmu5]])-MIN(Table2[[#This Row],[soc-sbmu1]:[soc-sbmu5]])</f>
        <v>0.79999999999999716</v>
      </c>
      <c r="U59" s="77"/>
      <c r="V59" s="77"/>
    </row>
    <row r="60" spans="1:22">
      <c r="A60" t="s">
        <v>209</v>
      </c>
      <c r="B60" t="s">
        <v>496</v>
      </c>
      <c r="C60" s="77">
        <v>85.8</v>
      </c>
      <c r="D60" s="77">
        <v>1392</v>
      </c>
      <c r="E60" s="77">
        <v>85.8</v>
      </c>
      <c r="F60" s="77">
        <v>85.9</v>
      </c>
      <c r="G60" s="77">
        <v>86</v>
      </c>
      <c r="H60" s="77">
        <v>84.6</v>
      </c>
      <c r="I60" s="77">
        <v>85.5</v>
      </c>
      <c r="J60" s="85">
        <v>1390.8</v>
      </c>
      <c r="K60" s="85">
        <v>1393.1</v>
      </c>
      <c r="L60" s="85">
        <v>1393.6</v>
      </c>
      <c r="M60" s="85">
        <v>1392</v>
      </c>
      <c r="N60" s="85">
        <v>1392</v>
      </c>
      <c r="O60" s="77">
        <v>0</v>
      </c>
      <c r="P60" s="77">
        <v>0</v>
      </c>
      <c r="Q60" s="77">
        <v>1</v>
      </c>
      <c r="R60" s="77">
        <v>32</v>
      </c>
      <c r="S60" s="77">
        <f>_xlfn.STDEV.P(Table2[[#This Row],[volt-sbmu1]:[volt-sbmu5]])</f>
        <v>0.97570487341201217</v>
      </c>
      <c r="T60" s="77">
        <f>MAX(Table2[[#This Row],[soc-sbmu1]:[soc-sbmu5]])-MIN(Table2[[#This Row],[soc-sbmu1]:[soc-sbmu5]])</f>
        <v>1.4000000000000057</v>
      </c>
      <c r="U60" s="77"/>
      <c r="V60" s="77"/>
    </row>
    <row r="61" spans="1:22">
      <c r="A61" t="s">
        <v>210</v>
      </c>
      <c r="B61" t="s">
        <v>497</v>
      </c>
      <c r="C61" s="77">
        <v>85.5</v>
      </c>
      <c r="D61" s="77">
        <v>1391.6</v>
      </c>
      <c r="E61" s="77">
        <v>85.6</v>
      </c>
      <c r="F61" s="77">
        <v>85.2</v>
      </c>
      <c r="G61" s="77">
        <v>85.3</v>
      </c>
      <c r="H61" s="77">
        <v>85.6</v>
      </c>
      <c r="I61" s="77">
        <v>85.4</v>
      </c>
      <c r="J61" s="85">
        <v>1392.8</v>
      </c>
      <c r="K61" s="85">
        <v>1390.8</v>
      </c>
      <c r="L61" s="85">
        <v>1392.5</v>
      </c>
      <c r="M61" s="85">
        <v>1391.5</v>
      </c>
      <c r="N61" s="85">
        <v>1391.3</v>
      </c>
      <c r="O61" s="77">
        <v>0</v>
      </c>
      <c r="P61" s="77">
        <v>0</v>
      </c>
      <c r="Q61" s="77">
        <v>1</v>
      </c>
      <c r="R61" s="77">
        <v>33</v>
      </c>
      <c r="S61" s="77">
        <f>_xlfn.STDEV.P(Table2[[#This Row],[volt-sbmu1]:[volt-sbmu5]])</f>
        <v>0.75206382707853203</v>
      </c>
      <c r="T61" s="77">
        <f>MAX(Table2[[#This Row],[soc-sbmu1]:[soc-sbmu5]])-MIN(Table2[[#This Row],[soc-sbmu1]:[soc-sbmu5]])</f>
        <v>0.39999999999999147</v>
      </c>
      <c r="U61" s="77"/>
      <c r="V61" s="77"/>
    </row>
    <row r="62" spans="1:22">
      <c r="A62" t="s">
        <v>211</v>
      </c>
      <c r="B62" t="s">
        <v>498</v>
      </c>
      <c r="C62" s="77">
        <v>85.5</v>
      </c>
      <c r="D62" s="77">
        <v>1394.7</v>
      </c>
      <c r="E62" s="77">
        <v>85.5</v>
      </c>
      <c r="F62" s="77">
        <v>85</v>
      </c>
      <c r="G62" s="77">
        <v>85.6</v>
      </c>
      <c r="H62" s="77">
        <v>85.3</v>
      </c>
      <c r="I62" s="77">
        <v>85.2</v>
      </c>
      <c r="J62" s="85">
        <v>1394.6</v>
      </c>
      <c r="K62" s="85">
        <v>1393.9</v>
      </c>
      <c r="L62" s="85">
        <v>1396</v>
      </c>
      <c r="M62" s="85">
        <v>1394.8</v>
      </c>
      <c r="N62" s="85">
        <v>1393.6</v>
      </c>
      <c r="O62" s="77">
        <v>0</v>
      </c>
      <c r="P62" s="77">
        <v>0</v>
      </c>
      <c r="Q62" s="77">
        <v>1</v>
      </c>
      <c r="R62" s="77">
        <v>36</v>
      </c>
      <c r="S62" s="77">
        <f>_xlfn.STDEV.P(Table2[[#This Row],[volt-sbmu1]:[volt-sbmu5]])</f>
        <v>0.8352245207128477</v>
      </c>
      <c r="T62" s="77">
        <f>MAX(Table2[[#This Row],[soc-sbmu1]:[soc-sbmu5]])-MIN(Table2[[#This Row],[soc-sbmu1]:[soc-sbmu5]])</f>
        <v>0.59999999999999432</v>
      </c>
      <c r="U62" s="77"/>
      <c r="V62" s="77"/>
    </row>
    <row r="63" spans="1:22">
      <c r="A63" t="s">
        <v>212</v>
      </c>
      <c r="B63" t="s">
        <v>499</v>
      </c>
      <c r="C63" s="77">
        <v>82.6</v>
      </c>
      <c r="D63" s="77">
        <v>1391.1</v>
      </c>
      <c r="E63" s="77">
        <v>82.8</v>
      </c>
      <c r="F63" s="77">
        <v>82.5</v>
      </c>
      <c r="G63" s="77">
        <v>81.900000000000006</v>
      </c>
      <c r="H63" s="77">
        <v>82.4</v>
      </c>
      <c r="I63" s="77">
        <v>82.7</v>
      </c>
      <c r="J63" s="85">
        <v>1390.6</v>
      </c>
      <c r="K63" s="85">
        <v>1391.5</v>
      </c>
      <c r="L63" s="85">
        <v>1391</v>
      </c>
      <c r="M63" s="85">
        <v>1390.5</v>
      </c>
      <c r="N63" s="85">
        <v>1390.3</v>
      </c>
      <c r="O63" s="77">
        <v>0</v>
      </c>
      <c r="P63" s="77">
        <v>0</v>
      </c>
      <c r="Q63" s="77">
        <v>1</v>
      </c>
      <c r="R63" s="77">
        <v>36</v>
      </c>
      <c r="S63" s="77">
        <f>_xlfn.STDEV.P(Table2[[#This Row],[volt-sbmu1]:[volt-sbmu5]])</f>
        <v>0.42614551505326825</v>
      </c>
      <c r="T63" s="77">
        <f>MAX(Table2[[#This Row],[soc-sbmu1]:[soc-sbmu5]])-MIN(Table2[[#This Row],[soc-sbmu1]:[soc-sbmu5]])</f>
        <v>0.89999999999999147</v>
      </c>
      <c r="U63" s="77"/>
      <c r="V63" s="77"/>
    </row>
    <row r="64" spans="1:22">
      <c r="A64" t="s">
        <v>213</v>
      </c>
      <c r="B64" t="s">
        <v>500</v>
      </c>
      <c r="C64" s="77">
        <v>82.7</v>
      </c>
      <c r="D64" s="77">
        <v>1392.8</v>
      </c>
      <c r="E64" s="77">
        <v>82.9</v>
      </c>
      <c r="F64" s="77">
        <v>82.4</v>
      </c>
      <c r="G64" s="77">
        <v>82.6</v>
      </c>
      <c r="H64" s="77">
        <v>82.5</v>
      </c>
      <c r="I64" s="77">
        <v>82.3</v>
      </c>
      <c r="J64" s="85">
        <v>1392.7</v>
      </c>
      <c r="K64" s="85">
        <v>1395.7</v>
      </c>
      <c r="L64" s="85">
        <v>1391.2</v>
      </c>
      <c r="M64" s="85">
        <v>1392.7</v>
      </c>
      <c r="N64" s="85">
        <v>1393.1</v>
      </c>
      <c r="O64" s="77">
        <v>0</v>
      </c>
      <c r="P64" s="77">
        <v>0</v>
      </c>
      <c r="Q64" s="77">
        <v>1</v>
      </c>
      <c r="R64" s="77">
        <v>35</v>
      </c>
      <c r="S64" s="77">
        <f>_xlfn.STDEV.P(Table2[[#This Row],[volt-sbmu1]:[volt-sbmu5]])</f>
        <v>1.4620533505997648</v>
      </c>
      <c r="T64" s="77">
        <f>MAX(Table2[[#This Row],[soc-sbmu1]:[soc-sbmu5]])-MIN(Table2[[#This Row],[soc-sbmu1]:[soc-sbmu5]])</f>
        <v>0.60000000000000853</v>
      </c>
      <c r="U64" s="77"/>
      <c r="V64" s="77"/>
    </row>
    <row r="65" spans="1:22">
      <c r="A65" t="s">
        <v>214</v>
      </c>
      <c r="B65" t="s">
        <v>501</v>
      </c>
      <c r="C65" s="77">
        <v>82.5</v>
      </c>
      <c r="D65" s="77">
        <v>1392.6</v>
      </c>
      <c r="E65" s="77">
        <v>82.7</v>
      </c>
      <c r="F65" s="77">
        <v>82.1</v>
      </c>
      <c r="G65" s="77">
        <v>82</v>
      </c>
      <c r="H65" s="77">
        <v>82.7</v>
      </c>
      <c r="I65" s="77">
        <v>82.7</v>
      </c>
      <c r="J65" s="85">
        <v>1391.1</v>
      </c>
      <c r="K65" s="85">
        <v>1394.3</v>
      </c>
      <c r="L65" s="85">
        <v>1392.7</v>
      </c>
      <c r="M65" s="85">
        <v>1393.7</v>
      </c>
      <c r="N65" s="85">
        <v>1391.6</v>
      </c>
      <c r="O65" s="77">
        <v>0</v>
      </c>
      <c r="P65" s="77">
        <v>0</v>
      </c>
      <c r="Q65" s="77">
        <v>1</v>
      </c>
      <c r="R65" s="77">
        <v>35</v>
      </c>
      <c r="S65" s="77">
        <f>_xlfn.STDEV.P(Table2[[#This Row],[volt-sbmu1]:[volt-sbmu5]])</f>
        <v>1.21061967603376</v>
      </c>
      <c r="T65" s="77">
        <f>MAX(Table2[[#This Row],[soc-sbmu1]:[soc-sbmu5]])-MIN(Table2[[#This Row],[soc-sbmu1]:[soc-sbmu5]])</f>
        <v>0.70000000000000284</v>
      </c>
      <c r="U65" s="77"/>
      <c r="V65" s="77"/>
    </row>
    <row r="66" spans="1:22">
      <c r="A66" t="s">
        <v>215</v>
      </c>
      <c r="B66" t="s">
        <v>502</v>
      </c>
      <c r="C66" s="77">
        <v>82.9</v>
      </c>
      <c r="D66" s="77">
        <v>1392.9</v>
      </c>
      <c r="E66" s="77">
        <v>83.2</v>
      </c>
      <c r="F66" s="77">
        <v>81.7</v>
      </c>
      <c r="G66" s="77">
        <v>82</v>
      </c>
      <c r="H66" s="77">
        <v>81.8</v>
      </c>
      <c r="I66" s="77">
        <v>81.900000000000006</v>
      </c>
      <c r="J66" s="85">
        <v>1394.9</v>
      </c>
      <c r="K66" s="85">
        <v>1393</v>
      </c>
      <c r="L66" s="85">
        <v>1391.4</v>
      </c>
      <c r="M66" s="85">
        <v>1391.2</v>
      </c>
      <c r="N66" s="85">
        <v>1393.5</v>
      </c>
      <c r="O66" s="77">
        <v>0</v>
      </c>
      <c r="P66" s="77">
        <v>0</v>
      </c>
      <c r="Q66" s="77">
        <v>1</v>
      </c>
      <c r="R66" s="77">
        <v>35</v>
      </c>
      <c r="S66" s="77">
        <f>_xlfn.STDEV.P(Table2[[#This Row],[volt-sbmu1]:[volt-sbmu5]])</f>
        <v>1.3754999091239506</v>
      </c>
      <c r="T66" s="77">
        <f>MAX(Table2[[#This Row],[soc-sbmu1]:[soc-sbmu5]])-MIN(Table2[[#This Row],[soc-sbmu1]:[soc-sbmu5]])</f>
        <v>1.5</v>
      </c>
      <c r="U66" s="77"/>
      <c r="V66" s="77"/>
    </row>
    <row r="67" spans="1:22">
      <c r="A67" t="s">
        <v>216</v>
      </c>
      <c r="B67" t="s">
        <v>503</v>
      </c>
      <c r="C67" s="77">
        <v>86</v>
      </c>
      <c r="D67" s="77">
        <v>1392.8</v>
      </c>
      <c r="E67" s="77">
        <v>85.3</v>
      </c>
      <c r="F67" s="77">
        <v>85.5</v>
      </c>
      <c r="G67" s="77">
        <v>86.3</v>
      </c>
      <c r="H67" s="77">
        <v>85.5</v>
      </c>
      <c r="I67" s="77">
        <v>84.7</v>
      </c>
      <c r="J67" s="85">
        <v>1393.4</v>
      </c>
      <c r="K67" s="85">
        <v>1392.7</v>
      </c>
      <c r="L67" s="85">
        <v>1393.4</v>
      </c>
      <c r="M67" s="85">
        <v>1392.5</v>
      </c>
      <c r="N67" s="85">
        <v>1391.5</v>
      </c>
      <c r="O67" s="77">
        <v>0</v>
      </c>
      <c r="P67" s="77">
        <v>0</v>
      </c>
      <c r="Q67" s="77">
        <v>1</v>
      </c>
      <c r="R67" s="77">
        <v>33</v>
      </c>
      <c r="S67" s="77">
        <f>_xlfn.STDEV.P(Table2[[#This Row],[volt-sbmu1]:[volt-sbmu5]])</f>
        <v>0.70142711667004365</v>
      </c>
      <c r="T67" s="77">
        <f>MAX(Table2[[#This Row],[soc-sbmu1]:[soc-sbmu5]])-MIN(Table2[[#This Row],[soc-sbmu1]:[soc-sbmu5]])</f>
        <v>1.5999999999999943</v>
      </c>
      <c r="U67" s="77"/>
      <c r="V67" s="77"/>
    </row>
    <row r="68" spans="1:22">
      <c r="A68" t="s">
        <v>217</v>
      </c>
      <c r="B68" t="s">
        <v>504</v>
      </c>
      <c r="C68" s="77">
        <v>85.9</v>
      </c>
      <c r="D68" s="77">
        <v>1393.5</v>
      </c>
      <c r="E68" s="77">
        <v>86.1</v>
      </c>
      <c r="F68" s="77">
        <v>85.6</v>
      </c>
      <c r="G68" s="77">
        <v>85.4</v>
      </c>
      <c r="H68" s="77">
        <v>85.2</v>
      </c>
      <c r="I68" s="77">
        <v>85.4</v>
      </c>
      <c r="J68" s="85">
        <v>1393.9</v>
      </c>
      <c r="K68" s="85">
        <v>1392.6</v>
      </c>
      <c r="L68" s="85">
        <v>1394.6</v>
      </c>
      <c r="M68" s="85">
        <v>1393.4</v>
      </c>
      <c r="N68" s="85">
        <v>1392.3</v>
      </c>
      <c r="O68" s="77">
        <v>0</v>
      </c>
      <c r="P68" s="77">
        <v>0</v>
      </c>
      <c r="Q68" s="77">
        <v>1</v>
      </c>
      <c r="R68" s="77">
        <v>33</v>
      </c>
      <c r="S68" s="77">
        <f>_xlfn.STDEV.P(Table2[[#This Row],[volt-sbmu1]:[volt-sbmu5]])</f>
        <v>0.84047605557804139</v>
      </c>
      <c r="T68" s="77">
        <f>MAX(Table2[[#This Row],[soc-sbmu1]:[soc-sbmu5]])-MIN(Table2[[#This Row],[soc-sbmu1]:[soc-sbmu5]])</f>
        <v>0.89999999999999147</v>
      </c>
      <c r="U68" s="77"/>
      <c r="V68" s="77"/>
    </row>
    <row r="69" spans="1:22">
      <c r="A69" t="s">
        <v>218</v>
      </c>
      <c r="B69" t="s">
        <v>505</v>
      </c>
      <c r="C69" s="77">
        <v>86</v>
      </c>
      <c r="D69" s="77">
        <v>1392.1</v>
      </c>
      <c r="E69" s="77">
        <v>86.2</v>
      </c>
      <c r="F69" s="77">
        <v>85</v>
      </c>
      <c r="G69" s="77">
        <v>85.7</v>
      </c>
      <c r="H69" s="77">
        <v>85.2</v>
      </c>
      <c r="I69" s="77">
        <v>85</v>
      </c>
      <c r="J69" s="85">
        <v>1391.9</v>
      </c>
      <c r="K69" s="85">
        <v>1391.6</v>
      </c>
      <c r="L69" s="85">
        <v>1392</v>
      </c>
      <c r="M69" s="85">
        <v>1392.4</v>
      </c>
      <c r="N69" s="85">
        <v>1392.5</v>
      </c>
      <c r="O69" s="77">
        <v>0</v>
      </c>
      <c r="P69" s="77">
        <v>0</v>
      </c>
      <c r="Q69" s="77">
        <v>1</v>
      </c>
      <c r="R69" s="77">
        <v>32</v>
      </c>
      <c r="S69" s="77">
        <f>_xlfn.STDEV.P(Table2[[#This Row],[volt-sbmu1]:[volt-sbmu5]])</f>
        <v>0.33105890714497105</v>
      </c>
      <c r="T69" s="77">
        <f>MAX(Table2[[#This Row],[soc-sbmu1]:[soc-sbmu5]])-MIN(Table2[[#This Row],[soc-sbmu1]:[soc-sbmu5]])</f>
        <v>1.2000000000000028</v>
      </c>
      <c r="U69" s="77"/>
      <c r="V69" s="77"/>
    </row>
    <row r="70" spans="1:22">
      <c r="A70" t="s">
        <v>219</v>
      </c>
      <c r="B70" t="s">
        <v>506</v>
      </c>
      <c r="C70" s="77">
        <v>85.9</v>
      </c>
      <c r="D70" s="77">
        <v>1394.9</v>
      </c>
      <c r="E70" s="77">
        <v>86</v>
      </c>
      <c r="F70" s="77">
        <v>85.9</v>
      </c>
      <c r="G70" s="77">
        <v>86</v>
      </c>
      <c r="H70" s="77">
        <v>86.1</v>
      </c>
      <c r="I70" s="77">
        <v>85</v>
      </c>
      <c r="J70" s="85">
        <v>1395.1</v>
      </c>
      <c r="K70" s="85">
        <v>1394.9</v>
      </c>
      <c r="L70" s="85">
        <v>1392.1</v>
      </c>
      <c r="M70" s="85">
        <v>1394</v>
      </c>
      <c r="N70" s="85">
        <v>1396.7</v>
      </c>
      <c r="O70" s="77">
        <v>0</v>
      </c>
      <c r="P70" s="77">
        <v>0</v>
      </c>
      <c r="Q70" s="77">
        <v>1</v>
      </c>
      <c r="R70" s="77">
        <v>36</v>
      </c>
      <c r="S70" s="77">
        <f>_xlfn.STDEV.P(Table2[[#This Row],[volt-sbmu1]:[volt-sbmu5]])</f>
        <v>1.5067846561470293</v>
      </c>
      <c r="T70" s="77">
        <f>MAX(Table2[[#This Row],[soc-sbmu1]:[soc-sbmu5]])-MIN(Table2[[#This Row],[soc-sbmu1]:[soc-sbmu5]])</f>
        <v>1.0999999999999943</v>
      </c>
      <c r="U70" s="77"/>
      <c r="V70" s="77"/>
    </row>
    <row r="71" spans="1:22">
      <c r="A71" t="s">
        <v>220</v>
      </c>
      <c r="B71" t="s">
        <v>507</v>
      </c>
      <c r="C71" s="77">
        <v>80.900000000000006</v>
      </c>
      <c r="D71" s="77">
        <v>1392.6</v>
      </c>
      <c r="E71" s="77">
        <v>81.400000000000006</v>
      </c>
      <c r="F71" s="77">
        <v>78.599999999999994</v>
      </c>
      <c r="G71" s="77">
        <v>81.5</v>
      </c>
      <c r="H71" s="77">
        <v>81.400000000000006</v>
      </c>
      <c r="I71" s="77">
        <v>81.400000000000006</v>
      </c>
      <c r="J71" s="85">
        <v>1392.8</v>
      </c>
      <c r="K71" s="85">
        <v>1392.4</v>
      </c>
      <c r="L71" s="85">
        <v>1393.4</v>
      </c>
      <c r="M71" s="85">
        <v>1392.4</v>
      </c>
      <c r="N71" s="85">
        <v>1391.5</v>
      </c>
      <c r="O71" s="77">
        <v>0</v>
      </c>
      <c r="P71" s="77">
        <v>0</v>
      </c>
      <c r="Q71" s="77">
        <v>1</v>
      </c>
      <c r="R71" s="77">
        <v>36</v>
      </c>
      <c r="S71" s="77">
        <f>_xlfn.STDEV.P(Table2[[#This Row],[volt-sbmu1]:[volt-sbmu5]])</f>
        <v>0.6196773353932028</v>
      </c>
      <c r="T71" s="77">
        <f>MAX(Table2[[#This Row],[soc-sbmu1]:[soc-sbmu5]])-MIN(Table2[[#This Row],[soc-sbmu1]:[soc-sbmu5]])</f>
        <v>2.9000000000000057</v>
      </c>
      <c r="U71" s="77"/>
      <c r="V71" s="77"/>
    </row>
    <row r="72" spans="1:22">
      <c r="A72" t="s">
        <v>221</v>
      </c>
      <c r="B72" t="s">
        <v>508</v>
      </c>
      <c r="C72" s="77">
        <v>80.900000000000006</v>
      </c>
      <c r="D72" s="77">
        <v>1392.9</v>
      </c>
      <c r="E72" s="77">
        <v>81</v>
      </c>
      <c r="F72" s="77">
        <v>80.599999999999994</v>
      </c>
      <c r="G72" s="77">
        <v>80.900000000000006</v>
      </c>
      <c r="H72" s="77">
        <v>80.900000000000006</v>
      </c>
      <c r="I72" s="77">
        <v>80.7</v>
      </c>
      <c r="J72" s="85">
        <v>1391.8</v>
      </c>
      <c r="K72" s="85">
        <v>1392.4</v>
      </c>
      <c r="L72" s="85">
        <v>1392</v>
      </c>
      <c r="M72" s="85">
        <v>1393.7</v>
      </c>
      <c r="N72" s="85">
        <v>1394.2</v>
      </c>
      <c r="O72" s="77">
        <v>0</v>
      </c>
      <c r="P72" s="77">
        <v>0</v>
      </c>
      <c r="Q72" s="77">
        <v>1</v>
      </c>
      <c r="R72" s="77">
        <v>34</v>
      </c>
      <c r="S72" s="77">
        <f>_xlfn.STDEV.P(Table2[[#This Row],[volt-sbmu1]:[volt-sbmu5]])</f>
        <v>0.95582425162790485</v>
      </c>
      <c r="T72" s="77">
        <f>MAX(Table2[[#This Row],[soc-sbmu1]:[soc-sbmu5]])-MIN(Table2[[#This Row],[soc-sbmu1]:[soc-sbmu5]])</f>
        <v>0.40000000000000568</v>
      </c>
      <c r="U72" s="77"/>
      <c r="V72" s="77"/>
    </row>
    <row r="73" spans="1:22">
      <c r="A73" t="s">
        <v>222</v>
      </c>
      <c r="B73" t="s">
        <v>509</v>
      </c>
      <c r="C73" s="77">
        <v>99.7</v>
      </c>
      <c r="D73" s="77">
        <v>1384.5</v>
      </c>
      <c r="E73" s="77">
        <v>99.7</v>
      </c>
      <c r="F73" s="77">
        <v>99.8</v>
      </c>
      <c r="G73" s="77">
        <v>99.7</v>
      </c>
      <c r="H73" s="77">
        <v>99.7</v>
      </c>
      <c r="I73" s="77">
        <v>99.7</v>
      </c>
      <c r="J73" s="85">
        <v>1384.1</v>
      </c>
      <c r="K73" s="85">
        <v>1383.9</v>
      </c>
      <c r="L73" s="85">
        <v>1384.2</v>
      </c>
      <c r="M73" s="85">
        <v>1385.2</v>
      </c>
      <c r="N73" s="85">
        <v>1384.9</v>
      </c>
      <c r="O73" s="77">
        <v>0</v>
      </c>
      <c r="P73" s="77">
        <v>0</v>
      </c>
      <c r="Q73" s="77">
        <v>2</v>
      </c>
      <c r="R73" s="77">
        <v>33</v>
      </c>
      <c r="S73" s="77">
        <f>_xlfn.STDEV.P(Table2[[#This Row],[volt-sbmu1]:[volt-sbmu5]])</f>
        <v>0.50039984012788952</v>
      </c>
      <c r="T73" s="77">
        <f>MAX(Table2[[#This Row],[soc-sbmu1]:[soc-sbmu5]])-MIN(Table2[[#This Row],[soc-sbmu1]:[soc-sbmu5]])</f>
        <v>9.9999999999994316E-2</v>
      </c>
      <c r="U73" s="77"/>
      <c r="V73" s="77"/>
    </row>
    <row r="74" spans="1:22">
      <c r="A74" t="s">
        <v>223</v>
      </c>
      <c r="B74" t="s">
        <v>510</v>
      </c>
      <c r="C74" s="77">
        <v>81.3</v>
      </c>
      <c r="D74" s="77">
        <v>1393</v>
      </c>
      <c r="E74" s="77">
        <v>81.7</v>
      </c>
      <c r="F74" s="77">
        <v>80.900000000000006</v>
      </c>
      <c r="G74" s="77">
        <v>80.8</v>
      </c>
      <c r="H74" s="77">
        <v>81</v>
      </c>
      <c r="I74" s="77">
        <v>79.900000000000006</v>
      </c>
      <c r="J74" s="85">
        <v>1392.5</v>
      </c>
      <c r="K74" s="85">
        <v>1392.9</v>
      </c>
      <c r="L74" s="85">
        <v>1394.1</v>
      </c>
      <c r="M74" s="85">
        <v>1393</v>
      </c>
      <c r="N74" s="85">
        <v>1393.4</v>
      </c>
      <c r="O74" s="77">
        <v>0</v>
      </c>
      <c r="P74" s="77">
        <v>0</v>
      </c>
      <c r="Q74" s="77">
        <v>1</v>
      </c>
      <c r="R74" s="77">
        <v>36</v>
      </c>
      <c r="S74" s="77">
        <f>_xlfn.STDEV.P(Table2[[#This Row],[volt-sbmu1]:[volt-sbmu5]])</f>
        <v>0.54184868736572978</v>
      </c>
      <c r="T74" s="77">
        <f>MAX(Table2[[#This Row],[soc-sbmu1]:[soc-sbmu5]])-MIN(Table2[[#This Row],[soc-sbmu1]:[soc-sbmu5]])</f>
        <v>1.7999999999999972</v>
      </c>
      <c r="U74" s="77"/>
      <c r="V74" s="77"/>
    </row>
    <row r="75" spans="1:22">
      <c r="A75" t="s">
        <v>224</v>
      </c>
      <c r="B75" t="s">
        <v>435</v>
      </c>
      <c r="C75" s="77">
        <v>99.8</v>
      </c>
      <c r="D75" s="77">
        <v>1384.8</v>
      </c>
      <c r="E75" s="77">
        <v>99.9</v>
      </c>
      <c r="F75" s="77">
        <v>99.9</v>
      </c>
      <c r="G75" s="77">
        <v>99.9</v>
      </c>
      <c r="H75" s="77">
        <v>99.9</v>
      </c>
      <c r="I75" s="77">
        <v>99.7</v>
      </c>
      <c r="J75" s="85">
        <v>1386.3</v>
      </c>
      <c r="K75" s="85">
        <v>1384.3</v>
      </c>
      <c r="L75" s="85">
        <v>1384</v>
      </c>
      <c r="M75" s="85">
        <v>1384.8</v>
      </c>
      <c r="N75" s="85">
        <v>1385.3</v>
      </c>
      <c r="O75" s="77">
        <v>0</v>
      </c>
      <c r="P75" s="77">
        <v>0</v>
      </c>
      <c r="Q75" s="77">
        <v>2</v>
      </c>
      <c r="R75" s="77">
        <v>31</v>
      </c>
      <c r="S75" s="77">
        <f>_xlfn.STDEV.P(Table2[[#This Row],[volt-sbmu1]:[volt-sbmu5]])</f>
        <v>0.81141851100402118</v>
      </c>
      <c r="T75" s="77">
        <f>MAX(Table2[[#This Row],[soc-sbmu1]:[soc-sbmu5]])-MIN(Table2[[#This Row],[soc-sbmu1]:[soc-sbmu5]])</f>
        <v>0.20000000000000284</v>
      </c>
      <c r="U75" s="77"/>
      <c r="V75" s="77"/>
    </row>
    <row r="76" spans="1:22">
      <c r="A76" t="s">
        <v>225</v>
      </c>
      <c r="B76" t="s">
        <v>434</v>
      </c>
      <c r="C76" s="77">
        <v>99.8</v>
      </c>
      <c r="D76" s="77">
        <v>1384.6</v>
      </c>
      <c r="E76" s="77">
        <v>99.9</v>
      </c>
      <c r="F76" s="77">
        <v>99.6</v>
      </c>
      <c r="G76" s="77">
        <v>99.2</v>
      </c>
      <c r="H76" s="77">
        <v>99.9</v>
      </c>
      <c r="I76" s="77">
        <v>99.9</v>
      </c>
      <c r="J76" s="85">
        <v>1383.7</v>
      </c>
      <c r="K76" s="85">
        <v>1384.1</v>
      </c>
      <c r="L76" s="85">
        <v>1384.5</v>
      </c>
      <c r="M76" s="85">
        <v>1384.1</v>
      </c>
      <c r="N76" s="85">
        <v>1384.9</v>
      </c>
      <c r="O76" s="77">
        <v>0</v>
      </c>
      <c r="P76" s="77">
        <v>0</v>
      </c>
      <c r="Q76" s="77">
        <v>2</v>
      </c>
      <c r="R76" s="77">
        <v>30</v>
      </c>
      <c r="S76" s="77">
        <f>_xlfn.STDEV.P(Table2[[#This Row],[volt-sbmu1]:[volt-sbmu5]])</f>
        <v>0.40792156108745314</v>
      </c>
      <c r="T76" s="77">
        <f>MAX(Table2[[#This Row],[soc-sbmu1]:[soc-sbmu5]])-MIN(Table2[[#This Row],[soc-sbmu1]:[soc-sbmu5]])</f>
        <v>0.70000000000000284</v>
      </c>
      <c r="U76" s="77"/>
      <c r="V76" s="77"/>
    </row>
    <row r="77" spans="1:22">
      <c r="A77" t="s">
        <v>226</v>
      </c>
      <c r="B77" t="s">
        <v>433</v>
      </c>
      <c r="C77" s="77">
        <v>99.7</v>
      </c>
      <c r="D77" s="77">
        <v>1388.2</v>
      </c>
      <c r="E77" s="77">
        <v>99.7</v>
      </c>
      <c r="F77" s="77">
        <v>99.8</v>
      </c>
      <c r="G77" s="77">
        <v>99.8</v>
      </c>
      <c r="H77" s="77">
        <v>99.8</v>
      </c>
      <c r="I77" s="77">
        <v>99.7</v>
      </c>
      <c r="J77" s="85">
        <v>1388.5</v>
      </c>
      <c r="K77" s="85">
        <v>1388.1</v>
      </c>
      <c r="L77" s="85">
        <v>1388.5</v>
      </c>
      <c r="M77" s="85">
        <v>1388.8</v>
      </c>
      <c r="N77" s="85">
        <v>1387.8</v>
      </c>
      <c r="O77" s="77">
        <v>0</v>
      </c>
      <c r="P77" s="77">
        <v>0</v>
      </c>
      <c r="Q77" s="77">
        <v>2</v>
      </c>
      <c r="R77" s="77">
        <v>30</v>
      </c>
      <c r="S77" s="77">
        <f>_xlfn.STDEV.P(Table2[[#This Row],[volt-sbmu1]:[volt-sbmu5]])</f>
        <v>0.34985711369073258</v>
      </c>
      <c r="T77" s="77">
        <f>MAX(Table2[[#This Row],[soc-sbmu1]:[soc-sbmu5]])-MIN(Table2[[#This Row],[soc-sbmu1]:[soc-sbmu5]])</f>
        <v>9.9999999999994316E-2</v>
      </c>
      <c r="U77" s="77"/>
      <c r="V77" s="77"/>
    </row>
    <row r="78" spans="1:22">
      <c r="A78" t="s">
        <v>227</v>
      </c>
      <c r="B78" t="s">
        <v>432</v>
      </c>
      <c r="C78" s="77">
        <v>99.7</v>
      </c>
      <c r="D78" s="77">
        <v>1389.3</v>
      </c>
      <c r="E78" s="77">
        <v>99.8</v>
      </c>
      <c r="F78" s="77">
        <v>99.7</v>
      </c>
      <c r="G78" s="77">
        <v>99.8</v>
      </c>
      <c r="H78" s="77">
        <v>99.7</v>
      </c>
      <c r="I78" s="77">
        <v>99.8</v>
      </c>
      <c r="J78" s="85">
        <v>1388.9</v>
      </c>
      <c r="K78" s="85">
        <v>1391.4</v>
      </c>
      <c r="L78" s="85">
        <v>1388.2</v>
      </c>
      <c r="M78" s="85">
        <v>1388.8</v>
      </c>
      <c r="N78" s="85">
        <v>1389.9</v>
      </c>
      <c r="O78" s="77">
        <v>0</v>
      </c>
      <c r="P78" s="77">
        <v>0</v>
      </c>
      <c r="Q78" s="77">
        <v>2</v>
      </c>
      <c r="R78" s="77">
        <v>32</v>
      </c>
      <c r="S78" s="77">
        <f>_xlfn.STDEV.P(Table2[[#This Row],[volt-sbmu1]:[volt-sbmu5]])</f>
        <v>1.1217842929904382</v>
      </c>
      <c r="T78" s="77">
        <f>MAX(Table2[[#This Row],[soc-sbmu1]:[soc-sbmu5]])-MIN(Table2[[#This Row],[soc-sbmu1]:[soc-sbmu5]])</f>
        <v>9.9999999999994316E-2</v>
      </c>
      <c r="U78" s="77"/>
      <c r="V78" s="77"/>
    </row>
    <row r="79" spans="1:22">
      <c r="A79" t="s">
        <v>228</v>
      </c>
      <c r="B79" t="s">
        <v>511</v>
      </c>
      <c r="C79" s="77">
        <v>85.6</v>
      </c>
      <c r="D79" s="77">
        <v>1393.1</v>
      </c>
      <c r="E79" s="77">
        <v>85.5</v>
      </c>
      <c r="F79" s="77">
        <v>84.8</v>
      </c>
      <c r="G79" s="77">
        <v>84.5</v>
      </c>
      <c r="H79" s="77">
        <v>85.6</v>
      </c>
      <c r="I79" s="77">
        <v>85.9</v>
      </c>
      <c r="J79" s="85">
        <v>1393.7</v>
      </c>
      <c r="K79" s="85">
        <v>1392.5</v>
      </c>
      <c r="L79" s="85">
        <v>1392.3</v>
      </c>
      <c r="M79" s="85">
        <v>1394.6</v>
      </c>
      <c r="N79" s="85">
        <v>1392.3</v>
      </c>
      <c r="O79" s="77">
        <v>0</v>
      </c>
      <c r="P79" s="77">
        <v>0</v>
      </c>
      <c r="Q79" s="77">
        <v>1</v>
      </c>
      <c r="R79" s="77">
        <v>32</v>
      </c>
      <c r="S79" s="77">
        <f>_xlfn.STDEV.P(Table2[[#This Row],[volt-sbmu1]:[volt-sbmu5]])</f>
        <v>0.92173748974422454</v>
      </c>
      <c r="T79" s="77">
        <f>MAX(Table2[[#This Row],[soc-sbmu1]:[soc-sbmu5]])-MIN(Table2[[#This Row],[soc-sbmu1]:[soc-sbmu5]])</f>
        <v>1.4000000000000057</v>
      </c>
      <c r="U79" s="77"/>
      <c r="V79" s="77"/>
    </row>
    <row r="80" spans="1:22">
      <c r="A80" t="s">
        <v>229</v>
      </c>
      <c r="B80" t="s">
        <v>512</v>
      </c>
      <c r="C80" s="77">
        <v>85.6</v>
      </c>
      <c r="D80" s="77">
        <v>1392</v>
      </c>
      <c r="E80" s="77">
        <v>85.8</v>
      </c>
      <c r="F80" s="77">
        <v>85.3</v>
      </c>
      <c r="G80" s="77">
        <v>85.8</v>
      </c>
      <c r="H80" s="77">
        <v>85.1</v>
      </c>
      <c r="I80" s="77">
        <v>85.7</v>
      </c>
      <c r="J80" s="85">
        <v>1392.6</v>
      </c>
      <c r="K80" s="85">
        <v>1391.8</v>
      </c>
      <c r="L80" s="85">
        <v>1391.9</v>
      </c>
      <c r="M80" s="85">
        <v>1392.9</v>
      </c>
      <c r="N80" s="85">
        <v>1391.4</v>
      </c>
      <c r="O80" s="77">
        <v>0</v>
      </c>
      <c r="P80" s="77">
        <v>0</v>
      </c>
      <c r="Q80" s="77">
        <v>1</v>
      </c>
      <c r="R80" s="77">
        <v>33</v>
      </c>
      <c r="S80" s="77">
        <f>_xlfn.STDEV.P(Table2[[#This Row],[volt-sbmu1]:[volt-sbmu5]])</f>
        <v>0.54918120870982334</v>
      </c>
      <c r="T80" s="77">
        <f>MAX(Table2[[#This Row],[soc-sbmu1]:[soc-sbmu5]])-MIN(Table2[[#This Row],[soc-sbmu1]:[soc-sbmu5]])</f>
        <v>0.70000000000000284</v>
      </c>
      <c r="U80" s="77"/>
      <c r="V80" s="77"/>
    </row>
    <row r="81" spans="1:22">
      <c r="A81" t="s">
        <v>230</v>
      </c>
      <c r="B81" t="s">
        <v>513</v>
      </c>
      <c r="C81" s="77">
        <v>85.7</v>
      </c>
      <c r="D81" s="77">
        <v>1393</v>
      </c>
      <c r="E81" s="77">
        <v>85.5</v>
      </c>
      <c r="F81" s="77">
        <v>85.9</v>
      </c>
      <c r="G81" s="77">
        <v>84.8</v>
      </c>
      <c r="H81" s="77">
        <v>85.6</v>
      </c>
      <c r="I81" s="77">
        <v>85.4</v>
      </c>
      <c r="J81" s="85">
        <v>1394.4</v>
      </c>
      <c r="K81" s="85">
        <v>1392.4</v>
      </c>
      <c r="L81" s="85">
        <v>1393.8</v>
      </c>
      <c r="M81" s="85">
        <v>1391.8</v>
      </c>
      <c r="N81" s="85">
        <v>1391.4</v>
      </c>
      <c r="O81" s="77">
        <v>0</v>
      </c>
      <c r="P81" s="77">
        <v>0</v>
      </c>
      <c r="Q81" s="77">
        <v>1</v>
      </c>
      <c r="R81" s="77">
        <v>33</v>
      </c>
      <c r="S81" s="77">
        <f>_xlfn.STDEV.P(Table2[[#This Row],[volt-sbmu1]:[volt-sbmu5]])</f>
        <v>1.1551623262554902</v>
      </c>
      <c r="T81" s="77">
        <f>MAX(Table2[[#This Row],[soc-sbmu1]:[soc-sbmu5]])-MIN(Table2[[#This Row],[soc-sbmu1]:[soc-sbmu5]])</f>
        <v>1.1000000000000085</v>
      </c>
      <c r="U81" s="77"/>
      <c r="V81" s="77"/>
    </row>
    <row r="82" spans="1:22">
      <c r="A82" t="s">
        <v>231</v>
      </c>
      <c r="B82" t="s">
        <v>514</v>
      </c>
      <c r="C82" s="77">
        <v>85.6</v>
      </c>
      <c r="D82" s="77">
        <v>1393</v>
      </c>
      <c r="E82" s="77">
        <v>85.7</v>
      </c>
      <c r="F82" s="77">
        <v>85.7</v>
      </c>
      <c r="G82" s="77">
        <v>85.4</v>
      </c>
      <c r="H82" s="77">
        <v>85.6</v>
      </c>
      <c r="I82" s="77">
        <v>85.7</v>
      </c>
      <c r="J82" s="85">
        <v>1393</v>
      </c>
      <c r="K82" s="85">
        <v>1392.9</v>
      </c>
      <c r="L82" s="85">
        <v>1394.1</v>
      </c>
      <c r="M82" s="85">
        <v>1392.8</v>
      </c>
      <c r="N82" s="85">
        <v>1393.3</v>
      </c>
      <c r="O82" s="77">
        <v>0</v>
      </c>
      <c r="P82" s="77">
        <v>0</v>
      </c>
      <c r="Q82" s="77">
        <v>1</v>
      </c>
      <c r="R82" s="77">
        <v>36</v>
      </c>
      <c r="S82" s="77">
        <f>_xlfn.STDEV.P(Table2[[#This Row],[volt-sbmu1]:[volt-sbmu5]])</f>
        <v>0.470744091837553</v>
      </c>
      <c r="T82" s="77">
        <f>MAX(Table2[[#This Row],[soc-sbmu1]:[soc-sbmu5]])-MIN(Table2[[#This Row],[soc-sbmu1]:[soc-sbmu5]])</f>
        <v>0.29999999999999716</v>
      </c>
      <c r="U82" s="77"/>
      <c r="V82" s="77"/>
    </row>
    <row r="83" spans="1:22">
      <c r="A83" t="s">
        <v>232</v>
      </c>
      <c r="B83" t="s">
        <v>515</v>
      </c>
      <c r="C83" s="77">
        <v>99.6</v>
      </c>
      <c r="D83" s="77">
        <v>1385.5</v>
      </c>
      <c r="E83" s="77">
        <v>99.7</v>
      </c>
      <c r="F83" s="77">
        <v>99.6</v>
      </c>
      <c r="G83" s="77">
        <v>99.6</v>
      </c>
      <c r="H83" s="77">
        <v>99.6</v>
      </c>
      <c r="I83" s="77">
        <v>99.6</v>
      </c>
      <c r="J83" s="85">
        <v>1386</v>
      </c>
      <c r="K83" s="85">
        <v>1384</v>
      </c>
      <c r="L83" s="85">
        <v>1385.5</v>
      </c>
      <c r="M83" s="85">
        <v>1384.4</v>
      </c>
      <c r="N83" s="85">
        <v>1385.5</v>
      </c>
      <c r="O83" s="77">
        <v>0</v>
      </c>
      <c r="P83" s="77">
        <v>0</v>
      </c>
      <c r="Q83" s="77">
        <v>2</v>
      </c>
      <c r="R83" s="77">
        <v>31</v>
      </c>
      <c r="S83" s="77">
        <f>_xlfn.STDEV.P(Table2[[#This Row],[volt-sbmu1]:[volt-sbmu5]])</f>
        <v>0.75206382707851016</v>
      </c>
      <c r="T83" s="77">
        <f>MAX(Table2[[#This Row],[soc-sbmu1]:[soc-sbmu5]])-MIN(Table2[[#This Row],[soc-sbmu1]:[soc-sbmu5]])</f>
        <v>0.10000000000000853</v>
      </c>
      <c r="U83" s="77"/>
      <c r="V83" s="77"/>
    </row>
    <row r="84" spans="1:22">
      <c r="A84" t="s">
        <v>233</v>
      </c>
      <c r="B84" t="s">
        <v>516</v>
      </c>
      <c r="C84" s="77">
        <v>99.5</v>
      </c>
      <c r="D84" s="77">
        <v>1385</v>
      </c>
      <c r="E84" s="77">
        <v>99.5</v>
      </c>
      <c r="F84" s="77">
        <v>99.6</v>
      </c>
      <c r="G84" s="77">
        <v>99.5</v>
      </c>
      <c r="H84" s="77">
        <v>99.5</v>
      </c>
      <c r="I84" s="77">
        <v>99.6</v>
      </c>
      <c r="J84" s="85">
        <v>1385.3</v>
      </c>
      <c r="K84" s="85">
        <v>1385.5</v>
      </c>
      <c r="L84" s="85">
        <v>1384</v>
      </c>
      <c r="M84" s="85">
        <v>1384.7</v>
      </c>
      <c r="N84" s="85">
        <v>1385.3</v>
      </c>
      <c r="O84" s="77">
        <v>0</v>
      </c>
      <c r="P84" s="77">
        <v>0</v>
      </c>
      <c r="Q84" s="77">
        <v>2</v>
      </c>
      <c r="R84" s="77">
        <v>31</v>
      </c>
      <c r="S84" s="77">
        <f>_xlfn.STDEV.P(Table2[[#This Row],[volt-sbmu1]:[volt-sbmu5]])</f>
        <v>0.54990908339468525</v>
      </c>
      <c r="T84" s="77">
        <f>MAX(Table2[[#This Row],[soc-sbmu1]:[soc-sbmu5]])-MIN(Table2[[#This Row],[soc-sbmu1]:[soc-sbmu5]])</f>
        <v>9.9999999999994316E-2</v>
      </c>
      <c r="U84" s="77"/>
      <c r="V84" s="77"/>
    </row>
    <row r="85" spans="1:22">
      <c r="A85" t="s">
        <v>234</v>
      </c>
      <c r="B85" t="s">
        <v>517</v>
      </c>
      <c r="C85" s="77">
        <v>99.7</v>
      </c>
      <c r="D85" s="77">
        <v>1386.1</v>
      </c>
      <c r="E85" s="77">
        <v>99.6</v>
      </c>
      <c r="F85" s="77">
        <v>99.5</v>
      </c>
      <c r="G85" s="77">
        <v>99.6</v>
      </c>
      <c r="H85" s="77">
        <v>99.8</v>
      </c>
      <c r="I85" s="77">
        <v>99.5</v>
      </c>
      <c r="J85" s="85">
        <v>1386.1</v>
      </c>
      <c r="K85" s="85">
        <v>1386.5</v>
      </c>
      <c r="L85" s="85">
        <v>1386</v>
      </c>
      <c r="M85" s="85">
        <v>1384.5</v>
      </c>
      <c r="N85" s="85">
        <v>1386.6</v>
      </c>
      <c r="O85" s="77">
        <v>0</v>
      </c>
      <c r="P85" s="77">
        <v>0</v>
      </c>
      <c r="Q85" s="77">
        <v>2</v>
      </c>
      <c r="R85" s="77">
        <v>31</v>
      </c>
      <c r="S85" s="77">
        <f>_xlfn.STDEV.P(Table2[[#This Row],[volt-sbmu1]:[volt-sbmu5]])</f>
        <v>0.75524830353994854</v>
      </c>
      <c r="T85" s="77">
        <f>MAX(Table2[[#This Row],[soc-sbmu1]:[soc-sbmu5]])-MIN(Table2[[#This Row],[soc-sbmu1]:[soc-sbmu5]])</f>
        <v>0.29999999999999716</v>
      </c>
      <c r="U85" s="77"/>
      <c r="V85" s="77"/>
    </row>
    <row r="86" spans="1:22">
      <c r="A86" t="s">
        <v>235</v>
      </c>
      <c r="B86" t="s">
        <v>518</v>
      </c>
      <c r="C86" s="77">
        <v>99.7</v>
      </c>
      <c r="D86" s="77">
        <v>1384.9</v>
      </c>
      <c r="E86" s="77">
        <v>99.3</v>
      </c>
      <c r="F86" s="77">
        <v>99.5</v>
      </c>
      <c r="G86" s="77">
        <v>99.3</v>
      </c>
      <c r="H86" s="77">
        <v>99.7</v>
      </c>
      <c r="I86" s="77">
        <v>99.8</v>
      </c>
      <c r="J86" s="85">
        <v>1383.8</v>
      </c>
      <c r="K86" s="85">
        <v>1386.5</v>
      </c>
      <c r="L86" s="85">
        <v>1384.9</v>
      </c>
      <c r="M86" s="85">
        <v>1383.2</v>
      </c>
      <c r="N86" s="85">
        <v>1386.2</v>
      </c>
      <c r="O86" s="77">
        <v>0</v>
      </c>
      <c r="P86" s="77">
        <v>0</v>
      </c>
      <c r="Q86" s="77">
        <v>2</v>
      </c>
      <c r="R86" s="77">
        <v>32</v>
      </c>
      <c r="S86" s="77">
        <f>_xlfn.STDEV.P(Table2[[#This Row],[volt-sbmu1]:[volt-sbmu5]])</f>
        <v>1.2921300244170519</v>
      </c>
      <c r="T86" s="77">
        <f>MAX(Table2[[#This Row],[soc-sbmu1]:[soc-sbmu5]])-MIN(Table2[[#This Row],[soc-sbmu1]:[soc-sbmu5]])</f>
        <v>0.5</v>
      </c>
      <c r="U86" s="77"/>
      <c r="V86" s="77"/>
    </row>
    <row r="87" spans="1:22">
      <c r="A87" t="s">
        <v>236</v>
      </c>
      <c r="B87" t="s">
        <v>519</v>
      </c>
      <c r="C87" s="77">
        <v>85.9</v>
      </c>
      <c r="D87" s="77">
        <v>1391.7</v>
      </c>
      <c r="E87" s="77">
        <v>84.9</v>
      </c>
      <c r="F87" s="77">
        <v>86.2</v>
      </c>
      <c r="G87" s="77">
        <v>84.9</v>
      </c>
      <c r="H87" s="77">
        <v>84.3</v>
      </c>
      <c r="I87" s="77">
        <v>84.7</v>
      </c>
      <c r="J87" s="85">
        <v>1391.9</v>
      </c>
      <c r="K87" s="85">
        <v>1392.1</v>
      </c>
      <c r="L87" s="85">
        <v>1391.3</v>
      </c>
      <c r="M87" s="85">
        <v>1391.9</v>
      </c>
      <c r="N87" s="85">
        <v>1392.3</v>
      </c>
      <c r="O87" s="77">
        <v>0</v>
      </c>
      <c r="P87" s="77">
        <v>0</v>
      </c>
      <c r="Q87" s="77">
        <v>1</v>
      </c>
      <c r="R87" s="77">
        <v>33</v>
      </c>
      <c r="S87" s="77">
        <f>_xlfn.STDEV.P(Table2[[#This Row],[volt-sbmu1]:[volt-sbmu5]])</f>
        <v>0.33466401061362477</v>
      </c>
      <c r="T87" s="77">
        <f>MAX(Table2[[#This Row],[soc-sbmu1]:[soc-sbmu5]])-MIN(Table2[[#This Row],[soc-sbmu1]:[soc-sbmu5]])</f>
        <v>1.9000000000000057</v>
      </c>
      <c r="U87" s="77"/>
      <c r="V87" s="77"/>
    </row>
    <row r="88" spans="1:22">
      <c r="A88" t="s">
        <v>237</v>
      </c>
      <c r="B88" t="s">
        <v>520</v>
      </c>
      <c r="C88" s="77">
        <v>85.7</v>
      </c>
      <c r="D88" s="77">
        <v>1393.3</v>
      </c>
      <c r="E88" s="77">
        <v>86</v>
      </c>
      <c r="F88" s="77">
        <v>84.2</v>
      </c>
      <c r="G88" s="77">
        <v>84.8</v>
      </c>
      <c r="H88" s="77">
        <v>84.7</v>
      </c>
      <c r="I88" s="77">
        <v>85.3</v>
      </c>
      <c r="J88" s="85">
        <v>1392.2</v>
      </c>
      <c r="K88" s="85">
        <v>1393.6</v>
      </c>
      <c r="L88" s="85">
        <v>1391.9</v>
      </c>
      <c r="M88" s="85">
        <v>1393.3</v>
      </c>
      <c r="N88" s="85">
        <v>1394.9</v>
      </c>
      <c r="O88" s="77">
        <v>0</v>
      </c>
      <c r="P88" s="77">
        <v>0</v>
      </c>
      <c r="Q88" s="77">
        <v>1</v>
      </c>
      <c r="R88" s="77">
        <v>33</v>
      </c>
      <c r="S88" s="77">
        <f>_xlfn.STDEV.P(Table2[[#This Row],[volt-sbmu1]:[volt-sbmu5]])</f>
        <v>1.0721940122944078</v>
      </c>
      <c r="T88" s="77">
        <f>MAX(Table2[[#This Row],[soc-sbmu1]:[soc-sbmu5]])-MIN(Table2[[#This Row],[soc-sbmu1]:[soc-sbmu5]])</f>
        <v>1.7999999999999972</v>
      </c>
      <c r="U88" s="77"/>
      <c r="V88" s="77"/>
    </row>
    <row r="89" spans="1:22">
      <c r="A89" t="s">
        <v>238</v>
      </c>
      <c r="B89" t="s">
        <v>521</v>
      </c>
      <c r="C89" s="77">
        <v>85.6</v>
      </c>
      <c r="D89" s="77">
        <v>1393.7</v>
      </c>
      <c r="E89" s="77">
        <v>85.7</v>
      </c>
      <c r="F89" s="77">
        <v>85.2</v>
      </c>
      <c r="G89" s="77">
        <v>85.6</v>
      </c>
      <c r="H89" s="77">
        <v>85.4</v>
      </c>
      <c r="I89" s="77">
        <v>85.1</v>
      </c>
      <c r="J89" s="85">
        <v>1393.4</v>
      </c>
      <c r="K89" s="85">
        <v>1394.2</v>
      </c>
      <c r="L89" s="85">
        <v>1393.7</v>
      </c>
      <c r="M89" s="85">
        <v>1393.4</v>
      </c>
      <c r="N89" s="85">
        <v>1394.4</v>
      </c>
      <c r="O89" s="77">
        <v>0</v>
      </c>
      <c r="P89" s="77">
        <v>0</v>
      </c>
      <c r="Q89" s="77">
        <v>1</v>
      </c>
      <c r="R89" s="77">
        <v>33</v>
      </c>
      <c r="S89" s="77">
        <f>_xlfn.STDEV.P(Table2[[#This Row],[volt-sbmu1]:[volt-sbmu5]])</f>
        <v>0.41182520563947428</v>
      </c>
      <c r="T89" s="77">
        <f>MAX(Table2[[#This Row],[soc-sbmu1]:[soc-sbmu5]])-MIN(Table2[[#This Row],[soc-sbmu1]:[soc-sbmu5]])</f>
        <v>0.60000000000000853</v>
      </c>
      <c r="U89" s="77"/>
      <c r="V89" s="77"/>
    </row>
    <row r="90" spans="1:22">
      <c r="A90" t="s">
        <v>239</v>
      </c>
      <c r="B90" t="s">
        <v>522</v>
      </c>
      <c r="C90" s="77">
        <v>85.7</v>
      </c>
      <c r="D90" s="77">
        <v>1393</v>
      </c>
      <c r="E90" s="77">
        <v>86</v>
      </c>
      <c r="F90" s="77">
        <v>85.8</v>
      </c>
      <c r="G90" s="77">
        <v>85.6</v>
      </c>
      <c r="H90" s="77">
        <v>84.3</v>
      </c>
      <c r="I90" s="77">
        <v>84.8</v>
      </c>
      <c r="J90" s="85">
        <v>1393.3</v>
      </c>
      <c r="K90" s="85">
        <v>1393.5</v>
      </c>
      <c r="L90" s="85">
        <v>1393.4</v>
      </c>
      <c r="M90" s="85">
        <v>1392.7</v>
      </c>
      <c r="N90" s="85">
        <v>1394.1</v>
      </c>
      <c r="O90" s="77">
        <v>0</v>
      </c>
      <c r="P90" s="77">
        <v>0</v>
      </c>
      <c r="Q90" s="77">
        <v>1</v>
      </c>
      <c r="R90" s="77">
        <v>36</v>
      </c>
      <c r="S90" s="77">
        <f>_xlfn.STDEV.P(Table2[[#This Row],[volt-sbmu1]:[volt-sbmu5]])</f>
        <v>0.44721359549991729</v>
      </c>
      <c r="T90" s="77">
        <f>MAX(Table2[[#This Row],[soc-sbmu1]:[soc-sbmu5]])-MIN(Table2[[#This Row],[soc-sbmu1]:[soc-sbmu5]])</f>
        <v>1.7000000000000028</v>
      </c>
      <c r="U90" s="77"/>
      <c r="V90" s="77"/>
    </row>
    <row r="91" spans="1:22">
      <c r="A91" t="s">
        <v>240</v>
      </c>
      <c r="B91" t="s">
        <v>523</v>
      </c>
      <c r="C91" s="77">
        <v>79.599999999999994</v>
      </c>
      <c r="D91" s="77">
        <v>1392.9</v>
      </c>
      <c r="E91" s="77">
        <v>80</v>
      </c>
      <c r="F91" s="77">
        <v>78.900000000000006</v>
      </c>
      <c r="G91" s="77">
        <v>79.400000000000006</v>
      </c>
      <c r="H91" s="77">
        <v>78.099999999999994</v>
      </c>
      <c r="I91" s="77">
        <v>78.2</v>
      </c>
      <c r="J91" s="85">
        <v>1393.3</v>
      </c>
      <c r="K91" s="85">
        <v>1394.3</v>
      </c>
      <c r="L91" s="85">
        <v>1393.7</v>
      </c>
      <c r="M91" s="85">
        <v>1393.3</v>
      </c>
      <c r="N91" s="85">
        <v>1391.5</v>
      </c>
      <c r="O91" s="77">
        <v>0</v>
      </c>
      <c r="P91" s="77">
        <v>0</v>
      </c>
      <c r="Q91" s="77">
        <v>1</v>
      </c>
      <c r="R91" s="77">
        <v>31</v>
      </c>
      <c r="S91" s="77">
        <f>_xlfn.STDEV.P(Table2[[#This Row],[volt-sbmu1]:[volt-sbmu5]])</f>
        <v>0.93466571564382639</v>
      </c>
      <c r="T91" s="77">
        <f>MAX(Table2[[#This Row],[soc-sbmu1]:[soc-sbmu5]])-MIN(Table2[[#This Row],[soc-sbmu1]:[soc-sbmu5]])</f>
        <v>1.9000000000000057</v>
      </c>
      <c r="U91" s="77"/>
      <c r="V91" s="77"/>
    </row>
    <row r="92" spans="1:22">
      <c r="A92" t="s">
        <v>241</v>
      </c>
      <c r="B92" t="s">
        <v>524</v>
      </c>
      <c r="C92" s="77">
        <v>99.6</v>
      </c>
      <c r="D92" s="77">
        <v>1384.3</v>
      </c>
      <c r="E92" s="77">
        <v>99.6</v>
      </c>
      <c r="F92" s="77">
        <v>99.6</v>
      </c>
      <c r="G92" s="77">
        <v>99.7</v>
      </c>
      <c r="H92" s="77">
        <v>99.7</v>
      </c>
      <c r="I92" s="77">
        <v>99.6</v>
      </c>
      <c r="J92" s="85">
        <v>1382.5</v>
      </c>
      <c r="K92" s="85">
        <v>1384.6</v>
      </c>
      <c r="L92" s="85">
        <v>1384.1</v>
      </c>
      <c r="M92" s="85">
        <v>1384.1</v>
      </c>
      <c r="N92" s="85">
        <v>1383.3</v>
      </c>
      <c r="O92" s="77">
        <v>0</v>
      </c>
      <c r="P92" s="77">
        <v>0</v>
      </c>
      <c r="Q92" s="77">
        <v>2</v>
      </c>
      <c r="R92" s="77">
        <v>31</v>
      </c>
      <c r="S92" s="77">
        <f>_xlfn.STDEV.P(Table2[[#This Row],[volt-sbmu1]:[volt-sbmu5]])</f>
        <v>0.73864741250474031</v>
      </c>
      <c r="T92" s="77">
        <f>MAX(Table2[[#This Row],[soc-sbmu1]:[soc-sbmu5]])-MIN(Table2[[#This Row],[soc-sbmu1]:[soc-sbmu5]])</f>
        <v>0.10000000000000853</v>
      </c>
      <c r="U92" s="77"/>
      <c r="V92" s="77"/>
    </row>
    <row r="93" spans="1:22">
      <c r="A93" t="s">
        <v>242</v>
      </c>
      <c r="B93" t="s">
        <v>525</v>
      </c>
      <c r="C93" s="77">
        <v>99.7</v>
      </c>
      <c r="D93" s="77">
        <v>1386.4</v>
      </c>
      <c r="E93" s="77">
        <v>99.7</v>
      </c>
      <c r="F93" s="77">
        <v>99.6</v>
      </c>
      <c r="G93" s="77">
        <v>99.8</v>
      </c>
      <c r="H93" s="77">
        <v>99.7</v>
      </c>
      <c r="I93" s="77">
        <v>99.7</v>
      </c>
      <c r="J93" s="85">
        <v>1386.1</v>
      </c>
      <c r="K93" s="85">
        <v>1385.7</v>
      </c>
      <c r="L93" s="85">
        <v>1386.2</v>
      </c>
      <c r="M93" s="85">
        <v>1387.4</v>
      </c>
      <c r="N93" s="85">
        <v>1386.6</v>
      </c>
      <c r="O93" s="77">
        <v>0</v>
      </c>
      <c r="P93" s="77">
        <v>0</v>
      </c>
      <c r="Q93" s="77">
        <v>2</v>
      </c>
      <c r="R93" s="77">
        <v>31</v>
      </c>
      <c r="S93" s="77">
        <f>_xlfn.STDEV.P(Table2[[#This Row],[volt-sbmu1]:[volt-sbmu5]])</f>
        <v>0.57619441163553786</v>
      </c>
      <c r="T93" s="77">
        <f>MAX(Table2[[#This Row],[soc-sbmu1]:[soc-sbmu5]])-MIN(Table2[[#This Row],[soc-sbmu1]:[soc-sbmu5]])</f>
        <v>0.20000000000000284</v>
      </c>
      <c r="U93" s="77"/>
      <c r="V93" s="77"/>
    </row>
    <row r="94" spans="1:22">
      <c r="A94" t="s">
        <v>243</v>
      </c>
      <c r="B94" t="s">
        <v>526</v>
      </c>
      <c r="C94" s="77">
        <v>80.099999999999994</v>
      </c>
      <c r="D94" s="77">
        <v>1392.6</v>
      </c>
      <c r="E94" s="77">
        <v>80.8</v>
      </c>
      <c r="F94" s="77">
        <v>76.599999999999994</v>
      </c>
      <c r="G94" s="77">
        <v>78.099999999999994</v>
      </c>
      <c r="H94" s="77">
        <v>81</v>
      </c>
      <c r="I94" s="77">
        <v>76.5</v>
      </c>
      <c r="J94" s="85">
        <v>1393</v>
      </c>
      <c r="K94" s="85">
        <v>1392.4</v>
      </c>
      <c r="L94" s="85">
        <v>1392.8</v>
      </c>
      <c r="M94" s="85">
        <v>1392.5</v>
      </c>
      <c r="N94" s="85">
        <v>1392.5</v>
      </c>
      <c r="O94" s="77">
        <v>0</v>
      </c>
      <c r="P94" s="77">
        <v>0</v>
      </c>
      <c r="Q94" s="77">
        <v>1</v>
      </c>
      <c r="R94" s="77">
        <v>32</v>
      </c>
      <c r="S94" s="77">
        <f>_xlfn.STDEV.P(Table2[[#This Row],[volt-sbmu1]:[volt-sbmu5]])</f>
        <v>0.22449944320641055</v>
      </c>
      <c r="T94" s="77">
        <f>MAX(Table2[[#This Row],[soc-sbmu1]:[soc-sbmu5]])-MIN(Table2[[#This Row],[soc-sbmu1]:[soc-sbmu5]])</f>
        <v>4.5</v>
      </c>
      <c r="U94" s="77"/>
      <c r="V94" s="77"/>
    </row>
    <row r="95" spans="1:22">
      <c r="A95" t="s">
        <v>244</v>
      </c>
      <c r="B95" t="s">
        <v>527</v>
      </c>
      <c r="C95" s="77">
        <v>85.5</v>
      </c>
      <c r="D95" s="77">
        <v>1391.7</v>
      </c>
      <c r="E95" s="77">
        <v>86.1</v>
      </c>
      <c r="F95" s="77">
        <v>85.4</v>
      </c>
      <c r="G95" s="77">
        <v>82.2</v>
      </c>
      <c r="H95" s="77">
        <v>85.5</v>
      </c>
      <c r="I95" s="77">
        <v>86.1</v>
      </c>
      <c r="J95" s="85">
        <v>1391.9</v>
      </c>
      <c r="K95" s="85">
        <v>1390.8</v>
      </c>
      <c r="L95" s="85">
        <v>1391.5</v>
      </c>
      <c r="M95" s="85">
        <v>1391.1</v>
      </c>
      <c r="N95" s="85">
        <v>1391.3</v>
      </c>
      <c r="O95" s="77">
        <v>0</v>
      </c>
      <c r="P95" s="77">
        <v>0</v>
      </c>
      <c r="Q95" s="77">
        <v>1</v>
      </c>
      <c r="R95" s="77">
        <v>33</v>
      </c>
      <c r="S95" s="77">
        <f>_xlfn.STDEV.P(Table2[[#This Row],[volt-sbmu1]:[volt-sbmu5]])</f>
        <v>0.37094473981988063</v>
      </c>
      <c r="T95" s="77">
        <f>MAX(Table2[[#This Row],[soc-sbmu1]:[soc-sbmu5]])-MIN(Table2[[#This Row],[soc-sbmu1]:[soc-sbmu5]])</f>
        <v>3.8999999999999915</v>
      </c>
      <c r="U95" s="77"/>
      <c r="V95" s="77"/>
    </row>
    <row r="96" spans="1:22">
      <c r="A96" t="s">
        <v>245</v>
      </c>
      <c r="B96" t="s">
        <v>528</v>
      </c>
      <c r="C96" s="77">
        <v>85.4</v>
      </c>
      <c r="D96" s="77">
        <v>1391.9</v>
      </c>
      <c r="E96" s="77">
        <v>85.6</v>
      </c>
      <c r="F96" s="77">
        <v>85.4</v>
      </c>
      <c r="G96" s="77">
        <v>85.4</v>
      </c>
      <c r="H96" s="77">
        <v>84.4</v>
      </c>
      <c r="I96" s="77">
        <v>85.1</v>
      </c>
      <c r="J96" s="85">
        <v>1390.6</v>
      </c>
      <c r="K96" s="85">
        <v>1392.4</v>
      </c>
      <c r="L96" s="85">
        <v>1391.2</v>
      </c>
      <c r="M96" s="85">
        <v>1392.8</v>
      </c>
      <c r="N96" s="85">
        <v>1392.4</v>
      </c>
      <c r="O96" s="77">
        <v>0</v>
      </c>
      <c r="P96" s="77">
        <v>0</v>
      </c>
      <c r="Q96" s="77">
        <v>1</v>
      </c>
      <c r="R96" s="77">
        <v>33</v>
      </c>
      <c r="S96" s="77">
        <f>_xlfn.STDEV.P(Table2[[#This Row],[volt-sbmu1]:[volt-sbmu5]])</f>
        <v>0.83522452071287712</v>
      </c>
      <c r="T96" s="77">
        <f>MAX(Table2[[#This Row],[soc-sbmu1]:[soc-sbmu5]])-MIN(Table2[[#This Row],[soc-sbmu1]:[soc-sbmu5]])</f>
        <v>1.1999999999999886</v>
      </c>
      <c r="U96" s="77"/>
      <c r="V96" s="77"/>
    </row>
    <row r="97" spans="1:22">
      <c r="A97" t="s">
        <v>246</v>
      </c>
      <c r="B97" t="s">
        <v>529</v>
      </c>
      <c r="C97" s="77">
        <v>85.7</v>
      </c>
      <c r="D97" s="77">
        <v>1392.2</v>
      </c>
      <c r="E97" s="77">
        <v>86</v>
      </c>
      <c r="F97" s="77">
        <v>85.2</v>
      </c>
      <c r="G97" s="77">
        <v>84.3</v>
      </c>
      <c r="H97" s="77">
        <v>85</v>
      </c>
      <c r="I97" s="77">
        <v>84.6</v>
      </c>
      <c r="J97" s="85">
        <v>1391.1</v>
      </c>
      <c r="K97" s="85">
        <v>1392.2</v>
      </c>
      <c r="L97" s="85">
        <v>1392.1</v>
      </c>
      <c r="M97" s="85">
        <v>1392.5</v>
      </c>
      <c r="N97" s="85">
        <v>1392.9</v>
      </c>
      <c r="O97" s="77">
        <v>0</v>
      </c>
      <c r="P97" s="77">
        <v>0</v>
      </c>
      <c r="Q97" s="77">
        <v>1</v>
      </c>
      <c r="R97" s="77">
        <v>33</v>
      </c>
      <c r="S97" s="77">
        <f>_xlfn.STDEV.P(Table2[[#This Row],[volt-sbmu1]:[volt-sbmu5]])</f>
        <v>0.59866518188388773</v>
      </c>
      <c r="T97" s="77">
        <f>MAX(Table2[[#This Row],[soc-sbmu1]:[soc-sbmu5]])-MIN(Table2[[#This Row],[soc-sbmu1]:[soc-sbmu5]])</f>
        <v>1.7000000000000028</v>
      </c>
      <c r="U97" s="77"/>
      <c r="V97" s="77"/>
    </row>
    <row r="98" spans="1:22">
      <c r="A98" t="s">
        <v>247</v>
      </c>
      <c r="B98" t="s">
        <v>530</v>
      </c>
      <c r="C98" s="77">
        <v>85.5</v>
      </c>
      <c r="D98" s="77">
        <v>1391.7</v>
      </c>
      <c r="E98" s="77">
        <v>85.1</v>
      </c>
      <c r="F98" s="77">
        <v>85</v>
      </c>
      <c r="G98" s="77">
        <v>85.7</v>
      </c>
      <c r="H98" s="77">
        <v>85.2</v>
      </c>
      <c r="I98" s="77">
        <v>84.9</v>
      </c>
      <c r="J98" s="85">
        <v>1391.9</v>
      </c>
      <c r="K98" s="85">
        <v>1392.3</v>
      </c>
      <c r="L98" s="85">
        <v>1392.2</v>
      </c>
      <c r="M98" s="85">
        <v>1391</v>
      </c>
      <c r="N98" s="85">
        <v>1391.4</v>
      </c>
      <c r="O98" s="77">
        <v>0</v>
      </c>
      <c r="P98" s="77">
        <v>0</v>
      </c>
      <c r="Q98" s="77">
        <v>1</v>
      </c>
      <c r="R98" s="77">
        <v>36</v>
      </c>
      <c r="S98" s="77">
        <f>_xlfn.STDEV.P(Table2[[#This Row],[volt-sbmu1]:[volt-sbmu5]])</f>
        <v>0.49234134500363691</v>
      </c>
      <c r="T98" s="77">
        <f>MAX(Table2[[#This Row],[soc-sbmu1]:[soc-sbmu5]])-MIN(Table2[[#This Row],[soc-sbmu1]:[soc-sbmu5]])</f>
        <v>0.79999999999999716</v>
      </c>
      <c r="U98" s="77"/>
      <c r="V98" s="77"/>
    </row>
    <row r="99" spans="1:22">
      <c r="A99" t="s">
        <v>248</v>
      </c>
      <c r="B99" t="s">
        <v>531</v>
      </c>
      <c r="C99" s="77">
        <v>83.4</v>
      </c>
      <c r="D99" s="77">
        <v>1392.4</v>
      </c>
      <c r="E99" s="77">
        <v>82.8</v>
      </c>
      <c r="F99" s="77">
        <v>82.7</v>
      </c>
      <c r="G99" s="77">
        <v>82.7</v>
      </c>
      <c r="H99" s="77">
        <v>83.6</v>
      </c>
      <c r="I99" s="77">
        <v>82.9</v>
      </c>
      <c r="J99" s="85">
        <v>1393.3</v>
      </c>
      <c r="K99" s="85">
        <v>1391</v>
      </c>
      <c r="L99" s="85">
        <v>1391.7</v>
      </c>
      <c r="M99" s="85">
        <v>1392.7</v>
      </c>
      <c r="N99" s="85">
        <v>1393</v>
      </c>
      <c r="O99" s="77">
        <v>0</v>
      </c>
      <c r="P99" s="77">
        <v>0</v>
      </c>
      <c r="Q99" s="77">
        <v>1</v>
      </c>
      <c r="R99" s="77">
        <v>31</v>
      </c>
      <c r="S99" s="77">
        <f>_xlfn.STDEV.P(Table2[[#This Row],[volt-sbmu1]:[volt-sbmu5]])</f>
        <v>0.85930204235762031</v>
      </c>
      <c r="T99" s="77">
        <f>MAX(Table2[[#This Row],[soc-sbmu1]:[soc-sbmu5]])-MIN(Table2[[#This Row],[soc-sbmu1]:[soc-sbmu5]])</f>
        <v>0.89999999999999147</v>
      </c>
      <c r="U99" s="77"/>
      <c r="V99" s="77"/>
    </row>
    <row r="100" spans="1:22">
      <c r="A100" t="s">
        <v>249</v>
      </c>
      <c r="B100" t="s">
        <v>532</v>
      </c>
      <c r="C100" s="77">
        <v>83.3</v>
      </c>
      <c r="D100" s="77">
        <v>1392.3</v>
      </c>
      <c r="E100" s="77">
        <v>83.3</v>
      </c>
      <c r="F100" s="77">
        <v>83.4</v>
      </c>
      <c r="G100" s="77">
        <v>83.4</v>
      </c>
      <c r="H100" s="77">
        <v>83</v>
      </c>
      <c r="I100" s="77">
        <v>83.4</v>
      </c>
      <c r="J100" s="85">
        <v>1393</v>
      </c>
      <c r="K100" s="85">
        <v>1392.4</v>
      </c>
      <c r="L100" s="85">
        <v>1391.5</v>
      </c>
      <c r="M100" s="85">
        <v>1391.6</v>
      </c>
      <c r="N100" s="85">
        <v>1392.8</v>
      </c>
      <c r="O100" s="77">
        <v>0</v>
      </c>
      <c r="P100" s="77">
        <v>0</v>
      </c>
      <c r="Q100" s="77">
        <v>1</v>
      </c>
      <c r="R100" s="77">
        <v>31</v>
      </c>
      <c r="S100" s="77">
        <f>_xlfn.STDEV.P(Table2[[#This Row],[volt-sbmu1]:[volt-sbmu5]])</f>
        <v>0.61188234163114996</v>
      </c>
      <c r="T100" s="77">
        <f>MAX(Table2[[#This Row],[soc-sbmu1]:[soc-sbmu5]])-MIN(Table2[[#This Row],[soc-sbmu1]:[soc-sbmu5]])</f>
        <v>0.40000000000000568</v>
      </c>
      <c r="U100" s="77"/>
      <c r="V100" s="77"/>
    </row>
    <row r="101" spans="1:22">
      <c r="A101" t="s">
        <v>250</v>
      </c>
      <c r="B101" t="s">
        <v>533</v>
      </c>
      <c r="C101" s="77">
        <v>83.3</v>
      </c>
      <c r="D101" s="77">
        <v>1392.1</v>
      </c>
      <c r="E101" s="77">
        <v>83.5</v>
      </c>
      <c r="F101" s="77">
        <v>83.1</v>
      </c>
      <c r="G101" s="77">
        <v>82.6</v>
      </c>
      <c r="H101" s="77">
        <v>83.1</v>
      </c>
      <c r="I101" s="77">
        <v>83.1</v>
      </c>
      <c r="J101" s="85">
        <v>1392.5</v>
      </c>
      <c r="K101" s="85">
        <v>1390.9</v>
      </c>
      <c r="L101" s="85">
        <v>1391.3</v>
      </c>
      <c r="M101" s="85">
        <v>1391.5</v>
      </c>
      <c r="N101" s="85">
        <v>1392.9</v>
      </c>
      <c r="O101" s="77">
        <v>0</v>
      </c>
      <c r="P101" s="77">
        <v>0</v>
      </c>
      <c r="Q101" s="77">
        <v>1</v>
      </c>
      <c r="R101" s="77">
        <v>32</v>
      </c>
      <c r="S101" s="77">
        <f>_xlfn.STDEV.P(Table2[[#This Row],[volt-sbmu1]:[volt-sbmu5]])</f>
        <v>0.75471849056453832</v>
      </c>
      <c r="T101" s="77">
        <f>MAX(Table2[[#This Row],[soc-sbmu1]:[soc-sbmu5]])-MIN(Table2[[#This Row],[soc-sbmu1]:[soc-sbmu5]])</f>
        <v>0.90000000000000568</v>
      </c>
      <c r="U101" s="77"/>
      <c r="V101" s="77"/>
    </row>
    <row r="102" spans="1:22">
      <c r="A102" t="s">
        <v>251</v>
      </c>
      <c r="B102" t="s">
        <v>534</v>
      </c>
      <c r="C102" s="77">
        <v>99.7</v>
      </c>
      <c r="D102" s="77">
        <v>1383.7</v>
      </c>
      <c r="E102" s="77">
        <v>99.7</v>
      </c>
      <c r="F102" s="77">
        <v>99.6</v>
      </c>
      <c r="G102" s="77">
        <v>99.6</v>
      </c>
      <c r="H102" s="77">
        <v>99.8</v>
      </c>
      <c r="I102" s="77">
        <v>99.5</v>
      </c>
      <c r="J102" s="85">
        <v>1385.1</v>
      </c>
      <c r="K102" s="85">
        <v>1383.2</v>
      </c>
      <c r="L102" s="85">
        <v>1384.1</v>
      </c>
      <c r="M102" s="85">
        <v>1383.9</v>
      </c>
      <c r="N102" s="85">
        <v>1383.2</v>
      </c>
      <c r="O102" s="77">
        <v>0</v>
      </c>
      <c r="P102" s="77">
        <v>0</v>
      </c>
      <c r="Q102" s="77">
        <v>2</v>
      </c>
      <c r="R102" s="77">
        <v>33</v>
      </c>
      <c r="S102" s="77">
        <f>_xlfn.STDEV.P(Table2[[#This Row],[volt-sbmu1]:[volt-sbmu5]])</f>
        <v>0.70142711666995283</v>
      </c>
      <c r="T102" s="77">
        <f>MAX(Table2[[#This Row],[soc-sbmu1]:[soc-sbmu5]])-MIN(Table2[[#This Row],[soc-sbmu1]:[soc-sbmu5]])</f>
        <v>0.29999999999999716</v>
      </c>
      <c r="U102" s="77"/>
      <c r="V102" s="77"/>
    </row>
    <row r="103" spans="1:22">
      <c r="A103" t="s">
        <v>252</v>
      </c>
      <c r="B103" t="s">
        <v>535</v>
      </c>
      <c r="C103" s="77">
        <v>99.8</v>
      </c>
      <c r="D103" s="77">
        <v>1391.7</v>
      </c>
      <c r="E103" s="77">
        <v>99.9</v>
      </c>
      <c r="F103" s="77">
        <v>99.7</v>
      </c>
      <c r="G103" s="77">
        <v>99.7</v>
      </c>
      <c r="H103" s="77">
        <v>99.7</v>
      </c>
      <c r="I103" s="77">
        <v>99.7</v>
      </c>
      <c r="J103" s="85">
        <v>1391.8</v>
      </c>
      <c r="K103" s="85">
        <v>1390.3</v>
      </c>
      <c r="L103" s="85">
        <v>1392.9</v>
      </c>
      <c r="M103" s="85">
        <v>1391.9</v>
      </c>
      <c r="N103" s="85">
        <v>1391.6</v>
      </c>
      <c r="O103" s="77">
        <v>0</v>
      </c>
      <c r="P103" s="77">
        <v>0</v>
      </c>
      <c r="Q103" s="77">
        <v>2</v>
      </c>
      <c r="R103" s="77">
        <v>33</v>
      </c>
      <c r="S103" s="77">
        <f>_xlfn.STDEV.P(Table2[[#This Row],[volt-sbmu1]:[volt-sbmu5]])</f>
        <v>0.83186537372346392</v>
      </c>
      <c r="T103" s="77">
        <f>MAX(Table2[[#This Row],[soc-sbmu1]:[soc-sbmu5]])-MIN(Table2[[#This Row],[soc-sbmu1]:[soc-sbmu5]])</f>
        <v>0.20000000000000284</v>
      </c>
      <c r="U103" s="77"/>
      <c r="V103" s="77"/>
    </row>
    <row r="104" spans="1:22">
      <c r="A104" t="s">
        <v>253</v>
      </c>
      <c r="B104" t="s">
        <v>536</v>
      </c>
      <c r="C104" s="77">
        <v>86.3</v>
      </c>
      <c r="D104" s="77">
        <v>0</v>
      </c>
      <c r="E104" s="77">
        <v>99.5</v>
      </c>
      <c r="F104" s="77">
        <v>99.7</v>
      </c>
      <c r="G104" s="77">
        <v>1.9</v>
      </c>
      <c r="H104" s="77">
        <v>99.7</v>
      </c>
      <c r="I104" s="77">
        <v>99.6</v>
      </c>
      <c r="J104" s="85">
        <v>1385.9</v>
      </c>
      <c r="K104" s="85">
        <v>1383.1</v>
      </c>
      <c r="L104" s="85">
        <v>1334.6</v>
      </c>
      <c r="M104" s="85">
        <v>1386.3</v>
      </c>
      <c r="N104" s="85">
        <v>1384.8</v>
      </c>
      <c r="O104" s="77">
        <v>0</v>
      </c>
      <c r="P104" s="77">
        <v>0</v>
      </c>
      <c r="Q104" s="77">
        <v>4</v>
      </c>
      <c r="R104" s="77">
        <v>32</v>
      </c>
      <c r="S104" s="77">
        <f>_xlfn.STDEV.P(Table2[[#This Row],[volt-sbmu1]:[volt-sbmu5]])</f>
        <v>20.200455440410277</v>
      </c>
      <c r="T104" s="77">
        <f>MAX(Table2[[#This Row],[soc-sbmu1]:[soc-sbmu5]])-MIN(Table2[[#This Row],[soc-sbmu1]:[soc-sbmu5]])</f>
        <v>97.8</v>
      </c>
      <c r="U104" s="77"/>
      <c r="V104" s="77"/>
    </row>
    <row r="105" spans="1:22">
      <c r="A105" t="s">
        <v>254</v>
      </c>
      <c r="B105" t="s">
        <v>537</v>
      </c>
      <c r="C105" s="77">
        <v>99.7</v>
      </c>
      <c r="D105" s="77">
        <v>1384.5</v>
      </c>
      <c r="E105" s="77">
        <v>99.5</v>
      </c>
      <c r="F105" s="77">
        <v>99.7</v>
      </c>
      <c r="G105" s="77">
        <v>99.8</v>
      </c>
      <c r="H105" s="77">
        <v>99.7</v>
      </c>
      <c r="I105" s="77">
        <v>99.3</v>
      </c>
      <c r="J105" s="85">
        <v>1384.5</v>
      </c>
      <c r="K105" s="85">
        <v>1384.6</v>
      </c>
      <c r="L105" s="85">
        <v>1384.3</v>
      </c>
      <c r="M105" s="85">
        <v>1385.2</v>
      </c>
      <c r="N105" s="85">
        <v>1384.8</v>
      </c>
      <c r="O105" s="77">
        <v>0</v>
      </c>
      <c r="P105" s="77">
        <v>0</v>
      </c>
      <c r="Q105" s="77">
        <v>2</v>
      </c>
      <c r="R105" s="77">
        <v>33</v>
      </c>
      <c r="S105" s="77">
        <f>_xlfn.STDEV.P(Table2[[#This Row],[volt-sbmu1]:[volt-sbmu5]])</f>
        <v>0.30594117081559508</v>
      </c>
      <c r="T105" s="77">
        <f>MAX(Table2[[#This Row],[soc-sbmu1]:[soc-sbmu5]])-MIN(Table2[[#This Row],[soc-sbmu1]:[soc-sbmu5]])</f>
        <v>0.5</v>
      </c>
      <c r="U105" s="77"/>
      <c r="V105" s="77"/>
    </row>
    <row r="106" spans="1:22">
      <c r="A106" t="s">
        <v>255</v>
      </c>
      <c r="B106" t="s">
        <v>538</v>
      </c>
      <c r="C106" s="77">
        <v>99.6</v>
      </c>
      <c r="D106" s="77">
        <v>1383.7</v>
      </c>
      <c r="E106" s="77">
        <v>99.4</v>
      </c>
      <c r="F106" s="77">
        <v>99.2</v>
      </c>
      <c r="G106" s="77">
        <v>99.3</v>
      </c>
      <c r="H106" s="77">
        <v>99.7</v>
      </c>
      <c r="I106" s="77">
        <v>99.7</v>
      </c>
      <c r="J106" s="85">
        <v>1383.2</v>
      </c>
      <c r="K106" s="85">
        <v>1384.4</v>
      </c>
      <c r="L106" s="85">
        <v>1383.9</v>
      </c>
      <c r="M106" s="85">
        <v>1383.9</v>
      </c>
      <c r="N106" s="85">
        <v>1383</v>
      </c>
      <c r="O106" s="77">
        <v>0</v>
      </c>
      <c r="P106" s="77">
        <v>0</v>
      </c>
      <c r="Q106" s="77">
        <v>2</v>
      </c>
      <c r="R106" s="77">
        <v>36</v>
      </c>
      <c r="S106" s="77">
        <f>_xlfn.STDEV.P(Table2[[#This Row],[volt-sbmu1]:[volt-sbmu5]])</f>
        <v>0.51146847410180962</v>
      </c>
      <c r="T106" s="77">
        <f>MAX(Table2[[#This Row],[soc-sbmu1]:[soc-sbmu5]])-MIN(Table2[[#This Row],[soc-sbmu1]:[soc-sbmu5]])</f>
        <v>0.5</v>
      </c>
      <c r="U106" s="77"/>
      <c r="V106" s="77"/>
    </row>
    <row r="107" spans="1:22">
      <c r="A107" t="s">
        <v>256</v>
      </c>
      <c r="B107" t="s">
        <v>539</v>
      </c>
      <c r="C107" s="77">
        <v>97</v>
      </c>
      <c r="D107" s="77">
        <v>1384.5</v>
      </c>
      <c r="E107" s="77">
        <v>96.9</v>
      </c>
      <c r="F107" s="77">
        <v>96.9</v>
      </c>
      <c r="G107" s="77">
        <v>96.9</v>
      </c>
      <c r="H107" s="77">
        <v>97.1</v>
      </c>
      <c r="I107" s="77">
        <v>96.9</v>
      </c>
      <c r="J107" s="85">
        <v>1385.4</v>
      </c>
      <c r="K107" s="85">
        <v>1384</v>
      </c>
      <c r="L107" s="85">
        <v>1385.8</v>
      </c>
      <c r="M107" s="85">
        <v>1384.6</v>
      </c>
      <c r="N107" s="85">
        <v>1383.3</v>
      </c>
      <c r="O107" s="77">
        <v>0</v>
      </c>
      <c r="P107" s="77">
        <v>0</v>
      </c>
      <c r="Q107" s="77">
        <v>1</v>
      </c>
      <c r="R107" s="77">
        <v>30</v>
      </c>
      <c r="S107" s="77">
        <f>_xlfn.STDEV.P(Table2[[#This Row],[volt-sbmu1]:[volt-sbmu5]])</f>
        <v>0.90862533532806122</v>
      </c>
      <c r="T107" s="77">
        <f>MAX(Table2[[#This Row],[soc-sbmu1]:[soc-sbmu5]])-MIN(Table2[[#This Row],[soc-sbmu1]:[soc-sbmu5]])</f>
        <v>0.19999999999998863</v>
      </c>
      <c r="U107" s="77"/>
      <c r="V107" s="77"/>
    </row>
    <row r="108" spans="1:22">
      <c r="A108" t="s">
        <v>257</v>
      </c>
      <c r="B108" t="s">
        <v>540</v>
      </c>
      <c r="C108" s="77">
        <v>97</v>
      </c>
      <c r="D108" s="77">
        <v>1384.4</v>
      </c>
      <c r="E108" s="77">
        <v>96.9</v>
      </c>
      <c r="F108" s="77">
        <v>97.1</v>
      </c>
      <c r="G108" s="77">
        <v>96.9</v>
      </c>
      <c r="H108" s="77">
        <v>96.9</v>
      </c>
      <c r="I108" s="77">
        <v>96.9</v>
      </c>
      <c r="J108" s="85">
        <v>1385</v>
      </c>
      <c r="K108" s="85">
        <v>1385</v>
      </c>
      <c r="L108" s="85">
        <v>1383.1</v>
      </c>
      <c r="M108" s="85">
        <v>1383.9</v>
      </c>
      <c r="N108" s="85">
        <v>1385</v>
      </c>
      <c r="O108" s="77">
        <v>0</v>
      </c>
      <c r="P108" s="77">
        <v>0</v>
      </c>
      <c r="Q108" s="77">
        <v>1</v>
      </c>
      <c r="R108" s="77">
        <v>31</v>
      </c>
      <c r="S108" s="77">
        <f>_xlfn.STDEV.P(Table2[[#This Row],[volt-sbmu1]:[volt-sbmu5]])</f>
        <v>0.77717436910903659</v>
      </c>
      <c r="T108" s="77">
        <f>MAX(Table2[[#This Row],[soc-sbmu1]:[soc-sbmu5]])-MIN(Table2[[#This Row],[soc-sbmu1]:[soc-sbmu5]])</f>
        <v>0.19999999999998863</v>
      </c>
      <c r="U108" s="77"/>
      <c r="V108" s="77"/>
    </row>
    <row r="109" spans="1:22">
      <c r="A109" t="s">
        <v>258</v>
      </c>
      <c r="B109" t="s">
        <v>541</v>
      </c>
      <c r="C109" s="77">
        <v>95.5</v>
      </c>
      <c r="D109" s="77">
        <v>1384.5</v>
      </c>
      <c r="E109" s="77">
        <v>95.6</v>
      </c>
      <c r="F109" s="77">
        <v>94.4</v>
      </c>
      <c r="G109" s="77">
        <v>95.1</v>
      </c>
      <c r="H109" s="77">
        <v>94.7</v>
      </c>
      <c r="I109" s="77">
        <v>95</v>
      </c>
      <c r="J109" s="85">
        <v>1384.1</v>
      </c>
      <c r="K109" s="85">
        <v>1384.8</v>
      </c>
      <c r="L109" s="85">
        <v>1384</v>
      </c>
      <c r="M109" s="85">
        <v>1384.3</v>
      </c>
      <c r="N109" s="85">
        <v>1384</v>
      </c>
      <c r="O109" s="77">
        <v>0</v>
      </c>
      <c r="P109" s="77">
        <v>0</v>
      </c>
      <c r="Q109" s="77">
        <v>1</v>
      </c>
      <c r="R109" s="77">
        <v>30</v>
      </c>
      <c r="S109" s="77">
        <f>_xlfn.STDEV.P(Table2[[#This Row],[volt-sbmu1]:[volt-sbmu5]])</f>
        <v>0.30066592756744787</v>
      </c>
      <c r="T109" s="77">
        <f>MAX(Table2[[#This Row],[soc-sbmu1]:[soc-sbmu5]])-MIN(Table2[[#This Row],[soc-sbmu1]:[soc-sbmu5]])</f>
        <v>1.1999999999999886</v>
      </c>
      <c r="U109" s="77"/>
      <c r="V109" s="77"/>
    </row>
    <row r="110" spans="1:22">
      <c r="A110" t="s">
        <v>259</v>
      </c>
      <c r="B110" t="s">
        <v>542</v>
      </c>
      <c r="C110" s="77">
        <v>97.2</v>
      </c>
      <c r="D110" s="77">
        <v>1384.3</v>
      </c>
      <c r="E110" s="77">
        <v>96.9</v>
      </c>
      <c r="F110" s="77">
        <v>96.9</v>
      </c>
      <c r="G110" s="77">
        <v>96.9</v>
      </c>
      <c r="H110" s="77">
        <v>96.9</v>
      </c>
      <c r="I110" s="77">
        <v>97.3</v>
      </c>
      <c r="J110" s="85">
        <v>1385</v>
      </c>
      <c r="K110" s="85">
        <v>1383.9</v>
      </c>
      <c r="L110" s="85">
        <v>1384.7</v>
      </c>
      <c r="M110" s="85">
        <v>1383.6</v>
      </c>
      <c r="N110" s="85">
        <v>1384</v>
      </c>
      <c r="O110" s="77">
        <v>0</v>
      </c>
      <c r="P110" s="77">
        <v>0</v>
      </c>
      <c r="Q110" s="77">
        <v>1</v>
      </c>
      <c r="R110" s="77">
        <v>32</v>
      </c>
      <c r="S110" s="77">
        <f>_xlfn.STDEV.P(Table2[[#This Row],[volt-sbmu1]:[volt-sbmu5]])</f>
        <v>0.52383203414837021</v>
      </c>
      <c r="T110" s="77">
        <f>MAX(Table2[[#This Row],[soc-sbmu1]:[soc-sbmu5]])-MIN(Table2[[#This Row],[soc-sbmu1]:[soc-sbmu5]])</f>
        <v>0.39999999999999147</v>
      </c>
      <c r="U110" s="77"/>
      <c r="V110" s="77"/>
    </row>
    <row r="111" spans="1:22">
      <c r="A111" t="s">
        <v>260</v>
      </c>
      <c r="B111" t="s">
        <v>543</v>
      </c>
      <c r="C111" s="77">
        <v>99.6</v>
      </c>
      <c r="D111" s="77">
        <v>1385.1</v>
      </c>
      <c r="E111" s="77">
        <v>99.4</v>
      </c>
      <c r="F111" s="77">
        <v>99.4</v>
      </c>
      <c r="G111" s="77">
        <v>99.5</v>
      </c>
      <c r="H111" s="77">
        <v>99.7</v>
      </c>
      <c r="I111" s="77">
        <v>99.4</v>
      </c>
      <c r="J111" s="85">
        <v>1385.4</v>
      </c>
      <c r="K111" s="85">
        <v>1385.7</v>
      </c>
      <c r="L111" s="85">
        <v>1384</v>
      </c>
      <c r="M111" s="85">
        <v>1385</v>
      </c>
      <c r="N111" s="85">
        <v>1385.8</v>
      </c>
      <c r="O111" s="77">
        <v>0</v>
      </c>
      <c r="P111" s="77">
        <v>0</v>
      </c>
      <c r="Q111" s="77">
        <v>2</v>
      </c>
      <c r="R111" s="77">
        <v>32</v>
      </c>
      <c r="S111" s="77">
        <f>_xlfn.STDEV.P(Table2[[#This Row],[volt-sbmu1]:[volt-sbmu5]])</f>
        <v>0.65238025721200832</v>
      </c>
      <c r="T111" s="77">
        <f>MAX(Table2[[#This Row],[soc-sbmu1]:[soc-sbmu5]])-MIN(Table2[[#This Row],[soc-sbmu1]:[soc-sbmu5]])</f>
        <v>0.29999999999999716</v>
      </c>
      <c r="U111" s="77"/>
      <c r="V111" s="77"/>
    </row>
    <row r="112" spans="1:22">
      <c r="A112" t="s">
        <v>261</v>
      </c>
      <c r="B112" t="s">
        <v>544</v>
      </c>
      <c r="C112" s="77">
        <v>99.5</v>
      </c>
      <c r="D112" s="77">
        <v>1385.3</v>
      </c>
      <c r="E112" s="77">
        <v>98.8</v>
      </c>
      <c r="F112" s="77">
        <v>99.4</v>
      </c>
      <c r="G112" s="77">
        <v>99.6</v>
      </c>
      <c r="H112" s="77">
        <v>99.4</v>
      </c>
      <c r="I112" s="77">
        <v>99.5</v>
      </c>
      <c r="J112" s="85">
        <v>1385.5</v>
      </c>
      <c r="K112" s="85">
        <v>1385.2</v>
      </c>
      <c r="L112" s="85">
        <v>1386.2</v>
      </c>
      <c r="M112" s="85">
        <v>1386</v>
      </c>
      <c r="N112" s="85">
        <v>1385.2</v>
      </c>
      <c r="O112" s="77">
        <v>0</v>
      </c>
      <c r="P112" s="77">
        <v>0</v>
      </c>
      <c r="Q112" s="77">
        <v>2</v>
      </c>
      <c r="R112" s="77">
        <v>32</v>
      </c>
      <c r="S112" s="77">
        <f>_xlfn.STDEV.P(Table2[[#This Row],[volt-sbmu1]:[volt-sbmu5]])</f>
        <v>0.41182520563947428</v>
      </c>
      <c r="T112" s="77">
        <f>MAX(Table2[[#This Row],[soc-sbmu1]:[soc-sbmu5]])-MIN(Table2[[#This Row],[soc-sbmu1]:[soc-sbmu5]])</f>
        <v>0.79999999999999716</v>
      </c>
      <c r="U112" s="77"/>
      <c r="V112" s="77"/>
    </row>
    <row r="113" spans="1:22">
      <c r="A113" t="s">
        <v>262</v>
      </c>
      <c r="B113" t="s">
        <v>545</v>
      </c>
      <c r="C113" s="77">
        <v>99.8</v>
      </c>
      <c r="D113" s="77">
        <v>1385.5</v>
      </c>
      <c r="E113" s="77">
        <v>99.9</v>
      </c>
      <c r="F113" s="77">
        <v>99.4</v>
      </c>
      <c r="G113" s="77">
        <v>99.9</v>
      </c>
      <c r="H113" s="77">
        <v>99.7</v>
      </c>
      <c r="I113" s="77">
        <v>99.9</v>
      </c>
      <c r="J113" s="85">
        <v>1385</v>
      </c>
      <c r="K113" s="85">
        <v>1385.7</v>
      </c>
      <c r="L113" s="85">
        <v>1383.7</v>
      </c>
      <c r="M113" s="85">
        <v>1387.1</v>
      </c>
      <c r="N113" s="85">
        <v>1384.1</v>
      </c>
      <c r="O113" s="77">
        <v>0</v>
      </c>
      <c r="P113" s="77">
        <v>0</v>
      </c>
      <c r="Q113" s="77">
        <v>2</v>
      </c>
      <c r="R113" s="77">
        <v>33</v>
      </c>
      <c r="S113" s="77">
        <f>_xlfn.STDEV.P(Table2[[#This Row],[volt-sbmu1]:[volt-sbmu5]])</f>
        <v>1.2106196760337038</v>
      </c>
      <c r="T113" s="77">
        <f>MAX(Table2[[#This Row],[soc-sbmu1]:[soc-sbmu5]])-MIN(Table2[[#This Row],[soc-sbmu1]:[soc-sbmu5]])</f>
        <v>0.5</v>
      </c>
      <c r="U113" s="77"/>
      <c r="V113" s="77"/>
    </row>
    <row r="114" spans="1:22">
      <c r="A114" t="s">
        <v>263</v>
      </c>
      <c r="B114" t="s">
        <v>546</v>
      </c>
      <c r="C114" s="77">
        <v>99.8</v>
      </c>
      <c r="D114" s="77">
        <v>1384.4</v>
      </c>
      <c r="E114" s="77">
        <v>99.6</v>
      </c>
      <c r="F114" s="77">
        <v>99.7</v>
      </c>
      <c r="G114" s="77">
        <v>99.8</v>
      </c>
      <c r="H114" s="77">
        <v>99.6</v>
      </c>
      <c r="I114" s="77">
        <v>99.9</v>
      </c>
      <c r="J114" s="85">
        <v>1384.7</v>
      </c>
      <c r="K114" s="85">
        <v>1384.8</v>
      </c>
      <c r="L114" s="85">
        <v>1385.2</v>
      </c>
      <c r="M114" s="85">
        <v>1383.8</v>
      </c>
      <c r="N114" s="85">
        <v>1385.7</v>
      </c>
      <c r="O114" s="77">
        <v>0</v>
      </c>
      <c r="P114" s="77">
        <v>0</v>
      </c>
      <c r="Q114" s="77">
        <v>2</v>
      </c>
      <c r="R114" s="77">
        <v>35</v>
      </c>
      <c r="S114" s="77">
        <f>_xlfn.STDEV.P(Table2[[#This Row],[volt-sbmu1]:[volt-sbmu5]])</f>
        <v>0.6280127387243345</v>
      </c>
      <c r="T114" s="77">
        <f>MAX(Table2[[#This Row],[soc-sbmu1]:[soc-sbmu5]])-MIN(Table2[[#This Row],[soc-sbmu1]:[soc-sbmu5]])</f>
        <v>0.30000000000001137</v>
      </c>
      <c r="U114" s="77"/>
      <c r="V114" s="77"/>
    </row>
    <row r="115" spans="1:22">
      <c r="A115" t="s">
        <v>264</v>
      </c>
      <c r="B115" t="s">
        <v>547</v>
      </c>
      <c r="C115" s="77">
        <v>85.6</v>
      </c>
      <c r="D115" s="77">
        <v>1391.7</v>
      </c>
      <c r="E115" s="77">
        <v>85.8</v>
      </c>
      <c r="F115" s="77">
        <v>84.8</v>
      </c>
      <c r="G115" s="77">
        <v>85.4</v>
      </c>
      <c r="H115" s="77">
        <v>85.4</v>
      </c>
      <c r="I115" s="77">
        <v>85.6</v>
      </c>
      <c r="J115" s="85">
        <v>1394.4</v>
      </c>
      <c r="K115" s="85">
        <v>1391.4</v>
      </c>
      <c r="L115" s="85">
        <v>1392.4</v>
      </c>
      <c r="M115" s="85">
        <v>1391.3</v>
      </c>
      <c r="N115" s="85">
        <v>1391.6</v>
      </c>
      <c r="O115" s="77">
        <v>0</v>
      </c>
      <c r="P115" s="77">
        <v>0</v>
      </c>
      <c r="Q115" s="77">
        <v>1</v>
      </c>
      <c r="R115" s="77">
        <v>31</v>
      </c>
      <c r="S115" s="77">
        <f>_xlfn.STDEV.P(Table2[[#This Row],[volt-sbmu1]:[volt-sbmu5]])</f>
        <v>1.1565465835841182</v>
      </c>
      <c r="T115" s="77">
        <f>MAX(Table2[[#This Row],[soc-sbmu1]:[soc-sbmu5]])-MIN(Table2[[#This Row],[soc-sbmu1]:[soc-sbmu5]])</f>
        <v>1</v>
      </c>
      <c r="U115" s="77"/>
      <c r="V115" s="77"/>
    </row>
    <row r="116" spans="1:22">
      <c r="A116" t="s">
        <v>265</v>
      </c>
      <c r="B116" t="s">
        <v>548</v>
      </c>
      <c r="C116" s="77">
        <v>85.7</v>
      </c>
      <c r="D116" s="77">
        <v>1392.1</v>
      </c>
      <c r="E116" s="77">
        <v>86</v>
      </c>
      <c r="F116" s="77">
        <v>84.2</v>
      </c>
      <c r="G116" s="77">
        <v>84.2</v>
      </c>
      <c r="H116" s="77">
        <v>84.3</v>
      </c>
      <c r="I116" s="77">
        <v>84.4</v>
      </c>
      <c r="J116" s="85">
        <v>1392.3</v>
      </c>
      <c r="K116" s="85">
        <v>1392</v>
      </c>
      <c r="L116" s="85">
        <v>1392.3</v>
      </c>
      <c r="M116" s="85">
        <v>1392</v>
      </c>
      <c r="N116" s="85">
        <v>1392.8</v>
      </c>
      <c r="O116" s="77">
        <v>0</v>
      </c>
      <c r="P116" s="77">
        <v>0</v>
      </c>
      <c r="Q116" s="77">
        <v>1</v>
      </c>
      <c r="R116" s="77">
        <v>31</v>
      </c>
      <c r="S116" s="77">
        <f>_xlfn.STDEV.P(Table2[[#This Row],[volt-sbmu1]:[volt-sbmu5]])</f>
        <v>0.29257477676653848</v>
      </c>
      <c r="T116" s="77">
        <f>MAX(Table2[[#This Row],[soc-sbmu1]:[soc-sbmu5]])-MIN(Table2[[#This Row],[soc-sbmu1]:[soc-sbmu5]])</f>
        <v>1.7999999999999972</v>
      </c>
      <c r="U116" s="77"/>
      <c r="V116" s="77"/>
    </row>
    <row r="117" spans="1:22">
      <c r="A117" t="s">
        <v>266</v>
      </c>
      <c r="B117" t="s">
        <v>549</v>
      </c>
      <c r="C117" s="77">
        <v>85.6</v>
      </c>
      <c r="D117" s="77">
        <v>1391.9</v>
      </c>
      <c r="E117" s="77">
        <v>84.7</v>
      </c>
      <c r="F117" s="77">
        <v>85.1</v>
      </c>
      <c r="G117" s="77">
        <v>85.8</v>
      </c>
      <c r="H117" s="77">
        <v>84.8</v>
      </c>
      <c r="I117" s="77">
        <v>85.2</v>
      </c>
      <c r="J117" s="85">
        <v>1392.1</v>
      </c>
      <c r="K117" s="85">
        <v>1391.6</v>
      </c>
      <c r="L117" s="85">
        <v>1392.1</v>
      </c>
      <c r="M117" s="85">
        <v>1391.6</v>
      </c>
      <c r="N117" s="85">
        <v>1392</v>
      </c>
      <c r="O117" s="77">
        <v>0</v>
      </c>
      <c r="P117" s="77">
        <v>0</v>
      </c>
      <c r="Q117" s="77">
        <v>1</v>
      </c>
      <c r="R117" s="77">
        <v>31</v>
      </c>
      <c r="S117" s="77">
        <f>_xlfn.STDEV.P(Table2[[#This Row],[volt-sbmu1]:[volt-sbmu5]])</f>
        <v>0.23151673805581394</v>
      </c>
      <c r="T117" s="77">
        <f>MAX(Table2[[#This Row],[soc-sbmu1]:[soc-sbmu5]])-MIN(Table2[[#This Row],[soc-sbmu1]:[soc-sbmu5]])</f>
        <v>1.0999999999999943</v>
      </c>
      <c r="U117" s="77"/>
      <c r="V117" s="77"/>
    </row>
    <row r="118" spans="1:22">
      <c r="A118" t="s">
        <v>267</v>
      </c>
      <c r="B118" t="s">
        <v>550</v>
      </c>
      <c r="C118" s="77">
        <v>85.8</v>
      </c>
      <c r="D118" s="77">
        <v>1393</v>
      </c>
      <c r="E118" s="77">
        <v>86</v>
      </c>
      <c r="F118" s="77">
        <v>84.7</v>
      </c>
      <c r="G118" s="77">
        <v>85.1</v>
      </c>
      <c r="H118" s="77">
        <v>84.6</v>
      </c>
      <c r="I118" s="77">
        <v>85.1</v>
      </c>
      <c r="J118" s="85">
        <v>1393.8</v>
      </c>
      <c r="K118" s="85">
        <v>1394</v>
      </c>
      <c r="L118" s="85">
        <v>1392.9</v>
      </c>
      <c r="M118" s="85">
        <v>1392.2</v>
      </c>
      <c r="N118" s="85">
        <v>1392.8</v>
      </c>
      <c r="O118" s="77">
        <v>0</v>
      </c>
      <c r="P118" s="77">
        <v>0</v>
      </c>
      <c r="Q118" s="77">
        <v>1</v>
      </c>
      <c r="R118" s="77">
        <v>32</v>
      </c>
      <c r="S118" s="77">
        <f>_xlfn.STDEV.P(Table2[[#This Row],[volt-sbmu1]:[volt-sbmu5]])</f>
        <v>0.66813172353957906</v>
      </c>
      <c r="T118" s="77">
        <f>MAX(Table2[[#This Row],[soc-sbmu1]:[soc-sbmu5]])-MIN(Table2[[#This Row],[soc-sbmu1]:[soc-sbmu5]])</f>
        <v>1.4000000000000057</v>
      </c>
      <c r="U118" s="77"/>
      <c r="V118" s="77"/>
    </row>
    <row r="119" spans="1:22">
      <c r="A119" t="s">
        <v>268</v>
      </c>
      <c r="B119" t="s">
        <v>551</v>
      </c>
      <c r="C119" s="77">
        <v>99.6</v>
      </c>
      <c r="D119" s="77">
        <v>1384.6</v>
      </c>
      <c r="E119" s="77">
        <v>99.4</v>
      </c>
      <c r="F119" s="77">
        <v>99.7</v>
      </c>
      <c r="G119" s="77">
        <v>99.4</v>
      </c>
      <c r="H119" s="77">
        <v>99</v>
      </c>
      <c r="I119" s="77">
        <v>99.4</v>
      </c>
      <c r="J119" s="85">
        <v>1384.7</v>
      </c>
      <c r="K119" s="85">
        <v>1386.5</v>
      </c>
      <c r="L119" s="85">
        <v>1383.6</v>
      </c>
      <c r="M119" s="85">
        <v>1383.9</v>
      </c>
      <c r="N119" s="85">
        <v>1383</v>
      </c>
      <c r="O119" s="77">
        <v>0</v>
      </c>
      <c r="P119" s="77">
        <v>0</v>
      </c>
      <c r="Q119" s="77">
        <v>2</v>
      </c>
      <c r="R119" s="77">
        <v>33</v>
      </c>
      <c r="S119" s="77">
        <f>_xlfn.STDEV.P(Table2[[#This Row],[volt-sbmu1]:[volt-sbmu5]])</f>
        <v>1.2109500402576554</v>
      </c>
      <c r="T119" s="77">
        <f>MAX(Table2[[#This Row],[soc-sbmu1]:[soc-sbmu5]])-MIN(Table2[[#This Row],[soc-sbmu1]:[soc-sbmu5]])</f>
        <v>0.70000000000000284</v>
      </c>
      <c r="U119" s="77"/>
      <c r="V119" s="77"/>
    </row>
    <row r="120" spans="1:22">
      <c r="A120" t="s">
        <v>269</v>
      </c>
      <c r="B120" t="s">
        <v>552</v>
      </c>
      <c r="C120" s="77">
        <v>99.7</v>
      </c>
      <c r="D120" s="77">
        <v>1383.8</v>
      </c>
      <c r="E120" s="77">
        <v>99.7</v>
      </c>
      <c r="F120" s="77">
        <v>99.6</v>
      </c>
      <c r="G120" s="77">
        <v>99.7</v>
      </c>
      <c r="H120" s="77">
        <v>99.8</v>
      </c>
      <c r="I120" s="77">
        <v>99.7</v>
      </c>
      <c r="J120" s="85">
        <v>1384.2</v>
      </c>
      <c r="K120" s="85">
        <v>1383.3</v>
      </c>
      <c r="L120" s="85">
        <v>1383.4</v>
      </c>
      <c r="M120" s="85">
        <v>1384</v>
      </c>
      <c r="N120" s="85">
        <v>1384.1</v>
      </c>
      <c r="O120" s="77">
        <v>0</v>
      </c>
      <c r="P120" s="77">
        <v>0</v>
      </c>
      <c r="Q120" s="77">
        <v>2</v>
      </c>
      <c r="R120" s="77">
        <v>33</v>
      </c>
      <c r="S120" s="77">
        <f>_xlfn.STDEV.P(Table2[[#This Row],[volt-sbmu1]:[volt-sbmu5]])</f>
        <v>0.37416573867738201</v>
      </c>
      <c r="T120" s="77">
        <f>MAX(Table2[[#This Row],[soc-sbmu1]:[soc-sbmu5]])-MIN(Table2[[#This Row],[soc-sbmu1]:[soc-sbmu5]])</f>
        <v>0.20000000000000284</v>
      </c>
      <c r="U120" s="77"/>
      <c r="V120" s="77"/>
    </row>
    <row r="121" spans="1:22">
      <c r="A121" t="s">
        <v>270</v>
      </c>
      <c r="B121" t="s">
        <v>553</v>
      </c>
      <c r="C121" s="77">
        <v>99.6</v>
      </c>
      <c r="D121" s="77">
        <v>1385.2</v>
      </c>
      <c r="E121" s="77">
        <v>99.7</v>
      </c>
      <c r="F121" s="77">
        <v>99.7</v>
      </c>
      <c r="G121" s="77">
        <v>99.7</v>
      </c>
      <c r="H121" s="77">
        <v>99.6</v>
      </c>
      <c r="I121" s="77">
        <v>99.7</v>
      </c>
      <c r="J121" s="85">
        <v>1384.3</v>
      </c>
      <c r="K121" s="85">
        <v>1385.2</v>
      </c>
      <c r="L121" s="85">
        <v>1385.3</v>
      </c>
      <c r="M121" s="85">
        <v>1385.4</v>
      </c>
      <c r="N121" s="85">
        <v>1384.8</v>
      </c>
      <c r="O121" s="77">
        <v>0</v>
      </c>
      <c r="P121" s="77">
        <v>0</v>
      </c>
      <c r="Q121" s="77">
        <v>2</v>
      </c>
      <c r="R121" s="77">
        <v>32</v>
      </c>
      <c r="S121" s="77">
        <f>_xlfn.STDEV.P(Table2[[#This Row],[volt-sbmu1]:[volt-sbmu5]])</f>
        <v>0.40496913462636769</v>
      </c>
      <c r="T121" s="77">
        <f>MAX(Table2[[#This Row],[soc-sbmu1]:[soc-sbmu5]])-MIN(Table2[[#This Row],[soc-sbmu1]:[soc-sbmu5]])</f>
        <v>0.10000000000000853</v>
      </c>
      <c r="U121" s="77"/>
      <c r="V121" s="77"/>
    </row>
    <row r="122" spans="1:22">
      <c r="A122" t="s">
        <v>271</v>
      </c>
      <c r="B122" t="s">
        <v>554</v>
      </c>
      <c r="C122" s="77">
        <v>99.5</v>
      </c>
      <c r="D122" s="77">
        <v>1384.2</v>
      </c>
      <c r="E122" s="77">
        <v>99.6</v>
      </c>
      <c r="F122" s="77">
        <v>99.6</v>
      </c>
      <c r="G122" s="77">
        <v>99.5</v>
      </c>
      <c r="H122" s="77">
        <v>99.5</v>
      </c>
      <c r="I122" s="77">
        <v>99.1</v>
      </c>
      <c r="J122" s="85">
        <v>1384.5</v>
      </c>
      <c r="K122" s="85">
        <v>1384.8</v>
      </c>
      <c r="L122" s="85">
        <v>1384</v>
      </c>
      <c r="M122" s="85">
        <v>1385.3</v>
      </c>
      <c r="N122" s="85">
        <v>1383.2</v>
      </c>
      <c r="O122" s="77">
        <v>0</v>
      </c>
      <c r="P122" s="77">
        <v>0</v>
      </c>
      <c r="Q122" s="77">
        <v>2</v>
      </c>
      <c r="R122" s="77">
        <v>35</v>
      </c>
      <c r="S122" s="77">
        <f>_xlfn.STDEV.P(Table2[[#This Row],[volt-sbmu1]:[volt-sbmu5]])</f>
        <v>0.71721684308161204</v>
      </c>
      <c r="T122" s="77">
        <f>MAX(Table2[[#This Row],[soc-sbmu1]:[soc-sbmu5]])-MIN(Table2[[#This Row],[soc-sbmu1]:[soc-sbmu5]])</f>
        <v>0.5</v>
      </c>
      <c r="U122" s="77"/>
      <c r="V122" s="77"/>
    </row>
    <row r="123" spans="1:22">
      <c r="A123" t="s">
        <v>272</v>
      </c>
      <c r="B123" t="s">
        <v>555</v>
      </c>
      <c r="C123" s="77">
        <v>85.6</v>
      </c>
      <c r="D123" s="77">
        <v>1392.7</v>
      </c>
      <c r="E123" s="77">
        <v>85.6</v>
      </c>
      <c r="F123" s="77">
        <v>85.7</v>
      </c>
      <c r="G123" s="77">
        <v>85.6</v>
      </c>
      <c r="H123" s="77">
        <v>85.4</v>
      </c>
      <c r="I123" s="77">
        <v>85.1</v>
      </c>
      <c r="J123" s="85">
        <v>1392.2</v>
      </c>
      <c r="K123" s="85">
        <v>1393.1</v>
      </c>
      <c r="L123" s="85">
        <v>1392.5</v>
      </c>
      <c r="M123" s="85">
        <v>1392.6</v>
      </c>
      <c r="N123" s="85">
        <v>1392.8</v>
      </c>
      <c r="O123" s="77">
        <v>0</v>
      </c>
      <c r="P123" s="77">
        <v>0</v>
      </c>
      <c r="Q123" s="77">
        <v>1</v>
      </c>
      <c r="R123" s="77">
        <v>31</v>
      </c>
      <c r="S123" s="77">
        <f>_xlfn.STDEV.P(Table2[[#This Row],[volt-sbmu1]:[volt-sbmu5]])</f>
        <v>0.30066592756741461</v>
      </c>
      <c r="T123" s="77">
        <f>MAX(Table2[[#This Row],[soc-sbmu1]:[soc-sbmu5]])-MIN(Table2[[#This Row],[soc-sbmu1]:[soc-sbmu5]])</f>
        <v>0.60000000000000853</v>
      </c>
      <c r="U123" s="77"/>
      <c r="V123" s="77"/>
    </row>
    <row r="124" spans="1:22">
      <c r="A124" t="s">
        <v>273</v>
      </c>
      <c r="B124" t="s">
        <v>556</v>
      </c>
      <c r="C124" s="77">
        <v>85.5</v>
      </c>
      <c r="D124" s="77">
        <v>1392.9</v>
      </c>
      <c r="E124" s="77">
        <v>85.5</v>
      </c>
      <c r="F124" s="77">
        <v>85.6</v>
      </c>
      <c r="G124" s="77">
        <v>85.3</v>
      </c>
      <c r="H124" s="77">
        <v>85.4</v>
      </c>
      <c r="I124" s="77">
        <v>85.1</v>
      </c>
      <c r="J124" s="85">
        <v>1392.9</v>
      </c>
      <c r="K124" s="85">
        <v>1392.2</v>
      </c>
      <c r="L124" s="85">
        <v>1393.4</v>
      </c>
      <c r="M124" s="85">
        <v>1393.3</v>
      </c>
      <c r="N124" s="85">
        <v>1395.3</v>
      </c>
      <c r="O124" s="77">
        <v>0</v>
      </c>
      <c r="P124" s="77">
        <v>0</v>
      </c>
      <c r="Q124" s="77">
        <v>1</v>
      </c>
      <c r="R124" s="77">
        <v>31</v>
      </c>
      <c r="S124" s="77">
        <f>_xlfn.STDEV.P(Table2[[#This Row],[volt-sbmu1]:[volt-sbmu5]])</f>
        <v>1.0303397497912647</v>
      </c>
      <c r="T124" s="77">
        <f>MAX(Table2[[#This Row],[soc-sbmu1]:[soc-sbmu5]])-MIN(Table2[[#This Row],[soc-sbmu1]:[soc-sbmu5]])</f>
        <v>0.5</v>
      </c>
      <c r="U124" s="77"/>
      <c r="V124" s="77"/>
    </row>
    <row r="125" spans="1:22">
      <c r="A125" t="s">
        <v>274</v>
      </c>
      <c r="B125" t="s">
        <v>557</v>
      </c>
      <c r="C125" s="77">
        <v>85.5</v>
      </c>
      <c r="D125" s="77">
        <v>1391.1</v>
      </c>
      <c r="E125" s="77">
        <v>85.6</v>
      </c>
      <c r="F125" s="77">
        <v>85.6</v>
      </c>
      <c r="G125" s="77">
        <v>85.4</v>
      </c>
      <c r="H125" s="77">
        <v>85.3</v>
      </c>
      <c r="I125" s="77">
        <v>85.2</v>
      </c>
      <c r="J125" s="85">
        <v>1391.1</v>
      </c>
      <c r="K125" s="85">
        <v>1391</v>
      </c>
      <c r="L125" s="85">
        <v>1390.6</v>
      </c>
      <c r="M125" s="85">
        <v>1391.4</v>
      </c>
      <c r="N125" s="85">
        <v>1391.1</v>
      </c>
      <c r="O125" s="77">
        <v>0</v>
      </c>
      <c r="P125" s="77">
        <v>0</v>
      </c>
      <c r="Q125" s="77">
        <v>1</v>
      </c>
      <c r="R125" s="77">
        <v>31</v>
      </c>
      <c r="S125" s="77">
        <f>_xlfn.STDEV.P(Table2[[#This Row],[volt-sbmu1]:[volt-sbmu5]])</f>
        <v>0.25768197453455055</v>
      </c>
      <c r="T125" s="77">
        <f>MAX(Table2[[#This Row],[soc-sbmu1]:[soc-sbmu5]])-MIN(Table2[[#This Row],[soc-sbmu1]:[soc-sbmu5]])</f>
        <v>0.39999999999999147</v>
      </c>
      <c r="U125" s="77"/>
      <c r="V125" s="77"/>
    </row>
    <row r="126" spans="1:22">
      <c r="A126" t="s">
        <v>275</v>
      </c>
      <c r="B126" t="s">
        <v>558</v>
      </c>
      <c r="C126" s="77">
        <v>85.5</v>
      </c>
      <c r="D126" s="77">
        <v>1392.6</v>
      </c>
      <c r="E126" s="77">
        <v>85.7</v>
      </c>
      <c r="F126" s="77">
        <v>84.5</v>
      </c>
      <c r="G126" s="77">
        <v>84.8</v>
      </c>
      <c r="H126" s="77">
        <v>84.8</v>
      </c>
      <c r="I126" s="77">
        <v>84.8</v>
      </c>
      <c r="J126" s="85">
        <v>1393.1</v>
      </c>
      <c r="K126" s="85">
        <v>1392.4</v>
      </c>
      <c r="L126" s="85">
        <v>1392</v>
      </c>
      <c r="M126" s="85">
        <v>1392.9</v>
      </c>
      <c r="N126" s="85">
        <v>1393.4</v>
      </c>
      <c r="O126" s="77">
        <v>0</v>
      </c>
      <c r="P126" s="77">
        <v>0</v>
      </c>
      <c r="Q126" s="77">
        <v>1</v>
      </c>
      <c r="R126" s="77">
        <v>33</v>
      </c>
      <c r="S126" s="77">
        <f>_xlfn.STDEV.P(Table2[[#This Row],[volt-sbmu1]:[volt-sbmu5]])</f>
        <v>0.50039984012787508</v>
      </c>
      <c r="T126" s="77">
        <f>MAX(Table2[[#This Row],[soc-sbmu1]:[soc-sbmu5]])-MIN(Table2[[#This Row],[soc-sbmu1]:[soc-sbmu5]])</f>
        <v>1.2000000000000028</v>
      </c>
      <c r="U126" s="77"/>
      <c r="V126" s="77"/>
    </row>
    <row r="127" spans="1:22">
      <c r="A127" t="s">
        <v>276</v>
      </c>
      <c r="B127" t="s">
        <v>559</v>
      </c>
      <c r="C127" s="77">
        <v>99.7</v>
      </c>
      <c r="D127" s="77">
        <v>1383.6</v>
      </c>
      <c r="E127" s="77">
        <v>99.8</v>
      </c>
      <c r="F127" s="77">
        <v>99.7</v>
      </c>
      <c r="G127" s="77">
        <v>99.8</v>
      </c>
      <c r="H127" s="77">
        <v>99.8</v>
      </c>
      <c r="I127" s="77">
        <v>99.7</v>
      </c>
      <c r="J127" s="85">
        <v>1383.6</v>
      </c>
      <c r="K127" s="85">
        <v>1382.3</v>
      </c>
      <c r="L127" s="85">
        <v>1383.3</v>
      </c>
      <c r="M127" s="85">
        <v>1383.7</v>
      </c>
      <c r="N127" s="85">
        <v>1383.4</v>
      </c>
      <c r="O127" s="77">
        <v>0</v>
      </c>
      <c r="P127" s="77">
        <v>0</v>
      </c>
      <c r="Q127" s="77">
        <v>2</v>
      </c>
      <c r="R127" s="77">
        <v>33</v>
      </c>
      <c r="S127" s="77">
        <f>_xlfn.STDEV.P(Table2[[#This Row],[volt-sbmu1]:[volt-sbmu5]])</f>
        <v>0.50039984012788952</v>
      </c>
      <c r="T127" s="77">
        <f>MAX(Table2[[#This Row],[soc-sbmu1]:[soc-sbmu5]])-MIN(Table2[[#This Row],[soc-sbmu1]:[soc-sbmu5]])</f>
        <v>9.9999999999994316E-2</v>
      </c>
      <c r="U127" s="77"/>
      <c r="V127" s="77"/>
    </row>
    <row r="128" spans="1:22">
      <c r="A128" t="s">
        <v>277</v>
      </c>
      <c r="B128" t="s">
        <v>560</v>
      </c>
      <c r="C128" s="77">
        <v>83.6</v>
      </c>
      <c r="D128" s="77">
        <v>1392.8</v>
      </c>
      <c r="E128" s="77">
        <v>83.5</v>
      </c>
      <c r="F128" s="77">
        <v>83</v>
      </c>
      <c r="G128" s="77">
        <v>83</v>
      </c>
      <c r="H128" s="77">
        <v>82.8</v>
      </c>
      <c r="I128" s="77">
        <v>83.8</v>
      </c>
      <c r="J128" s="85">
        <v>1392</v>
      </c>
      <c r="K128" s="85">
        <v>1394.2</v>
      </c>
      <c r="L128" s="85">
        <v>1393</v>
      </c>
      <c r="M128" s="85">
        <v>1392.1</v>
      </c>
      <c r="N128" s="85">
        <v>1392.9</v>
      </c>
      <c r="O128" s="77">
        <v>0</v>
      </c>
      <c r="P128" s="77">
        <v>0</v>
      </c>
      <c r="Q128" s="77">
        <v>1</v>
      </c>
      <c r="R128" s="77">
        <v>33</v>
      </c>
      <c r="S128" s="77">
        <f>_xlfn.STDEV.P(Table2[[#This Row],[volt-sbmu1]:[volt-sbmu5]])</f>
        <v>0.79145435749640913</v>
      </c>
      <c r="T128" s="77">
        <f>MAX(Table2[[#This Row],[soc-sbmu1]:[soc-sbmu5]])-MIN(Table2[[#This Row],[soc-sbmu1]:[soc-sbmu5]])</f>
        <v>1</v>
      </c>
      <c r="U128" s="77"/>
      <c r="V128" s="77"/>
    </row>
    <row r="129" spans="1:22">
      <c r="A129" t="s">
        <v>278</v>
      </c>
      <c r="B129" t="s">
        <v>561</v>
      </c>
      <c r="C129" s="77">
        <v>83.5</v>
      </c>
      <c r="D129" s="77">
        <v>1392</v>
      </c>
      <c r="E129" s="77">
        <v>83.8</v>
      </c>
      <c r="F129" s="77">
        <v>83.5</v>
      </c>
      <c r="G129" s="77">
        <v>82.5</v>
      </c>
      <c r="H129" s="77">
        <v>83.4</v>
      </c>
      <c r="I129" s="77">
        <v>83.7</v>
      </c>
      <c r="J129" s="85">
        <v>1393.3</v>
      </c>
      <c r="K129" s="85">
        <v>1393.4</v>
      </c>
      <c r="L129" s="85">
        <v>1391.8</v>
      </c>
      <c r="M129" s="85">
        <v>1391.5</v>
      </c>
      <c r="N129" s="85">
        <v>1391.6</v>
      </c>
      <c r="O129" s="77">
        <v>0</v>
      </c>
      <c r="P129" s="77">
        <v>0</v>
      </c>
      <c r="Q129" s="77">
        <v>1</v>
      </c>
      <c r="R129" s="77">
        <v>33</v>
      </c>
      <c r="S129" s="77">
        <f>_xlfn.STDEV.P(Table2[[#This Row],[volt-sbmu1]:[volt-sbmu5]])</f>
        <v>0.84711274338192855</v>
      </c>
      <c r="T129" s="77">
        <f>MAX(Table2[[#This Row],[soc-sbmu1]:[soc-sbmu5]])-MIN(Table2[[#This Row],[soc-sbmu1]:[soc-sbmu5]])</f>
        <v>1.2999999999999972</v>
      </c>
      <c r="U129" s="77"/>
      <c r="V129" s="77"/>
    </row>
    <row r="130" spans="1:22">
      <c r="A130" t="s">
        <v>279</v>
      </c>
      <c r="B130" t="s">
        <v>562</v>
      </c>
      <c r="C130" s="77">
        <v>83.8</v>
      </c>
      <c r="D130" s="77">
        <v>1392.9</v>
      </c>
      <c r="E130" s="77">
        <v>84</v>
      </c>
      <c r="F130" s="77">
        <v>83.3</v>
      </c>
      <c r="G130" s="77">
        <v>83.4</v>
      </c>
      <c r="H130" s="77">
        <v>83.8</v>
      </c>
      <c r="I130" s="77">
        <v>83.3</v>
      </c>
      <c r="J130" s="85">
        <v>1393.3</v>
      </c>
      <c r="K130" s="85">
        <v>1392.8</v>
      </c>
      <c r="L130" s="85">
        <v>1393.5</v>
      </c>
      <c r="M130" s="85">
        <v>1393.2</v>
      </c>
      <c r="N130" s="85">
        <v>1392.4</v>
      </c>
      <c r="O130" s="77">
        <v>0</v>
      </c>
      <c r="P130" s="77">
        <v>0</v>
      </c>
      <c r="Q130" s="77">
        <v>1</v>
      </c>
      <c r="R130" s="77">
        <v>36</v>
      </c>
      <c r="S130" s="77">
        <f>_xlfn.STDEV.P(Table2[[#This Row],[volt-sbmu1]:[volt-sbmu5]])</f>
        <v>0.39293765408774362</v>
      </c>
      <c r="T130" s="77">
        <f>MAX(Table2[[#This Row],[soc-sbmu1]:[soc-sbmu5]])-MIN(Table2[[#This Row],[soc-sbmu1]:[soc-sbmu5]])</f>
        <v>0.70000000000000284</v>
      </c>
      <c r="U130" s="77"/>
      <c r="V130" s="77"/>
    </row>
    <row r="131" spans="1:22">
      <c r="A131" t="s">
        <v>280</v>
      </c>
      <c r="B131" t="s">
        <v>563</v>
      </c>
      <c r="C131" s="77">
        <v>85.5</v>
      </c>
      <c r="D131" s="77">
        <v>1393.3</v>
      </c>
      <c r="E131" s="77">
        <v>85.7</v>
      </c>
      <c r="F131" s="77">
        <v>85.1</v>
      </c>
      <c r="G131" s="77">
        <v>85</v>
      </c>
      <c r="H131" s="77">
        <v>85.5</v>
      </c>
      <c r="I131" s="77">
        <v>85.6</v>
      </c>
      <c r="J131" s="85">
        <v>1392.1</v>
      </c>
      <c r="K131" s="85">
        <v>1392.9</v>
      </c>
      <c r="L131" s="85">
        <v>1393.3</v>
      </c>
      <c r="M131" s="85">
        <v>1393.5</v>
      </c>
      <c r="N131" s="85">
        <v>1393.4</v>
      </c>
      <c r="O131" s="77">
        <v>0</v>
      </c>
      <c r="P131" s="77">
        <v>0</v>
      </c>
      <c r="Q131" s="77">
        <v>1</v>
      </c>
      <c r="R131" s="77">
        <v>30</v>
      </c>
      <c r="S131" s="77">
        <f>_xlfn.STDEV.P(Table2[[#This Row],[volt-sbmu1]:[volt-sbmu5]])</f>
        <v>0.51224993899466453</v>
      </c>
      <c r="T131" s="77">
        <f>MAX(Table2[[#This Row],[soc-sbmu1]:[soc-sbmu5]])-MIN(Table2[[#This Row],[soc-sbmu1]:[soc-sbmu5]])</f>
        <v>0.70000000000000284</v>
      </c>
      <c r="U131" s="77"/>
      <c r="V131" s="77"/>
    </row>
    <row r="132" spans="1:22">
      <c r="A132" t="s">
        <v>281</v>
      </c>
      <c r="B132" t="s">
        <v>564</v>
      </c>
      <c r="C132" s="77">
        <v>85.9</v>
      </c>
      <c r="D132" s="77">
        <v>1392.4</v>
      </c>
      <c r="E132" s="77">
        <v>85.1</v>
      </c>
      <c r="F132" s="77">
        <v>85</v>
      </c>
      <c r="G132" s="77">
        <v>86.2</v>
      </c>
      <c r="H132" s="77">
        <v>84.4</v>
      </c>
      <c r="I132" s="77">
        <v>85.1</v>
      </c>
      <c r="J132" s="85">
        <v>1391.6</v>
      </c>
      <c r="K132" s="85">
        <v>1392.6</v>
      </c>
      <c r="L132" s="85">
        <v>1391.6</v>
      </c>
      <c r="M132" s="85">
        <v>1391.8</v>
      </c>
      <c r="N132" s="85">
        <v>1393.4</v>
      </c>
      <c r="O132" s="77">
        <v>0</v>
      </c>
      <c r="P132" s="77">
        <v>0</v>
      </c>
      <c r="Q132" s="77">
        <v>1</v>
      </c>
      <c r="R132" s="77">
        <v>31</v>
      </c>
      <c r="S132" s="77">
        <f>_xlfn.STDEV.P(Table2[[#This Row],[volt-sbmu1]:[volt-sbmu5]])</f>
        <v>0.70427267446641717</v>
      </c>
      <c r="T132" s="77">
        <f>MAX(Table2[[#This Row],[soc-sbmu1]:[soc-sbmu5]])-MIN(Table2[[#This Row],[soc-sbmu1]:[soc-sbmu5]])</f>
        <v>1.7999999999999972</v>
      </c>
      <c r="U132" s="77"/>
      <c r="V132" s="77"/>
    </row>
    <row r="133" spans="1:22">
      <c r="A133" t="s">
        <v>282</v>
      </c>
      <c r="B133" t="s">
        <v>565</v>
      </c>
      <c r="C133" s="77">
        <v>85.5</v>
      </c>
      <c r="D133" s="77">
        <v>1392.6</v>
      </c>
      <c r="E133" s="77">
        <v>85.6</v>
      </c>
      <c r="F133" s="77">
        <v>85.5</v>
      </c>
      <c r="G133" s="77">
        <v>85.6</v>
      </c>
      <c r="H133" s="77">
        <v>85.4</v>
      </c>
      <c r="I133" s="77">
        <v>85.4</v>
      </c>
      <c r="J133" s="85">
        <v>1392.5</v>
      </c>
      <c r="K133" s="85">
        <v>1392.2</v>
      </c>
      <c r="L133" s="85">
        <v>1392.4</v>
      </c>
      <c r="M133" s="85">
        <v>1393.3</v>
      </c>
      <c r="N133" s="85">
        <v>1393.1</v>
      </c>
      <c r="O133" s="77">
        <v>0</v>
      </c>
      <c r="P133" s="77">
        <v>0</v>
      </c>
      <c r="Q133" s="77">
        <v>1</v>
      </c>
      <c r="R133" s="77">
        <v>32</v>
      </c>
      <c r="S133" s="77">
        <f>_xlfn.STDEV.P(Table2[[#This Row],[volt-sbmu1]:[volt-sbmu5]])</f>
        <v>0.42426406871187494</v>
      </c>
      <c r="T133" s="77">
        <f>MAX(Table2[[#This Row],[soc-sbmu1]:[soc-sbmu5]])-MIN(Table2[[#This Row],[soc-sbmu1]:[soc-sbmu5]])</f>
        <v>0.19999999999998863</v>
      </c>
      <c r="U133" s="77"/>
      <c r="V133" s="77"/>
    </row>
    <row r="134" spans="1:22">
      <c r="A134" t="s">
        <v>283</v>
      </c>
      <c r="B134" t="s">
        <v>566</v>
      </c>
      <c r="C134" s="77">
        <v>85.7</v>
      </c>
      <c r="D134" s="77">
        <v>1393.8</v>
      </c>
      <c r="E134" s="77">
        <v>85.9</v>
      </c>
      <c r="F134" s="77">
        <v>84.9</v>
      </c>
      <c r="G134" s="77">
        <v>85.4</v>
      </c>
      <c r="H134" s="77">
        <v>84.8</v>
      </c>
      <c r="I134" s="77">
        <v>85.5</v>
      </c>
      <c r="J134" s="85">
        <v>1393.6</v>
      </c>
      <c r="K134" s="85">
        <v>1394.2</v>
      </c>
      <c r="L134" s="85">
        <v>1392.9</v>
      </c>
      <c r="M134" s="85">
        <v>1392.4</v>
      </c>
      <c r="N134" s="85">
        <v>1394.8</v>
      </c>
      <c r="O134" s="77">
        <v>0</v>
      </c>
      <c r="P134" s="77">
        <v>0</v>
      </c>
      <c r="Q134" s="77">
        <v>1</v>
      </c>
      <c r="R134" s="77">
        <v>33</v>
      </c>
      <c r="S134" s="77">
        <f>_xlfn.STDEV.P(Table2[[#This Row],[volt-sbmu1]:[volt-sbmu5]])</f>
        <v>0.8634813257968702</v>
      </c>
      <c r="T134" s="77">
        <f>MAX(Table2[[#This Row],[soc-sbmu1]:[soc-sbmu5]])-MIN(Table2[[#This Row],[soc-sbmu1]:[soc-sbmu5]])</f>
        <v>1.1000000000000085</v>
      </c>
      <c r="U134" s="77"/>
      <c r="V134" s="77"/>
    </row>
    <row r="135" spans="1:22">
      <c r="A135" t="s">
        <v>284</v>
      </c>
      <c r="B135" t="s">
        <v>567</v>
      </c>
      <c r="C135" s="77">
        <v>66.400000000000006</v>
      </c>
      <c r="D135" s="77">
        <v>1379.3</v>
      </c>
      <c r="E135" s="77">
        <v>67</v>
      </c>
      <c r="F135" s="77">
        <v>66.099999999999994</v>
      </c>
      <c r="G135" s="77">
        <v>67.2</v>
      </c>
      <c r="H135" s="77">
        <v>67</v>
      </c>
      <c r="I135" s="77">
        <v>65</v>
      </c>
      <c r="J135" s="85">
        <v>1378.6</v>
      </c>
      <c r="K135" s="85">
        <v>1379.5</v>
      </c>
      <c r="L135" s="85">
        <v>1379.8</v>
      </c>
      <c r="M135" s="85">
        <v>1379</v>
      </c>
      <c r="N135" s="85">
        <v>1378.5</v>
      </c>
      <c r="O135" s="77">
        <v>0</v>
      </c>
      <c r="P135" s="77">
        <v>0</v>
      </c>
      <c r="Q135" s="77">
        <v>1</v>
      </c>
      <c r="R135" s="77">
        <v>33</v>
      </c>
      <c r="S135" s="77">
        <f>_xlfn.STDEV.P(Table2[[#This Row],[volt-sbmu1]:[volt-sbmu5]])</f>
        <v>0.50358713248057119</v>
      </c>
      <c r="T135" s="77">
        <f>MAX(Table2[[#This Row],[soc-sbmu1]:[soc-sbmu5]])-MIN(Table2[[#This Row],[soc-sbmu1]:[soc-sbmu5]])</f>
        <v>2.2000000000000028</v>
      </c>
      <c r="U135" s="77"/>
      <c r="V135" s="77"/>
    </row>
    <row r="136" spans="1:22">
      <c r="A136" t="s">
        <v>285</v>
      </c>
      <c r="B136" t="s">
        <v>568</v>
      </c>
      <c r="C136" s="77">
        <v>77.900000000000006</v>
      </c>
      <c r="D136" s="77">
        <v>1384</v>
      </c>
      <c r="E136" s="77">
        <v>77.400000000000006</v>
      </c>
      <c r="F136" s="77">
        <v>76.7</v>
      </c>
      <c r="G136" s="77">
        <v>78.3</v>
      </c>
      <c r="H136" s="77">
        <v>77.400000000000006</v>
      </c>
      <c r="I136" s="77">
        <v>76.5</v>
      </c>
      <c r="J136" s="85">
        <v>1384.3</v>
      </c>
      <c r="K136" s="85">
        <v>1384.1</v>
      </c>
      <c r="L136" s="85">
        <v>1383.6</v>
      </c>
      <c r="M136" s="85">
        <v>1383.9</v>
      </c>
      <c r="N136" s="85">
        <v>1384.5</v>
      </c>
      <c r="O136" s="77">
        <v>0</v>
      </c>
      <c r="P136" s="77">
        <v>0</v>
      </c>
      <c r="Q136" s="77">
        <v>1</v>
      </c>
      <c r="R136" s="77">
        <v>33</v>
      </c>
      <c r="S136" s="77">
        <f>_xlfn.STDEV.P(Table2[[#This Row],[volt-sbmu1]:[volt-sbmu5]])</f>
        <v>0.31240998703627609</v>
      </c>
      <c r="T136" s="77">
        <f>MAX(Table2[[#This Row],[soc-sbmu1]:[soc-sbmu5]])-MIN(Table2[[#This Row],[soc-sbmu1]:[soc-sbmu5]])</f>
        <v>1.7999999999999972</v>
      </c>
      <c r="U136" s="77"/>
      <c r="V136" s="77"/>
    </row>
    <row r="137" spans="1:22">
      <c r="A137" t="s">
        <v>286</v>
      </c>
      <c r="B137" t="s">
        <v>569</v>
      </c>
      <c r="C137" s="77">
        <v>69</v>
      </c>
      <c r="D137" s="77">
        <v>1379.4</v>
      </c>
      <c r="E137" s="77">
        <v>68.8</v>
      </c>
      <c r="F137" s="77">
        <v>69.2</v>
      </c>
      <c r="G137" s="77">
        <v>69.3</v>
      </c>
      <c r="H137" s="77">
        <v>68.599999999999994</v>
      </c>
      <c r="I137" s="77">
        <v>69.3</v>
      </c>
      <c r="J137" s="85">
        <v>1380</v>
      </c>
      <c r="K137" s="85">
        <v>1379.8</v>
      </c>
      <c r="L137" s="85">
        <v>1379.4</v>
      </c>
      <c r="M137" s="85">
        <v>1379.9</v>
      </c>
      <c r="N137" s="85">
        <v>1380.2</v>
      </c>
      <c r="O137" s="77">
        <v>0</v>
      </c>
      <c r="P137" s="77">
        <v>0</v>
      </c>
      <c r="Q137" s="77">
        <v>1</v>
      </c>
      <c r="R137" s="77">
        <v>33</v>
      </c>
      <c r="S137" s="77">
        <f>_xlfn.STDEV.P(Table2[[#This Row],[volt-sbmu1]:[volt-sbmu5]])</f>
        <v>0.26532998322841689</v>
      </c>
      <c r="T137" s="77">
        <f>MAX(Table2[[#This Row],[soc-sbmu1]:[soc-sbmu5]])-MIN(Table2[[#This Row],[soc-sbmu1]:[soc-sbmu5]])</f>
        <v>0.70000000000000284</v>
      </c>
      <c r="U137" s="77"/>
      <c r="V137" s="77"/>
    </row>
    <row r="138" spans="1:22">
      <c r="A138" t="s">
        <v>287</v>
      </c>
      <c r="B138" t="s">
        <v>570</v>
      </c>
      <c r="C138" s="77">
        <v>70.3</v>
      </c>
      <c r="D138" s="77">
        <v>1380.2</v>
      </c>
      <c r="E138" s="77">
        <v>69.5</v>
      </c>
      <c r="F138" s="77">
        <v>70</v>
      </c>
      <c r="G138" s="77">
        <v>69.5</v>
      </c>
      <c r="H138" s="77">
        <v>69.099999999999994</v>
      </c>
      <c r="I138" s="77">
        <v>70.900000000000006</v>
      </c>
      <c r="J138" s="85">
        <v>1380.2</v>
      </c>
      <c r="K138" s="85">
        <v>1380.1</v>
      </c>
      <c r="L138" s="85">
        <v>1380.8</v>
      </c>
      <c r="M138" s="85">
        <v>1379.2</v>
      </c>
      <c r="N138" s="85">
        <v>1380.5</v>
      </c>
      <c r="O138" s="77">
        <v>0</v>
      </c>
      <c r="P138" s="77">
        <v>0</v>
      </c>
      <c r="Q138" s="77">
        <v>1</v>
      </c>
      <c r="R138" s="77">
        <v>36</v>
      </c>
      <c r="S138" s="77">
        <f>_xlfn.STDEV.P(Table2[[#This Row],[volt-sbmu1]:[volt-sbmu5]])</f>
        <v>0.53888774341227497</v>
      </c>
      <c r="T138" s="77">
        <f>MAX(Table2[[#This Row],[soc-sbmu1]:[soc-sbmu5]])-MIN(Table2[[#This Row],[soc-sbmu1]:[soc-sbmu5]])</f>
        <v>1.8000000000000114</v>
      </c>
      <c r="U138" s="77"/>
      <c r="V138" s="77"/>
    </row>
    <row r="139" spans="1:22">
      <c r="A139" t="s">
        <v>288</v>
      </c>
      <c r="B139" t="s">
        <v>571</v>
      </c>
      <c r="C139" s="77">
        <v>85.6</v>
      </c>
      <c r="D139" s="77">
        <v>1391.4</v>
      </c>
      <c r="E139" s="77">
        <v>84.9</v>
      </c>
      <c r="F139" s="77">
        <v>84.5</v>
      </c>
      <c r="G139" s="77">
        <v>84.7</v>
      </c>
      <c r="H139" s="77">
        <v>84.8</v>
      </c>
      <c r="I139" s="77">
        <v>85.8</v>
      </c>
      <c r="J139" s="85">
        <v>1391.5</v>
      </c>
      <c r="K139" s="85">
        <v>1392.7</v>
      </c>
      <c r="L139" s="85">
        <v>1392.1</v>
      </c>
      <c r="M139" s="85">
        <v>1392.3</v>
      </c>
      <c r="N139" s="85">
        <v>1391.3</v>
      </c>
      <c r="O139" s="77">
        <v>0</v>
      </c>
      <c r="P139" s="77">
        <v>0</v>
      </c>
      <c r="Q139" s="77">
        <v>1</v>
      </c>
      <c r="R139" s="77">
        <v>31</v>
      </c>
      <c r="S139" s="77">
        <f>_xlfn.STDEV.P(Table2[[#This Row],[volt-sbmu1]:[volt-sbmu5]])</f>
        <v>0.51536394906901983</v>
      </c>
      <c r="T139" s="77">
        <f>MAX(Table2[[#This Row],[soc-sbmu1]:[soc-sbmu5]])-MIN(Table2[[#This Row],[soc-sbmu1]:[soc-sbmu5]])</f>
        <v>1.2999999999999972</v>
      </c>
      <c r="U139" s="77"/>
      <c r="V139" s="77"/>
    </row>
    <row r="140" spans="1:22">
      <c r="A140" t="s">
        <v>289</v>
      </c>
      <c r="B140" t="s">
        <v>572</v>
      </c>
      <c r="C140" s="77">
        <v>85.3</v>
      </c>
      <c r="D140" s="77">
        <v>1392.9</v>
      </c>
      <c r="E140" s="77">
        <v>85.2</v>
      </c>
      <c r="F140" s="77">
        <v>85</v>
      </c>
      <c r="G140" s="77">
        <v>85.5</v>
      </c>
      <c r="H140" s="77">
        <v>84.7</v>
      </c>
      <c r="I140" s="77">
        <v>84.8</v>
      </c>
      <c r="J140" s="85">
        <v>1392.6</v>
      </c>
      <c r="K140" s="85">
        <v>1392.4</v>
      </c>
      <c r="L140" s="85">
        <v>1393.4</v>
      </c>
      <c r="M140" s="85">
        <v>1393</v>
      </c>
      <c r="N140" s="85">
        <v>1392.2</v>
      </c>
      <c r="O140" s="77">
        <v>0</v>
      </c>
      <c r="P140" s="77">
        <v>0</v>
      </c>
      <c r="Q140" s="77">
        <v>1</v>
      </c>
      <c r="R140" s="77">
        <v>30</v>
      </c>
      <c r="S140" s="77">
        <f>_xlfn.STDEV.P(Table2[[#This Row],[volt-sbmu1]:[volt-sbmu5]])</f>
        <v>0.43081318457076961</v>
      </c>
      <c r="T140" s="77">
        <f>MAX(Table2[[#This Row],[soc-sbmu1]:[soc-sbmu5]])-MIN(Table2[[#This Row],[soc-sbmu1]:[soc-sbmu5]])</f>
        <v>0.79999999999999716</v>
      </c>
      <c r="U140" s="77"/>
      <c r="V140" s="77"/>
    </row>
    <row r="141" spans="1:22">
      <c r="A141" t="s">
        <v>290</v>
      </c>
      <c r="B141" t="s">
        <v>573</v>
      </c>
      <c r="C141" s="77">
        <v>85.5</v>
      </c>
      <c r="D141" s="77">
        <v>1391.6</v>
      </c>
      <c r="E141" s="77">
        <v>85.6</v>
      </c>
      <c r="F141" s="77">
        <v>85.1</v>
      </c>
      <c r="G141" s="77">
        <v>85.1</v>
      </c>
      <c r="H141" s="77">
        <v>85.2</v>
      </c>
      <c r="I141" s="77">
        <v>85.3</v>
      </c>
      <c r="J141" s="85">
        <v>1392.3</v>
      </c>
      <c r="K141" s="85">
        <v>1392.3</v>
      </c>
      <c r="L141" s="85">
        <v>1390.3</v>
      </c>
      <c r="M141" s="85">
        <v>1392.2</v>
      </c>
      <c r="N141" s="85">
        <v>1391.4</v>
      </c>
      <c r="O141" s="77">
        <v>0</v>
      </c>
      <c r="P141" s="77">
        <v>0</v>
      </c>
      <c r="Q141" s="77">
        <v>1</v>
      </c>
      <c r="R141" s="77">
        <v>31</v>
      </c>
      <c r="S141" s="77">
        <f>_xlfn.STDEV.P(Table2[[#This Row],[volt-sbmu1]:[volt-sbmu5]])</f>
        <v>0.77717436910901905</v>
      </c>
      <c r="T141" s="77">
        <f>MAX(Table2[[#This Row],[soc-sbmu1]:[soc-sbmu5]])-MIN(Table2[[#This Row],[soc-sbmu1]:[soc-sbmu5]])</f>
        <v>0.5</v>
      </c>
      <c r="U141" s="77"/>
      <c r="V141" s="77"/>
    </row>
    <row r="142" spans="1:22">
      <c r="A142" t="s">
        <v>291</v>
      </c>
      <c r="B142" t="s">
        <v>574</v>
      </c>
      <c r="C142" s="77">
        <v>85.3</v>
      </c>
      <c r="D142" s="77">
        <v>1393.4</v>
      </c>
      <c r="E142" s="77">
        <v>85.3</v>
      </c>
      <c r="F142" s="77">
        <v>85.5</v>
      </c>
      <c r="G142" s="77">
        <v>84.9</v>
      </c>
      <c r="H142" s="77">
        <v>84.5</v>
      </c>
      <c r="I142" s="77">
        <v>85.2</v>
      </c>
      <c r="J142" s="85">
        <v>1394</v>
      </c>
      <c r="K142" s="85">
        <v>1392.6</v>
      </c>
      <c r="L142" s="85">
        <v>1393</v>
      </c>
      <c r="M142" s="85">
        <v>1394</v>
      </c>
      <c r="N142" s="85">
        <v>1393</v>
      </c>
      <c r="O142" s="77">
        <v>0</v>
      </c>
      <c r="P142" s="77">
        <v>0</v>
      </c>
      <c r="Q142" s="77">
        <v>1</v>
      </c>
      <c r="R142" s="77">
        <v>33</v>
      </c>
      <c r="S142" s="77">
        <f>_xlfn.STDEV.P(Table2[[#This Row],[volt-sbmu1]:[volt-sbmu5]])</f>
        <v>0.57410800377631577</v>
      </c>
      <c r="T142" s="77">
        <f>MAX(Table2[[#This Row],[soc-sbmu1]:[soc-sbmu5]])-MIN(Table2[[#This Row],[soc-sbmu1]:[soc-sbmu5]])</f>
        <v>1</v>
      </c>
      <c r="U142" s="77"/>
      <c r="V142" s="77"/>
    </row>
    <row r="143" spans="1:22">
      <c r="A143" t="s">
        <v>292</v>
      </c>
      <c r="B143" t="s">
        <v>575</v>
      </c>
      <c r="C143" s="77">
        <v>85.5</v>
      </c>
      <c r="D143" s="77">
        <v>1393.3</v>
      </c>
      <c r="E143" s="77">
        <v>85.4</v>
      </c>
      <c r="F143" s="77">
        <v>84.9</v>
      </c>
      <c r="G143" s="77">
        <v>85.3</v>
      </c>
      <c r="H143" s="77">
        <v>85.3</v>
      </c>
      <c r="I143" s="77">
        <v>85.7</v>
      </c>
      <c r="J143" s="85">
        <v>1392.4</v>
      </c>
      <c r="K143" s="85">
        <v>1392.6</v>
      </c>
      <c r="L143" s="85">
        <v>1393.6</v>
      </c>
      <c r="M143" s="85">
        <v>1393.8</v>
      </c>
      <c r="N143" s="85">
        <v>1392.4</v>
      </c>
      <c r="O143" s="77">
        <v>0</v>
      </c>
      <c r="P143" s="77">
        <v>0</v>
      </c>
      <c r="Q143" s="77">
        <v>1</v>
      </c>
      <c r="R143" s="77">
        <v>32</v>
      </c>
      <c r="S143" s="77">
        <f>_xlfn.STDEV.P(Table2[[#This Row],[volt-sbmu1]:[volt-sbmu5]])</f>
        <v>0.61188234163108002</v>
      </c>
      <c r="T143" s="77">
        <f>MAX(Table2[[#This Row],[soc-sbmu1]:[soc-sbmu5]])-MIN(Table2[[#This Row],[soc-sbmu1]:[soc-sbmu5]])</f>
        <v>0.79999999999999716</v>
      </c>
      <c r="U143" s="77"/>
      <c r="V143" s="77"/>
    </row>
    <row r="144" spans="1:22">
      <c r="A144" t="s">
        <v>293</v>
      </c>
      <c r="B144" t="s">
        <v>576</v>
      </c>
      <c r="C144" s="77">
        <v>85.2</v>
      </c>
      <c r="D144" s="77">
        <v>1393</v>
      </c>
      <c r="E144" s="77">
        <v>85.3</v>
      </c>
      <c r="F144" s="77">
        <v>84.1</v>
      </c>
      <c r="G144" s="77">
        <v>85.2</v>
      </c>
      <c r="H144" s="77">
        <v>84.9</v>
      </c>
      <c r="I144" s="77">
        <v>85.5</v>
      </c>
      <c r="J144" s="85">
        <v>1392.8</v>
      </c>
      <c r="K144" s="85">
        <v>1394.4</v>
      </c>
      <c r="L144" s="85">
        <v>1392.2</v>
      </c>
      <c r="M144" s="85">
        <v>1393</v>
      </c>
      <c r="N144" s="85">
        <v>1392.7</v>
      </c>
      <c r="O144" s="77">
        <v>0</v>
      </c>
      <c r="P144" s="77">
        <v>0</v>
      </c>
      <c r="Q144" s="77">
        <v>1</v>
      </c>
      <c r="R144" s="77">
        <v>32</v>
      </c>
      <c r="S144" s="77">
        <f>_xlfn.STDEV.P(Table2[[#This Row],[volt-sbmu1]:[volt-sbmu5]])</f>
        <v>0.73864741250479815</v>
      </c>
      <c r="T144" s="77">
        <f>MAX(Table2[[#This Row],[soc-sbmu1]:[soc-sbmu5]])-MIN(Table2[[#This Row],[soc-sbmu1]:[soc-sbmu5]])</f>
        <v>1.4000000000000057</v>
      </c>
      <c r="U144" s="77"/>
      <c r="V144" s="77"/>
    </row>
    <row r="145" spans="1:22">
      <c r="A145" t="s">
        <v>294</v>
      </c>
      <c r="B145" t="s">
        <v>577</v>
      </c>
      <c r="C145" s="77">
        <v>85.5</v>
      </c>
      <c r="D145" s="77">
        <v>1393.5</v>
      </c>
      <c r="E145" s="77">
        <v>85.6</v>
      </c>
      <c r="F145" s="77">
        <v>85.7</v>
      </c>
      <c r="G145" s="77">
        <v>85.5</v>
      </c>
      <c r="H145" s="77">
        <v>85.1</v>
      </c>
      <c r="I145" s="77">
        <v>84.7</v>
      </c>
      <c r="J145" s="85">
        <v>1393.7</v>
      </c>
      <c r="K145" s="85">
        <v>1393.2</v>
      </c>
      <c r="L145" s="85">
        <v>1393.9</v>
      </c>
      <c r="M145" s="85">
        <v>1393.3</v>
      </c>
      <c r="N145" s="85">
        <v>1393.5</v>
      </c>
      <c r="O145" s="77">
        <v>0</v>
      </c>
      <c r="P145" s="77">
        <v>0</v>
      </c>
      <c r="Q145" s="77">
        <v>1</v>
      </c>
      <c r="R145" s="77">
        <v>33</v>
      </c>
      <c r="S145" s="77">
        <f>_xlfn.STDEV.P(Table2[[#This Row],[volt-sbmu1]:[volt-sbmu5]])</f>
        <v>0.25612496949734381</v>
      </c>
      <c r="T145" s="77">
        <f>MAX(Table2[[#This Row],[soc-sbmu1]:[soc-sbmu5]])-MIN(Table2[[#This Row],[soc-sbmu1]:[soc-sbmu5]])</f>
        <v>1</v>
      </c>
      <c r="U145" s="77"/>
      <c r="V145" s="77"/>
    </row>
    <row r="146" spans="1:22">
      <c r="A146" t="s">
        <v>295</v>
      </c>
      <c r="B146" t="s">
        <v>578</v>
      </c>
      <c r="C146" s="77">
        <v>85.5</v>
      </c>
      <c r="D146" s="77">
        <v>1392.9</v>
      </c>
      <c r="E146" s="77">
        <v>85.6</v>
      </c>
      <c r="F146" s="77">
        <v>85.7</v>
      </c>
      <c r="G146" s="77">
        <v>85.5</v>
      </c>
      <c r="H146" s="77">
        <v>85</v>
      </c>
      <c r="I146" s="77">
        <v>84.6</v>
      </c>
      <c r="J146" s="85">
        <v>1393.3</v>
      </c>
      <c r="K146" s="85">
        <v>1392.7</v>
      </c>
      <c r="L146" s="85">
        <v>1392.6</v>
      </c>
      <c r="M146" s="85">
        <v>1391.5</v>
      </c>
      <c r="N146" s="85">
        <v>1393.4</v>
      </c>
      <c r="O146" s="77">
        <v>0</v>
      </c>
      <c r="P146" s="77">
        <v>0</v>
      </c>
      <c r="Q146" s="77">
        <v>1</v>
      </c>
      <c r="R146" s="77">
        <v>36</v>
      </c>
      <c r="S146" s="77">
        <f>_xlfn.STDEV.P(Table2[[#This Row],[volt-sbmu1]:[volt-sbmu5]])</f>
        <v>0.67823299831254025</v>
      </c>
      <c r="T146" s="77">
        <f>MAX(Table2[[#This Row],[soc-sbmu1]:[soc-sbmu5]])-MIN(Table2[[#This Row],[soc-sbmu1]:[soc-sbmu5]])</f>
        <v>1.1000000000000085</v>
      </c>
      <c r="U146" s="77"/>
      <c r="V146" s="77"/>
    </row>
    <row r="147" spans="1:22">
      <c r="A147" t="s">
        <v>296</v>
      </c>
      <c r="B147" t="s">
        <v>420</v>
      </c>
      <c r="C147" s="77">
        <v>86</v>
      </c>
      <c r="D147" s="77">
        <v>1396</v>
      </c>
      <c r="E147" s="77">
        <v>85.3</v>
      </c>
      <c r="F147" s="77">
        <v>86.2</v>
      </c>
      <c r="G147" s="77">
        <v>86</v>
      </c>
      <c r="H147" s="77">
        <v>86.1</v>
      </c>
      <c r="I147" s="77">
        <v>85.5</v>
      </c>
      <c r="J147" s="85">
        <v>1394.9</v>
      </c>
      <c r="K147" s="85">
        <v>1395.4</v>
      </c>
      <c r="L147" s="85">
        <v>1393.8</v>
      </c>
      <c r="M147" s="85">
        <v>1395.4</v>
      </c>
      <c r="N147" s="85">
        <v>1396.7</v>
      </c>
      <c r="O147" s="77">
        <v>0</v>
      </c>
      <c r="P147" s="77">
        <v>0</v>
      </c>
      <c r="Q147" s="77">
        <v>1</v>
      </c>
      <c r="R147" s="77">
        <v>31</v>
      </c>
      <c r="S147" s="77">
        <f>_xlfn.STDEV.P(Table2[[#This Row],[volt-sbmu1]:[volt-sbmu5]])</f>
        <v>0.93509357820490457</v>
      </c>
      <c r="T147" s="77">
        <f>MAX(Table2[[#This Row],[soc-sbmu1]:[soc-sbmu5]])-MIN(Table2[[#This Row],[soc-sbmu1]:[soc-sbmu5]])</f>
        <v>0.90000000000000568</v>
      </c>
      <c r="U147" s="77"/>
      <c r="V147" s="77"/>
    </row>
    <row r="148" spans="1:22">
      <c r="A148" t="s">
        <v>297</v>
      </c>
      <c r="B148" t="s">
        <v>421</v>
      </c>
      <c r="C148" s="77">
        <v>86.1</v>
      </c>
      <c r="D148" s="77">
        <v>1393.3</v>
      </c>
      <c r="E148" s="77">
        <v>86.3</v>
      </c>
      <c r="F148" s="77">
        <v>85.2</v>
      </c>
      <c r="G148" s="77">
        <v>86</v>
      </c>
      <c r="H148" s="77">
        <v>85.1</v>
      </c>
      <c r="I148" s="77">
        <v>85.8</v>
      </c>
      <c r="J148" s="85">
        <v>1393.3</v>
      </c>
      <c r="K148" s="85">
        <v>1392.2</v>
      </c>
      <c r="L148" s="85">
        <v>1393</v>
      </c>
      <c r="M148" s="85">
        <v>1394</v>
      </c>
      <c r="N148" s="85">
        <v>1393.9</v>
      </c>
      <c r="O148" s="77">
        <v>0</v>
      </c>
      <c r="P148" s="77">
        <v>0</v>
      </c>
      <c r="Q148" s="77">
        <v>1</v>
      </c>
      <c r="R148" s="77">
        <v>30</v>
      </c>
      <c r="S148" s="77">
        <f>_xlfn.STDEV.P(Table2[[#This Row],[volt-sbmu1]:[volt-sbmu5]])</f>
        <v>0.65543878432695957</v>
      </c>
      <c r="T148" s="77">
        <f>MAX(Table2[[#This Row],[soc-sbmu1]:[soc-sbmu5]])-MIN(Table2[[#This Row],[soc-sbmu1]:[soc-sbmu5]])</f>
        <v>1.2000000000000028</v>
      </c>
      <c r="U148" s="77"/>
      <c r="V148" s="77"/>
    </row>
    <row r="149" spans="1:22">
      <c r="A149" t="s">
        <v>298</v>
      </c>
      <c r="B149" t="s">
        <v>422</v>
      </c>
      <c r="C149" s="77">
        <v>86.2</v>
      </c>
      <c r="D149" s="77">
        <v>1392.8</v>
      </c>
      <c r="E149" s="77">
        <v>85.6</v>
      </c>
      <c r="F149" s="77">
        <v>85.6</v>
      </c>
      <c r="G149" s="77">
        <v>85.7</v>
      </c>
      <c r="H149" s="77">
        <v>86.4</v>
      </c>
      <c r="I149" s="77">
        <v>85.6</v>
      </c>
      <c r="J149" s="85">
        <v>1392.6</v>
      </c>
      <c r="K149" s="85">
        <v>1392.5</v>
      </c>
      <c r="L149" s="85">
        <v>1393.7</v>
      </c>
      <c r="M149" s="85">
        <v>1392.6</v>
      </c>
      <c r="N149" s="85">
        <v>1392.4</v>
      </c>
      <c r="O149" s="77">
        <v>0</v>
      </c>
      <c r="P149" s="77">
        <v>0</v>
      </c>
      <c r="Q149" s="77">
        <v>1</v>
      </c>
      <c r="R149" s="77">
        <v>31</v>
      </c>
      <c r="S149" s="77">
        <f>_xlfn.STDEV.P(Table2[[#This Row],[volt-sbmu1]:[volt-sbmu5]])</f>
        <v>0.4758150901348292</v>
      </c>
      <c r="T149" s="77">
        <f>MAX(Table2[[#This Row],[soc-sbmu1]:[soc-sbmu5]])-MIN(Table2[[#This Row],[soc-sbmu1]:[soc-sbmu5]])</f>
        <v>0.80000000000001137</v>
      </c>
      <c r="U149" s="77"/>
      <c r="V149" s="77"/>
    </row>
    <row r="150" spans="1:22">
      <c r="A150" t="s">
        <v>299</v>
      </c>
      <c r="B150" t="s">
        <v>423</v>
      </c>
      <c r="C150" s="77">
        <v>86</v>
      </c>
      <c r="D150" s="77">
        <v>1392.9</v>
      </c>
      <c r="E150" s="77">
        <v>86.1</v>
      </c>
      <c r="F150" s="77">
        <v>85.5</v>
      </c>
      <c r="G150" s="77">
        <v>85.7</v>
      </c>
      <c r="H150" s="77">
        <v>85.8</v>
      </c>
      <c r="I150" s="77">
        <v>85.8</v>
      </c>
      <c r="J150" s="85">
        <v>1392.4</v>
      </c>
      <c r="K150" s="85">
        <v>1392.2</v>
      </c>
      <c r="L150" s="85">
        <v>1392.8</v>
      </c>
      <c r="M150" s="85">
        <v>1392.4</v>
      </c>
      <c r="N150" s="85">
        <v>1393.2</v>
      </c>
      <c r="O150" s="77">
        <v>0</v>
      </c>
      <c r="P150" s="77">
        <v>0</v>
      </c>
      <c r="Q150" s="77">
        <v>1</v>
      </c>
      <c r="R150" s="77">
        <v>32</v>
      </c>
      <c r="S150" s="77">
        <f>_xlfn.STDEV.P(Table2[[#This Row],[volt-sbmu1]:[volt-sbmu5]])</f>
        <v>0.35777087639994598</v>
      </c>
      <c r="T150" s="77">
        <f>MAX(Table2[[#This Row],[soc-sbmu1]:[soc-sbmu5]])-MIN(Table2[[#This Row],[soc-sbmu1]:[soc-sbmu5]])</f>
        <v>0.59999999999999432</v>
      </c>
      <c r="U150" s="77"/>
      <c r="V150" s="77"/>
    </row>
    <row r="151" spans="1:22">
      <c r="A151" t="s">
        <v>300</v>
      </c>
      <c r="B151" t="s">
        <v>579</v>
      </c>
      <c r="C151" s="77">
        <v>80.8</v>
      </c>
      <c r="D151" s="77">
        <v>1391.9</v>
      </c>
      <c r="E151" s="77">
        <v>80.8</v>
      </c>
      <c r="F151" s="77">
        <v>80.7</v>
      </c>
      <c r="G151" s="77">
        <v>80.7</v>
      </c>
      <c r="H151" s="77">
        <v>79.8</v>
      </c>
      <c r="I151" s="77">
        <v>81.099999999999994</v>
      </c>
      <c r="J151" s="85">
        <v>1391.6</v>
      </c>
      <c r="K151" s="85">
        <v>1391.7</v>
      </c>
      <c r="L151" s="85">
        <v>1391.6</v>
      </c>
      <c r="M151" s="85">
        <v>1391.6</v>
      </c>
      <c r="N151" s="85">
        <v>1391.5</v>
      </c>
      <c r="O151" s="77">
        <v>0</v>
      </c>
      <c r="P151" s="77">
        <v>0</v>
      </c>
      <c r="Q151" s="77">
        <v>1</v>
      </c>
      <c r="R151" s="77">
        <v>34</v>
      </c>
      <c r="S151" s="77">
        <f>_xlfn.STDEV.P(Table2[[#This Row],[volt-sbmu1]:[volt-sbmu5]])</f>
        <v>6.324555320338196E-2</v>
      </c>
      <c r="T151" s="77">
        <f>MAX(Table2[[#This Row],[soc-sbmu1]:[soc-sbmu5]])-MIN(Table2[[#This Row],[soc-sbmu1]:[soc-sbmu5]])</f>
        <v>1.2999999999999972</v>
      </c>
      <c r="U151" s="77"/>
      <c r="V151" s="77"/>
    </row>
    <row r="152" spans="1:22">
      <c r="A152" t="s">
        <v>301</v>
      </c>
      <c r="B152" t="s">
        <v>580</v>
      </c>
      <c r="C152" s="77">
        <v>80.7</v>
      </c>
      <c r="D152" s="77">
        <v>1392.3</v>
      </c>
      <c r="E152" s="77">
        <v>80.7</v>
      </c>
      <c r="F152" s="77">
        <v>81</v>
      </c>
      <c r="G152" s="77">
        <v>80.7</v>
      </c>
      <c r="H152" s="77">
        <v>79.900000000000006</v>
      </c>
      <c r="I152" s="77">
        <v>80.7</v>
      </c>
      <c r="J152" s="85">
        <v>1391.9</v>
      </c>
      <c r="K152" s="85">
        <v>1391.8</v>
      </c>
      <c r="L152" s="85">
        <v>1391.9</v>
      </c>
      <c r="M152" s="85">
        <v>1391.5</v>
      </c>
      <c r="N152" s="85">
        <v>1392.3</v>
      </c>
      <c r="O152" s="77">
        <v>0</v>
      </c>
      <c r="P152" s="77">
        <v>0</v>
      </c>
      <c r="Q152" s="77">
        <v>1</v>
      </c>
      <c r="R152" s="77">
        <v>33</v>
      </c>
      <c r="S152" s="77">
        <f>_xlfn.STDEV.P(Table2[[#This Row],[volt-sbmu1]:[volt-sbmu5]])</f>
        <v>0.25612496949730468</v>
      </c>
      <c r="T152" s="77">
        <f>MAX(Table2[[#This Row],[soc-sbmu1]:[soc-sbmu5]])-MIN(Table2[[#This Row],[soc-sbmu1]:[soc-sbmu5]])</f>
        <v>1.0999999999999943</v>
      </c>
      <c r="U152" s="77"/>
      <c r="V152" s="77"/>
    </row>
    <row r="153" spans="1:22">
      <c r="A153" t="s">
        <v>302</v>
      </c>
      <c r="B153" t="s">
        <v>581</v>
      </c>
      <c r="C153" s="77">
        <v>99.8</v>
      </c>
      <c r="D153" s="77">
        <v>1387.9</v>
      </c>
      <c r="E153" s="77">
        <v>99.8</v>
      </c>
      <c r="F153" s="77">
        <v>99.3</v>
      </c>
      <c r="G153" s="77">
        <v>99.7</v>
      </c>
      <c r="H153" s="77">
        <v>94.6</v>
      </c>
      <c r="I153" s="77">
        <v>99.8</v>
      </c>
      <c r="J153" s="85">
        <v>1388.5</v>
      </c>
      <c r="K153" s="85">
        <v>1385.1</v>
      </c>
      <c r="L153" s="85">
        <v>1384.2</v>
      </c>
      <c r="M153" s="85">
        <v>1387.3</v>
      </c>
      <c r="N153" s="85">
        <v>1387.6</v>
      </c>
      <c r="O153" s="77">
        <v>0</v>
      </c>
      <c r="P153" s="77">
        <v>0</v>
      </c>
      <c r="Q153" s="77">
        <v>2</v>
      </c>
      <c r="R153" s="77">
        <v>33</v>
      </c>
      <c r="S153" s="77">
        <f>_xlfn.STDEV.P(Table2[[#This Row],[volt-sbmu1]:[volt-sbmu5]])</f>
        <v>1.6181470884934896</v>
      </c>
      <c r="T153" s="77">
        <f>MAX(Table2[[#This Row],[soc-sbmu1]:[soc-sbmu5]])-MIN(Table2[[#This Row],[soc-sbmu1]:[soc-sbmu5]])</f>
        <v>5.2000000000000028</v>
      </c>
      <c r="U153" s="77"/>
      <c r="V153" s="77"/>
    </row>
    <row r="154" spans="1:22">
      <c r="A154" t="s">
        <v>303</v>
      </c>
      <c r="B154" t="s">
        <v>582</v>
      </c>
      <c r="C154" s="77">
        <v>80.7</v>
      </c>
      <c r="D154" s="77">
        <v>1392.5</v>
      </c>
      <c r="E154" s="77">
        <v>80</v>
      </c>
      <c r="F154" s="77">
        <v>80.599999999999994</v>
      </c>
      <c r="G154" s="77">
        <v>80.900000000000006</v>
      </c>
      <c r="H154" s="77">
        <v>80.400000000000006</v>
      </c>
      <c r="I154" s="77">
        <v>80.5</v>
      </c>
      <c r="J154" s="85">
        <v>1393.5</v>
      </c>
      <c r="K154" s="85">
        <v>1393.7</v>
      </c>
      <c r="L154" s="85">
        <v>1392.1</v>
      </c>
      <c r="M154" s="85">
        <v>1392</v>
      </c>
      <c r="N154" s="85">
        <v>1392.3</v>
      </c>
      <c r="O154" s="77">
        <v>0</v>
      </c>
      <c r="P154" s="77">
        <v>0</v>
      </c>
      <c r="Q154" s="77">
        <v>1</v>
      </c>
      <c r="R154" s="77">
        <v>34</v>
      </c>
      <c r="S154" s="77">
        <f>_xlfn.STDEV.P(Table2[[#This Row],[volt-sbmu1]:[volt-sbmu5]])</f>
        <v>0.72773621594644311</v>
      </c>
      <c r="T154" s="77">
        <f>MAX(Table2[[#This Row],[soc-sbmu1]:[soc-sbmu5]])-MIN(Table2[[#This Row],[soc-sbmu1]:[soc-sbmu5]])</f>
        <v>0.90000000000000568</v>
      </c>
      <c r="U154" s="77"/>
      <c r="V154" s="77"/>
    </row>
    <row r="155" spans="1:22">
      <c r="A155" t="s">
        <v>151</v>
      </c>
      <c r="B155" t="s">
        <v>583</v>
      </c>
      <c r="C155" s="77">
        <v>85.9</v>
      </c>
      <c r="D155" s="77">
        <v>1393.2</v>
      </c>
      <c r="E155" s="77">
        <v>85.6</v>
      </c>
      <c r="F155" s="77">
        <v>86</v>
      </c>
      <c r="G155" s="77">
        <v>85.4</v>
      </c>
      <c r="H155" s="77">
        <v>85.5</v>
      </c>
      <c r="I155" s="77">
        <v>86</v>
      </c>
      <c r="J155" s="85">
        <v>1393.7</v>
      </c>
      <c r="K155" s="85">
        <v>1392.2</v>
      </c>
      <c r="L155" s="85">
        <v>1393.7</v>
      </c>
      <c r="M155" s="85">
        <v>1392.9</v>
      </c>
      <c r="N155" s="85">
        <v>1393.6</v>
      </c>
      <c r="O155" s="77">
        <v>0</v>
      </c>
      <c r="P155" s="77">
        <v>0</v>
      </c>
      <c r="Q155" s="77">
        <v>1</v>
      </c>
      <c r="R155" s="77">
        <v>31</v>
      </c>
      <c r="S155" s="77">
        <f>_xlfn.STDEV.P(Table2[[#This Row],[volt-sbmu1]:[volt-sbmu5]])</f>
        <v>0.59126981996375683</v>
      </c>
      <c r="T155" s="77">
        <f>MAX(Table2[[#This Row],[soc-sbmu1]:[soc-sbmu5]])-MIN(Table2[[#This Row],[soc-sbmu1]:[soc-sbmu5]])</f>
        <v>0.59999999999999432</v>
      </c>
      <c r="U155" s="77"/>
      <c r="V155" s="77"/>
    </row>
    <row r="156" spans="1:22">
      <c r="A156" t="s">
        <v>304</v>
      </c>
      <c r="B156" t="s">
        <v>584</v>
      </c>
      <c r="C156" s="77">
        <v>86.1</v>
      </c>
      <c r="D156" s="77">
        <v>1391.9</v>
      </c>
      <c r="E156" s="77">
        <v>85.4</v>
      </c>
      <c r="F156" s="77">
        <v>85</v>
      </c>
      <c r="G156" s="77">
        <v>86.3</v>
      </c>
      <c r="H156" s="77">
        <v>84.9</v>
      </c>
      <c r="I156" s="77">
        <v>85.4</v>
      </c>
      <c r="J156" s="85">
        <v>1391.7</v>
      </c>
      <c r="K156" s="85">
        <v>1391.9</v>
      </c>
      <c r="L156" s="85">
        <v>1391.6</v>
      </c>
      <c r="M156" s="85">
        <v>1392.7</v>
      </c>
      <c r="N156" s="85">
        <v>1391.8</v>
      </c>
      <c r="O156" s="77">
        <v>0</v>
      </c>
      <c r="P156" s="77">
        <v>0</v>
      </c>
      <c r="Q156" s="77">
        <v>1</v>
      </c>
      <c r="R156" s="77">
        <v>30</v>
      </c>
      <c r="S156" s="77">
        <f>_xlfn.STDEV.P(Table2[[#This Row],[volt-sbmu1]:[volt-sbmu5]])</f>
        <v>0.39293765408779918</v>
      </c>
      <c r="T156" s="77">
        <f>MAX(Table2[[#This Row],[soc-sbmu1]:[soc-sbmu5]])-MIN(Table2[[#This Row],[soc-sbmu1]:[soc-sbmu5]])</f>
        <v>1.3999999999999915</v>
      </c>
      <c r="U156" s="77"/>
      <c r="V156" s="77"/>
    </row>
    <row r="157" spans="1:22">
      <c r="A157" t="s">
        <v>305</v>
      </c>
      <c r="B157" t="s">
        <v>585</v>
      </c>
      <c r="C157" s="77">
        <v>86</v>
      </c>
      <c r="D157" s="77">
        <v>1393.3</v>
      </c>
      <c r="E157" s="77">
        <v>86.1</v>
      </c>
      <c r="F157" s="77">
        <v>85.5</v>
      </c>
      <c r="G157" s="77">
        <v>85.5</v>
      </c>
      <c r="H157" s="77">
        <v>86</v>
      </c>
      <c r="I157" s="77">
        <v>85.9</v>
      </c>
      <c r="J157" s="85">
        <v>1392.6</v>
      </c>
      <c r="K157" s="85">
        <v>1394.3</v>
      </c>
      <c r="L157" s="85">
        <v>1392.7</v>
      </c>
      <c r="M157" s="85">
        <v>1392.6</v>
      </c>
      <c r="N157" s="85">
        <v>1392.7</v>
      </c>
      <c r="O157" s="77">
        <v>0</v>
      </c>
      <c r="P157" s="77">
        <v>0</v>
      </c>
      <c r="Q157" s="77">
        <v>1</v>
      </c>
      <c r="R157" s="77">
        <v>30</v>
      </c>
      <c r="S157" s="77">
        <f>_xlfn.STDEV.P(Table2[[#This Row],[volt-sbmu1]:[volt-sbmu5]])</f>
        <v>0.66151341634164418</v>
      </c>
      <c r="T157" s="77">
        <f>MAX(Table2[[#This Row],[soc-sbmu1]:[soc-sbmu5]])-MIN(Table2[[#This Row],[soc-sbmu1]:[soc-sbmu5]])</f>
        <v>0.59999999999999432</v>
      </c>
      <c r="U157" s="77"/>
      <c r="V157" s="77"/>
    </row>
    <row r="158" spans="1:22">
      <c r="A158" t="s">
        <v>306</v>
      </c>
      <c r="B158" t="s">
        <v>586</v>
      </c>
      <c r="C158" s="77">
        <v>86</v>
      </c>
      <c r="D158" s="77">
        <v>1393</v>
      </c>
      <c r="E158" s="77">
        <v>85.9</v>
      </c>
      <c r="F158" s="77">
        <v>86.1</v>
      </c>
      <c r="G158" s="77">
        <v>85.5</v>
      </c>
      <c r="H158" s="77">
        <v>85.5</v>
      </c>
      <c r="I158" s="77">
        <v>85.7</v>
      </c>
      <c r="J158" s="85">
        <v>1393.5</v>
      </c>
      <c r="K158" s="85">
        <v>1393.7</v>
      </c>
      <c r="L158" s="85">
        <v>1393.2</v>
      </c>
      <c r="M158" s="85">
        <v>1393.5</v>
      </c>
      <c r="N158" s="85">
        <v>1392.8</v>
      </c>
      <c r="O158" s="77">
        <v>0</v>
      </c>
      <c r="P158" s="77">
        <v>0</v>
      </c>
      <c r="Q158" s="77">
        <v>1</v>
      </c>
      <c r="R158" s="77">
        <v>33</v>
      </c>
      <c r="S158" s="77">
        <f>_xlfn.STDEV.P(Table2[[#This Row],[volt-sbmu1]:[volt-sbmu5]])</f>
        <v>0.31368774282718448</v>
      </c>
      <c r="T158" s="77">
        <f>MAX(Table2[[#This Row],[soc-sbmu1]:[soc-sbmu5]])-MIN(Table2[[#This Row],[soc-sbmu1]:[soc-sbmu5]])</f>
        <v>0.59999999999999432</v>
      </c>
      <c r="U158" s="77"/>
      <c r="V158" s="77"/>
    </row>
    <row r="159" spans="1:22">
      <c r="A159" t="s">
        <v>307</v>
      </c>
      <c r="B159" t="s">
        <v>587</v>
      </c>
      <c r="C159" s="77">
        <v>85.8</v>
      </c>
      <c r="D159" s="77">
        <v>1390.7</v>
      </c>
      <c r="E159" s="77">
        <v>84.8</v>
      </c>
      <c r="F159" s="77">
        <v>85.2</v>
      </c>
      <c r="G159" s="77">
        <v>86</v>
      </c>
      <c r="H159" s="77">
        <v>84.7</v>
      </c>
      <c r="I159" s="77">
        <v>85</v>
      </c>
      <c r="J159" s="85">
        <v>1390.9</v>
      </c>
      <c r="K159" s="85">
        <v>1390.8</v>
      </c>
      <c r="L159" s="85">
        <v>1391.1</v>
      </c>
      <c r="M159" s="85">
        <v>1390.3</v>
      </c>
      <c r="N159" s="85">
        <v>1390.9</v>
      </c>
      <c r="O159" s="77">
        <v>0</v>
      </c>
      <c r="P159" s="77">
        <v>0</v>
      </c>
      <c r="Q159" s="77">
        <v>1</v>
      </c>
      <c r="R159" s="77">
        <v>35</v>
      </c>
      <c r="S159" s="77">
        <f>_xlfn.STDEV.P(Table2[[#This Row],[volt-sbmu1]:[volt-sbmu5]])</f>
        <v>0.26832815729998494</v>
      </c>
      <c r="T159" s="77">
        <f>MAX(Table2[[#This Row],[soc-sbmu1]:[soc-sbmu5]])-MIN(Table2[[#This Row],[soc-sbmu1]:[soc-sbmu5]])</f>
        <v>1.2999999999999972</v>
      </c>
      <c r="U159" s="77"/>
      <c r="V159" s="77"/>
    </row>
    <row r="160" spans="1:22">
      <c r="A160" t="s">
        <v>308</v>
      </c>
      <c r="B160" t="s">
        <v>588</v>
      </c>
      <c r="C160" s="77">
        <v>85.6</v>
      </c>
      <c r="D160" s="77">
        <v>1392.1</v>
      </c>
      <c r="E160" s="77">
        <v>85.8</v>
      </c>
      <c r="F160" s="77">
        <v>85.3</v>
      </c>
      <c r="G160" s="77">
        <v>84.7</v>
      </c>
      <c r="H160" s="77">
        <v>85.4</v>
      </c>
      <c r="I160" s="77">
        <v>84.9</v>
      </c>
      <c r="J160" s="85">
        <v>1392.1</v>
      </c>
      <c r="K160" s="85">
        <v>1392.6</v>
      </c>
      <c r="L160" s="85">
        <v>1391.5</v>
      </c>
      <c r="M160" s="85">
        <v>1390.9</v>
      </c>
      <c r="N160" s="85">
        <v>1391.5</v>
      </c>
      <c r="O160" s="77">
        <v>0</v>
      </c>
      <c r="P160" s="77">
        <v>0</v>
      </c>
      <c r="Q160" s="77">
        <v>1</v>
      </c>
      <c r="R160" s="77">
        <v>33</v>
      </c>
      <c r="S160" s="77">
        <f>_xlfn.STDEV.P(Table2[[#This Row],[volt-sbmu1]:[volt-sbmu5]])</f>
        <v>0.58103356185329291</v>
      </c>
      <c r="T160" s="77">
        <f>MAX(Table2[[#This Row],[soc-sbmu1]:[soc-sbmu5]])-MIN(Table2[[#This Row],[soc-sbmu1]:[soc-sbmu5]])</f>
        <v>1.0999999999999943</v>
      </c>
      <c r="U160" s="77"/>
      <c r="V160" s="77"/>
    </row>
    <row r="161" spans="1:22">
      <c r="A161" t="s">
        <v>309</v>
      </c>
      <c r="B161" t="s">
        <v>589</v>
      </c>
      <c r="C161" s="77">
        <v>85.7</v>
      </c>
      <c r="D161" s="77">
        <v>1393.5</v>
      </c>
      <c r="E161" s="77">
        <v>84.9</v>
      </c>
      <c r="F161" s="77">
        <v>84.6</v>
      </c>
      <c r="G161" s="77">
        <v>85.9</v>
      </c>
      <c r="H161" s="77">
        <v>85.4</v>
      </c>
      <c r="I161" s="77">
        <v>84.6</v>
      </c>
      <c r="J161" s="85">
        <v>1393.1</v>
      </c>
      <c r="K161" s="85">
        <v>1392.3</v>
      </c>
      <c r="L161" s="85">
        <v>1393.9</v>
      </c>
      <c r="M161" s="85">
        <v>1392.5</v>
      </c>
      <c r="N161" s="85">
        <v>1393.5</v>
      </c>
      <c r="O161" s="77">
        <v>0</v>
      </c>
      <c r="P161" s="77">
        <v>0</v>
      </c>
      <c r="Q161" s="77">
        <v>1</v>
      </c>
      <c r="R161" s="77">
        <v>33</v>
      </c>
      <c r="S161" s="77">
        <f>_xlfn.STDEV.P(Table2[[#This Row],[volt-sbmu1]:[volt-sbmu5]])</f>
        <v>0.59866518188386642</v>
      </c>
      <c r="T161" s="77">
        <f>MAX(Table2[[#This Row],[soc-sbmu1]:[soc-sbmu5]])-MIN(Table2[[#This Row],[soc-sbmu1]:[soc-sbmu5]])</f>
        <v>1.3000000000000114</v>
      </c>
      <c r="U161" s="77"/>
      <c r="V161" s="77"/>
    </row>
    <row r="162" spans="1:22">
      <c r="A162" t="s">
        <v>310</v>
      </c>
      <c r="B162" t="s">
        <v>590</v>
      </c>
      <c r="C162" s="77">
        <v>85.6</v>
      </c>
      <c r="D162" s="77">
        <v>1393</v>
      </c>
      <c r="E162" s="77">
        <v>85.1</v>
      </c>
      <c r="F162" s="77">
        <v>85.8</v>
      </c>
      <c r="G162" s="77">
        <v>85.6</v>
      </c>
      <c r="H162" s="77">
        <v>85.2</v>
      </c>
      <c r="I162" s="77">
        <v>85</v>
      </c>
      <c r="J162" s="85">
        <v>1394</v>
      </c>
      <c r="K162" s="85">
        <v>1393.3</v>
      </c>
      <c r="L162" s="85">
        <v>1392.9</v>
      </c>
      <c r="M162" s="85">
        <v>1393.1</v>
      </c>
      <c r="N162" s="85">
        <v>1392.8</v>
      </c>
      <c r="O162" s="77">
        <v>0</v>
      </c>
      <c r="P162" s="77">
        <v>0</v>
      </c>
      <c r="Q162" s="77">
        <v>1</v>
      </c>
      <c r="R162" s="77">
        <v>34</v>
      </c>
      <c r="S162" s="77">
        <f>_xlfn.STDEV.P(Table2[[#This Row],[volt-sbmu1]:[volt-sbmu5]])</f>
        <v>0.42614551505324905</v>
      </c>
      <c r="T162" s="77">
        <f>MAX(Table2[[#This Row],[soc-sbmu1]:[soc-sbmu5]])-MIN(Table2[[#This Row],[soc-sbmu1]:[soc-sbmu5]])</f>
        <v>0.79999999999999716</v>
      </c>
      <c r="U162" s="77"/>
      <c r="V162" s="77"/>
    </row>
    <row r="163" spans="1:22">
      <c r="A163" t="s">
        <v>311</v>
      </c>
      <c r="B163" t="s">
        <v>591</v>
      </c>
      <c r="C163" s="77">
        <v>99.6</v>
      </c>
      <c r="D163" s="77">
        <v>1385.5</v>
      </c>
      <c r="E163" s="77">
        <v>99.7</v>
      </c>
      <c r="F163" s="77">
        <v>99.6</v>
      </c>
      <c r="G163" s="77">
        <v>99.6</v>
      </c>
      <c r="H163" s="77">
        <v>99.6</v>
      </c>
      <c r="I163" s="77">
        <v>99.6</v>
      </c>
      <c r="J163" s="85">
        <v>1385.5</v>
      </c>
      <c r="K163" s="85">
        <v>1384.9</v>
      </c>
      <c r="L163" s="85">
        <v>1386.3</v>
      </c>
      <c r="M163" s="85">
        <v>1385.9</v>
      </c>
      <c r="N163" s="85">
        <v>1384.4</v>
      </c>
      <c r="O163" s="77">
        <v>0</v>
      </c>
      <c r="P163" s="77">
        <v>0</v>
      </c>
      <c r="Q163" s="77">
        <v>2</v>
      </c>
      <c r="R163" s="77">
        <v>31</v>
      </c>
      <c r="S163" s="77">
        <f>_xlfn.STDEV.P(Table2[[#This Row],[volt-sbmu1]:[volt-sbmu5]])</f>
        <v>0.68117545463701734</v>
      </c>
      <c r="T163" s="77">
        <f>MAX(Table2[[#This Row],[soc-sbmu1]:[soc-sbmu5]])-MIN(Table2[[#This Row],[soc-sbmu1]:[soc-sbmu5]])</f>
        <v>0.10000000000000853</v>
      </c>
      <c r="U163" s="77"/>
      <c r="V163" s="77"/>
    </row>
    <row r="164" spans="1:22">
      <c r="A164" t="s">
        <v>312</v>
      </c>
      <c r="B164" t="s">
        <v>592</v>
      </c>
      <c r="C164" s="77">
        <v>99.5</v>
      </c>
      <c r="D164" s="77">
        <v>1385</v>
      </c>
      <c r="E164" s="77">
        <v>99.5</v>
      </c>
      <c r="F164" s="77">
        <v>99.6</v>
      </c>
      <c r="G164" s="77">
        <v>99.5</v>
      </c>
      <c r="H164" s="77">
        <v>99.5</v>
      </c>
      <c r="I164" s="77">
        <v>98.6</v>
      </c>
      <c r="J164" s="85">
        <v>1385.3</v>
      </c>
      <c r="K164" s="85">
        <v>1385.7</v>
      </c>
      <c r="L164" s="85">
        <v>1384.7</v>
      </c>
      <c r="M164" s="85">
        <v>1384.7</v>
      </c>
      <c r="N164" s="85">
        <v>1383.7</v>
      </c>
      <c r="O164" s="77">
        <v>0</v>
      </c>
      <c r="P164" s="77">
        <v>0</v>
      </c>
      <c r="Q164" s="77">
        <v>2</v>
      </c>
      <c r="R164" s="77">
        <v>31</v>
      </c>
      <c r="S164" s="77">
        <f>_xlfn.STDEV.P(Table2[[#This Row],[volt-sbmu1]:[volt-sbmu5]])</f>
        <v>0.67646138101149755</v>
      </c>
      <c r="T164" s="77">
        <f>MAX(Table2[[#This Row],[soc-sbmu1]:[soc-sbmu5]])-MIN(Table2[[#This Row],[soc-sbmu1]:[soc-sbmu5]])</f>
        <v>1</v>
      </c>
      <c r="U164" s="77"/>
      <c r="V164" s="77"/>
    </row>
    <row r="165" spans="1:22">
      <c r="A165" t="s">
        <v>313</v>
      </c>
      <c r="B165" t="s">
        <v>593</v>
      </c>
      <c r="C165" s="77">
        <v>99.6</v>
      </c>
      <c r="D165" s="77">
        <v>1386.6</v>
      </c>
      <c r="E165" s="77">
        <v>99.6</v>
      </c>
      <c r="F165" s="77">
        <v>99.7</v>
      </c>
      <c r="G165" s="77">
        <v>99.7</v>
      </c>
      <c r="H165" s="77">
        <v>99.6</v>
      </c>
      <c r="I165" s="77">
        <v>99.7</v>
      </c>
      <c r="J165" s="85">
        <v>1387</v>
      </c>
      <c r="K165" s="85">
        <v>1386.6</v>
      </c>
      <c r="L165" s="85">
        <v>1387.5</v>
      </c>
      <c r="M165" s="85">
        <v>1386.7</v>
      </c>
      <c r="N165" s="85">
        <v>1385.7</v>
      </c>
      <c r="O165" s="77">
        <v>0</v>
      </c>
      <c r="P165" s="77">
        <v>0</v>
      </c>
      <c r="Q165" s="77">
        <v>2</v>
      </c>
      <c r="R165" s="77">
        <v>31</v>
      </c>
      <c r="S165" s="77">
        <f>_xlfn.STDEV.P(Table2[[#This Row],[volt-sbmu1]:[volt-sbmu5]])</f>
        <v>0.58991524815009277</v>
      </c>
      <c r="T165" s="77">
        <f>MAX(Table2[[#This Row],[soc-sbmu1]:[soc-sbmu5]])-MIN(Table2[[#This Row],[soc-sbmu1]:[soc-sbmu5]])</f>
        <v>0.10000000000000853</v>
      </c>
      <c r="U165" s="77"/>
      <c r="V165" s="77"/>
    </row>
    <row r="166" spans="1:22">
      <c r="A166" t="s">
        <v>314</v>
      </c>
      <c r="B166" t="s">
        <v>594</v>
      </c>
      <c r="C166" s="77">
        <v>99.5</v>
      </c>
      <c r="D166" s="77">
        <v>1384.6</v>
      </c>
      <c r="E166" s="77">
        <v>99.6</v>
      </c>
      <c r="F166" s="77">
        <v>99.4</v>
      </c>
      <c r="G166" s="77">
        <v>99.5</v>
      </c>
      <c r="H166" s="77">
        <v>99.5</v>
      </c>
      <c r="I166" s="77">
        <v>99.6</v>
      </c>
      <c r="J166" s="85">
        <v>1384.7</v>
      </c>
      <c r="K166" s="85">
        <v>1384.6</v>
      </c>
      <c r="L166" s="85">
        <v>1384.1</v>
      </c>
      <c r="M166" s="85">
        <v>1385.2</v>
      </c>
      <c r="N166" s="85">
        <v>1384.9</v>
      </c>
      <c r="O166" s="77">
        <v>0</v>
      </c>
      <c r="P166" s="77">
        <v>0</v>
      </c>
      <c r="Q166" s="77">
        <v>2</v>
      </c>
      <c r="R166" s="77">
        <v>32</v>
      </c>
      <c r="S166" s="77">
        <f>_xlfn.STDEV.P(Table2[[#This Row],[volt-sbmu1]:[volt-sbmu5]])</f>
        <v>0.36331804249175653</v>
      </c>
      <c r="T166" s="77">
        <f>MAX(Table2[[#This Row],[soc-sbmu1]:[soc-sbmu5]])-MIN(Table2[[#This Row],[soc-sbmu1]:[soc-sbmu5]])</f>
        <v>0.19999999999998863</v>
      </c>
      <c r="U166" s="77"/>
      <c r="V166" s="77"/>
    </row>
    <row r="167" spans="1:22">
      <c r="A167" t="s">
        <v>315</v>
      </c>
      <c r="B167" t="s">
        <v>595</v>
      </c>
      <c r="C167" s="77">
        <v>85.7</v>
      </c>
      <c r="D167" s="77">
        <v>1391.8</v>
      </c>
      <c r="E167" s="77">
        <v>84.9</v>
      </c>
      <c r="F167" s="77">
        <v>86</v>
      </c>
      <c r="G167" s="77">
        <v>84.5</v>
      </c>
      <c r="H167" s="77">
        <v>84.5</v>
      </c>
      <c r="I167" s="77">
        <v>84.1</v>
      </c>
      <c r="J167" s="85">
        <v>1391.3</v>
      </c>
      <c r="K167" s="85">
        <v>1390.7</v>
      </c>
      <c r="L167" s="85">
        <v>1391.6</v>
      </c>
      <c r="M167" s="85">
        <v>1391</v>
      </c>
      <c r="N167" s="85">
        <v>1391.4</v>
      </c>
      <c r="O167" s="77">
        <v>0</v>
      </c>
      <c r="P167" s="77">
        <v>0</v>
      </c>
      <c r="Q167" s="77">
        <v>1</v>
      </c>
      <c r="R167" s="77">
        <v>34</v>
      </c>
      <c r="S167" s="77">
        <f>_xlfn.STDEV.P(Table2[[#This Row],[volt-sbmu1]:[volt-sbmu5]])</f>
        <v>0.31622776601680919</v>
      </c>
      <c r="T167" s="77">
        <f>MAX(Table2[[#This Row],[soc-sbmu1]:[soc-sbmu5]])-MIN(Table2[[#This Row],[soc-sbmu1]:[soc-sbmu5]])</f>
        <v>1.9000000000000057</v>
      </c>
      <c r="U167" s="77"/>
      <c r="V167" s="77"/>
    </row>
    <row r="168" spans="1:22">
      <c r="A168" t="s">
        <v>316</v>
      </c>
      <c r="B168" t="s">
        <v>596</v>
      </c>
      <c r="C168" s="77">
        <v>85.6</v>
      </c>
      <c r="D168" s="77">
        <v>1391.3</v>
      </c>
      <c r="E168" s="77">
        <v>85.6</v>
      </c>
      <c r="F168" s="77">
        <v>84.6</v>
      </c>
      <c r="G168" s="77">
        <v>85.8</v>
      </c>
      <c r="H168" s="77">
        <v>85.1</v>
      </c>
      <c r="I168" s="77">
        <v>85.3</v>
      </c>
      <c r="J168" s="85">
        <v>1391.1</v>
      </c>
      <c r="K168" s="85">
        <v>1391.2</v>
      </c>
      <c r="L168" s="85">
        <v>1392.5</v>
      </c>
      <c r="M168" s="85">
        <v>1390.3</v>
      </c>
      <c r="N168" s="85">
        <v>1391.4</v>
      </c>
      <c r="O168" s="77">
        <v>0</v>
      </c>
      <c r="P168" s="77">
        <v>0</v>
      </c>
      <c r="Q168" s="77">
        <v>1</v>
      </c>
      <c r="R168" s="77">
        <v>33</v>
      </c>
      <c r="S168" s="77">
        <f>_xlfn.STDEV.P(Table2[[#This Row],[volt-sbmu1]:[volt-sbmu5]])</f>
        <v>0.70710678118656689</v>
      </c>
      <c r="T168" s="77">
        <f>MAX(Table2[[#This Row],[soc-sbmu1]:[soc-sbmu5]])-MIN(Table2[[#This Row],[soc-sbmu1]:[soc-sbmu5]])</f>
        <v>1.2000000000000028</v>
      </c>
      <c r="U168" s="77"/>
      <c r="V168" s="77"/>
    </row>
    <row r="169" spans="1:22">
      <c r="A169" t="s">
        <v>317</v>
      </c>
      <c r="B169" t="s">
        <v>597</v>
      </c>
      <c r="C169" s="77">
        <v>85.4</v>
      </c>
      <c r="D169" s="77">
        <v>1393.6</v>
      </c>
      <c r="E169" s="77">
        <v>85</v>
      </c>
      <c r="F169" s="77">
        <v>85.5</v>
      </c>
      <c r="G169" s="77">
        <v>85.3</v>
      </c>
      <c r="H169" s="77">
        <v>84.9</v>
      </c>
      <c r="I169" s="77">
        <v>85.5</v>
      </c>
      <c r="J169" s="85">
        <v>1395</v>
      </c>
      <c r="K169" s="85">
        <v>1394</v>
      </c>
      <c r="L169" s="85">
        <v>1393.7</v>
      </c>
      <c r="M169" s="85">
        <v>1392.6</v>
      </c>
      <c r="N169" s="85">
        <v>1393.7</v>
      </c>
      <c r="O169" s="77">
        <v>0</v>
      </c>
      <c r="P169" s="77">
        <v>0</v>
      </c>
      <c r="Q169" s="77">
        <v>1</v>
      </c>
      <c r="R169" s="77">
        <v>32</v>
      </c>
      <c r="S169" s="77">
        <f>_xlfn.STDEV.P(Table2[[#This Row],[volt-sbmu1]:[volt-sbmu5]])</f>
        <v>0.76681158050725862</v>
      </c>
      <c r="T169" s="77">
        <f>MAX(Table2[[#This Row],[soc-sbmu1]:[soc-sbmu5]])-MIN(Table2[[#This Row],[soc-sbmu1]:[soc-sbmu5]])</f>
        <v>0.59999999999999432</v>
      </c>
      <c r="U169" s="77"/>
      <c r="V169" s="77"/>
    </row>
    <row r="170" spans="1:22">
      <c r="A170" t="s">
        <v>318</v>
      </c>
      <c r="B170" t="s">
        <v>598</v>
      </c>
      <c r="C170" s="77">
        <v>85.3</v>
      </c>
      <c r="D170" s="77">
        <v>1393.9</v>
      </c>
      <c r="E170" s="77">
        <v>85.5</v>
      </c>
      <c r="F170" s="77">
        <v>84.6</v>
      </c>
      <c r="G170" s="77">
        <v>85.5</v>
      </c>
      <c r="H170" s="77">
        <v>85.3</v>
      </c>
      <c r="I170" s="77">
        <v>85.4</v>
      </c>
      <c r="J170" s="85">
        <v>1393</v>
      </c>
      <c r="K170" s="85">
        <v>1393.1</v>
      </c>
      <c r="L170" s="85">
        <v>1393.8</v>
      </c>
      <c r="M170" s="85">
        <v>1393.8</v>
      </c>
      <c r="N170" s="85">
        <v>1392.9</v>
      </c>
      <c r="O170" s="77">
        <v>0</v>
      </c>
      <c r="P170" s="77">
        <v>0</v>
      </c>
      <c r="Q170" s="77">
        <v>1</v>
      </c>
      <c r="R170" s="77">
        <v>34</v>
      </c>
      <c r="S170" s="77">
        <f>_xlfn.STDEV.P(Table2[[#This Row],[volt-sbmu1]:[volt-sbmu5]])</f>
        <v>0.39698866482555301</v>
      </c>
      <c r="T170" s="77">
        <f>MAX(Table2[[#This Row],[soc-sbmu1]:[soc-sbmu5]])-MIN(Table2[[#This Row],[soc-sbmu1]:[soc-sbmu5]])</f>
        <v>0.90000000000000568</v>
      </c>
      <c r="U170" s="77"/>
      <c r="V170" s="77"/>
    </row>
    <row r="171" spans="1:22">
      <c r="A171" t="s">
        <v>319</v>
      </c>
      <c r="B171" t="s">
        <v>599</v>
      </c>
      <c r="C171" s="77">
        <v>99.7</v>
      </c>
      <c r="D171" s="77">
        <v>1385.7</v>
      </c>
      <c r="E171" s="77">
        <v>99.8</v>
      </c>
      <c r="F171" s="77">
        <v>99.4</v>
      </c>
      <c r="G171" s="77">
        <v>99.7</v>
      </c>
      <c r="H171" s="77">
        <v>99.5</v>
      </c>
      <c r="I171" s="77">
        <v>99.4</v>
      </c>
      <c r="J171" s="85">
        <v>1385</v>
      </c>
      <c r="K171" s="85">
        <v>1387.5</v>
      </c>
      <c r="L171" s="85">
        <v>1384.8</v>
      </c>
      <c r="M171" s="85">
        <v>1384.6</v>
      </c>
      <c r="N171" s="85">
        <v>1384.9</v>
      </c>
      <c r="O171" s="77">
        <v>0</v>
      </c>
      <c r="P171" s="77">
        <v>0</v>
      </c>
      <c r="Q171" s="77">
        <v>2</v>
      </c>
      <c r="R171" s="77">
        <v>31</v>
      </c>
      <c r="S171" s="77">
        <f>_xlfn.STDEV.P(Table2[[#This Row],[volt-sbmu1]:[volt-sbmu5]])</f>
        <v>1.0781465577554941</v>
      </c>
      <c r="T171" s="77">
        <f>MAX(Table2[[#This Row],[soc-sbmu1]:[soc-sbmu5]])-MIN(Table2[[#This Row],[soc-sbmu1]:[soc-sbmu5]])</f>
        <v>0.39999999999999147</v>
      </c>
      <c r="U171" s="77"/>
      <c r="V171" s="77"/>
    </row>
    <row r="172" spans="1:22">
      <c r="A172" t="s">
        <v>320</v>
      </c>
      <c r="B172" t="s">
        <v>600</v>
      </c>
      <c r="C172" s="77">
        <v>99.5</v>
      </c>
      <c r="D172" s="77">
        <v>1386.1</v>
      </c>
      <c r="E172" s="77">
        <v>99.5</v>
      </c>
      <c r="F172" s="77">
        <v>99.5</v>
      </c>
      <c r="G172" s="77">
        <v>99.6</v>
      </c>
      <c r="H172" s="77">
        <v>99.6</v>
      </c>
      <c r="I172" s="77">
        <v>99.5</v>
      </c>
      <c r="J172" s="85">
        <v>1383.8</v>
      </c>
      <c r="K172" s="85">
        <v>1386.5</v>
      </c>
      <c r="L172" s="85">
        <v>1385.9</v>
      </c>
      <c r="M172" s="85">
        <v>1385.7</v>
      </c>
      <c r="N172" s="85">
        <v>1386.3</v>
      </c>
      <c r="O172" s="77">
        <v>0</v>
      </c>
      <c r="P172" s="77">
        <v>0</v>
      </c>
      <c r="Q172" s="77">
        <v>2</v>
      </c>
      <c r="R172" s="77">
        <v>31</v>
      </c>
      <c r="S172" s="77">
        <f>_xlfn.STDEV.P(Table2[[#This Row],[volt-sbmu1]:[volt-sbmu5]])</f>
        <v>0.9624967532412938</v>
      </c>
      <c r="T172" s="77">
        <f>MAX(Table2[[#This Row],[soc-sbmu1]:[soc-sbmu5]])-MIN(Table2[[#This Row],[soc-sbmu1]:[soc-sbmu5]])</f>
        <v>9.9999999999994316E-2</v>
      </c>
      <c r="U172" s="77"/>
      <c r="V172" s="77"/>
    </row>
    <row r="173" spans="1:22">
      <c r="A173" t="s">
        <v>321</v>
      </c>
      <c r="B173" t="s">
        <v>601</v>
      </c>
      <c r="C173" s="77">
        <v>99.7</v>
      </c>
      <c r="D173" s="77">
        <v>1383.3</v>
      </c>
      <c r="E173" s="77">
        <v>99.4</v>
      </c>
      <c r="F173" s="77">
        <v>99.7</v>
      </c>
      <c r="G173" s="77">
        <v>99.8</v>
      </c>
      <c r="H173" s="77">
        <v>99.8</v>
      </c>
      <c r="I173" s="77">
        <v>99.5</v>
      </c>
      <c r="J173" s="85">
        <v>1383.9</v>
      </c>
      <c r="K173" s="85">
        <v>1383.3</v>
      </c>
      <c r="L173" s="85">
        <v>1383.6</v>
      </c>
      <c r="M173" s="85">
        <v>1384.3</v>
      </c>
      <c r="N173" s="85">
        <v>1383.1</v>
      </c>
      <c r="O173" s="77">
        <v>0</v>
      </c>
      <c r="P173" s="77">
        <v>0</v>
      </c>
      <c r="Q173" s="77">
        <v>2</v>
      </c>
      <c r="R173" s="77">
        <v>30</v>
      </c>
      <c r="S173" s="77">
        <f>_xlfn.STDEV.P(Table2[[#This Row],[volt-sbmu1]:[volt-sbmu5]])</f>
        <v>0.42708313008128146</v>
      </c>
      <c r="T173" s="77">
        <f>MAX(Table2[[#This Row],[soc-sbmu1]:[soc-sbmu5]])-MIN(Table2[[#This Row],[soc-sbmu1]:[soc-sbmu5]])</f>
        <v>0.39999999999999147</v>
      </c>
      <c r="U173" s="77"/>
      <c r="V173" s="77"/>
    </row>
    <row r="174" spans="1:22">
      <c r="A174" t="s">
        <v>322</v>
      </c>
      <c r="B174" t="s">
        <v>602</v>
      </c>
      <c r="C174" s="77">
        <v>99.7</v>
      </c>
      <c r="D174" s="77">
        <v>1384.7</v>
      </c>
      <c r="E174" s="77">
        <v>99.8</v>
      </c>
      <c r="F174" s="77">
        <v>99.8</v>
      </c>
      <c r="G174" s="77">
        <v>99.7</v>
      </c>
      <c r="H174" s="77">
        <v>99.4</v>
      </c>
      <c r="I174" s="77">
        <v>99.4</v>
      </c>
      <c r="J174" s="85">
        <v>1384.9</v>
      </c>
      <c r="K174" s="85">
        <v>1384.9</v>
      </c>
      <c r="L174" s="85">
        <v>1384.2</v>
      </c>
      <c r="M174" s="85">
        <v>1384.6</v>
      </c>
      <c r="N174" s="85">
        <v>1385.1</v>
      </c>
      <c r="O174" s="77">
        <v>0</v>
      </c>
      <c r="P174" s="77">
        <v>0</v>
      </c>
      <c r="Q174" s="77">
        <v>2</v>
      </c>
      <c r="R174" s="77">
        <v>32</v>
      </c>
      <c r="S174" s="77">
        <f>_xlfn.STDEV.P(Table2[[#This Row],[volt-sbmu1]:[volt-sbmu5]])</f>
        <v>0.31368774282715256</v>
      </c>
      <c r="T174" s="77">
        <f>MAX(Table2[[#This Row],[soc-sbmu1]:[soc-sbmu5]])-MIN(Table2[[#This Row],[soc-sbmu1]:[soc-sbmu5]])</f>
        <v>0.39999999999999147</v>
      </c>
      <c r="U174" s="77"/>
      <c r="V174" s="77"/>
    </row>
    <row r="175" spans="1:22">
      <c r="A175" t="s">
        <v>323</v>
      </c>
      <c r="B175" t="s">
        <v>603</v>
      </c>
      <c r="C175" s="77">
        <v>99.8</v>
      </c>
      <c r="D175" s="77">
        <v>1384.4</v>
      </c>
      <c r="E175" s="77">
        <v>99.8</v>
      </c>
      <c r="F175" s="77">
        <v>99.5</v>
      </c>
      <c r="G175" s="77">
        <v>99.9</v>
      </c>
      <c r="H175" s="77">
        <v>99.7</v>
      </c>
      <c r="I175" s="77">
        <v>99.7</v>
      </c>
      <c r="J175" s="85">
        <v>1384.3</v>
      </c>
      <c r="K175" s="85">
        <v>1384.7</v>
      </c>
      <c r="L175" s="85">
        <v>1384.2</v>
      </c>
      <c r="M175" s="85">
        <v>1384.2</v>
      </c>
      <c r="N175" s="85">
        <v>1384.4</v>
      </c>
      <c r="O175" s="77">
        <v>0</v>
      </c>
      <c r="P175" s="77">
        <v>0</v>
      </c>
      <c r="Q175" s="77">
        <v>2</v>
      </c>
      <c r="R175" s="77">
        <v>34</v>
      </c>
      <c r="S175" s="77">
        <f>_xlfn.STDEV.P(Table2[[#This Row],[volt-sbmu1]:[volt-sbmu5]])</f>
        <v>0.18547236990992194</v>
      </c>
      <c r="T175" s="77">
        <f>MAX(Table2[[#This Row],[soc-sbmu1]:[soc-sbmu5]])-MIN(Table2[[#This Row],[soc-sbmu1]:[soc-sbmu5]])</f>
        <v>0.40000000000000568</v>
      </c>
      <c r="U175" s="77"/>
      <c r="V175" s="77"/>
    </row>
    <row r="176" spans="1:22">
      <c r="A176" t="s">
        <v>324</v>
      </c>
      <c r="B176" t="s">
        <v>604</v>
      </c>
      <c r="C176" s="77">
        <v>74.400000000000006</v>
      </c>
      <c r="D176" s="77">
        <v>1393.7</v>
      </c>
      <c r="E176" s="77">
        <v>74.8</v>
      </c>
      <c r="F176" s="77">
        <v>73.5</v>
      </c>
      <c r="G176" s="77">
        <v>73.900000000000006</v>
      </c>
      <c r="H176" s="77">
        <v>74.5</v>
      </c>
      <c r="I176" s="77">
        <v>74.7</v>
      </c>
      <c r="J176" s="85">
        <v>1394.1</v>
      </c>
      <c r="K176" s="85">
        <v>1393.3</v>
      </c>
      <c r="L176" s="85">
        <v>1392.8</v>
      </c>
      <c r="M176" s="85">
        <v>1393.3</v>
      </c>
      <c r="N176" s="85">
        <v>1392.9</v>
      </c>
      <c r="O176" s="77">
        <v>0</v>
      </c>
      <c r="P176" s="77">
        <v>0</v>
      </c>
      <c r="Q176" s="77">
        <v>1</v>
      </c>
      <c r="R176" s="77">
        <v>33</v>
      </c>
      <c r="S176" s="77">
        <f>_xlfn.STDEV.P(Table2[[#This Row],[volt-sbmu1]:[volt-sbmu5]])</f>
        <v>0.45782092569034499</v>
      </c>
      <c r="T176" s="77">
        <f>MAX(Table2[[#This Row],[soc-sbmu1]:[soc-sbmu5]])-MIN(Table2[[#This Row],[soc-sbmu1]:[soc-sbmu5]])</f>
        <v>1.2999999999999972</v>
      </c>
      <c r="U176" s="77"/>
      <c r="V176" s="77"/>
    </row>
    <row r="177" spans="1:22">
      <c r="A177" t="s">
        <v>325</v>
      </c>
      <c r="B177" t="s">
        <v>605</v>
      </c>
      <c r="C177" s="77">
        <v>74.2</v>
      </c>
      <c r="D177" s="77">
        <v>1392.5</v>
      </c>
      <c r="E177" s="77">
        <v>74.599999999999994</v>
      </c>
      <c r="F177" s="77">
        <v>73.3</v>
      </c>
      <c r="G177" s="77">
        <v>73.7</v>
      </c>
      <c r="H177" s="77">
        <v>73.5</v>
      </c>
      <c r="I177" s="77">
        <v>73.8</v>
      </c>
      <c r="J177" s="85">
        <v>1392</v>
      </c>
      <c r="K177" s="85">
        <v>1392.2</v>
      </c>
      <c r="L177" s="85">
        <v>1393.3</v>
      </c>
      <c r="M177" s="85">
        <v>1393.1</v>
      </c>
      <c r="N177" s="85">
        <v>1392.3</v>
      </c>
      <c r="O177" s="77">
        <v>0</v>
      </c>
      <c r="P177" s="77">
        <v>0</v>
      </c>
      <c r="Q177" s="77">
        <v>1</v>
      </c>
      <c r="R177" s="77">
        <v>33</v>
      </c>
      <c r="S177" s="77">
        <f>_xlfn.STDEV.P(Table2[[#This Row],[volt-sbmu1]:[volt-sbmu5]])</f>
        <v>0.51923019942985416</v>
      </c>
      <c r="T177" s="77">
        <f>MAX(Table2[[#This Row],[soc-sbmu1]:[soc-sbmu5]])-MIN(Table2[[#This Row],[soc-sbmu1]:[soc-sbmu5]])</f>
        <v>1.2999999999999972</v>
      </c>
      <c r="U177" s="77"/>
      <c r="V177" s="77"/>
    </row>
    <row r="178" spans="1:22">
      <c r="A178" t="s">
        <v>326</v>
      </c>
      <c r="B178" t="s">
        <v>606</v>
      </c>
      <c r="C178" s="77">
        <v>99.6</v>
      </c>
      <c r="D178" s="77">
        <v>1383.8</v>
      </c>
      <c r="E178" s="77">
        <v>99.7</v>
      </c>
      <c r="F178" s="77">
        <v>99.7</v>
      </c>
      <c r="G178" s="77">
        <v>99.7</v>
      </c>
      <c r="H178" s="77">
        <v>99.6</v>
      </c>
      <c r="I178" s="77">
        <v>99.8</v>
      </c>
      <c r="J178" s="85">
        <v>1383.4</v>
      </c>
      <c r="K178" s="85">
        <v>1383.3</v>
      </c>
      <c r="L178" s="85">
        <v>1384</v>
      </c>
      <c r="M178" s="85">
        <v>1382.3</v>
      </c>
      <c r="N178" s="85">
        <v>1384</v>
      </c>
      <c r="O178" s="77">
        <v>0</v>
      </c>
      <c r="P178" s="77">
        <v>0</v>
      </c>
      <c r="Q178" s="77">
        <v>1</v>
      </c>
      <c r="R178" s="77">
        <v>34</v>
      </c>
      <c r="S178" s="77">
        <f>_xlfn.STDEV.P(Table2[[#This Row],[volt-sbmu1]:[volt-sbmu5]])</f>
        <v>0.62289646009591504</v>
      </c>
      <c r="T178" s="77">
        <f>MAX(Table2[[#This Row],[soc-sbmu1]:[soc-sbmu5]])-MIN(Table2[[#This Row],[soc-sbmu1]:[soc-sbmu5]])</f>
        <v>0.20000000000000284</v>
      </c>
      <c r="U178" s="77"/>
      <c r="V178" s="77"/>
    </row>
    <row r="179" spans="1:22">
      <c r="A179" t="s">
        <v>327</v>
      </c>
      <c r="B179" t="s">
        <v>607</v>
      </c>
      <c r="C179" s="77">
        <v>99.7</v>
      </c>
      <c r="D179" s="77">
        <v>1385.5</v>
      </c>
      <c r="E179" s="77">
        <v>99.8</v>
      </c>
      <c r="F179" s="77">
        <v>99.7</v>
      </c>
      <c r="G179" s="77">
        <v>99.6</v>
      </c>
      <c r="H179" s="77">
        <v>99.7</v>
      </c>
      <c r="I179" s="77">
        <v>99.8</v>
      </c>
      <c r="J179" s="85">
        <v>1385.5</v>
      </c>
      <c r="K179" s="85">
        <v>1387.4</v>
      </c>
      <c r="L179" s="85">
        <v>1384.5</v>
      </c>
      <c r="M179" s="85">
        <v>1385.4</v>
      </c>
      <c r="N179" s="85">
        <v>1387</v>
      </c>
      <c r="O179" s="77">
        <v>0</v>
      </c>
      <c r="P179" s="77">
        <v>0</v>
      </c>
      <c r="Q179" s="77">
        <v>2</v>
      </c>
      <c r="R179" s="77">
        <v>31</v>
      </c>
      <c r="S179" s="77">
        <f>_xlfn.STDEV.P(Table2[[#This Row],[volt-sbmu1]:[volt-sbmu5]])</f>
        <v>1.0781465577554992</v>
      </c>
      <c r="T179" s="77">
        <f>MAX(Table2[[#This Row],[soc-sbmu1]:[soc-sbmu5]])-MIN(Table2[[#This Row],[soc-sbmu1]:[soc-sbmu5]])</f>
        <v>0.20000000000000284</v>
      </c>
      <c r="U179" s="77"/>
      <c r="V179" s="77"/>
    </row>
    <row r="180" spans="1:22">
      <c r="A180" t="s">
        <v>328</v>
      </c>
      <c r="B180" t="s">
        <v>608</v>
      </c>
      <c r="C180" s="77">
        <v>99.4</v>
      </c>
      <c r="D180" s="77">
        <v>1384.6</v>
      </c>
      <c r="E180" s="77">
        <v>99.5</v>
      </c>
      <c r="F180" s="77">
        <v>99.5</v>
      </c>
      <c r="G180" s="77">
        <v>99.4</v>
      </c>
      <c r="H180" s="77">
        <v>99.5</v>
      </c>
      <c r="I180" s="77">
        <v>99.4</v>
      </c>
      <c r="J180" s="85">
        <v>1384.5</v>
      </c>
      <c r="K180" s="85">
        <v>1384.5</v>
      </c>
      <c r="L180" s="85">
        <v>1384.4</v>
      </c>
      <c r="M180" s="85">
        <v>1384.4</v>
      </c>
      <c r="N180" s="85">
        <v>1384.1</v>
      </c>
      <c r="O180" s="77">
        <v>0</v>
      </c>
      <c r="P180" s="77">
        <v>0</v>
      </c>
      <c r="Q180" s="77">
        <v>2</v>
      </c>
      <c r="R180" s="77">
        <v>32</v>
      </c>
      <c r="S180" s="77">
        <f>_xlfn.STDEV.P(Table2[[#This Row],[volt-sbmu1]:[volt-sbmu5]])</f>
        <v>0.14696938456703029</v>
      </c>
      <c r="T180" s="77">
        <f>MAX(Table2[[#This Row],[soc-sbmu1]:[soc-sbmu5]])-MIN(Table2[[#This Row],[soc-sbmu1]:[soc-sbmu5]])</f>
        <v>9.9999999999994316E-2</v>
      </c>
      <c r="U180" s="77"/>
      <c r="V180" s="77"/>
    </row>
    <row r="181" spans="1:22">
      <c r="A181" t="s">
        <v>329</v>
      </c>
      <c r="B181" t="s">
        <v>609</v>
      </c>
      <c r="C181" s="77">
        <v>99.4</v>
      </c>
      <c r="D181" s="77">
        <v>1384.8</v>
      </c>
      <c r="E181" s="77">
        <v>99.4</v>
      </c>
      <c r="F181" s="77">
        <v>99.5</v>
      </c>
      <c r="G181" s="77">
        <v>99.3</v>
      </c>
      <c r="H181" s="77">
        <v>99.5</v>
      </c>
      <c r="I181" s="77">
        <v>99.4</v>
      </c>
      <c r="J181" s="85">
        <v>1385.1</v>
      </c>
      <c r="K181" s="85">
        <v>1385.5</v>
      </c>
      <c r="L181" s="85">
        <v>1383.8</v>
      </c>
      <c r="M181" s="85">
        <v>1384.9</v>
      </c>
      <c r="N181" s="85">
        <v>1384</v>
      </c>
      <c r="O181" s="77">
        <v>0</v>
      </c>
      <c r="P181" s="77">
        <v>0</v>
      </c>
      <c r="Q181" s="77">
        <v>2</v>
      </c>
      <c r="R181" s="77">
        <v>31</v>
      </c>
      <c r="S181" s="77">
        <f>_xlfn.STDEV.P(Table2[[#This Row],[volt-sbmu1]:[volt-sbmu5]])</f>
        <v>0.65299310869258675</v>
      </c>
      <c r="T181" s="77">
        <f>MAX(Table2[[#This Row],[soc-sbmu1]:[soc-sbmu5]])-MIN(Table2[[#This Row],[soc-sbmu1]:[soc-sbmu5]])</f>
        <v>0.20000000000000284</v>
      </c>
      <c r="U181" s="77"/>
      <c r="V181" s="77"/>
    </row>
    <row r="182" spans="1:22">
      <c r="A182" t="s">
        <v>330</v>
      </c>
      <c r="B182" t="s">
        <v>610</v>
      </c>
      <c r="C182" s="77">
        <v>99.4</v>
      </c>
      <c r="D182" s="77">
        <v>1383.5</v>
      </c>
      <c r="E182" s="77">
        <v>99.4</v>
      </c>
      <c r="F182" s="77">
        <v>99.5</v>
      </c>
      <c r="G182" s="77">
        <v>99.4</v>
      </c>
      <c r="H182" s="77">
        <v>99.5</v>
      </c>
      <c r="I182" s="77">
        <v>99.5</v>
      </c>
      <c r="J182" s="85">
        <v>1384.8</v>
      </c>
      <c r="K182" s="85">
        <v>1383.4</v>
      </c>
      <c r="L182" s="85">
        <v>1383.6</v>
      </c>
      <c r="M182" s="85">
        <v>1383.4</v>
      </c>
      <c r="N182" s="85">
        <v>1383.3</v>
      </c>
      <c r="O182" s="77">
        <v>0</v>
      </c>
      <c r="P182" s="77">
        <v>0</v>
      </c>
      <c r="Q182" s="77">
        <v>2</v>
      </c>
      <c r="R182" s="77">
        <v>32</v>
      </c>
      <c r="S182" s="77">
        <f>_xlfn.STDEV.P(Table2[[#This Row],[volt-sbmu1]:[volt-sbmu5]])</f>
        <v>0.55856960175073</v>
      </c>
      <c r="T182" s="77">
        <f>MAX(Table2[[#This Row],[soc-sbmu1]:[soc-sbmu5]])-MIN(Table2[[#This Row],[soc-sbmu1]:[soc-sbmu5]])</f>
        <v>9.9999999999994316E-2</v>
      </c>
      <c r="U182" s="77"/>
      <c r="V182" s="77"/>
    </row>
    <row r="183" spans="1:22">
      <c r="A183" t="s">
        <v>331</v>
      </c>
      <c r="B183" t="s">
        <v>611</v>
      </c>
      <c r="C183" s="77">
        <v>73.099999999999994</v>
      </c>
      <c r="D183" s="77">
        <v>1390.8</v>
      </c>
      <c r="E183" s="77">
        <v>74.2</v>
      </c>
      <c r="F183" s="77">
        <v>70.2</v>
      </c>
      <c r="G183" s="77">
        <v>73.900000000000006</v>
      </c>
      <c r="H183" s="77">
        <v>71.5</v>
      </c>
      <c r="I183" s="77">
        <v>71.2</v>
      </c>
      <c r="J183" s="85">
        <v>1390.7</v>
      </c>
      <c r="K183" s="85">
        <v>1392</v>
      </c>
      <c r="L183" s="85">
        <v>1391.1</v>
      </c>
      <c r="M183" s="85">
        <v>1391</v>
      </c>
      <c r="N183" s="85">
        <v>1389.9</v>
      </c>
      <c r="O183" s="77">
        <v>0</v>
      </c>
      <c r="P183" s="77">
        <v>0</v>
      </c>
      <c r="Q183" s="77">
        <v>1</v>
      </c>
      <c r="R183" s="77">
        <v>33</v>
      </c>
      <c r="S183" s="77">
        <f>_xlfn.STDEV.P(Table2[[#This Row],[volt-sbmu1]:[volt-sbmu5]])</f>
        <v>0.67705243519239489</v>
      </c>
      <c r="T183" s="77">
        <f>MAX(Table2[[#This Row],[soc-sbmu1]:[soc-sbmu5]])-MIN(Table2[[#This Row],[soc-sbmu1]:[soc-sbmu5]])</f>
        <v>4</v>
      </c>
      <c r="U183" s="77"/>
      <c r="V183" s="77"/>
    </row>
    <row r="184" spans="1:22">
      <c r="A184" t="s">
        <v>332</v>
      </c>
      <c r="B184" t="s">
        <v>612</v>
      </c>
      <c r="C184" s="77">
        <v>71.900000000000006</v>
      </c>
      <c r="D184" s="77">
        <v>1392.1</v>
      </c>
      <c r="E184" s="77">
        <v>72.2</v>
      </c>
      <c r="F184" s="77">
        <v>72.2</v>
      </c>
      <c r="G184" s="77">
        <v>71.5</v>
      </c>
      <c r="H184" s="77">
        <v>71.5</v>
      </c>
      <c r="I184" s="77">
        <v>71.400000000000006</v>
      </c>
      <c r="J184" s="85">
        <v>1392.7</v>
      </c>
      <c r="K184" s="85">
        <v>1391.3</v>
      </c>
      <c r="L184" s="85">
        <v>1391.9</v>
      </c>
      <c r="M184" s="85">
        <v>1391.1</v>
      </c>
      <c r="N184" s="85">
        <v>1390.1</v>
      </c>
      <c r="O184" s="77">
        <v>0</v>
      </c>
      <c r="P184" s="77">
        <v>0</v>
      </c>
      <c r="Q184" s="77">
        <v>1</v>
      </c>
      <c r="R184" s="77">
        <v>33</v>
      </c>
      <c r="S184" s="77">
        <f>_xlfn.STDEV.P(Table2[[#This Row],[volt-sbmu1]:[volt-sbmu5]])</f>
        <v>0.86348132579697556</v>
      </c>
      <c r="T184" s="77">
        <f>MAX(Table2[[#This Row],[soc-sbmu1]:[soc-sbmu5]])-MIN(Table2[[#This Row],[soc-sbmu1]:[soc-sbmu5]])</f>
        <v>0.79999999999999716</v>
      </c>
      <c r="U184" s="77"/>
      <c r="V184" s="77"/>
    </row>
    <row r="185" spans="1:22">
      <c r="A185" t="s">
        <v>333</v>
      </c>
      <c r="B185" t="s">
        <v>613</v>
      </c>
      <c r="C185" s="77">
        <v>73.2</v>
      </c>
      <c r="D185" s="77">
        <v>1390.6</v>
      </c>
      <c r="E185" s="77">
        <v>73.5</v>
      </c>
      <c r="F185" s="77">
        <v>73.2</v>
      </c>
      <c r="G185" s="77">
        <v>73.099999999999994</v>
      </c>
      <c r="H185" s="77">
        <v>73.099999999999994</v>
      </c>
      <c r="I185" s="77">
        <v>72.7</v>
      </c>
      <c r="J185" s="85">
        <v>1390.6</v>
      </c>
      <c r="K185" s="85">
        <v>1390</v>
      </c>
      <c r="L185" s="85">
        <v>1390.7</v>
      </c>
      <c r="M185" s="85">
        <v>1390.1</v>
      </c>
      <c r="N185" s="85">
        <v>1391.1</v>
      </c>
      <c r="O185" s="77">
        <v>0</v>
      </c>
      <c r="P185" s="77">
        <v>0</v>
      </c>
      <c r="Q185" s="77">
        <v>1</v>
      </c>
      <c r="R185" s="77">
        <v>32</v>
      </c>
      <c r="S185" s="77">
        <f>_xlfn.STDEV.P(Table2[[#This Row],[volt-sbmu1]:[volt-sbmu5]])</f>
        <v>0.40496913462632278</v>
      </c>
      <c r="T185" s="77">
        <f>MAX(Table2[[#This Row],[soc-sbmu1]:[soc-sbmu5]])-MIN(Table2[[#This Row],[soc-sbmu1]:[soc-sbmu5]])</f>
        <v>0.79999999999999716</v>
      </c>
      <c r="U185" s="77"/>
      <c r="V185" s="77"/>
    </row>
    <row r="186" spans="1:22">
      <c r="A186" t="s">
        <v>334</v>
      </c>
      <c r="B186" t="s">
        <v>614</v>
      </c>
      <c r="C186" s="77">
        <v>73.2</v>
      </c>
      <c r="D186" s="77">
        <v>1390.8</v>
      </c>
      <c r="E186" s="77">
        <v>73.7</v>
      </c>
      <c r="F186" s="77">
        <v>73.099999999999994</v>
      </c>
      <c r="G186" s="77">
        <v>72.7</v>
      </c>
      <c r="H186" s="77">
        <v>72.2</v>
      </c>
      <c r="I186" s="77">
        <v>72.900000000000006</v>
      </c>
      <c r="J186" s="85">
        <v>1390.5</v>
      </c>
      <c r="K186" s="85">
        <v>1391.1</v>
      </c>
      <c r="L186" s="85">
        <v>1390.3</v>
      </c>
      <c r="M186" s="85">
        <v>1389.8</v>
      </c>
      <c r="N186" s="85">
        <v>1390.3</v>
      </c>
      <c r="O186" s="77">
        <v>0</v>
      </c>
      <c r="P186" s="77">
        <v>0</v>
      </c>
      <c r="Q186" s="77">
        <v>1</v>
      </c>
      <c r="R186" s="77">
        <v>34</v>
      </c>
      <c r="S186" s="77">
        <f>_xlfn.STDEV.P(Table2[[#This Row],[volt-sbmu1]:[volt-sbmu5]])</f>
        <v>0.41952353926804764</v>
      </c>
      <c r="T186" s="77">
        <f>MAX(Table2[[#This Row],[soc-sbmu1]:[soc-sbmu5]])-MIN(Table2[[#This Row],[soc-sbmu1]:[soc-sbmu5]])</f>
        <v>1.5</v>
      </c>
      <c r="U186" s="77"/>
      <c r="V186" s="77"/>
    </row>
    <row r="187" spans="1:22">
      <c r="A187" t="s">
        <v>335</v>
      </c>
      <c r="B187" t="s">
        <v>615</v>
      </c>
      <c r="C187" s="77">
        <v>85.8</v>
      </c>
      <c r="D187" s="77">
        <v>1392.4</v>
      </c>
      <c r="E187" s="77">
        <v>84.7</v>
      </c>
      <c r="F187" s="77">
        <v>86.2</v>
      </c>
      <c r="G187" s="77">
        <v>85</v>
      </c>
      <c r="H187" s="77">
        <v>84.3</v>
      </c>
      <c r="I187" s="77">
        <v>84</v>
      </c>
      <c r="J187" s="85">
        <v>1392</v>
      </c>
      <c r="K187" s="85">
        <v>1390.4</v>
      </c>
      <c r="L187" s="85">
        <v>1391.9</v>
      </c>
      <c r="M187" s="85">
        <v>1395.9</v>
      </c>
      <c r="N187" s="85">
        <v>1391.7</v>
      </c>
      <c r="O187" s="77">
        <v>0</v>
      </c>
      <c r="P187" s="77">
        <v>0</v>
      </c>
      <c r="Q187" s="77">
        <v>1</v>
      </c>
      <c r="R187" s="77">
        <v>31</v>
      </c>
      <c r="S187" s="77">
        <f>_xlfn.STDEV.P(Table2[[#This Row],[volt-sbmu1]:[volt-sbmu5]])</f>
        <v>1.8519179247472137</v>
      </c>
      <c r="T187" s="77">
        <f>MAX(Table2[[#This Row],[soc-sbmu1]:[soc-sbmu5]])-MIN(Table2[[#This Row],[soc-sbmu1]:[soc-sbmu5]])</f>
        <v>2.2000000000000028</v>
      </c>
      <c r="U187" s="77"/>
      <c r="V187" s="77"/>
    </row>
    <row r="188" spans="1:22">
      <c r="A188" t="s">
        <v>336</v>
      </c>
      <c r="B188" t="s">
        <v>616</v>
      </c>
      <c r="C188" s="77">
        <v>85.7</v>
      </c>
      <c r="D188" s="77">
        <v>1392.7</v>
      </c>
      <c r="E188" s="77">
        <v>85.2</v>
      </c>
      <c r="F188" s="77">
        <v>84.2</v>
      </c>
      <c r="G188" s="77">
        <v>85.3</v>
      </c>
      <c r="H188" s="77">
        <v>85.7</v>
      </c>
      <c r="I188" s="77">
        <v>86</v>
      </c>
      <c r="J188" s="85">
        <v>1392.8</v>
      </c>
      <c r="K188" s="85">
        <v>1392.1</v>
      </c>
      <c r="L188" s="85">
        <v>1392.7</v>
      </c>
      <c r="M188" s="85">
        <v>1393.3</v>
      </c>
      <c r="N188" s="85">
        <v>1392.4</v>
      </c>
      <c r="O188" s="77">
        <v>0</v>
      </c>
      <c r="P188" s="77">
        <v>0</v>
      </c>
      <c r="Q188" s="77">
        <v>1</v>
      </c>
      <c r="R188" s="77">
        <v>31</v>
      </c>
      <c r="S188" s="77">
        <f>_xlfn.STDEV.P(Table2[[#This Row],[volt-sbmu1]:[volt-sbmu5]])</f>
        <v>0.40298883359219451</v>
      </c>
      <c r="T188" s="77">
        <f>MAX(Table2[[#This Row],[soc-sbmu1]:[soc-sbmu5]])-MIN(Table2[[#This Row],[soc-sbmu1]:[soc-sbmu5]])</f>
        <v>1.7999999999999972</v>
      </c>
      <c r="U188" s="77"/>
      <c r="V188" s="77"/>
    </row>
    <row r="189" spans="1:22">
      <c r="A189" t="s">
        <v>337</v>
      </c>
      <c r="B189" t="s">
        <v>617</v>
      </c>
      <c r="C189" s="77">
        <v>85.6</v>
      </c>
      <c r="D189" s="77">
        <v>1392.8</v>
      </c>
      <c r="E189" s="77">
        <v>84.7</v>
      </c>
      <c r="F189" s="77">
        <v>85.8</v>
      </c>
      <c r="G189" s="77">
        <v>84.8</v>
      </c>
      <c r="H189" s="77">
        <v>84.9</v>
      </c>
      <c r="I189" s="77">
        <v>85.4</v>
      </c>
      <c r="J189" s="85">
        <v>1392.5</v>
      </c>
      <c r="K189" s="85">
        <v>1395</v>
      </c>
      <c r="L189" s="85">
        <v>1393.3</v>
      </c>
      <c r="M189" s="85">
        <v>1392.2</v>
      </c>
      <c r="N189" s="85">
        <v>1393.5</v>
      </c>
      <c r="O189" s="77">
        <v>0</v>
      </c>
      <c r="P189" s="77">
        <v>0</v>
      </c>
      <c r="Q189" s="77">
        <v>1</v>
      </c>
      <c r="R189" s="77">
        <v>30</v>
      </c>
      <c r="S189" s="77">
        <f>_xlfn.STDEV.P(Table2[[#This Row],[volt-sbmu1]:[volt-sbmu5]])</f>
        <v>0.97775252492641507</v>
      </c>
      <c r="T189" s="77">
        <f>MAX(Table2[[#This Row],[soc-sbmu1]:[soc-sbmu5]])-MIN(Table2[[#This Row],[soc-sbmu1]:[soc-sbmu5]])</f>
        <v>1.0999999999999943</v>
      </c>
      <c r="U189" s="77"/>
      <c r="V189" s="77"/>
    </row>
    <row r="190" spans="1:22">
      <c r="A190" t="s">
        <v>338</v>
      </c>
      <c r="B190" t="s">
        <v>618</v>
      </c>
      <c r="C190" s="77">
        <v>85.8</v>
      </c>
      <c r="D190" s="77">
        <v>1392.7</v>
      </c>
      <c r="E190" s="77">
        <v>84.7</v>
      </c>
      <c r="F190" s="77">
        <v>84.5</v>
      </c>
      <c r="G190" s="77">
        <v>86.3</v>
      </c>
      <c r="H190" s="77">
        <v>83.4</v>
      </c>
      <c r="I190" s="77">
        <v>84.3</v>
      </c>
      <c r="J190" s="85">
        <v>1392.2</v>
      </c>
      <c r="K190" s="85">
        <v>1391.4</v>
      </c>
      <c r="L190" s="85">
        <v>1393.4</v>
      </c>
      <c r="M190" s="85">
        <v>1393</v>
      </c>
      <c r="N190" s="85">
        <v>1392.7</v>
      </c>
      <c r="O190" s="77">
        <v>0</v>
      </c>
      <c r="P190" s="77">
        <v>0</v>
      </c>
      <c r="Q190" s="77">
        <v>1</v>
      </c>
      <c r="R190" s="77">
        <v>34</v>
      </c>
      <c r="S190" s="77">
        <f>_xlfn.STDEV.P(Table2[[#This Row],[volt-sbmu1]:[volt-sbmu5]])</f>
        <v>0.69166465863161353</v>
      </c>
      <c r="T190" s="77">
        <f>MAX(Table2[[#This Row],[soc-sbmu1]:[soc-sbmu5]])-MIN(Table2[[#This Row],[soc-sbmu1]:[soc-sbmu5]])</f>
        <v>2.8999999999999915</v>
      </c>
      <c r="U190" s="77"/>
      <c r="V190" s="77"/>
    </row>
    <row r="191" spans="1:22">
      <c r="A191" t="s">
        <v>339</v>
      </c>
      <c r="B191" t="s">
        <v>619</v>
      </c>
      <c r="C191" s="77">
        <v>83.4</v>
      </c>
      <c r="D191" s="77">
        <v>1392.5</v>
      </c>
      <c r="E191" s="77">
        <v>84</v>
      </c>
      <c r="F191" s="77">
        <v>83.5</v>
      </c>
      <c r="G191" s="77">
        <v>80.599999999999994</v>
      </c>
      <c r="H191" s="77">
        <v>83.2</v>
      </c>
      <c r="I191" s="77">
        <v>83.6</v>
      </c>
      <c r="J191" s="85">
        <v>1391.4</v>
      </c>
      <c r="K191" s="85">
        <v>1393</v>
      </c>
      <c r="L191" s="85">
        <v>1394</v>
      </c>
      <c r="M191" s="85">
        <v>1392.2</v>
      </c>
      <c r="N191" s="85">
        <v>1392.2</v>
      </c>
      <c r="O191" s="77">
        <v>0</v>
      </c>
      <c r="P191" s="77">
        <v>0</v>
      </c>
      <c r="Q191" s="77">
        <v>1</v>
      </c>
      <c r="R191" s="77">
        <v>35</v>
      </c>
      <c r="S191" s="77">
        <f>_xlfn.STDEV.P(Table2[[#This Row],[volt-sbmu1]:[volt-sbmu5]])</f>
        <v>0.87999999999996859</v>
      </c>
      <c r="T191" s="77">
        <f>MAX(Table2[[#This Row],[soc-sbmu1]:[soc-sbmu5]])-MIN(Table2[[#This Row],[soc-sbmu1]:[soc-sbmu5]])</f>
        <v>3.4000000000000057</v>
      </c>
      <c r="U191" s="77"/>
      <c r="V191" s="77"/>
    </row>
    <row r="192" spans="1:22">
      <c r="A192" t="s">
        <v>340</v>
      </c>
      <c r="B192" t="s">
        <v>620</v>
      </c>
      <c r="C192" s="77">
        <v>83.5</v>
      </c>
      <c r="D192" s="77">
        <v>1392.9</v>
      </c>
      <c r="E192" s="77">
        <v>83.6</v>
      </c>
      <c r="F192" s="77">
        <v>83.1</v>
      </c>
      <c r="G192" s="77">
        <v>83.7</v>
      </c>
      <c r="H192" s="77">
        <v>83</v>
      </c>
      <c r="I192" s="77">
        <v>82.7</v>
      </c>
      <c r="J192" s="85">
        <v>1394.2</v>
      </c>
      <c r="K192" s="85">
        <v>1392.9</v>
      </c>
      <c r="L192" s="85">
        <v>1392.2</v>
      </c>
      <c r="M192" s="85">
        <v>1391.3</v>
      </c>
      <c r="N192" s="85">
        <v>1393</v>
      </c>
      <c r="O192" s="77">
        <v>0</v>
      </c>
      <c r="P192" s="77">
        <v>0</v>
      </c>
      <c r="Q192" s="77">
        <v>1</v>
      </c>
      <c r="R192" s="77">
        <v>33</v>
      </c>
      <c r="S192" s="77">
        <f>_xlfn.STDEV.P(Table2[[#This Row],[volt-sbmu1]:[volt-sbmu5]])</f>
        <v>0.95791440118626969</v>
      </c>
      <c r="T192" s="77">
        <f>MAX(Table2[[#This Row],[soc-sbmu1]:[soc-sbmu5]])-MIN(Table2[[#This Row],[soc-sbmu1]:[soc-sbmu5]])</f>
        <v>1</v>
      </c>
      <c r="U192" s="77"/>
      <c r="V192" s="77"/>
    </row>
    <row r="193" spans="1:22">
      <c r="A193" t="s">
        <v>341</v>
      </c>
      <c r="B193" t="s">
        <v>621</v>
      </c>
      <c r="C193" s="77">
        <v>83.6</v>
      </c>
      <c r="D193" s="77">
        <v>1392.5</v>
      </c>
      <c r="E193" s="77">
        <v>83.5</v>
      </c>
      <c r="F193" s="77">
        <v>82.6</v>
      </c>
      <c r="G193" s="77">
        <v>82.8</v>
      </c>
      <c r="H193" s="77">
        <v>83.8</v>
      </c>
      <c r="I193" s="77">
        <v>83.1</v>
      </c>
      <c r="J193" s="85">
        <v>1392.5</v>
      </c>
      <c r="K193" s="85">
        <v>1393.1</v>
      </c>
      <c r="L193" s="85">
        <v>1391.9</v>
      </c>
      <c r="M193" s="85">
        <v>1392.8</v>
      </c>
      <c r="N193" s="85">
        <v>1392.4</v>
      </c>
      <c r="O193" s="77">
        <v>0</v>
      </c>
      <c r="P193" s="77">
        <v>0</v>
      </c>
      <c r="Q193" s="77">
        <v>1</v>
      </c>
      <c r="R193" s="77">
        <v>33</v>
      </c>
      <c r="S193" s="77">
        <f>_xlfn.STDEV.P(Table2[[#This Row],[volt-sbmu1]:[volt-sbmu5]])</f>
        <v>0.40298883359213133</v>
      </c>
      <c r="T193" s="77">
        <f>MAX(Table2[[#This Row],[soc-sbmu1]:[soc-sbmu5]])-MIN(Table2[[#This Row],[soc-sbmu1]:[soc-sbmu5]])</f>
        <v>1.2000000000000028</v>
      </c>
      <c r="U193" s="77"/>
      <c r="V193" s="77"/>
    </row>
    <row r="194" spans="1:22">
      <c r="A194" t="s">
        <v>342</v>
      </c>
      <c r="B194" t="s">
        <v>622</v>
      </c>
      <c r="C194" s="77">
        <v>99.8</v>
      </c>
      <c r="D194" s="77">
        <v>1383.9</v>
      </c>
      <c r="E194" s="77">
        <v>99.7</v>
      </c>
      <c r="F194" s="77">
        <v>99.7</v>
      </c>
      <c r="G194" s="77">
        <v>99.7</v>
      </c>
      <c r="H194" s="77">
        <v>99.9</v>
      </c>
      <c r="I194" s="77">
        <v>99.9</v>
      </c>
      <c r="J194" s="85">
        <v>1384</v>
      </c>
      <c r="K194" s="85">
        <v>1383.2</v>
      </c>
      <c r="L194" s="85">
        <v>1383.4</v>
      </c>
      <c r="M194" s="85">
        <v>1383.1</v>
      </c>
      <c r="N194" s="85">
        <v>1384.2</v>
      </c>
      <c r="O194" s="77">
        <v>0</v>
      </c>
      <c r="P194" s="77">
        <v>0</v>
      </c>
      <c r="Q194" s="77">
        <v>2</v>
      </c>
      <c r="R194" s="77">
        <v>34</v>
      </c>
      <c r="S194" s="77">
        <f>_xlfn.STDEV.P(Table2[[#This Row],[volt-sbmu1]:[volt-sbmu5]])</f>
        <v>0.44000000000001732</v>
      </c>
      <c r="T194" s="77">
        <f>MAX(Table2[[#This Row],[soc-sbmu1]:[soc-sbmu5]])-MIN(Table2[[#This Row],[soc-sbmu1]:[soc-sbmu5]])</f>
        <v>0.20000000000000284</v>
      </c>
      <c r="U194" s="77"/>
      <c r="V194" s="77"/>
    </row>
    <row r="195" spans="1:22">
      <c r="A195" t="s">
        <v>343</v>
      </c>
      <c r="B195" t="s">
        <v>623</v>
      </c>
      <c r="C195" s="77">
        <v>85.9</v>
      </c>
      <c r="D195" s="77">
        <v>1393.1</v>
      </c>
      <c r="E195" s="77">
        <v>86</v>
      </c>
      <c r="F195" s="77">
        <v>86</v>
      </c>
      <c r="G195" s="77">
        <v>85.2</v>
      </c>
      <c r="H195" s="77">
        <v>86.1</v>
      </c>
      <c r="I195" s="77">
        <v>86</v>
      </c>
      <c r="J195" s="85">
        <v>1393.6</v>
      </c>
      <c r="K195" s="85">
        <v>1392.9</v>
      </c>
      <c r="L195" s="85">
        <v>1392.6</v>
      </c>
      <c r="M195" s="85">
        <v>1394</v>
      </c>
      <c r="N195" s="85">
        <v>1393</v>
      </c>
      <c r="O195" s="77">
        <v>0</v>
      </c>
      <c r="P195" s="77">
        <v>0</v>
      </c>
      <c r="Q195" s="77">
        <v>1</v>
      </c>
      <c r="R195" s="77">
        <v>31</v>
      </c>
      <c r="S195" s="77">
        <f>_xlfn.STDEV.P(Table2[[#This Row],[volt-sbmu1]:[volt-sbmu5]])</f>
        <v>0.50754310161797789</v>
      </c>
      <c r="T195" s="77">
        <f>MAX(Table2[[#This Row],[soc-sbmu1]:[soc-sbmu5]])-MIN(Table2[[#This Row],[soc-sbmu1]:[soc-sbmu5]])</f>
        <v>0.89999999999999147</v>
      </c>
      <c r="U195" s="77"/>
      <c r="V195" s="77"/>
    </row>
    <row r="196" spans="1:22">
      <c r="A196" t="s">
        <v>344</v>
      </c>
      <c r="B196" t="s">
        <v>624</v>
      </c>
      <c r="C196" s="77">
        <v>85.9</v>
      </c>
      <c r="D196" s="77">
        <v>1393.4</v>
      </c>
      <c r="E196" s="77">
        <v>85.5</v>
      </c>
      <c r="F196" s="77">
        <v>86</v>
      </c>
      <c r="G196" s="77">
        <v>85.5</v>
      </c>
      <c r="H196" s="77">
        <v>85.6</v>
      </c>
      <c r="I196" s="77">
        <v>85.7</v>
      </c>
      <c r="J196" s="85">
        <v>1392.2</v>
      </c>
      <c r="K196" s="85">
        <v>1392.2</v>
      </c>
      <c r="L196" s="85">
        <v>1394.6</v>
      </c>
      <c r="M196" s="85">
        <v>1393.7</v>
      </c>
      <c r="N196" s="85">
        <v>1392.9</v>
      </c>
      <c r="O196" s="77">
        <v>0</v>
      </c>
      <c r="P196" s="77">
        <v>0</v>
      </c>
      <c r="Q196" s="77">
        <v>1</v>
      </c>
      <c r="R196" s="77">
        <v>31</v>
      </c>
      <c r="S196" s="77">
        <f>_xlfn.STDEV.P(Table2[[#This Row],[volt-sbmu1]:[volt-sbmu5]])</f>
        <v>0.92390475699604202</v>
      </c>
      <c r="T196" s="77">
        <f>MAX(Table2[[#This Row],[soc-sbmu1]:[soc-sbmu5]])-MIN(Table2[[#This Row],[soc-sbmu1]:[soc-sbmu5]])</f>
        <v>0.5</v>
      </c>
      <c r="U196" s="77"/>
      <c r="V196" s="77"/>
    </row>
    <row r="197" spans="1:22">
      <c r="A197" t="s">
        <v>345</v>
      </c>
      <c r="B197" t="s">
        <v>625</v>
      </c>
      <c r="C197" s="77">
        <v>86</v>
      </c>
      <c r="D197" s="77">
        <v>1393</v>
      </c>
      <c r="E197" s="77">
        <v>86.1</v>
      </c>
      <c r="F197" s="77">
        <v>85.4</v>
      </c>
      <c r="G197" s="77">
        <v>85.8</v>
      </c>
      <c r="H197" s="77">
        <v>85.7</v>
      </c>
      <c r="I197" s="77">
        <v>85.8</v>
      </c>
      <c r="J197" s="85">
        <v>1392.8</v>
      </c>
      <c r="K197" s="85">
        <v>1392.1</v>
      </c>
      <c r="L197" s="85">
        <v>1393.8</v>
      </c>
      <c r="M197" s="85">
        <v>1393.1</v>
      </c>
      <c r="N197" s="85">
        <v>1392.9</v>
      </c>
      <c r="O197" s="77">
        <v>0</v>
      </c>
      <c r="P197" s="77">
        <v>0</v>
      </c>
      <c r="Q197" s="77">
        <v>1</v>
      </c>
      <c r="R197" s="77">
        <v>31</v>
      </c>
      <c r="S197" s="77">
        <f>_xlfn.STDEV.P(Table2[[#This Row],[volt-sbmu1]:[volt-sbmu5]])</f>
        <v>0.54626001134991586</v>
      </c>
      <c r="T197" s="77">
        <f>MAX(Table2[[#This Row],[soc-sbmu1]:[soc-sbmu5]])-MIN(Table2[[#This Row],[soc-sbmu1]:[soc-sbmu5]])</f>
        <v>0.69999999999998863</v>
      </c>
      <c r="U197" s="77"/>
      <c r="V197" s="77"/>
    </row>
    <row r="198" spans="1:22">
      <c r="A198" t="s">
        <v>346</v>
      </c>
      <c r="B198" t="s">
        <v>626</v>
      </c>
      <c r="C198" s="77">
        <v>85.8</v>
      </c>
      <c r="D198" s="77">
        <v>1393</v>
      </c>
      <c r="E198" s="77">
        <v>85.5</v>
      </c>
      <c r="F198" s="77">
        <v>85.6</v>
      </c>
      <c r="G198" s="77">
        <v>85.9</v>
      </c>
      <c r="H198" s="77">
        <v>85.6</v>
      </c>
      <c r="I198" s="77">
        <v>85.5</v>
      </c>
      <c r="J198" s="85">
        <v>1392</v>
      </c>
      <c r="K198" s="85">
        <v>1393.4</v>
      </c>
      <c r="L198" s="85">
        <v>1393.1</v>
      </c>
      <c r="M198" s="85">
        <v>1393.1</v>
      </c>
      <c r="N198" s="85">
        <v>1392.4</v>
      </c>
      <c r="O198" s="77">
        <v>0</v>
      </c>
      <c r="P198" s="77">
        <v>0</v>
      </c>
      <c r="Q198" s="77">
        <v>1</v>
      </c>
      <c r="R198" s="77">
        <v>33</v>
      </c>
      <c r="S198" s="77">
        <f>_xlfn.STDEV.P(Table2[[#This Row],[volt-sbmu1]:[volt-sbmu5]])</f>
        <v>0.5176871642217773</v>
      </c>
      <c r="T198" s="77">
        <f>MAX(Table2[[#This Row],[soc-sbmu1]:[soc-sbmu5]])-MIN(Table2[[#This Row],[soc-sbmu1]:[soc-sbmu5]])</f>
        <v>0.40000000000000568</v>
      </c>
      <c r="U198" s="77"/>
      <c r="V198" s="77"/>
    </row>
    <row r="199" spans="1:22">
      <c r="A199" t="s">
        <v>347</v>
      </c>
      <c r="B199" t="s">
        <v>627</v>
      </c>
      <c r="C199" s="77">
        <v>81.900000000000006</v>
      </c>
      <c r="D199" s="77">
        <v>1391.9</v>
      </c>
      <c r="E199" s="77">
        <v>82</v>
      </c>
      <c r="F199" s="77">
        <v>82.5</v>
      </c>
      <c r="G199" s="77">
        <v>79.7</v>
      </c>
      <c r="H199" s="77">
        <v>80.5</v>
      </c>
      <c r="I199" s="77">
        <v>81.3</v>
      </c>
      <c r="J199" s="85">
        <v>1391.8</v>
      </c>
      <c r="K199" s="85">
        <v>1392.4</v>
      </c>
      <c r="L199" s="85">
        <v>1392.8</v>
      </c>
      <c r="M199" s="85">
        <v>1392.4</v>
      </c>
      <c r="N199" s="85">
        <v>1392.7</v>
      </c>
      <c r="O199" s="77">
        <v>0</v>
      </c>
      <c r="P199" s="77">
        <v>0</v>
      </c>
      <c r="Q199" s="77">
        <v>1</v>
      </c>
      <c r="R199" s="77">
        <v>34</v>
      </c>
      <c r="S199" s="77">
        <f>_xlfn.STDEV.P(Table2[[#This Row],[volt-sbmu1]:[volt-sbmu5]])</f>
        <v>0.34871191548326536</v>
      </c>
      <c r="T199" s="77">
        <f>MAX(Table2[[#This Row],[soc-sbmu1]:[soc-sbmu5]])-MIN(Table2[[#This Row],[soc-sbmu1]:[soc-sbmu5]])</f>
        <v>2.7999999999999972</v>
      </c>
      <c r="U199" s="77"/>
      <c r="V199" s="77"/>
    </row>
    <row r="200" spans="1:22">
      <c r="A200" t="s">
        <v>348</v>
      </c>
      <c r="B200" t="s">
        <v>628</v>
      </c>
      <c r="C200" s="77">
        <v>81.900000000000006</v>
      </c>
      <c r="D200" s="77">
        <v>1393.5</v>
      </c>
      <c r="E200" s="77">
        <v>82</v>
      </c>
      <c r="F200" s="77">
        <v>81.599999999999994</v>
      </c>
      <c r="G200" s="77">
        <v>81.900000000000006</v>
      </c>
      <c r="H200" s="77">
        <v>81.3</v>
      </c>
      <c r="I200" s="77">
        <v>82.1</v>
      </c>
      <c r="J200" s="85">
        <v>1392.8</v>
      </c>
      <c r="K200" s="85">
        <v>1393.1</v>
      </c>
      <c r="L200" s="85">
        <v>1393.3</v>
      </c>
      <c r="M200" s="85">
        <v>1393</v>
      </c>
      <c r="N200" s="85">
        <v>1394.1</v>
      </c>
      <c r="O200" s="77">
        <v>0</v>
      </c>
      <c r="P200" s="77">
        <v>0</v>
      </c>
      <c r="Q200" s="77">
        <v>1</v>
      </c>
      <c r="R200" s="77">
        <v>33</v>
      </c>
      <c r="S200" s="77">
        <f>_xlfn.STDEV.P(Table2[[#This Row],[volt-sbmu1]:[volt-sbmu5]])</f>
        <v>0.4498888751680607</v>
      </c>
      <c r="T200" s="77">
        <f>MAX(Table2[[#This Row],[soc-sbmu1]:[soc-sbmu5]])-MIN(Table2[[#This Row],[soc-sbmu1]:[soc-sbmu5]])</f>
        <v>0.79999999999999716</v>
      </c>
      <c r="U200" s="77"/>
      <c r="V200" s="77"/>
    </row>
    <row r="201" spans="1:22">
      <c r="A201" t="s">
        <v>349</v>
      </c>
      <c r="B201" t="s">
        <v>629</v>
      </c>
      <c r="C201" s="77">
        <v>99.8</v>
      </c>
      <c r="D201" s="77">
        <v>1385</v>
      </c>
      <c r="E201" s="77">
        <v>99.7</v>
      </c>
      <c r="F201" s="77">
        <v>99.7</v>
      </c>
      <c r="G201" s="77">
        <v>99.7</v>
      </c>
      <c r="H201" s="77">
        <v>99.9</v>
      </c>
      <c r="I201" s="77">
        <v>99.9</v>
      </c>
      <c r="J201" s="85">
        <v>1384.5</v>
      </c>
      <c r="K201" s="85">
        <v>1385.2</v>
      </c>
      <c r="L201" s="85">
        <v>1383.6</v>
      </c>
      <c r="M201" s="85">
        <v>1384.7</v>
      </c>
      <c r="N201" s="85">
        <v>1384.6</v>
      </c>
      <c r="O201" s="77">
        <v>0</v>
      </c>
      <c r="P201" s="77">
        <v>0</v>
      </c>
      <c r="Q201" s="77">
        <v>2</v>
      </c>
      <c r="R201" s="77">
        <v>34</v>
      </c>
      <c r="S201" s="77">
        <f>_xlfn.STDEV.P(Table2[[#This Row],[volt-sbmu1]:[volt-sbmu5]])</f>
        <v>0.51923019942993132</v>
      </c>
      <c r="T201" s="77">
        <f>MAX(Table2[[#This Row],[soc-sbmu1]:[soc-sbmu5]])-MIN(Table2[[#This Row],[soc-sbmu1]:[soc-sbmu5]])</f>
        <v>0.20000000000000284</v>
      </c>
      <c r="U201" s="77"/>
      <c r="V201" s="77"/>
    </row>
    <row r="202" spans="1:22">
      <c r="A202" t="s">
        <v>350</v>
      </c>
      <c r="B202" t="s">
        <v>630</v>
      </c>
      <c r="C202" s="77">
        <v>81.7</v>
      </c>
      <c r="D202" s="77">
        <v>1393</v>
      </c>
      <c r="E202" s="77">
        <v>81.099999999999994</v>
      </c>
      <c r="F202" s="77">
        <v>81.900000000000006</v>
      </c>
      <c r="G202" s="77">
        <v>81.7</v>
      </c>
      <c r="H202" s="77">
        <v>81.7</v>
      </c>
      <c r="I202" s="77">
        <v>81.5</v>
      </c>
      <c r="J202" s="85">
        <v>1392.3</v>
      </c>
      <c r="K202" s="85">
        <v>1392.1</v>
      </c>
      <c r="L202" s="85">
        <v>1393.4</v>
      </c>
      <c r="M202" s="85">
        <v>1392.8</v>
      </c>
      <c r="N202" s="85">
        <v>1393.2</v>
      </c>
      <c r="O202" s="77">
        <v>0</v>
      </c>
      <c r="P202" s="77">
        <v>0</v>
      </c>
      <c r="Q202" s="77">
        <v>1</v>
      </c>
      <c r="R202" s="77">
        <v>33</v>
      </c>
      <c r="S202" s="77">
        <f>_xlfn.STDEV.P(Table2[[#This Row],[volt-sbmu1]:[volt-sbmu5]])</f>
        <v>0.50039984012793504</v>
      </c>
      <c r="T202" s="77">
        <f>MAX(Table2[[#This Row],[soc-sbmu1]:[soc-sbmu5]])-MIN(Table2[[#This Row],[soc-sbmu1]:[soc-sbmu5]])</f>
        <v>0.80000000000001137</v>
      </c>
      <c r="U202" s="77"/>
      <c r="V202" s="77"/>
    </row>
    <row r="203" spans="1:22">
      <c r="A203" t="s">
        <v>351</v>
      </c>
      <c r="B203" t="s">
        <v>631</v>
      </c>
      <c r="C203" s="77">
        <v>85.8</v>
      </c>
      <c r="D203" s="77">
        <v>1391</v>
      </c>
      <c r="E203" s="77">
        <v>84.7</v>
      </c>
      <c r="F203" s="77">
        <v>84.6</v>
      </c>
      <c r="G203" s="77">
        <v>84.5</v>
      </c>
      <c r="H203" s="77">
        <v>86.1</v>
      </c>
      <c r="I203" s="77">
        <v>85</v>
      </c>
      <c r="J203" s="85">
        <v>1391.9</v>
      </c>
      <c r="K203" s="85">
        <v>1390.7</v>
      </c>
      <c r="L203" s="85">
        <v>1391</v>
      </c>
      <c r="M203" s="85">
        <v>1391.8</v>
      </c>
      <c r="N203" s="85">
        <v>1391.5</v>
      </c>
      <c r="O203" s="77">
        <v>0</v>
      </c>
      <c r="P203" s="77">
        <v>0</v>
      </c>
      <c r="Q203" s="77">
        <v>1</v>
      </c>
      <c r="R203" s="77">
        <v>31</v>
      </c>
      <c r="S203" s="77">
        <f>_xlfn.STDEV.P(Table2[[#This Row],[volt-sbmu1]:[volt-sbmu5]])</f>
        <v>0.46216880033165253</v>
      </c>
      <c r="T203" s="77">
        <f>MAX(Table2[[#This Row],[soc-sbmu1]:[soc-sbmu5]])-MIN(Table2[[#This Row],[soc-sbmu1]:[soc-sbmu5]])</f>
        <v>1.5999999999999943</v>
      </c>
      <c r="U203" s="77"/>
      <c r="V203" s="77"/>
    </row>
    <row r="204" spans="1:22">
      <c r="A204" t="s">
        <v>352</v>
      </c>
      <c r="B204" t="s">
        <v>632</v>
      </c>
      <c r="C204" s="77">
        <v>85.4</v>
      </c>
      <c r="D204" s="77">
        <v>1393.3</v>
      </c>
      <c r="E204" s="77">
        <v>85.6</v>
      </c>
      <c r="F204" s="77">
        <v>84.9</v>
      </c>
      <c r="G204" s="77">
        <v>85.1</v>
      </c>
      <c r="H204" s="77">
        <v>85.1</v>
      </c>
      <c r="I204" s="77">
        <v>85.3</v>
      </c>
      <c r="J204" s="85">
        <v>1392.7</v>
      </c>
      <c r="K204" s="85">
        <v>1395</v>
      </c>
      <c r="L204" s="85">
        <v>1392.7</v>
      </c>
      <c r="M204" s="85">
        <v>1393.6</v>
      </c>
      <c r="N204" s="85">
        <v>1392.9</v>
      </c>
      <c r="O204" s="77">
        <v>0</v>
      </c>
      <c r="P204" s="77">
        <v>0</v>
      </c>
      <c r="Q204" s="77">
        <v>1</v>
      </c>
      <c r="R204" s="77">
        <v>31</v>
      </c>
      <c r="S204" s="77">
        <f>_xlfn.STDEV.P(Table2[[#This Row],[volt-sbmu1]:[volt-sbmu5]])</f>
        <v>0.87498571416906556</v>
      </c>
      <c r="T204" s="77">
        <f>MAX(Table2[[#This Row],[soc-sbmu1]:[soc-sbmu5]])-MIN(Table2[[#This Row],[soc-sbmu1]:[soc-sbmu5]])</f>
        <v>0.69999999999998863</v>
      </c>
      <c r="U204" s="77"/>
      <c r="V204" s="77"/>
    </row>
    <row r="205" spans="1:22">
      <c r="A205" t="s">
        <v>353</v>
      </c>
      <c r="B205" t="s">
        <v>633</v>
      </c>
      <c r="C205" s="77">
        <v>85.6</v>
      </c>
      <c r="D205" s="77">
        <v>1391.2</v>
      </c>
      <c r="E205" s="77">
        <v>85.1</v>
      </c>
      <c r="F205" s="77">
        <v>85.5</v>
      </c>
      <c r="G205" s="77">
        <v>85.2</v>
      </c>
      <c r="H205" s="77">
        <v>85.1</v>
      </c>
      <c r="I205" s="77">
        <v>85.8</v>
      </c>
      <c r="J205" s="85">
        <v>1390.9</v>
      </c>
      <c r="K205" s="85">
        <v>1391</v>
      </c>
      <c r="L205" s="85">
        <v>1391.8</v>
      </c>
      <c r="M205" s="85">
        <v>1391.4</v>
      </c>
      <c r="N205" s="85">
        <v>1391.5</v>
      </c>
      <c r="O205" s="77">
        <v>0</v>
      </c>
      <c r="P205" s="77">
        <v>0</v>
      </c>
      <c r="Q205" s="77">
        <v>1</v>
      </c>
      <c r="R205" s="77">
        <v>31</v>
      </c>
      <c r="S205" s="77">
        <f>_xlfn.STDEV.P(Table2[[#This Row],[volt-sbmu1]:[volt-sbmu5]])</f>
        <v>0.3310589071449051</v>
      </c>
      <c r="T205" s="77">
        <f>MAX(Table2[[#This Row],[soc-sbmu1]:[soc-sbmu5]])-MIN(Table2[[#This Row],[soc-sbmu1]:[soc-sbmu5]])</f>
        <v>0.70000000000000284</v>
      </c>
      <c r="U205" s="77"/>
      <c r="V205" s="77"/>
    </row>
    <row r="206" spans="1:22">
      <c r="A206" t="s">
        <v>354</v>
      </c>
      <c r="B206" t="s">
        <v>634</v>
      </c>
      <c r="C206" s="77">
        <v>85.4</v>
      </c>
      <c r="D206" s="77">
        <v>1393.5</v>
      </c>
      <c r="E206" s="77">
        <v>85.2</v>
      </c>
      <c r="F206" s="77">
        <v>85.2</v>
      </c>
      <c r="G206" s="77">
        <v>85.6</v>
      </c>
      <c r="H206" s="77">
        <v>85.3</v>
      </c>
      <c r="I206" s="77">
        <v>84.7</v>
      </c>
      <c r="J206" s="85">
        <v>1393.3</v>
      </c>
      <c r="K206" s="85">
        <v>1393.4</v>
      </c>
      <c r="L206" s="85">
        <v>1393.8</v>
      </c>
      <c r="M206" s="85">
        <v>1394.2</v>
      </c>
      <c r="N206" s="85">
        <v>1392</v>
      </c>
      <c r="O206" s="77">
        <v>0</v>
      </c>
      <c r="P206" s="77">
        <v>0</v>
      </c>
      <c r="Q206" s="77">
        <v>1</v>
      </c>
      <c r="R206" s="77">
        <v>33</v>
      </c>
      <c r="S206" s="77">
        <f>_xlfn.STDEV.P(Table2[[#This Row],[volt-sbmu1]:[volt-sbmu5]])</f>
        <v>0.74188947963966323</v>
      </c>
      <c r="T206" s="77">
        <f>MAX(Table2[[#This Row],[soc-sbmu1]:[soc-sbmu5]])-MIN(Table2[[#This Row],[soc-sbmu1]:[soc-sbmu5]])</f>
        <v>0.89999999999999147</v>
      </c>
      <c r="U206" s="77"/>
      <c r="V206" s="77"/>
    </row>
    <row r="207" spans="1:22">
      <c r="A207" t="s">
        <v>355</v>
      </c>
      <c r="B207" t="s">
        <v>635</v>
      </c>
      <c r="C207" s="77">
        <v>47.7</v>
      </c>
      <c r="D207" s="77">
        <v>0</v>
      </c>
      <c r="E207" s="77">
        <v>47.3</v>
      </c>
      <c r="F207" s="77">
        <v>47.3</v>
      </c>
      <c r="G207" s="77">
        <v>48.3</v>
      </c>
      <c r="H207" s="77">
        <v>48.3</v>
      </c>
      <c r="I207" s="77">
        <v>47.7</v>
      </c>
      <c r="J207" s="85">
        <v>1367.7</v>
      </c>
      <c r="K207" s="85">
        <v>1368</v>
      </c>
      <c r="L207" s="85">
        <v>1366.4</v>
      </c>
      <c r="M207" s="85">
        <v>1366.7</v>
      </c>
      <c r="N207" s="85">
        <v>1367.1</v>
      </c>
      <c r="O207" s="77">
        <v>0</v>
      </c>
      <c r="P207" s="77">
        <v>128</v>
      </c>
      <c r="Q207" s="77">
        <v>5</v>
      </c>
      <c r="R207" s="77">
        <v>34</v>
      </c>
      <c r="S207" s="77">
        <f>_xlfn.STDEV.P(Table2[[#This Row],[volt-sbmu1]:[volt-sbmu5]])</f>
        <v>0.59799665550902148</v>
      </c>
      <c r="T207" s="77">
        <f>MAX(Table2[[#This Row],[soc-sbmu1]:[soc-sbmu5]])-MIN(Table2[[#This Row],[soc-sbmu1]:[soc-sbmu5]])</f>
        <v>1</v>
      </c>
      <c r="U207" s="77"/>
      <c r="V207" s="77"/>
    </row>
    <row r="208" spans="1:22">
      <c r="A208" t="s">
        <v>356</v>
      </c>
      <c r="B208" t="s">
        <v>636</v>
      </c>
      <c r="C208" s="77">
        <v>47.9</v>
      </c>
      <c r="D208" s="77">
        <v>1367.6</v>
      </c>
      <c r="E208" s="77">
        <v>48.3</v>
      </c>
      <c r="F208" s="77">
        <v>47.6</v>
      </c>
      <c r="G208" s="77">
        <v>48.3</v>
      </c>
      <c r="H208" s="77">
        <v>48.3</v>
      </c>
      <c r="I208" s="77">
        <v>48.3</v>
      </c>
      <c r="J208" s="85">
        <v>1367.6</v>
      </c>
      <c r="K208" s="85">
        <v>1366.9</v>
      </c>
      <c r="L208" s="85">
        <v>1367.5</v>
      </c>
      <c r="M208" s="85">
        <v>1366.5</v>
      </c>
      <c r="N208" s="85">
        <v>1367.3</v>
      </c>
      <c r="O208" s="77">
        <v>0</v>
      </c>
      <c r="P208" s="77">
        <v>0</v>
      </c>
      <c r="Q208" s="77">
        <v>1</v>
      </c>
      <c r="R208" s="77">
        <v>34</v>
      </c>
      <c r="S208" s="77">
        <f>_xlfn.STDEV.P(Table2[[#This Row],[volt-sbmu1]:[volt-sbmu5]])</f>
        <v>0.40792156108738847</v>
      </c>
      <c r="T208" s="77">
        <f>MAX(Table2[[#This Row],[soc-sbmu1]:[soc-sbmu5]])-MIN(Table2[[#This Row],[soc-sbmu1]:[soc-sbmu5]])</f>
        <v>0.69999999999999574</v>
      </c>
      <c r="U208" s="77"/>
      <c r="V208" s="77"/>
    </row>
    <row r="209" spans="1:22">
      <c r="A209" t="s">
        <v>357</v>
      </c>
      <c r="B209" t="s">
        <v>637</v>
      </c>
      <c r="C209" s="77">
        <v>47.6</v>
      </c>
      <c r="D209" s="77">
        <v>1367.2</v>
      </c>
      <c r="E209" s="77">
        <v>47</v>
      </c>
      <c r="F209" s="77">
        <v>48.4</v>
      </c>
      <c r="G209" s="77">
        <v>48</v>
      </c>
      <c r="H209" s="77">
        <v>48.3</v>
      </c>
      <c r="I209" s="77">
        <v>48.2</v>
      </c>
      <c r="J209" s="85">
        <v>1367.4</v>
      </c>
      <c r="K209" s="85">
        <v>1366.6</v>
      </c>
      <c r="L209" s="85">
        <v>1367.8</v>
      </c>
      <c r="M209" s="85">
        <v>1367.3</v>
      </c>
      <c r="N209" s="85">
        <v>1367.6</v>
      </c>
      <c r="O209" s="77">
        <v>0</v>
      </c>
      <c r="P209" s="77">
        <v>0</v>
      </c>
      <c r="Q209" s="77">
        <v>1</v>
      </c>
      <c r="R209" s="77">
        <v>33</v>
      </c>
      <c r="S209" s="77">
        <f>_xlfn.STDEV.P(Table2[[#This Row],[volt-sbmu1]:[volt-sbmu5]])</f>
        <v>0.40792156108743749</v>
      </c>
      <c r="T209" s="77">
        <f>MAX(Table2[[#This Row],[soc-sbmu1]:[soc-sbmu5]])-MIN(Table2[[#This Row],[soc-sbmu1]:[soc-sbmu5]])</f>
        <v>1.3999999999999986</v>
      </c>
      <c r="U209" s="77"/>
      <c r="V209" s="77"/>
    </row>
    <row r="210" spans="1:22">
      <c r="A210" t="s">
        <v>358</v>
      </c>
      <c r="B210" t="s">
        <v>638</v>
      </c>
      <c r="C210" s="77">
        <v>47.7</v>
      </c>
      <c r="D210" s="77">
        <v>1367.4</v>
      </c>
      <c r="E210" s="77">
        <v>47.3</v>
      </c>
      <c r="F210" s="77">
        <v>48.2</v>
      </c>
      <c r="G210" s="77">
        <v>48.3</v>
      </c>
      <c r="H210" s="77">
        <v>48.3</v>
      </c>
      <c r="I210" s="77">
        <v>48</v>
      </c>
      <c r="J210" s="85">
        <v>1367.9</v>
      </c>
      <c r="K210" s="85">
        <v>1368</v>
      </c>
      <c r="L210" s="85">
        <v>1367.5</v>
      </c>
      <c r="M210" s="85">
        <v>1367.6</v>
      </c>
      <c r="N210" s="85">
        <v>1367.9</v>
      </c>
      <c r="O210" s="77">
        <v>0</v>
      </c>
      <c r="P210" s="77">
        <v>0</v>
      </c>
      <c r="Q210" s="77">
        <v>1</v>
      </c>
      <c r="R210" s="77">
        <v>34</v>
      </c>
      <c r="S210" s="77">
        <f>_xlfn.STDEV.P(Table2[[#This Row],[volt-sbmu1]:[volt-sbmu5]])</f>
        <v>0.19390719429669254</v>
      </c>
      <c r="T210" s="77">
        <f>MAX(Table2[[#This Row],[soc-sbmu1]:[soc-sbmu5]])-MIN(Table2[[#This Row],[soc-sbmu1]:[soc-sbmu5]])</f>
        <v>1</v>
      </c>
      <c r="U210" s="77"/>
      <c r="V210" s="77"/>
    </row>
    <row r="211" spans="1:22">
      <c r="A211" t="s">
        <v>359</v>
      </c>
      <c r="B211" t="s">
        <v>639</v>
      </c>
      <c r="C211" s="77">
        <v>99.7</v>
      </c>
      <c r="D211" s="77">
        <v>1384.1</v>
      </c>
      <c r="E211" s="77">
        <v>99.8</v>
      </c>
      <c r="F211" s="77">
        <v>99.7</v>
      </c>
      <c r="G211" s="77">
        <v>99.8</v>
      </c>
      <c r="H211" s="77">
        <v>99.7</v>
      </c>
      <c r="I211" s="77">
        <v>99.8</v>
      </c>
      <c r="J211" s="85">
        <v>1384.2</v>
      </c>
      <c r="K211" s="85">
        <v>1383.9</v>
      </c>
      <c r="L211" s="85">
        <v>1384.5</v>
      </c>
      <c r="M211" s="85">
        <v>1383.8</v>
      </c>
      <c r="N211" s="85">
        <v>1383.6</v>
      </c>
      <c r="O211" s="77">
        <v>0</v>
      </c>
      <c r="P211" s="77">
        <v>0</v>
      </c>
      <c r="Q211" s="77">
        <v>2</v>
      </c>
      <c r="R211" s="77">
        <v>32</v>
      </c>
      <c r="S211" s="77">
        <f>_xlfn.STDEV.P(Table2[[#This Row],[volt-sbmu1]:[volt-sbmu5]])</f>
        <v>0.3162277660168667</v>
      </c>
      <c r="T211" s="77">
        <f>MAX(Table2[[#This Row],[soc-sbmu1]:[soc-sbmu5]])-MIN(Table2[[#This Row],[soc-sbmu1]:[soc-sbmu5]])</f>
        <v>9.9999999999994316E-2</v>
      </c>
      <c r="U211" s="77"/>
      <c r="V211" s="77"/>
    </row>
    <row r="212" spans="1:22">
      <c r="A212" t="s">
        <v>360</v>
      </c>
      <c r="B212" t="s">
        <v>640</v>
      </c>
      <c r="C212" s="77">
        <v>83.5</v>
      </c>
      <c r="D212" s="77">
        <v>1391.5</v>
      </c>
      <c r="E212" s="77">
        <v>82.9</v>
      </c>
      <c r="F212" s="77">
        <v>83.9</v>
      </c>
      <c r="G212" s="77">
        <v>81.900000000000006</v>
      </c>
      <c r="H212" s="77">
        <v>82.3</v>
      </c>
      <c r="I212" s="77">
        <v>82.4</v>
      </c>
      <c r="J212" s="85">
        <v>1392.2</v>
      </c>
      <c r="K212" s="85">
        <v>1391.6</v>
      </c>
      <c r="L212" s="85">
        <v>1390.2</v>
      </c>
      <c r="M212" s="85">
        <v>1391.5</v>
      </c>
      <c r="N212" s="85">
        <v>1391.6</v>
      </c>
      <c r="O212" s="77">
        <v>0</v>
      </c>
      <c r="P212" s="77">
        <v>0</v>
      </c>
      <c r="Q212" s="77">
        <v>1</v>
      </c>
      <c r="R212" s="77">
        <v>31</v>
      </c>
      <c r="S212" s="77">
        <f>_xlfn.STDEV.P(Table2[[#This Row],[volt-sbmu1]:[volt-sbmu5]])</f>
        <v>0.65848310532615706</v>
      </c>
      <c r="T212" s="77">
        <f>MAX(Table2[[#This Row],[soc-sbmu1]:[soc-sbmu5]])-MIN(Table2[[#This Row],[soc-sbmu1]:[soc-sbmu5]])</f>
        <v>2</v>
      </c>
      <c r="U212" s="77"/>
      <c r="V212" s="77"/>
    </row>
    <row r="213" spans="1:22">
      <c r="A213" t="s">
        <v>361</v>
      </c>
      <c r="B213" t="s">
        <v>641</v>
      </c>
      <c r="C213" s="77">
        <v>83.5</v>
      </c>
      <c r="D213" s="77">
        <v>1392.8</v>
      </c>
      <c r="E213" s="77">
        <v>83</v>
      </c>
      <c r="F213" s="77">
        <v>83.4</v>
      </c>
      <c r="G213" s="77">
        <v>83.6</v>
      </c>
      <c r="H213" s="77">
        <v>83</v>
      </c>
      <c r="I213" s="77">
        <v>83.2</v>
      </c>
      <c r="J213" s="85">
        <v>1393.4</v>
      </c>
      <c r="K213" s="85">
        <v>1393.6</v>
      </c>
      <c r="L213" s="85">
        <v>1393</v>
      </c>
      <c r="M213" s="85">
        <v>1392.8</v>
      </c>
      <c r="N213" s="85">
        <v>1393.5</v>
      </c>
      <c r="O213" s="77">
        <v>0</v>
      </c>
      <c r="P213" s="77">
        <v>0</v>
      </c>
      <c r="Q213" s="77">
        <v>1</v>
      </c>
      <c r="R213" s="77">
        <v>31</v>
      </c>
      <c r="S213" s="77">
        <f>_xlfn.STDEV.P(Table2[[#This Row],[volt-sbmu1]:[volt-sbmu5]])</f>
        <v>0.30724582991474608</v>
      </c>
      <c r="T213" s="77">
        <f>MAX(Table2[[#This Row],[soc-sbmu1]:[soc-sbmu5]])-MIN(Table2[[#This Row],[soc-sbmu1]:[soc-sbmu5]])</f>
        <v>0.59999999999999432</v>
      </c>
      <c r="U213" s="77"/>
      <c r="V213" s="77"/>
    </row>
    <row r="214" spans="1:22">
      <c r="A214" t="s">
        <v>362</v>
      </c>
      <c r="B214" t="s">
        <v>642</v>
      </c>
      <c r="C214" s="77">
        <v>83.5</v>
      </c>
      <c r="D214" s="77">
        <v>1393.5</v>
      </c>
      <c r="E214" s="77">
        <v>82.8</v>
      </c>
      <c r="F214" s="77">
        <v>83.4</v>
      </c>
      <c r="G214" s="77">
        <v>83</v>
      </c>
      <c r="H214" s="77">
        <v>83.1</v>
      </c>
      <c r="I214" s="77">
        <v>83.7</v>
      </c>
      <c r="J214" s="85">
        <v>1393</v>
      </c>
      <c r="K214" s="85">
        <v>1393.1</v>
      </c>
      <c r="L214" s="85">
        <v>1393.7</v>
      </c>
      <c r="M214" s="85">
        <v>1392.2</v>
      </c>
      <c r="N214" s="85">
        <v>1394.9</v>
      </c>
      <c r="O214" s="77">
        <v>0</v>
      </c>
      <c r="P214" s="77">
        <v>0</v>
      </c>
      <c r="Q214" s="77">
        <v>1</v>
      </c>
      <c r="R214" s="77">
        <v>33</v>
      </c>
      <c r="S214" s="77">
        <f>_xlfn.STDEV.P(Table2[[#This Row],[volt-sbmu1]:[volt-sbmu5]])</f>
        <v>0.89755222689270275</v>
      </c>
      <c r="T214" s="77">
        <f>MAX(Table2[[#This Row],[soc-sbmu1]:[soc-sbmu5]])-MIN(Table2[[#This Row],[soc-sbmu1]:[soc-sbmu5]])</f>
        <v>0.90000000000000568</v>
      </c>
      <c r="U214" s="77"/>
      <c r="V214" s="77"/>
    </row>
    <row r="215" spans="1:22">
      <c r="A215" t="s">
        <v>363</v>
      </c>
      <c r="B215" t="s">
        <v>643</v>
      </c>
      <c r="C215" s="77">
        <v>99.8</v>
      </c>
      <c r="D215" s="77">
        <v>1406.7</v>
      </c>
      <c r="E215" s="77">
        <v>99.9</v>
      </c>
      <c r="F215" s="77">
        <v>99.7</v>
      </c>
      <c r="G215" s="77">
        <v>99.9</v>
      </c>
      <c r="H215" s="77">
        <v>99.7</v>
      </c>
      <c r="I215" s="77">
        <v>99.7</v>
      </c>
      <c r="J215" s="85">
        <v>1407.4</v>
      </c>
      <c r="K215" s="85">
        <v>1406</v>
      </c>
      <c r="L215" s="85">
        <v>1406.7</v>
      </c>
      <c r="M215" s="85">
        <v>1406</v>
      </c>
      <c r="N215" s="85">
        <v>1406.3</v>
      </c>
      <c r="O215" s="77">
        <v>0</v>
      </c>
      <c r="P215" s="77">
        <v>0</v>
      </c>
      <c r="Q215" s="77">
        <v>2</v>
      </c>
      <c r="R215" s="77">
        <v>34</v>
      </c>
      <c r="S215" s="77">
        <f>_xlfn.STDEV.P(Table2[[#This Row],[volt-sbmu1]:[volt-sbmu5]])</f>
        <v>0.52687759489281827</v>
      </c>
      <c r="T215" s="77">
        <f>MAX(Table2[[#This Row],[soc-sbmu1]:[soc-sbmu5]])-MIN(Table2[[#This Row],[soc-sbmu1]:[soc-sbmu5]])</f>
        <v>0.20000000000000284</v>
      </c>
      <c r="U215" s="77"/>
      <c r="V215" s="77"/>
    </row>
    <row r="216" spans="1:22">
      <c r="A216" t="s">
        <v>364</v>
      </c>
      <c r="B216" t="s">
        <v>644</v>
      </c>
      <c r="C216" s="77">
        <v>1</v>
      </c>
      <c r="D216" s="77">
        <v>0</v>
      </c>
      <c r="E216" s="77">
        <v>1</v>
      </c>
      <c r="F216" s="77">
        <v>1</v>
      </c>
      <c r="G216" s="77">
        <v>1</v>
      </c>
      <c r="H216" s="77">
        <v>1</v>
      </c>
      <c r="I216" s="77">
        <v>1</v>
      </c>
      <c r="J216" s="85">
        <v>1228.5999999999999</v>
      </c>
      <c r="K216" s="85">
        <v>1227.3</v>
      </c>
      <c r="L216" s="85">
        <v>1227.2</v>
      </c>
      <c r="M216" s="85">
        <v>1229.0999999999999</v>
      </c>
      <c r="N216" s="85">
        <v>1228.3</v>
      </c>
      <c r="O216" s="77">
        <v>0</v>
      </c>
      <c r="P216" s="77">
        <v>0</v>
      </c>
      <c r="Q216" s="77">
        <v>4</v>
      </c>
      <c r="R216" s="77">
        <v>33</v>
      </c>
      <c r="S216" s="77">
        <f>_xlfn.STDEV.P(Table2[[#This Row],[volt-sbmu1]:[volt-sbmu5]])</f>
        <v>0.74027022093282935</v>
      </c>
      <c r="T216" s="77">
        <f>MAX(Table2[[#This Row],[soc-sbmu1]:[soc-sbmu5]])-MIN(Table2[[#This Row],[soc-sbmu1]:[soc-sbmu5]])</f>
        <v>0</v>
      </c>
      <c r="U216" s="77"/>
      <c r="V216" s="77"/>
    </row>
    <row r="217" spans="1:22">
      <c r="A217" t="s">
        <v>365</v>
      </c>
      <c r="B217" t="s">
        <v>645</v>
      </c>
      <c r="C217" s="77">
        <v>99.7</v>
      </c>
      <c r="D217" s="77">
        <v>1386.9</v>
      </c>
      <c r="E217" s="77">
        <v>99.8</v>
      </c>
      <c r="F217" s="77">
        <v>99.5</v>
      </c>
      <c r="G217" s="77">
        <v>99.6</v>
      </c>
      <c r="H217" s="77">
        <v>99.6</v>
      </c>
      <c r="I217" s="77">
        <v>99.7</v>
      </c>
      <c r="J217" s="85">
        <v>1389.6</v>
      </c>
      <c r="K217" s="85">
        <v>1386.8</v>
      </c>
      <c r="L217" s="85">
        <v>1386.4</v>
      </c>
      <c r="M217" s="85">
        <v>1386.8</v>
      </c>
      <c r="N217" s="85">
        <v>1386.2</v>
      </c>
      <c r="O217" s="77">
        <v>0</v>
      </c>
      <c r="P217" s="77">
        <v>0</v>
      </c>
      <c r="Q217" s="77">
        <v>2</v>
      </c>
      <c r="R217" s="77">
        <v>33</v>
      </c>
      <c r="S217" s="77">
        <f>_xlfn.STDEV.P(Table2[[#This Row],[volt-sbmu1]:[volt-sbmu5]])</f>
        <v>1.2419339757007533</v>
      </c>
      <c r="T217" s="77">
        <f>MAX(Table2[[#This Row],[soc-sbmu1]:[soc-sbmu5]])-MIN(Table2[[#This Row],[soc-sbmu1]:[soc-sbmu5]])</f>
        <v>0.29999999999999716</v>
      </c>
      <c r="U217" s="77"/>
      <c r="V217" s="77"/>
    </row>
    <row r="218" spans="1:22">
      <c r="A218" t="s">
        <v>366</v>
      </c>
      <c r="B218" t="s">
        <v>646</v>
      </c>
      <c r="C218" s="77">
        <v>99.8</v>
      </c>
      <c r="D218" s="77">
        <v>1402.4</v>
      </c>
      <c r="E218" s="77">
        <v>99.7</v>
      </c>
      <c r="F218" s="77">
        <v>99.9</v>
      </c>
      <c r="G218" s="77">
        <v>99.7</v>
      </c>
      <c r="H218" s="77">
        <v>99.7</v>
      </c>
      <c r="I218" s="77">
        <v>99.7</v>
      </c>
      <c r="J218" s="85">
        <v>1402.6</v>
      </c>
      <c r="K218" s="85">
        <v>1401.8</v>
      </c>
      <c r="L218" s="85">
        <v>1402.8</v>
      </c>
      <c r="M218" s="85">
        <v>1401.8</v>
      </c>
      <c r="N218" s="85">
        <v>1401.8</v>
      </c>
      <c r="O218" s="77">
        <v>0</v>
      </c>
      <c r="P218" s="77">
        <v>0</v>
      </c>
      <c r="Q218" s="77">
        <v>2</v>
      </c>
      <c r="R218" s="77">
        <v>33</v>
      </c>
      <c r="S218" s="77">
        <f>_xlfn.STDEV.P(Table2[[#This Row],[volt-sbmu1]:[volt-sbmu5]])</f>
        <v>0.44542114902639274</v>
      </c>
      <c r="T218" s="77">
        <f>MAX(Table2[[#This Row],[soc-sbmu1]:[soc-sbmu5]])-MIN(Table2[[#This Row],[soc-sbmu1]:[soc-sbmu5]])</f>
        <v>0.20000000000000284</v>
      </c>
      <c r="U218" s="77"/>
      <c r="V218" s="77"/>
    </row>
    <row r="219" spans="1:22">
      <c r="A219" t="s">
        <v>367</v>
      </c>
      <c r="B219" t="s">
        <v>427</v>
      </c>
      <c r="C219" s="77">
        <v>99.4</v>
      </c>
      <c r="D219" s="77">
        <v>1382.9</v>
      </c>
      <c r="E219" s="77">
        <v>99.5</v>
      </c>
      <c r="F219" s="77">
        <v>99.2</v>
      </c>
      <c r="G219" s="77">
        <v>99.5</v>
      </c>
      <c r="H219" s="77">
        <v>99.5</v>
      </c>
      <c r="I219" s="77">
        <v>99.5</v>
      </c>
      <c r="J219" s="85">
        <v>1382.2</v>
      </c>
      <c r="K219" s="85">
        <v>1383.9</v>
      </c>
      <c r="L219" s="85">
        <v>1382.7</v>
      </c>
      <c r="M219" s="85">
        <v>1384.5</v>
      </c>
      <c r="N219" s="85">
        <v>1383.5</v>
      </c>
      <c r="O219" s="77">
        <v>0</v>
      </c>
      <c r="P219" s="77">
        <v>0</v>
      </c>
      <c r="Q219" s="77">
        <v>2</v>
      </c>
      <c r="R219" s="77">
        <v>31</v>
      </c>
      <c r="S219" s="77">
        <f>_xlfn.STDEV.P(Table2[[#This Row],[volt-sbmu1]:[volt-sbmu5]])</f>
        <v>0.82365041127895189</v>
      </c>
      <c r="T219" s="77">
        <f>MAX(Table2[[#This Row],[soc-sbmu1]:[soc-sbmu5]])-MIN(Table2[[#This Row],[soc-sbmu1]:[soc-sbmu5]])</f>
        <v>0.29999999999999716</v>
      </c>
      <c r="U219" s="77"/>
      <c r="V219" s="77"/>
    </row>
    <row r="220" spans="1:22">
      <c r="A220" t="s">
        <v>368</v>
      </c>
      <c r="B220" t="s">
        <v>426</v>
      </c>
      <c r="C220" s="77">
        <v>99.7</v>
      </c>
      <c r="D220" s="77">
        <v>1386.3</v>
      </c>
      <c r="E220" s="77">
        <v>99.7</v>
      </c>
      <c r="F220" s="77">
        <v>99.7</v>
      </c>
      <c r="G220" s="77">
        <v>99.8</v>
      </c>
      <c r="H220" s="77">
        <v>99.8</v>
      </c>
      <c r="I220" s="77">
        <v>99.3</v>
      </c>
      <c r="J220" s="85">
        <v>1385.8</v>
      </c>
      <c r="K220" s="85">
        <v>1386.3</v>
      </c>
      <c r="L220" s="85">
        <v>1384.9</v>
      </c>
      <c r="M220" s="85">
        <v>1387</v>
      </c>
      <c r="N220" s="85">
        <v>1385</v>
      </c>
      <c r="O220" s="77">
        <v>0</v>
      </c>
      <c r="P220" s="77">
        <v>0</v>
      </c>
      <c r="Q220" s="77">
        <v>2</v>
      </c>
      <c r="R220" s="77">
        <v>31</v>
      </c>
      <c r="S220" s="77">
        <f>_xlfn.STDEV.P(Table2[[#This Row],[volt-sbmu1]:[volt-sbmu5]])</f>
        <v>0.79246451024633158</v>
      </c>
      <c r="T220" s="77">
        <f>MAX(Table2[[#This Row],[soc-sbmu1]:[soc-sbmu5]])-MIN(Table2[[#This Row],[soc-sbmu1]:[soc-sbmu5]])</f>
        <v>0.5</v>
      </c>
      <c r="U220" s="77"/>
      <c r="V220" s="77"/>
    </row>
    <row r="221" spans="1:22">
      <c r="A221" t="s">
        <v>369</v>
      </c>
      <c r="B221" t="s">
        <v>425</v>
      </c>
      <c r="C221" s="77">
        <v>99.5</v>
      </c>
      <c r="D221" s="77">
        <v>1384.4</v>
      </c>
      <c r="E221" s="77">
        <v>99.4</v>
      </c>
      <c r="F221" s="77">
        <v>99.6</v>
      </c>
      <c r="G221" s="77">
        <v>99.3</v>
      </c>
      <c r="H221" s="77">
        <v>99.6</v>
      </c>
      <c r="I221" s="77">
        <v>99.4</v>
      </c>
      <c r="J221" s="85">
        <v>1384.6</v>
      </c>
      <c r="K221" s="85">
        <v>1384.3</v>
      </c>
      <c r="L221" s="85">
        <v>1384.5</v>
      </c>
      <c r="M221" s="85">
        <v>1385.3</v>
      </c>
      <c r="N221" s="85">
        <v>1383.8</v>
      </c>
      <c r="O221" s="77">
        <v>0</v>
      </c>
      <c r="P221" s="77">
        <v>0</v>
      </c>
      <c r="Q221" s="77">
        <v>2</v>
      </c>
      <c r="R221" s="77">
        <v>32</v>
      </c>
      <c r="S221" s="77">
        <f>_xlfn.STDEV.P(Table2[[#This Row],[volt-sbmu1]:[volt-sbmu5]])</f>
        <v>0.48579831205964291</v>
      </c>
      <c r="T221" s="77">
        <f>MAX(Table2[[#This Row],[soc-sbmu1]:[soc-sbmu5]])-MIN(Table2[[#This Row],[soc-sbmu1]:[soc-sbmu5]])</f>
        <v>0.29999999999999716</v>
      </c>
      <c r="U221" s="77"/>
      <c r="V221" s="77"/>
    </row>
    <row r="222" spans="1:22">
      <c r="A222" t="s">
        <v>370</v>
      </c>
      <c r="B222" t="s">
        <v>424</v>
      </c>
      <c r="C222" s="77">
        <v>99.7</v>
      </c>
      <c r="D222" s="77">
        <v>1385.6</v>
      </c>
      <c r="E222" s="77">
        <v>99.5</v>
      </c>
      <c r="F222" s="77">
        <v>99.5</v>
      </c>
      <c r="G222" s="77">
        <v>99.8</v>
      </c>
      <c r="H222" s="77">
        <v>99.4</v>
      </c>
      <c r="I222" s="77">
        <v>99.4</v>
      </c>
      <c r="J222" s="85">
        <v>1386.1</v>
      </c>
      <c r="K222" s="85">
        <v>1385.1</v>
      </c>
      <c r="L222" s="85">
        <v>1384.5</v>
      </c>
      <c r="M222" s="85">
        <v>1385.7</v>
      </c>
      <c r="N222" s="85">
        <v>1385.7</v>
      </c>
      <c r="O222" s="77">
        <v>0</v>
      </c>
      <c r="P222" s="77">
        <v>0</v>
      </c>
      <c r="Q222" s="77">
        <v>2</v>
      </c>
      <c r="R222" s="77">
        <v>32</v>
      </c>
      <c r="S222" s="77">
        <f>_xlfn.STDEV.P(Table2[[#This Row],[volt-sbmu1]:[volt-sbmu5]])</f>
        <v>0.55999999999999739</v>
      </c>
      <c r="T222" s="77">
        <f>MAX(Table2[[#This Row],[soc-sbmu1]:[soc-sbmu5]])-MIN(Table2[[#This Row],[soc-sbmu1]:[soc-sbmu5]])</f>
        <v>0.39999999999999147</v>
      </c>
      <c r="U222" s="77"/>
      <c r="V222" s="77"/>
    </row>
    <row r="223" spans="1:22">
      <c r="A223" t="s">
        <v>371</v>
      </c>
      <c r="B223" t="s">
        <v>647</v>
      </c>
      <c r="C223" s="77">
        <v>99.7</v>
      </c>
      <c r="D223" s="77">
        <v>1386.7</v>
      </c>
      <c r="E223" s="77">
        <v>99.8</v>
      </c>
      <c r="F223" s="77">
        <v>99.8</v>
      </c>
      <c r="G223" s="77">
        <v>99.8</v>
      </c>
      <c r="H223" s="77">
        <v>99.7</v>
      </c>
      <c r="I223" s="77">
        <v>99.7</v>
      </c>
      <c r="J223" s="85">
        <v>1387.5</v>
      </c>
      <c r="K223" s="85">
        <v>1387.4</v>
      </c>
      <c r="L223" s="85">
        <v>1387.7</v>
      </c>
      <c r="M223" s="85">
        <v>1384.9</v>
      </c>
      <c r="N223" s="85">
        <v>1387.4</v>
      </c>
      <c r="O223" s="77">
        <v>0</v>
      </c>
      <c r="P223" s="77">
        <v>0</v>
      </c>
      <c r="Q223" s="77">
        <v>2</v>
      </c>
      <c r="R223" s="77">
        <v>34</v>
      </c>
      <c r="S223" s="77">
        <f>_xlfn.STDEV.P(Table2[[#This Row],[volt-sbmu1]:[volt-sbmu5]])</f>
        <v>1.0457533169920945</v>
      </c>
      <c r="T223" s="77">
        <f>MAX(Table2[[#This Row],[soc-sbmu1]:[soc-sbmu5]])-MIN(Table2[[#This Row],[soc-sbmu1]:[soc-sbmu5]])</f>
        <v>9.9999999999994316E-2</v>
      </c>
      <c r="U223" s="77"/>
      <c r="V223" s="77"/>
    </row>
    <row r="224" spans="1:22">
      <c r="A224" t="s">
        <v>372</v>
      </c>
      <c r="B224" t="s">
        <v>648</v>
      </c>
      <c r="C224" s="77">
        <v>99.7</v>
      </c>
      <c r="D224" s="77">
        <v>1387.2</v>
      </c>
      <c r="E224" s="77">
        <v>99.7</v>
      </c>
      <c r="F224" s="77">
        <v>99.8</v>
      </c>
      <c r="G224" s="77">
        <v>99.8</v>
      </c>
      <c r="H224" s="77">
        <v>99.7</v>
      </c>
      <c r="I224" s="77">
        <v>99.6</v>
      </c>
      <c r="J224" s="85">
        <v>1387.4</v>
      </c>
      <c r="K224" s="85">
        <v>1387.1</v>
      </c>
      <c r="L224" s="85">
        <v>1388.1</v>
      </c>
      <c r="M224" s="85">
        <v>1386.2</v>
      </c>
      <c r="N224" s="85">
        <v>1386.4</v>
      </c>
      <c r="O224" s="77">
        <v>0</v>
      </c>
      <c r="P224" s="77">
        <v>0</v>
      </c>
      <c r="Q224" s="77">
        <v>2</v>
      </c>
      <c r="R224" s="77">
        <v>33</v>
      </c>
      <c r="S224" s="77">
        <f>_xlfn.STDEV.P(Table2[[#This Row],[volt-sbmu1]:[volt-sbmu5]])</f>
        <v>0.68876701430885445</v>
      </c>
      <c r="T224" s="77">
        <f>MAX(Table2[[#This Row],[soc-sbmu1]:[soc-sbmu5]])-MIN(Table2[[#This Row],[soc-sbmu1]:[soc-sbmu5]])</f>
        <v>0.20000000000000284</v>
      </c>
      <c r="U224" s="77"/>
      <c r="V224" s="77"/>
    </row>
    <row r="225" spans="1:22">
      <c r="A225" t="s">
        <v>373</v>
      </c>
      <c r="B225" t="s">
        <v>649</v>
      </c>
      <c r="C225" s="77">
        <v>99.7</v>
      </c>
      <c r="D225" s="77">
        <v>1385.7</v>
      </c>
      <c r="E225" s="77">
        <v>99.8</v>
      </c>
      <c r="F225" s="77">
        <v>99.7</v>
      </c>
      <c r="G225" s="77">
        <v>99.8</v>
      </c>
      <c r="H225" s="77">
        <v>99.7</v>
      </c>
      <c r="I225" s="77">
        <v>99.6</v>
      </c>
      <c r="J225" s="85">
        <v>1385.8</v>
      </c>
      <c r="K225" s="85">
        <v>1386.1</v>
      </c>
      <c r="L225" s="85">
        <v>1385.3</v>
      </c>
      <c r="M225" s="85">
        <v>1386.4</v>
      </c>
      <c r="N225" s="85">
        <v>1386.2</v>
      </c>
      <c r="O225" s="77">
        <v>0</v>
      </c>
      <c r="P225" s="77">
        <v>0</v>
      </c>
      <c r="Q225" s="77">
        <v>2</v>
      </c>
      <c r="R225" s="77">
        <v>32</v>
      </c>
      <c r="S225" s="77">
        <f>_xlfn.STDEV.P(Table2[[#This Row],[volt-sbmu1]:[volt-sbmu5]])</f>
        <v>0.38262252939421926</v>
      </c>
      <c r="T225" s="77">
        <f>MAX(Table2[[#This Row],[soc-sbmu1]:[soc-sbmu5]])-MIN(Table2[[#This Row],[soc-sbmu1]:[soc-sbmu5]])</f>
        <v>0.20000000000000284</v>
      </c>
      <c r="U225" s="77"/>
      <c r="V225" s="77"/>
    </row>
    <row r="226" spans="1:22">
      <c r="A226" t="s">
        <v>374</v>
      </c>
      <c r="B226" t="s">
        <v>650</v>
      </c>
      <c r="C226" s="77">
        <v>99.7</v>
      </c>
      <c r="D226" s="77">
        <v>1388.9</v>
      </c>
      <c r="E226" s="77">
        <v>99.7</v>
      </c>
      <c r="F226" s="77">
        <v>99.8</v>
      </c>
      <c r="G226" s="77">
        <v>99.7</v>
      </c>
      <c r="H226" s="77">
        <v>99.8</v>
      </c>
      <c r="I226" s="77">
        <v>99.7</v>
      </c>
      <c r="J226" s="85">
        <v>1388.6</v>
      </c>
      <c r="K226" s="85">
        <v>1389.6</v>
      </c>
      <c r="L226" s="85">
        <v>1389</v>
      </c>
      <c r="M226" s="85">
        <v>1388.5</v>
      </c>
      <c r="N226" s="85">
        <v>1388</v>
      </c>
      <c r="O226" s="77">
        <v>0</v>
      </c>
      <c r="P226" s="77">
        <v>0</v>
      </c>
      <c r="Q226" s="77">
        <v>2</v>
      </c>
      <c r="R226" s="77">
        <v>35</v>
      </c>
      <c r="S226" s="77">
        <f>_xlfn.STDEV.P(Table2[[#This Row],[volt-sbmu1]:[volt-sbmu5]])</f>
        <v>0.53516352641036158</v>
      </c>
      <c r="T226" s="77">
        <f>MAX(Table2[[#This Row],[soc-sbmu1]:[soc-sbmu5]])-MIN(Table2[[#This Row],[soc-sbmu1]:[soc-sbmu5]])</f>
        <v>9.9999999999994316E-2</v>
      </c>
      <c r="U226" s="77"/>
      <c r="V226" s="77"/>
    </row>
    <row r="227" spans="1:22">
      <c r="A227" t="s">
        <v>375</v>
      </c>
      <c r="B227" t="s">
        <v>651</v>
      </c>
      <c r="C227" s="77">
        <v>99.6</v>
      </c>
      <c r="D227" s="77">
        <v>1384.6</v>
      </c>
      <c r="E227" s="77">
        <v>99.7</v>
      </c>
      <c r="F227" s="77">
        <v>99.6</v>
      </c>
      <c r="G227" s="77">
        <v>95.9</v>
      </c>
      <c r="H227" s="77">
        <v>99.6</v>
      </c>
      <c r="I227" s="77">
        <v>95.9</v>
      </c>
      <c r="J227" s="85">
        <v>1385.2</v>
      </c>
      <c r="K227" s="85">
        <v>1385.7</v>
      </c>
      <c r="L227" s="85">
        <v>1384.7</v>
      </c>
      <c r="M227" s="85">
        <v>1384.5</v>
      </c>
      <c r="N227" s="85">
        <v>1382.8</v>
      </c>
      <c r="O227" s="77">
        <v>0</v>
      </c>
      <c r="P227" s="77">
        <v>0</v>
      </c>
      <c r="Q227" s="77">
        <v>2</v>
      </c>
      <c r="R227" s="77">
        <v>30</v>
      </c>
      <c r="S227" s="77">
        <f>_xlfn.STDEV.P(Table2[[#This Row],[volt-sbmu1]:[volt-sbmu5]])</f>
        <v>0.98264947972309347</v>
      </c>
      <c r="T227" s="77">
        <f>MAX(Table2[[#This Row],[soc-sbmu1]:[soc-sbmu5]])-MIN(Table2[[#This Row],[soc-sbmu1]:[soc-sbmu5]])</f>
        <v>3.7999999999999972</v>
      </c>
      <c r="U227" s="77"/>
      <c r="V227" s="77"/>
    </row>
    <row r="228" spans="1:22">
      <c r="A228" t="s">
        <v>376</v>
      </c>
      <c r="B228" t="s">
        <v>652</v>
      </c>
      <c r="C228" s="77">
        <v>99.6</v>
      </c>
      <c r="D228" s="77">
        <v>1384.7</v>
      </c>
      <c r="E228" s="77">
        <v>99.6</v>
      </c>
      <c r="F228" s="77">
        <v>99.6</v>
      </c>
      <c r="G228" s="77">
        <v>99.7</v>
      </c>
      <c r="H228" s="77">
        <v>94.9</v>
      </c>
      <c r="I228" s="77">
        <v>99.7</v>
      </c>
      <c r="J228" s="85">
        <v>1385.5</v>
      </c>
      <c r="K228" s="85">
        <v>1384.2</v>
      </c>
      <c r="L228" s="85">
        <v>1383.8</v>
      </c>
      <c r="M228" s="85">
        <v>1384.5</v>
      </c>
      <c r="N228" s="85">
        <v>1385.1</v>
      </c>
      <c r="O228" s="77">
        <v>0</v>
      </c>
      <c r="P228" s="77">
        <v>0</v>
      </c>
      <c r="Q228" s="77">
        <v>2</v>
      </c>
      <c r="R228" s="77">
        <v>30</v>
      </c>
      <c r="S228" s="77">
        <f>_xlfn.STDEV.P(Table2[[#This Row],[volt-sbmu1]:[volt-sbmu5]])</f>
        <v>0.61122827159743665</v>
      </c>
      <c r="T228" s="77">
        <f>MAX(Table2[[#This Row],[soc-sbmu1]:[soc-sbmu5]])-MIN(Table2[[#This Row],[soc-sbmu1]:[soc-sbmu5]])</f>
        <v>4.7999999999999972</v>
      </c>
      <c r="U228" s="77"/>
      <c r="V228" s="77"/>
    </row>
    <row r="229" spans="1:22">
      <c r="A229" t="s">
        <v>377</v>
      </c>
      <c r="B229" t="s">
        <v>653</v>
      </c>
      <c r="C229" s="77">
        <v>99.6</v>
      </c>
      <c r="D229" s="77">
        <v>1384.1</v>
      </c>
      <c r="E229" s="77">
        <v>99.7</v>
      </c>
      <c r="F229" s="77">
        <v>99.7</v>
      </c>
      <c r="G229" s="77">
        <v>99.5</v>
      </c>
      <c r="H229" s="77">
        <v>95.5</v>
      </c>
      <c r="I229" s="77">
        <v>99.6</v>
      </c>
      <c r="J229" s="85">
        <v>1385.1</v>
      </c>
      <c r="K229" s="85">
        <v>1384.7</v>
      </c>
      <c r="L229" s="85">
        <v>1384.8</v>
      </c>
      <c r="M229" s="85">
        <v>1383.4</v>
      </c>
      <c r="N229" s="85">
        <v>1384.6</v>
      </c>
      <c r="O229" s="77">
        <v>0</v>
      </c>
      <c r="P229" s="77">
        <v>0</v>
      </c>
      <c r="Q229" s="77">
        <v>2</v>
      </c>
      <c r="R229" s="77">
        <v>31</v>
      </c>
      <c r="S229" s="77">
        <f>_xlfn.STDEV.P(Table2[[#This Row],[volt-sbmu1]:[volt-sbmu5]])</f>
        <v>0.58446556784804138</v>
      </c>
      <c r="T229" s="77">
        <f>MAX(Table2[[#This Row],[soc-sbmu1]:[soc-sbmu5]])-MIN(Table2[[#This Row],[soc-sbmu1]:[soc-sbmu5]])</f>
        <v>4.2000000000000028</v>
      </c>
      <c r="U229" s="77"/>
      <c r="V229" s="77"/>
    </row>
    <row r="230" spans="1:22">
      <c r="A230" t="s">
        <v>378</v>
      </c>
      <c r="B230" t="s">
        <v>654</v>
      </c>
      <c r="C230" s="77">
        <v>99.6</v>
      </c>
      <c r="D230" s="77">
        <v>1384.3</v>
      </c>
      <c r="E230" s="77">
        <v>95</v>
      </c>
      <c r="F230" s="77">
        <v>99.7</v>
      </c>
      <c r="G230" s="77">
        <v>99.6</v>
      </c>
      <c r="H230" s="77">
        <v>99.7</v>
      </c>
      <c r="I230" s="77">
        <v>99.6</v>
      </c>
      <c r="J230" s="85">
        <v>1384.1</v>
      </c>
      <c r="K230" s="85">
        <v>1383.5</v>
      </c>
      <c r="L230" s="85">
        <v>1384.1</v>
      </c>
      <c r="M230" s="85">
        <v>1384.7</v>
      </c>
      <c r="N230" s="85">
        <v>1385.4</v>
      </c>
      <c r="O230" s="77">
        <v>0</v>
      </c>
      <c r="P230" s="77">
        <v>0</v>
      </c>
      <c r="Q230" s="77">
        <v>2</v>
      </c>
      <c r="R230" s="77">
        <v>32</v>
      </c>
      <c r="S230" s="77">
        <f>_xlfn.STDEV.P(Table2[[#This Row],[volt-sbmu1]:[volt-sbmu5]])</f>
        <v>0.6437390775772921</v>
      </c>
      <c r="T230" s="77">
        <f>MAX(Table2[[#This Row],[soc-sbmu1]:[soc-sbmu5]])-MIN(Table2[[#This Row],[soc-sbmu1]:[soc-sbmu5]])</f>
        <v>4.7000000000000028</v>
      </c>
      <c r="U230" s="77"/>
      <c r="V230" s="77"/>
    </row>
    <row r="231" spans="1:22">
      <c r="A231" t="s">
        <v>379</v>
      </c>
      <c r="B231" t="s">
        <v>655</v>
      </c>
      <c r="C231" s="77">
        <v>100</v>
      </c>
      <c r="D231" s="77">
        <v>1387.6</v>
      </c>
      <c r="E231" s="77">
        <v>99.8</v>
      </c>
      <c r="F231" s="77">
        <v>99.8</v>
      </c>
      <c r="G231" s="77">
        <v>100</v>
      </c>
      <c r="H231" s="77">
        <v>100</v>
      </c>
      <c r="I231" s="77">
        <v>99.9</v>
      </c>
      <c r="J231" s="85">
        <v>1387.2</v>
      </c>
      <c r="K231" s="85">
        <v>1386.5</v>
      </c>
      <c r="L231" s="85">
        <v>1386.8</v>
      </c>
      <c r="M231" s="85">
        <v>1389.2</v>
      </c>
      <c r="N231" s="85">
        <v>1387.4</v>
      </c>
      <c r="O231" s="77">
        <v>0</v>
      </c>
      <c r="P231" s="77">
        <v>0</v>
      </c>
      <c r="Q231" s="77">
        <v>2</v>
      </c>
      <c r="R231" s="77">
        <v>33</v>
      </c>
      <c r="S231" s="77">
        <f>_xlfn.STDEV.P(Table2[[#This Row],[volt-sbmu1]:[volt-sbmu5]])</f>
        <v>0.9431860898041482</v>
      </c>
      <c r="T231" s="77">
        <f>MAX(Table2[[#This Row],[soc-sbmu1]:[soc-sbmu5]])-MIN(Table2[[#This Row],[soc-sbmu1]:[soc-sbmu5]])</f>
        <v>0.20000000000000284</v>
      </c>
      <c r="U231" s="77"/>
      <c r="V231" s="77"/>
    </row>
    <row r="232" spans="1:22">
      <c r="A232" t="s">
        <v>380</v>
      </c>
      <c r="B232" t="s">
        <v>656</v>
      </c>
      <c r="C232" s="77">
        <v>99.8</v>
      </c>
      <c r="D232" s="77">
        <v>1387.6</v>
      </c>
      <c r="E232" s="77">
        <v>99.8</v>
      </c>
      <c r="F232" s="77">
        <v>99.8</v>
      </c>
      <c r="G232" s="77">
        <v>99.8</v>
      </c>
      <c r="H232" s="77">
        <v>99.8</v>
      </c>
      <c r="I232" s="77">
        <v>99.8</v>
      </c>
      <c r="J232" s="85">
        <v>1388.5</v>
      </c>
      <c r="K232" s="85">
        <v>1386.9</v>
      </c>
      <c r="L232" s="85">
        <v>1386.4</v>
      </c>
      <c r="M232" s="85">
        <v>1387.4</v>
      </c>
      <c r="N232" s="85">
        <v>1388.6</v>
      </c>
      <c r="O232" s="77">
        <v>0</v>
      </c>
      <c r="P232" s="77">
        <v>0</v>
      </c>
      <c r="Q232" s="77">
        <v>2</v>
      </c>
      <c r="R232" s="77">
        <v>33</v>
      </c>
      <c r="S232" s="77">
        <f>_xlfn.STDEV.P(Table2[[#This Row],[volt-sbmu1]:[volt-sbmu5]])</f>
        <v>0.86856203002427523</v>
      </c>
      <c r="T232" s="77">
        <f>MAX(Table2[[#This Row],[soc-sbmu1]:[soc-sbmu5]])-MIN(Table2[[#This Row],[soc-sbmu1]:[soc-sbmu5]])</f>
        <v>0</v>
      </c>
      <c r="U232" s="77"/>
      <c r="V232" s="77"/>
    </row>
    <row r="233" spans="1:22">
      <c r="A233" t="s">
        <v>381</v>
      </c>
      <c r="B233" t="s">
        <v>657</v>
      </c>
      <c r="C233" s="77">
        <v>99.8</v>
      </c>
      <c r="D233" s="77">
        <v>1386.1</v>
      </c>
      <c r="E233" s="77">
        <v>99.7</v>
      </c>
      <c r="F233" s="77">
        <v>99.7</v>
      </c>
      <c r="G233" s="77">
        <v>99.8</v>
      </c>
      <c r="H233" s="77">
        <v>99.9</v>
      </c>
      <c r="I233" s="77">
        <v>99.7</v>
      </c>
      <c r="J233" s="85">
        <v>1385.2</v>
      </c>
      <c r="K233" s="85">
        <v>1386.1</v>
      </c>
      <c r="L233" s="85">
        <v>1386.5</v>
      </c>
      <c r="M233" s="85">
        <v>1385.4</v>
      </c>
      <c r="N233" s="85">
        <v>1386.2</v>
      </c>
      <c r="O233" s="77">
        <v>0</v>
      </c>
      <c r="P233" s="77">
        <v>0</v>
      </c>
      <c r="Q233" s="77">
        <v>2</v>
      </c>
      <c r="R233" s="77">
        <v>33</v>
      </c>
      <c r="S233" s="77">
        <f>_xlfn.STDEV.P(Table2[[#This Row],[volt-sbmu1]:[volt-sbmu5]])</f>
        <v>0.49558046773452241</v>
      </c>
      <c r="T233" s="77">
        <f>MAX(Table2[[#This Row],[soc-sbmu1]:[soc-sbmu5]])-MIN(Table2[[#This Row],[soc-sbmu1]:[soc-sbmu5]])</f>
        <v>0.20000000000000284</v>
      </c>
      <c r="U233" s="77"/>
      <c r="V233" s="77"/>
    </row>
    <row r="234" spans="1:22">
      <c r="A234" t="s">
        <v>382</v>
      </c>
      <c r="B234" t="s">
        <v>658</v>
      </c>
      <c r="C234" s="77">
        <v>99.8</v>
      </c>
      <c r="D234" s="77">
        <v>1388.1</v>
      </c>
      <c r="E234" s="77">
        <v>99.8</v>
      </c>
      <c r="F234" s="77">
        <v>99.8</v>
      </c>
      <c r="G234" s="77">
        <v>99.9</v>
      </c>
      <c r="H234" s="77">
        <v>99.8</v>
      </c>
      <c r="I234" s="77">
        <v>99.8</v>
      </c>
      <c r="J234" s="85">
        <v>1387.9</v>
      </c>
      <c r="K234" s="85">
        <v>1387.1</v>
      </c>
      <c r="L234" s="85">
        <v>1388</v>
      </c>
      <c r="M234" s="85">
        <v>1388.2</v>
      </c>
      <c r="N234" s="85">
        <v>1387.1</v>
      </c>
      <c r="O234" s="77">
        <v>0</v>
      </c>
      <c r="P234" s="77">
        <v>0</v>
      </c>
      <c r="Q234" s="77">
        <v>2</v>
      </c>
      <c r="R234" s="77">
        <v>35</v>
      </c>
      <c r="S234" s="77">
        <f>_xlfn.STDEV.P(Table2[[#This Row],[volt-sbmu1]:[volt-sbmu5]])</f>
        <v>0.46733285782198036</v>
      </c>
      <c r="T234" s="77">
        <f>MAX(Table2[[#This Row],[soc-sbmu1]:[soc-sbmu5]])-MIN(Table2[[#This Row],[soc-sbmu1]:[soc-sbmu5]])</f>
        <v>0.10000000000000853</v>
      </c>
      <c r="U234" s="77"/>
      <c r="V234" s="77"/>
    </row>
    <row r="235" spans="1:22">
      <c r="A235" t="s">
        <v>383</v>
      </c>
      <c r="B235" t="s">
        <v>659</v>
      </c>
      <c r="C235" s="77">
        <v>80.400000000000006</v>
      </c>
      <c r="D235" s="77">
        <v>1393.3</v>
      </c>
      <c r="E235" s="77">
        <v>80.3</v>
      </c>
      <c r="F235" s="77">
        <v>80.5</v>
      </c>
      <c r="G235" s="77">
        <v>80</v>
      </c>
      <c r="H235" s="77">
        <v>80.3</v>
      </c>
      <c r="I235" s="77">
        <v>80</v>
      </c>
      <c r="J235" s="85">
        <v>1393.2</v>
      </c>
      <c r="K235" s="85">
        <v>1392.9</v>
      </c>
      <c r="L235" s="85">
        <v>1394</v>
      </c>
      <c r="M235" s="85">
        <v>1396.6</v>
      </c>
      <c r="N235" s="85">
        <v>1393.6</v>
      </c>
      <c r="O235" s="77">
        <v>0</v>
      </c>
      <c r="P235" s="77">
        <v>0</v>
      </c>
      <c r="Q235" s="77">
        <v>1</v>
      </c>
      <c r="R235" s="77">
        <v>31</v>
      </c>
      <c r="S235" s="77">
        <f>_xlfn.STDEV.P(Table2[[#This Row],[volt-sbmu1]:[volt-sbmu5]])</f>
        <v>1.3230268326832477</v>
      </c>
      <c r="T235" s="77">
        <f>MAX(Table2[[#This Row],[soc-sbmu1]:[soc-sbmu5]])-MIN(Table2[[#This Row],[soc-sbmu1]:[soc-sbmu5]])</f>
        <v>0.5</v>
      </c>
      <c r="U235" s="77"/>
      <c r="V235" s="77"/>
    </row>
    <row r="236" spans="1:22">
      <c r="A236" t="s">
        <v>384</v>
      </c>
      <c r="B236" t="s">
        <v>660</v>
      </c>
      <c r="C236" s="77">
        <v>100</v>
      </c>
      <c r="D236" s="77">
        <v>1391.6</v>
      </c>
      <c r="E236" s="77">
        <v>99.9</v>
      </c>
      <c r="F236" s="77">
        <v>99.8</v>
      </c>
      <c r="G236" s="77">
        <v>100</v>
      </c>
      <c r="H236" s="77">
        <v>99.9</v>
      </c>
      <c r="I236" s="77">
        <v>99.9</v>
      </c>
      <c r="J236" s="85">
        <v>1390.7</v>
      </c>
      <c r="K236" s="85">
        <v>1390.3</v>
      </c>
      <c r="L236" s="85">
        <v>1391.9</v>
      </c>
      <c r="M236" s="85">
        <v>1391.3</v>
      </c>
      <c r="N236" s="85">
        <v>1392.7</v>
      </c>
      <c r="O236" s="77">
        <v>0</v>
      </c>
      <c r="P236" s="77">
        <v>0</v>
      </c>
      <c r="Q236" s="77">
        <v>2</v>
      </c>
      <c r="R236" s="77">
        <v>32</v>
      </c>
      <c r="S236" s="77">
        <f>_xlfn.STDEV.P(Table2[[#This Row],[volt-sbmu1]:[volt-sbmu5]])</f>
        <v>0.85416626016253516</v>
      </c>
      <c r="T236" s="77">
        <f>MAX(Table2[[#This Row],[soc-sbmu1]:[soc-sbmu5]])-MIN(Table2[[#This Row],[soc-sbmu1]:[soc-sbmu5]])</f>
        <v>0.20000000000000284</v>
      </c>
      <c r="U236" s="77"/>
      <c r="V236" s="77"/>
    </row>
    <row r="237" spans="1:22">
      <c r="A237" t="s">
        <v>385</v>
      </c>
      <c r="B237" t="s">
        <v>661</v>
      </c>
      <c r="C237" s="77">
        <v>99.4</v>
      </c>
      <c r="D237" s="77">
        <v>1384.7</v>
      </c>
      <c r="E237" s="77">
        <v>99.3</v>
      </c>
      <c r="F237" s="77">
        <v>99.5</v>
      </c>
      <c r="G237" s="77">
        <v>99.5</v>
      </c>
      <c r="H237" s="77">
        <v>99.4</v>
      </c>
      <c r="I237" s="77">
        <v>99.5</v>
      </c>
      <c r="J237" s="85">
        <v>1384.3</v>
      </c>
      <c r="K237" s="85">
        <v>1385.4</v>
      </c>
      <c r="L237" s="85">
        <v>1384.3</v>
      </c>
      <c r="M237" s="85">
        <v>1384.7</v>
      </c>
      <c r="N237" s="85">
        <v>1384.5</v>
      </c>
      <c r="O237" s="77">
        <v>0</v>
      </c>
      <c r="P237" s="77">
        <v>0</v>
      </c>
      <c r="Q237" s="77">
        <v>1</v>
      </c>
      <c r="R237" s="77">
        <v>31</v>
      </c>
      <c r="S237" s="77">
        <f>_xlfn.STDEV.P(Table2[[#This Row],[volt-sbmu1]:[volt-sbmu5]])</f>
        <v>0.40792156108747313</v>
      </c>
      <c r="T237" s="77">
        <f>MAX(Table2[[#This Row],[soc-sbmu1]:[soc-sbmu5]])-MIN(Table2[[#This Row],[soc-sbmu1]:[soc-sbmu5]])</f>
        <v>0.20000000000000284</v>
      </c>
      <c r="U237" s="77"/>
      <c r="V237" s="77"/>
    </row>
    <row r="238" spans="1:22">
      <c r="A238" t="s">
        <v>386</v>
      </c>
      <c r="B238" t="s">
        <v>662</v>
      </c>
      <c r="C238" s="77">
        <v>80.400000000000006</v>
      </c>
      <c r="D238" s="77">
        <v>1395</v>
      </c>
      <c r="E238" s="77">
        <v>80</v>
      </c>
      <c r="F238" s="77">
        <v>79.900000000000006</v>
      </c>
      <c r="G238" s="77">
        <v>80.599999999999994</v>
      </c>
      <c r="H238" s="77">
        <v>79.900000000000006</v>
      </c>
      <c r="I238" s="77">
        <v>79.900000000000006</v>
      </c>
      <c r="J238" s="85">
        <v>1395.6</v>
      </c>
      <c r="K238" s="85">
        <v>1394.6</v>
      </c>
      <c r="L238" s="85">
        <v>1394.3</v>
      </c>
      <c r="M238" s="85">
        <v>1394.9</v>
      </c>
      <c r="N238" s="85">
        <v>1394</v>
      </c>
      <c r="O238" s="77">
        <v>0</v>
      </c>
      <c r="P238" s="77">
        <v>0</v>
      </c>
      <c r="Q238" s="77">
        <v>1</v>
      </c>
      <c r="R238" s="77">
        <v>32</v>
      </c>
      <c r="S238" s="77">
        <f>_xlfn.STDEV.P(Table2[[#This Row],[volt-sbmu1]:[volt-sbmu5]])</f>
        <v>0.54918120870982501</v>
      </c>
      <c r="T238" s="77">
        <f>MAX(Table2[[#This Row],[soc-sbmu1]:[soc-sbmu5]])-MIN(Table2[[#This Row],[soc-sbmu1]:[soc-sbmu5]])</f>
        <v>0.69999999999998863</v>
      </c>
      <c r="U238" s="77"/>
      <c r="V238" s="77"/>
    </row>
    <row r="239" spans="1:22">
      <c r="A239" t="s">
        <v>387</v>
      </c>
      <c r="B239" t="s">
        <v>663</v>
      </c>
      <c r="C239" s="77">
        <v>85.4</v>
      </c>
      <c r="D239" s="77">
        <v>1392.2</v>
      </c>
      <c r="E239" s="77">
        <v>85.5</v>
      </c>
      <c r="F239" s="77">
        <v>85.5</v>
      </c>
      <c r="G239" s="77">
        <v>85.4</v>
      </c>
      <c r="H239" s="77">
        <v>85.2</v>
      </c>
      <c r="I239" s="77">
        <v>85.2</v>
      </c>
      <c r="J239" s="85">
        <v>1392.5</v>
      </c>
      <c r="K239" s="85">
        <v>1392</v>
      </c>
      <c r="L239" s="85">
        <v>1391.1</v>
      </c>
      <c r="M239" s="85">
        <v>1392.7</v>
      </c>
      <c r="N239" s="85">
        <v>1391.2</v>
      </c>
      <c r="O239" s="77">
        <v>0</v>
      </c>
      <c r="P239" s="77">
        <v>0</v>
      </c>
      <c r="Q239" s="77">
        <v>1</v>
      </c>
      <c r="R239" s="77">
        <v>33</v>
      </c>
      <c r="S239" s="77">
        <f>_xlfn.STDEV.P(Table2[[#This Row],[volt-sbmu1]:[volt-sbmu5]])</f>
        <v>0.65421708935186862</v>
      </c>
      <c r="T239" s="77">
        <f>MAX(Table2[[#This Row],[soc-sbmu1]:[soc-sbmu5]])-MIN(Table2[[#This Row],[soc-sbmu1]:[soc-sbmu5]])</f>
        <v>0.29999999999999716</v>
      </c>
      <c r="U239" s="77"/>
      <c r="V239" s="77"/>
    </row>
    <row r="240" spans="1:22">
      <c r="A240" t="s">
        <v>388</v>
      </c>
      <c r="B240" t="s">
        <v>664</v>
      </c>
      <c r="C240" s="77">
        <v>85.2</v>
      </c>
      <c r="D240" s="77">
        <v>1392.1</v>
      </c>
      <c r="E240" s="77">
        <v>85.4</v>
      </c>
      <c r="F240" s="77">
        <v>84.9</v>
      </c>
      <c r="G240" s="77">
        <v>84.7</v>
      </c>
      <c r="H240" s="77">
        <v>84.8</v>
      </c>
      <c r="I240" s="77">
        <v>84.8</v>
      </c>
      <c r="J240" s="85">
        <v>1390.6</v>
      </c>
      <c r="K240" s="85">
        <v>1391.8</v>
      </c>
      <c r="L240" s="85">
        <v>1391.4</v>
      </c>
      <c r="M240" s="85">
        <v>1391.6</v>
      </c>
      <c r="N240" s="85">
        <v>1393</v>
      </c>
      <c r="O240" s="77">
        <v>0</v>
      </c>
      <c r="P240" s="77">
        <v>0</v>
      </c>
      <c r="Q240" s="77">
        <v>1</v>
      </c>
      <c r="R240" s="77">
        <v>33</v>
      </c>
      <c r="S240" s="77">
        <f>_xlfn.STDEV.P(Table2[[#This Row],[volt-sbmu1]:[volt-sbmu5]])</f>
        <v>0.77562877718663192</v>
      </c>
      <c r="T240" s="77">
        <f>MAX(Table2[[#This Row],[soc-sbmu1]:[soc-sbmu5]])-MIN(Table2[[#This Row],[soc-sbmu1]:[soc-sbmu5]])</f>
        <v>0.70000000000000284</v>
      </c>
      <c r="U240" s="77"/>
      <c r="V240" s="77"/>
    </row>
    <row r="241" spans="1:22">
      <c r="A241" t="s">
        <v>389</v>
      </c>
      <c r="B241" t="s">
        <v>665</v>
      </c>
      <c r="C241" s="77">
        <v>85.2</v>
      </c>
      <c r="D241" s="77">
        <v>1392.8</v>
      </c>
      <c r="E241" s="77">
        <v>85</v>
      </c>
      <c r="F241" s="77">
        <v>85</v>
      </c>
      <c r="G241" s="77">
        <v>85.2</v>
      </c>
      <c r="H241" s="77">
        <v>85</v>
      </c>
      <c r="I241" s="77">
        <v>85.3</v>
      </c>
      <c r="J241" s="85">
        <v>1393.4</v>
      </c>
      <c r="K241" s="85">
        <v>1393.7</v>
      </c>
      <c r="L241" s="85">
        <v>1392.6</v>
      </c>
      <c r="M241" s="85">
        <v>1391.5</v>
      </c>
      <c r="N241" s="85">
        <v>1393.4</v>
      </c>
      <c r="O241" s="77">
        <v>0</v>
      </c>
      <c r="P241" s="77">
        <v>0</v>
      </c>
      <c r="Q241" s="77">
        <v>1</v>
      </c>
      <c r="R241" s="77">
        <v>33</v>
      </c>
      <c r="S241" s="77">
        <f>_xlfn.STDEV.P(Table2[[#This Row],[volt-sbmu1]:[volt-sbmu5]])</f>
        <v>0.79849859110712318</v>
      </c>
      <c r="T241" s="77">
        <f>MAX(Table2[[#This Row],[soc-sbmu1]:[soc-sbmu5]])-MIN(Table2[[#This Row],[soc-sbmu1]:[soc-sbmu5]])</f>
        <v>0.29999999999999716</v>
      </c>
      <c r="U241" s="77"/>
      <c r="V241" s="77"/>
    </row>
    <row r="242" spans="1:22">
      <c r="A242" t="s">
        <v>390</v>
      </c>
      <c r="B242" t="s">
        <v>666</v>
      </c>
      <c r="C242" s="77">
        <v>85.3</v>
      </c>
      <c r="D242" s="77">
        <v>1393.5</v>
      </c>
      <c r="E242" s="77">
        <v>85.3</v>
      </c>
      <c r="F242" s="77">
        <v>84.8</v>
      </c>
      <c r="G242" s="77">
        <v>85.4</v>
      </c>
      <c r="H242" s="77">
        <v>85.5</v>
      </c>
      <c r="I242" s="77">
        <v>85.3</v>
      </c>
      <c r="J242" s="85">
        <v>1393.9</v>
      </c>
      <c r="K242" s="85">
        <v>1392.6</v>
      </c>
      <c r="L242" s="85">
        <v>1391.8</v>
      </c>
      <c r="M242" s="85">
        <v>1392.3</v>
      </c>
      <c r="N242" s="85">
        <v>1394.4</v>
      </c>
      <c r="O242" s="77">
        <v>0</v>
      </c>
      <c r="P242" s="77">
        <v>0</v>
      </c>
      <c r="Q242" s="77">
        <v>1</v>
      </c>
      <c r="R242" s="77">
        <v>36</v>
      </c>
      <c r="S242" s="77">
        <f>_xlfn.STDEV.P(Table2[[#This Row],[volt-sbmu1]:[volt-sbmu5]])</f>
        <v>0.98590060350936637</v>
      </c>
      <c r="T242" s="77">
        <f>MAX(Table2[[#This Row],[soc-sbmu1]:[soc-sbmu5]])-MIN(Table2[[#This Row],[soc-sbmu1]:[soc-sbmu5]])</f>
        <v>0.70000000000000284</v>
      </c>
      <c r="U242" s="77"/>
      <c r="V242" s="77"/>
    </row>
    <row r="243" spans="1:22">
      <c r="A243" t="s">
        <v>391</v>
      </c>
      <c r="B243" t="s">
        <v>667</v>
      </c>
      <c r="C243" s="77">
        <v>85.8</v>
      </c>
      <c r="D243" s="77">
        <v>1391.6</v>
      </c>
      <c r="E243" s="77">
        <v>86</v>
      </c>
      <c r="F243" s="77">
        <v>84.9</v>
      </c>
      <c r="G243" s="77">
        <v>84.7</v>
      </c>
      <c r="H243" s="77">
        <v>84.7</v>
      </c>
      <c r="I243" s="77">
        <v>85.1</v>
      </c>
      <c r="J243" s="85">
        <v>1391.5</v>
      </c>
      <c r="K243" s="85">
        <v>1391.6</v>
      </c>
      <c r="L243" s="85">
        <v>1391.5</v>
      </c>
      <c r="M243" s="85">
        <v>1391.2</v>
      </c>
      <c r="N243" s="85">
        <v>1391</v>
      </c>
      <c r="O243" s="77">
        <v>0</v>
      </c>
      <c r="P243" s="77">
        <v>0</v>
      </c>
      <c r="Q243" s="77">
        <v>1</v>
      </c>
      <c r="R243" s="77">
        <v>31</v>
      </c>
      <c r="S243" s="77">
        <f>_xlfn.STDEV.P(Table2[[#This Row],[volt-sbmu1]:[volt-sbmu5]])</f>
        <v>0.22449944320641055</v>
      </c>
      <c r="T243" s="77">
        <f>MAX(Table2[[#This Row],[soc-sbmu1]:[soc-sbmu5]])-MIN(Table2[[#This Row],[soc-sbmu1]:[soc-sbmu5]])</f>
        <v>1.2999999999999972</v>
      </c>
      <c r="U243" s="77"/>
      <c r="V243" s="77"/>
    </row>
    <row r="244" spans="1:22">
      <c r="A244" t="s">
        <v>392</v>
      </c>
      <c r="B244" t="s">
        <v>668</v>
      </c>
      <c r="C244" s="77">
        <v>85.2</v>
      </c>
      <c r="D244" s="77">
        <v>1391.4</v>
      </c>
      <c r="E244" s="77">
        <v>83.7</v>
      </c>
      <c r="F244" s="77">
        <v>85.5</v>
      </c>
      <c r="G244" s="77">
        <v>85.2</v>
      </c>
      <c r="H244" s="77">
        <v>85.4</v>
      </c>
      <c r="I244" s="77">
        <v>85.1</v>
      </c>
      <c r="J244" s="85">
        <v>1391.6</v>
      </c>
      <c r="K244" s="85">
        <v>1391.7</v>
      </c>
      <c r="L244" s="85">
        <v>1390.9</v>
      </c>
      <c r="M244" s="85">
        <v>1391.4</v>
      </c>
      <c r="N244" s="85">
        <v>1391.9</v>
      </c>
      <c r="O244" s="77">
        <v>0</v>
      </c>
      <c r="P244" s="77">
        <v>0</v>
      </c>
      <c r="Q244" s="77">
        <v>1</v>
      </c>
      <c r="R244" s="77">
        <v>31</v>
      </c>
      <c r="S244" s="77">
        <f>_xlfn.STDEV.P(Table2[[#This Row],[volt-sbmu1]:[volt-sbmu5]])</f>
        <v>0.340587727318512</v>
      </c>
      <c r="T244" s="77">
        <f>MAX(Table2[[#This Row],[soc-sbmu1]:[soc-sbmu5]])-MIN(Table2[[#This Row],[soc-sbmu1]:[soc-sbmu5]])</f>
        <v>1.7999999999999972</v>
      </c>
      <c r="U244" s="77"/>
      <c r="V244" s="77"/>
    </row>
    <row r="245" spans="1:22">
      <c r="A245" t="s">
        <v>393</v>
      </c>
      <c r="B245" t="s">
        <v>669</v>
      </c>
      <c r="C245" s="77">
        <v>85.4</v>
      </c>
      <c r="D245" s="77">
        <v>1391.5</v>
      </c>
      <c r="E245" s="77">
        <v>85.7</v>
      </c>
      <c r="F245" s="77">
        <v>84.3</v>
      </c>
      <c r="G245" s="77">
        <v>84.8</v>
      </c>
      <c r="H245" s="77">
        <v>84.8</v>
      </c>
      <c r="I245" s="77">
        <v>84.6</v>
      </c>
      <c r="J245" s="85">
        <v>1391.7</v>
      </c>
      <c r="K245" s="85">
        <v>1392.7</v>
      </c>
      <c r="L245" s="85">
        <v>1392.6</v>
      </c>
      <c r="M245" s="85">
        <v>1391.2</v>
      </c>
      <c r="N245" s="85">
        <v>1391.8</v>
      </c>
      <c r="O245" s="77">
        <v>0</v>
      </c>
      <c r="P245" s="77">
        <v>0</v>
      </c>
      <c r="Q245" s="77">
        <v>1</v>
      </c>
      <c r="R245" s="77">
        <v>31</v>
      </c>
      <c r="S245" s="77">
        <f>_xlfn.STDEV.P(Table2[[#This Row],[volt-sbmu1]:[volt-sbmu5]])</f>
        <v>0.5692099788302859</v>
      </c>
      <c r="T245" s="77">
        <f>MAX(Table2[[#This Row],[soc-sbmu1]:[soc-sbmu5]])-MIN(Table2[[#This Row],[soc-sbmu1]:[soc-sbmu5]])</f>
        <v>1.4000000000000057</v>
      </c>
      <c r="U245" s="77"/>
      <c r="V245" s="77"/>
    </row>
    <row r="246" spans="1:22">
      <c r="A246" t="s">
        <v>394</v>
      </c>
      <c r="B246" t="s">
        <v>670</v>
      </c>
      <c r="C246" s="77">
        <v>85.3</v>
      </c>
      <c r="D246" s="77">
        <v>1393</v>
      </c>
      <c r="E246" s="77">
        <v>85.4</v>
      </c>
      <c r="F246" s="77">
        <v>84.8</v>
      </c>
      <c r="G246" s="77">
        <v>85.1</v>
      </c>
      <c r="H246" s="77">
        <v>84.9</v>
      </c>
      <c r="I246" s="77">
        <v>85.2</v>
      </c>
      <c r="J246" s="85">
        <v>1393.8</v>
      </c>
      <c r="K246" s="85">
        <v>1394.1</v>
      </c>
      <c r="L246" s="85">
        <v>1392.4</v>
      </c>
      <c r="M246" s="85">
        <v>1393.3</v>
      </c>
      <c r="N246" s="85">
        <v>1392.8</v>
      </c>
      <c r="O246" s="77">
        <v>0</v>
      </c>
      <c r="P246" s="77">
        <v>0</v>
      </c>
      <c r="Q246" s="77">
        <v>1</v>
      </c>
      <c r="R246" s="77">
        <v>32</v>
      </c>
      <c r="S246" s="77">
        <f>_xlfn.STDEV.P(Table2[[#This Row],[volt-sbmu1]:[volt-sbmu5]])</f>
        <v>0.62417946137303904</v>
      </c>
      <c r="T246" s="77">
        <f>MAX(Table2[[#This Row],[soc-sbmu1]:[soc-sbmu5]])-MIN(Table2[[#This Row],[soc-sbmu1]:[soc-sbmu5]])</f>
        <v>0.60000000000000853</v>
      </c>
      <c r="U246" s="77"/>
      <c r="V246" s="77"/>
    </row>
    <row r="247" spans="1:22">
      <c r="A247" t="s">
        <v>138</v>
      </c>
      <c r="B247" t="s">
        <v>671</v>
      </c>
      <c r="C247" s="77">
        <v>56.2</v>
      </c>
      <c r="D247" s="77">
        <v>1374.9</v>
      </c>
      <c r="E247" s="77">
        <v>55.7</v>
      </c>
      <c r="F247" s="77">
        <v>56.1</v>
      </c>
      <c r="G247" s="77">
        <v>55.8</v>
      </c>
      <c r="H247" s="77">
        <v>56.3</v>
      </c>
      <c r="I247" s="77">
        <v>56.7</v>
      </c>
      <c r="J247" s="85">
        <v>1374.7</v>
      </c>
      <c r="K247" s="85">
        <v>1374.2</v>
      </c>
      <c r="L247" s="85">
        <v>1375.6</v>
      </c>
      <c r="M247" s="85">
        <v>1375.4</v>
      </c>
      <c r="N247" s="85">
        <v>1375</v>
      </c>
      <c r="O247" s="77">
        <v>0</v>
      </c>
      <c r="P247" s="77">
        <v>0</v>
      </c>
      <c r="Q247" s="77">
        <v>1</v>
      </c>
      <c r="R247" s="77">
        <v>33</v>
      </c>
      <c r="S247" s="77">
        <f>_xlfn.STDEV.P(Table2[[#This Row],[volt-sbmu1]:[volt-sbmu5]])</f>
        <v>0.49959983987184531</v>
      </c>
      <c r="T247" s="77">
        <f>MAX(Table2[[#This Row],[soc-sbmu1]:[soc-sbmu5]])-MIN(Table2[[#This Row],[soc-sbmu1]:[soc-sbmu5]])</f>
        <v>1</v>
      </c>
      <c r="U247" s="77"/>
      <c r="V247" s="77"/>
    </row>
    <row r="248" spans="1:22">
      <c r="A248" t="s">
        <v>395</v>
      </c>
      <c r="B248" t="s">
        <v>672</v>
      </c>
      <c r="C248" s="77">
        <v>99.7</v>
      </c>
      <c r="D248" s="77">
        <v>1384.7</v>
      </c>
      <c r="E248" s="77">
        <v>99.8</v>
      </c>
      <c r="F248" s="77">
        <v>99.7</v>
      </c>
      <c r="G248" s="77">
        <v>99.7</v>
      </c>
      <c r="H248" s="77">
        <v>99.8</v>
      </c>
      <c r="I248" s="77">
        <v>99.7</v>
      </c>
      <c r="J248" s="85">
        <v>1385.2</v>
      </c>
      <c r="K248" s="85">
        <v>1384.1</v>
      </c>
      <c r="L248" s="85">
        <v>1382.4</v>
      </c>
      <c r="M248" s="85">
        <v>1386</v>
      </c>
      <c r="N248" s="85">
        <v>1384.4</v>
      </c>
      <c r="O248" s="77">
        <v>0</v>
      </c>
      <c r="P248" s="77">
        <v>0</v>
      </c>
      <c r="Q248" s="77">
        <v>2</v>
      </c>
      <c r="R248" s="77">
        <v>33</v>
      </c>
      <c r="S248" s="77">
        <f>_xlfn.STDEV.P(Table2[[#This Row],[volt-sbmu1]:[volt-sbmu5]])</f>
        <v>1.2073110618229055</v>
      </c>
      <c r="T248" s="77">
        <f>MAX(Table2[[#This Row],[soc-sbmu1]:[soc-sbmu5]])-MIN(Table2[[#This Row],[soc-sbmu1]:[soc-sbmu5]])</f>
        <v>9.9999999999994316E-2</v>
      </c>
      <c r="U248" s="77"/>
      <c r="V248" s="77"/>
    </row>
    <row r="249" spans="1:22">
      <c r="A249" t="s">
        <v>396</v>
      </c>
      <c r="B249" t="s">
        <v>673</v>
      </c>
      <c r="C249" s="77">
        <v>58.2</v>
      </c>
      <c r="D249" s="77">
        <v>1383</v>
      </c>
      <c r="E249" s="77">
        <v>58</v>
      </c>
      <c r="F249" s="77">
        <v>57.9</v>
      </c>
      <c r="G249" s="77">
        <v>58.4</v>
      </c>
      <c r="H249" s="77">
        <v>58.2</v>
      </c>
      <c r="I249" s="77">
        <v>58.5</v>
      </c>
      <c r="J249" s="85">
        <v>1385</v>
      </c>
      <c r="K249" s="85">
        <v>1381.3</v>
      </c>
      <c r="L249" s="85">
        <v>1382.1</v>
      </c>
      <c r="M249" s="85">
        <v>1382.9</v>
      </c>
      <c r="N249" s="85">
        <v>1382.5</v>
      </c>
      <c r="O249" s="77">
        <v>0</v>
      </c>
      <c r="P249" s="77">
        <v>0</v>
      </c>
      <c r="Q249" s="77">
        <v>1</v>
      </c>
      <c r="R249" s="77">
        <v>33</v>
      </c>
      <c r="S249" s="77">
        <f>_xlfn.STDEV.P(Table2[[#This Row],[volt-sbmu1]:[volt-sbmu5]])</f>
        <v>1.2387090053761842</v>
      </c>
      <c r="T249" s="77">
        <f>MAX(Table2[[#This Row],[soc-sbmu1]:[soc-sbmu5]])-MIN(Table2[[#This Row],[soc-sbmu1]:[soc-sbmu5]])</f>
        <v>0.60000000000000142</v>
      </c>
      <c r="U249" s="77"/>
      <c r="V249" s="77"/>
    </row>
    <row r="250" spans="1:22">
      <c r="A250" t="s">
        <v>397</v>
      </c>
      <c r="B250" t="s">
        <v>674</v>
      </c>
      <c r="C250" s="77">
        <v>99.5</v>
      </c>
      <c r="D250" s="77">
        <v>1384.9</v>
      </c>
      <c r="E250" s="77">
        <v>99.4</v>
      </c>
      <c r="F250" s="77">
        <v>98.1</v>
      </c>
      <c r="G250" s="77">
        <v>99.6</v>
      </c>
      <c r="H250" s="77">
        <v>99.5</v>
      </c>
      <c r="I250" s="77">
        <v>99.5</v>
      </c>
      <c r="J250" s="85">
        <v>1383.7</v>
      </c>
      <c r="K250" s="85">
        <v>1383.5</v>
      </c>
      <c r="L250" s="85">
        <v>1384.3</v>
      </c>
      <c r="M250" s="85">
        <v>1385.3</v>
      </c>
      <c r="N250" s="85">
        <v>1384.9</v>
      </c>
      <c r="O250" s="77">
        <v>0</v>
      </c>
      <c r="P250" s="77">
        <v>0</v>
      </c>
      <c r="Q250" s="77">
        <v>2</v>
      </c>
      <c r="R250" s="77">
        <v>35</v>
      </c>
      <c r="S250" s="77">
        <f>_xlfn.STDEV.P(Table2[[#This Row],[volt-sbmu1]:[volt-sbmu5]])</f>
        <v>0.685857127979284</v>
      </c>
      <c r="T250" s="77">
        <f>MAX(Table2[[#This Row],[soc-sbmu1]:[soc-sbmu5]])-MIN(Table2[[#This Row],[soc-sbmu1]:[soc-sbmu5]])</f>
        <v>1.5</v>
      </c>
      <c r="U250" s="77"/>
      <c r="V250" s="77"/>
    </row>
    <row r="251" spans="1:22">
      <c r="A251" t="s">
        <v>398</v>
      </c>
      <c r="B251" t="s">
        <v>675</v>
      </c>
      <c r="C251" s="77">
        <v>99.7</v>
      </c>
      <c r="D251" s="77">
        <v>1385</v>
      </c>
      <c r="E251" s="77">
        <v>99.6</v>
      </c>
      <c r="F251" s="77">
        <v>99.8</v>
      </c>
      <c r="G251" s="77">
        <v>99.6</v>
      </c>
      <c r="H251" s="77">
        <v>99.5</v>
      </c>
      <c r="I251" s="77">
        <v>99.8</v>
      </c>
      <c r="J251" s="85">
        <v>1385.3</v>
      </c>
      <c r="K251" s="85">
        <v>1385.2</v>
      </c>
      <c r="L251" s="85">
        <v>1386.6</v>
      </c>
      <c r="M251" s="85">
        <v>1384.7</v>
      </c>
      <c r="N251" s="85">
        <v>1385.1</v>
      </c>
      <c r="O251" s="77">
        <v>0</v>
      </c>
      <c r="P251" s="77">
        <v>0</v>
      </c>
      <c r="Q251" s="77">
        <v>2</v>
      </c>
      <c r="R251" s="77">
        <v>31</v>
      </c>
      <c r="S251" s="77">
        <f>_xlfn.STDEV.P(Table2[[#This Row],[volt-sbmu1]:[volt-sbmu5]])</f>
        <v>0.64311740763250347</v>
      </c>
      <c r="T251" s="77">
        <f>MAX(Table2[[#This Row],[soc-sbmu1]:[soc-sbmu5]])-MIN(Table2[[#This Row],[soc-sbmu1]:[soc-sbmu5]])</f>
        <v>0.29999999999999716</v>
      </c>
      <c r="U251" s="77"/>
      <c r="V251" s="77"/>
    </row>
    <row r="252" spans="1:22">
      <c r="A252" t="s">
        <v>399</v>
      </c>
      <c r="B252" t="s">
        <v>676</v>
      </c>
      <c r="C252" s="77">
        <v>99.7</v>
      </c>
      <c r="D252" s="77">
        <v>1385.6</v>
      </c>
      <c r="E252" s="77">
        <v>99.8</v>
      </c>
      <c r="F252" s="77">
        <v>99.6</v>
      </c>
      <c r="G252" s="77">
        <v>99.6</v>
      </c>
      <c r="H252" s="77">
        <v>99.6</v>
      </c>
      <c r="I252" s="77">
        <v>99.6</v>
      </c>
      <c r="J252" s="85">
        <v>1385.7</v>
      </c>
      <c r="K252" s="85">
        <v>1385.5</v>
      </c>
      <c r="L252" s="85">
        <v>1386</v>
      </c>
      <c r="M252" s="85">
        <v>1385.8</v>
      </c>
      <c r="N252" s="85">
        <v>1386.2</v>
      </c>
      <c r="O252" s="77">
        <v>0</v>
      </c>
      <c r="P252" s="77">
        <v>0</v>
      </c>
      <c r="Q252" s="77">
        <v>2</v>
      </c>
      <c r="R252" s="77">
        <v>31</v>
      </c>
      <c r="S252" s="77">
        <f>_xlfn.STDEV.P(Table2[[#This Row],[volt-sbmu1]:[volt-sbmu5]])</f>
        <v>0.24166091947190121</v>
      </c>
      <c r="T252" s="77">
        <f>MAX(Table2[[#This Row],[soc-sbmu1]:[soc-sbmu5]])-MIN(Table2[[#This Row],[soc-sbmu1]:[soc-sbmu5]])</f>
        <v>0.20000000000000284</v>
      </c>
      <c r="U252" s="77"/>
      <c r="V252" s="77"/>
    </row>
    <row r="253" spans="1:22">
      <c r="A253" t="s">
        <v>400</v>
      </c>
      <c r="B253" t="s">
        <v>677</v>
      </c>
      <c r="C253" s="77">
        <v>99.6</v>
      </c>
      <c r="D253" s="77">
        <v>1384.9</v>
      </c>
      <c r="E253" s="77">
        <v>99.6</v>
      </c>
      <c r="F253" s="77">
        <v>99.7</v>
      </c>
      <c r="G253" s="77">
        <v>99.6</v>
      </c>
      <c r="H253" s="77">
        <v>99.5</v>
      </c>
      <c r="I253" s="77">
        <v>99.7</v>
      </c>
      <c r="J253" s="85">
        <v>1386.2</v>
      </c>
      <c r="K253" s="85">
        <v>1383.8</v>
      </c>
      <c r="L253" s="85">
        <v>1387.1</v>
      </c>
      <c r="M253" s="85">
        <v>1385.3</v>
      </c>
      <c r="N253" s="85">
        <v>1386.2</v>
      </c>
      <c r="O253" s="77">
        <v>0</v>
      </c>
      <c r="P253" s="77">
        <v>0</v>
      </c>
      <c r="Q253" s="77">
        <v>2</v>
      </c>
      <c r="R253" s="77">
        <v>30</v>
      </c>
      <c r="S253" s="77">
        <f>_xlfn.STDEV.P(Table2[[#This Row],[volt-sbmu1]:[volt-sbmu5]])</f>
        <v>1.1160645142643009</v>
      </c>
      <c r="T253" s="77">
        <f>MAX(Table2[[#This Row],[soc-sbmu1]:[soc-sbmu5]])-MIN(Table2[[#This Row],[soc-sbmu1]:[soc-sbmu5]])</f>
        <v>0.20000000000000284</v>
      </c>
      <c r="U253" s="77"/>
      <c r="V253" s="77"/>
    </row>
    <row r="254" spans="1:22">
      <c r="A254" t="s">
        <v>401</v>
      </c>
      <c r="B254" t="s">
        <v>678</v>
      </c>
      <c r="C254" s="77">
        <v>99.7</v>
      </c>
      <c r="D254" s="77">
        <v>1386.9</v>
      </c>
      <c r="E254" s="77">
        <v>99.7</v>
      </c>
      <c r="F254" s="77">
        <v>99.8</v>
      </c>
      <c r="G254" s="77">
        <v>99.6</v>
      </c>
      <c r="H254" s="77">
        <v>99.8</v>
      </c>
      <c r="I254" s="77">
        <v>99.7</v>
      </c>
      <c r="J254" s="85">
        <v>1386.7</v>
      </c>
      <c r="K254" s="85">
        <v>1386.4</v>
      </c>
      <c r="L254" s="85">
        <v>1387</v>
      </c>
      <c r="M254" s="85">
        <v>1386.2</v>
      </c>
      <c r="N254" s="85">
        <v>1386.8</v>
      </c>
      <c r="O254" s="77">
        <v>0</v>
      </c>
      <c r="P254" s="77">
        <v>0</v>
      </c>
      <c r="Q254" s="77">
        <v>2</v>
      </c>
      <c r="R254" s="77">
        <v>32</v>
      </c>
      <c r="S254" s="77">
        <f>_xlfn.STDEV.P(Table2[[#This Row],[volt-sbmu1]:[volt-sbmu5]])</f>
        <v>0.28565713714168345</v>
      </c>
      <c r="T254" s="77">
        <f>MAX(Table2[[#This Row],[soc-sbmu1]:[soc-sbmu5]])-MIN(Table2[[#This Row],[soc-sbmu1]:[soc-sbmu5]])</f>
        <v>0.20000000000000284</v>
      </c>
      <c r="U254" s="77"/>
      <c r="V254" s="77"/>
    </row>
    <row r="255" spans="1:22">
      <c r="A255" t="s">
        <v>62</v>
      </c>
      <c r="B255" t="s">
        <v>679</v>
      </c>
      <c r="C255" s="77">
        <v>99.7</v>
      </c>
      <c r="D255" s="77">
        <v>1386.1</v>
      </c>
      <c r="E255" s="77">
        <v>99.7</v>
      </c>
      <c r="F255" s="77">
        <v>99.8</v>
      </c>
      <c r="G255" s="77">
        <v>99.7</v>
      </c>
      <c r="H255" s="77">
        <v>99.8</v>
      </c>
      <c r="I255" s="77">
        <v>99.5</v>
      </c>
      <c r="J255" s="85">
        <v>1385.3</v>
      </c>
      <c r="K255" s="85">
        <v>1385.3</v>
      </c>
      <c r="L255" s="85">
        <v>1386.5</v>
      </c>
      <c r="M255" s="85">
        <v>1386.5</v>
      </c>
      <c r="N255" s="85">
        <v>1386.6</v>
      </c>
      <c r="O255" s="77">
        <v>0</v>
      </c>
      <c r="P255" s="77">
        <v>0</v>
      </c>
      <c r="Q255" s="77">
        <v>2</v>
      </c>
      <c r="R255" s="77">
        <v>33</v>
      </c>
      <c r="S255" s="77">
        <f>_xlfn.STDEV.P(Table2[[#This Row],[volt-sbmu1]:[volt-sbmu5]])</f>
        <v>0.60530983801686766</v>
      </c>
      <c r="T255" s="77">
        <f>MAX(Table2[[#This Row],[soc-sbmu1]:[soc-sbmu5]])-MIN(Table2[[#This Row],[soc-sbmu1]:[soc-sbmu5]])</f>
        <v>0.29999999999999716</v>
      </c>
      <c r="U255" s="77"/>
      <c r="V255" s="77"/>
    </row>
    <row r="256" spans="1:22">
      <c r="A256" t="s">
        <v>63</v>
      </c>
      <c r="B256" t="s">
        <v>680</v>
      </c>
      <c r="C256" s="77">
        <v>98.5</v>
      </c>
      <c r="D256" s="77">
        <v>1382.5</v>
      </c>
      <c r="E256" s="77">
        <v>98.3</v>
      </c>
      <c r="F256" s="77">
        <v>98.2</v>
      </c>
      <c r="G256" s="77">
        <v>98.3</v>
      </c>
      <c r="H256" s="77">
        <v>98.6</v>
      </c>
      <c r="I256" s="77">
        <v>98.4</v>
      </c>
      <c r="J256" s="85">
        <v>1381.2</v>
      </c>
      <c r="K256" s="85">
        <v>1382.9</v>
      </c>
      <c r="L256" s="85">
        <v>1382.2</v>
      </c>
      <c r="M256" s="85">
        <v>1382.6</v>
      </c>
      <c r="N256" s="85">
        <v>1382</v>
      </c>
      <c r="O256" s="77">
        <v>0</v>
      </c>
      <c r="P256" s="77">
        <v>0</v>
      </c>
      <c r="Q256" s="77">
        <v>2</v>
      </c>
      <c r="R256" s="77">
        <v>32</v>
      </c>
      <c r="S256" s="77">
        <f>_xlfn.STDEV.P(Table2[[#This Row],[volt-sbmu1]:[volt-sbmu5]])</f>
        <v>0.58103356185335242</v>
      </c>
      <c r="T256" s="77">
        <f>MAX(Table2[[#This Row],[soc-sbmu1]:[soc-sbmu5]])-MIN(Table2[[#This Row],[soc-sbmu1]:[soc-sbmu5]])</f>
        <v>0.39999999999999147</v>
      </c>
      <c r="U256" s="77"/>
      <c r="V256" s="77"/>
    </row>
    <row r="257" spans="1:22">
      <c r="A257" t="s">
        <v>64</v>
      </c>
      <c r="B257" t="s">
        <v>681</v>
      </c>
      <c r="C257" s="77">
        <v>99.7</v>
      </c>
      <c r="D257" s="77">
        <v>1387.3</v>
      </c>
      <c r="E257" s="77">
        <v>99.7</v>
      </c>
      <c r="F257" s="77">
        <v>99.7</v>
      </c>
      <c r="G257" s="77">
        <v>99.7</v>
      </c>
      <c r="H257" s="77">
        <v>99.7</v>
      </c>
      <c r="I257" s="77">
        <v>99.8</v>
      </c>
      <c r="J257" s="85">
        <v>1387.3</v>
      </c>
      <c r="K257" s="85">
        <v>1387.4</v>
      </c>
      <c r="L257" s="85">
        <v>1387.7</v>
      </c>
      <c r="M257" s="85">
        <v>1387.2</v>
      </c>
      <c r="N257" s="85">
        <v>1387.3</v>
      </c>
      <c r="O257" s="77">
        <v>0</v>
      </c>
      <c r="P257" s="77">
        <v>0</v>
      </c>
      <c r="Q257" s="77">
        <v>2</v>
      </c>
      <c r="R257" s="77">
        <v>33</v>
      </c>
      <c r="S257" s="77">
        <f>_xlfn.STDEV.P(Table2[[#This Row],[volt-sbmu1]:[volt-sbmu5]])</f>
        <v>0.17204650534087051</v>
      </c>
      <c r="T257" s="77">
        <f>MAX(Table2[[#This Row],[soc-sbmu1]:[soc-sbmu5]])-MIN(Table2[[#This Row],[soc-sbmu1]:[soc-sbmu5]])</f>
        <v>9.9999999999994316E-2</v>
      </c>
      <c r="U257" s="77"/>
      <c r="V257" s="77"/>
    </row>
    <row r="258" spans="1:22">
      <c r="A258" t="s">
        <v>65</v>
      </c>
      <c r="B258" t="s">
        <v>682</v>
      </c>
      <c r="C258" s="77">
        <v>99.7</v>
      </c>
      <c r="D258" s="77">
        <v>1387.1</v>
      </c>
      <c r="E258" s="77">
        <v>99.7</v>
      </c>
      <c r="F258" s="77">
        <v>99.8</v>
      </c>
      <c r="G258" s="77">
        <v>99.8</v>
      </c>
      <c r="H258" s="77">
        <v>99.6</v>
      </c>
      <c r="I258" s="77">
        <v>99.7</v>
      </c>
      <c r="J258" s="85">
        <v>1387.6</v>
      </c>
      <c r="K258" s="85">
        <v>1386.4</v>
      </c>
      <c r="L258" s="85">
        <v>1387.8</v>
      </c>
      <c r="M258" s="85">
        <v>1386.1</v>
      </c>
      <c r="N258" s="85">
        <v>1387.1</v>
      </c>
      <c r="O258" s="77">
        <v>0</v>
      </c>
      <c r="P258" s="77">
        <v>0</v>
      </c>
      <c r="Q258" s="77">
        <v>2</v>
      </c>
      <c r="R258" s="77">
        <v>35</v>
      </c>
      <c r="S258" s="77">
        <f>_xlfn.STDEV.P(Table2[[#This Row],[volt-sbmu1]:[volt-sbmu5]])</f>
        <v>0.66030296076874517</v>
      </c>
      <c r="T258" s="77">
        <f>MAX(Table2[[#This Row],[soc-sbmu1]:[soc-sbmu5]])-MIN(Table2[[#This Row],[soc-sbmu1]:[soc-sbmu5]])</f>
        <v>0.20000000000000284</v>
      </c>
      <c r="U258" s="77"/>
      <c r="V258" s="77"/>
    </row>
    <row r="259" spans="1:22">
      <c r="A259" t="s">
        <v>66</v>
      </c>
      <c r="B259" t="s">
        <v>683</v>
      </c>
      <c r="C259" s="77">
        <v>99.7</v>
      </c>
      <c r="D259" s="77">
        <v>1383.9</v>
      </c>
      <c r="E259" s="77">
        <v>99.7</v>
      </c>
      <c r="F259" s="77">
        <v>99.8</v>
      </c>
      <c r="G259" s="77">
        <v>99.5</v>
      </c>
      <c r="H259" s="77">
        <v>99.6</v>
      </c>
      <c r="I259" s="77">
        <v>99.7</v>
      </c>
      <c r="J259" s="85">
        <v>1382.9</v>
      </c>
      <c r="K259" s="85">
        <v>1384.5</v>
      </c>
      <c r="L259" s="85">
        <v>1384.1</v>
      </c>
      <c r="M259" s="85">
        <v>1383.7</v>
      </c>
      <c r="N259" s="85">
        <v>1383.6</v>
      </c>
      <c r="O259" s="77">
        <v>0</v>
      </c>
      <c r="P259" s="77">
        <v>0</v>
      </c>
      <c r="Q259" s="77">
        <v>2</v>
      </c>
      <c r="R259" s="77">
        <v>32</v>
      </c>
      <c r="S259" s="77">
        <f>_xlfn.STDEV.P(Table2[[#This Row],[volt-sbmu1]:[volt-sbmu5]])</f>
        <v>0.5351635264103497</v>
      </c>
      <c r="T259" s="77">
        <f>MAX(Table2[[#This Row],[soc-sbmu1]:[soc-sbmu5]])-MIN(Table2[[#This Row],[soc-sbmu1]:[soc-sbmu5]])</f>
        <v>0.29999999999999716</v>
      </c>
      <c r="U259" s="77"/>
      <c r="V259" s="77"/>
    </row>
    <row r="260" spans="1:22">
      <c r="A260" t="s">
        <v>67</v>
      </c>
      <c r="B260" t="s">
        <v>684</v>
      </c>
      <c r="C260" s="77">
        <v>100</v>
      </c>
      <c r="D260" s="77">
        <v>1383</v>
      </c>
      <c r="E260" s="77">
        <v>99.5</v>
      </c>
      <c r="F260" s="77">
        <v>99.8</v>
      </c>
      <c r="G260" s="77">
        <v>99.9</v>
      </c>
      <c r="H260" s="77">
        <v>100</v>
      </c>
      <c r="I260" s="77">
        <v>99.6</v>
      </c>
      <c r="J260" s="85">
        <v>1382.6</v>
      </c>
      <c r="K260" s="85">
        <v>1383</v>
      </c>
      <c r="L260" s="85">
        <v>1382.6</v>
      </c>
      <c r="M260" s="85">
        <v>1383.4</v>
      </c>
      <c r="N260" s="85">
        <v>1383.7</v>
      </c>
      <c r="O260" s="77">
        <v>0</v>
      </c>
      <c r="P260" s="77">
        <v>0</v>
      </c>
      <c r="Q260" s="77">
        <v>2</v>
      </c>
      <c r="R260" s="77">
        <v>32</v>
      </c>
      <c r="S260" s="77">
        <f>_xlfn.STDEV.P(Table2[[#This Row],[volt-sbmu1]:[volt-sbmu5]])</f>
        <v>0.43634848458549441</v>
      </c>
      <c r="T260" s="77">
        <f>MAX(Table2[[#This Row],[soc-sbmu1]:[soc-sbmu5]])-MIN(Table2[[#This Row],[soc-sbmu1]:[soc-sbmu5]])</f>
        <v>0.5</v>
      </c>
      <c r="U260" s="77"/>
      <c r="V260" s="77"/>
    </row>
    <row r="261" spans="1:22">
      <c r="A261" t="s">
        <v>68</v>
      </c>
      <c r="B261" t="s">
        <v>685</v>
      </c>
      <c r="C261" s="77">
        <v>99.6</v>
      </c>
      <c r="D261" s="77">
        <v>1384.5</v>
      </c>
      <c r="E261" s="77">
        <v>99.6</v>
      </c>
      <c r="F261" s="77">
        <v>99.7</v>
      </c>
      <c r="G261" s="77">
        <v>99.7</v>
      </c>
      <c r="H261" s="77">
        <v>99.7</v>
      </c>
      <c r="I261" s="77">
        <v>99.5</v>
      </c>
      <c r="J261" s="85">
        <v>1383.7</v>
      </c>
      <c r="K261" s="85">
        <v>1386</v>
      </c>
      <c r="L261" s="85">
        <v>1384.6</v>
      </c>
      <c r="M261" s="85">
        <v>1384</v>
      </c>
      <c r="N261" s="85">
        <v>1384.1</v>
      </c>
      <c r="O261" s="77">
        <v>0</v>
      </c>
      <c r="P261" s="77">
        <v>0</v>
      </c>
      <c r="Q261" s="77">
        <v>2</v>
      </c>
      <c r="R261" s="77">
        <v>32</v>
      </c>
      <c r="S261" s="77">
        <f>_xlfn.STDEV.P(Table2[[#This Row],[volt-sbmu1]:[volt-sbmu5]])</f>
        <v>0.81338797630650728</v>
      </c>
      <c r="T261" s="77">
        <f>MAX(Table2[[#This Row],[soc-sbmu1]:[soc-sbmu5]])-MIN(Table2[[#This Row],[soc-sbmu1]:[soc-sbmu5]])</f>
        <v>0.20000000000000284</v>
      </c>
      <c r="U261" s="77"/>
      <c r="V261" s="77"/>
    </row>
    <row r="262" spans="1:22">
      <c r="A262" t="s">
        <v>69</v>
      </c>
      <c r="B262" t="s">
        <v>686</v>
      </c>
      <c r="C262" s="77">
        <v>99.6</v>
      </c>
      <c r="D262" s="77">
        <v>1385</v>
      </c>
      <c r="E262" s="77">
        <v>99.7</v>
      </c>
      <c r="F262" s="77">
        <v>99.6</v>
      </c>
      <c r="G262" s="77">
        <v>99.7</v>
      </c>
      <c r="H262" s="77">
        <v>99.7</v>
      </c>
      <c r="I262" s="77">
        <v>99.7</v>
      </c>
      <c r="J262" s="85">
        <v>1385.7</v>
      </c>
      <c r="K262" s="85">
        <v>1384.9</v>
      </c>
      <c r="L262" s="85">
        <v>1383.4</v>
      </c>
      <c r="M262" s="85">
        <v>1385.2</v>
      </c>
      <c r="N262" s="85">
        <v>1384.5</v>
      </c>
      <c r="O262" s="77">
        <v>0</v>
      </c>
      <c r="P262" s="77">
        <v>0</v>
      </c>
      <c r="Q262" s="77">
        <v>2</v>
      </c>
      <c r="R262" s="77">
        <v>32</v>
      </c>
      <c r="S262" s="77">
        <f>_xlfn.STDEV.P(Table2[[#This Row],[volt-sbmu1]:[volt-sbmu5]])</f>
        <v>0.77614431647727911</v>
      </c>
      <c r="T262" s="77">
        <f>MAX(Table2[[#This Row],[soc-sbmu1]:[soc-sbmu5]])-MIN(Table2[[#This Row],[soc-sbmu1]:[soc-sbmu5]])</f>
        <v>0.10000000000000853</v>
      </c>
      <c r="U262" s="77"/>
      <c r="V262" s="77"/>
    </row>
    <row r="263" spans="1:22">
      <c r="A263" t="s">
        <v>70</v>
      </c>
      <c r="B263" t="s">
        <v>687</v>
      </c>
      <c r="C263" s="77">
        <v>86.2</v>
      </c>
      <c r="D263" s="77">
        <v>1392.3</v>
      </c>
      <c r="E263" s="77">
        <v>86.4</v>
      </c>
      <c r="F263" s="77">
        <v>85.8</v>
      </c>
      <c r="G263" s="77">
        <v>85.5</v>
      </c>
      <c r="H263" s="77">
        <v>86.1</v>
      </c>
      <c r="I263" s="77">
        <v>85.2</v>
      </c>
      <c r="J263" s="85">
        <v>1391.7</v>
      </c>
      <c r="K263" s="85">
        <v>1392.5</v>
      </c>
      <c r="L263" s="85">
        <v>1391.1</v>
      </c>
      <c r="M263" s="85">
        <v>1391.6</v>
      </c>
      <c r="N263" s="85">
        <v>1392.6</v>
      </c>
      <c r="O263" s="77">
        <v>0</v>
      </c>
      <c r="P263" s="77">
        <v>0</v>
      </c>
      <c r="Q263" s="77">
        <v>1</v>
      </c>
      <c r="R263" s="77">
        <v>33</v>
      </c>
      <c r="S263" s="77">
        <f>_xlfn.STDEV.P(Table2[[#This Row],[volt-sbmu1]:[volt-sbmu5]])</f>
        <v>0.56920997883031788</v>
      </c>
      <c r="T263" s="77">
        <f>MAX(Table2[[#This Row],[soc-sbmu1]:[soc-sbmu5]])-MIN(Table2[[#This Row],[soc-sbmu1]:[soc-sbmu5]])</f>
        <v>1.2000000000000028</v>
      </c>
      <c r="U263" s="77"/>
      <c r="V263" s="77"/>
    </row>
    <row r="264" spans="1:22">
      <c r="A264" t="s">
        <v>71</v>
      </c>
      <c r="B264" t="s">
        <v>688</v>
      </c>
      <c r="C264" s="77">
        <v>86.3</v>
      </c>
      <c r="D264" s="77">
        <v>1393.3</v>
      </c>
      <c r="E264" s="77">
        <v>86.5</v>
      </c>
      <c r="F264" s="77">
        <v>86.4</v>
      </c>
      <c r="G264" s="77">
        <v>85.1</v>
      </c>
      <c r="H264" s="77">
        <v>85.5</v>
      </c>
      <c r="I264" s="77">
        <v>85.6</v>
      </c>
      <c r="J264" s="85">
        <v>1393</v>
      </c>
      <c r="K264" s="85">
        <v>1393.1</v>
      </c>
      <c r="L264" s="85">
        <v>1394.5</v>
      </c>
      <c r="M264" s="85">
        <v>1394.8</v>
      </c>
      <c r="N264" s="85">
        <v>1392.8</v>
      </c>
      <c r="O264" s="77">
        <v>0</v>
      </c>
      <c r="P264" s="77">
        <v>0</v>
      </c>
      <c r="Q264" s="77">
        <v>1</v>
      </c>
      <c r="R264" s="77">
        <v>33</v>
      </c>
      <c r="S264" s="77">
        <f>_xlfn.STDEV.P(Table2[[#This Row],[volt-sbmu1]:[volt-sbmu5]])</f>
        <v>0.83570329663105547</v>
      </c>
      <c r="T264" s="77">
        <f>MAX(Table2[[#This Row],[soc-sbmu1]:[soc-sbmu5]])-MIN(Table2[[#This Row],[soc-sbmu1]:[soc-sbmu5]])</f>
        <v>1.4000000000000057</v>
      </c>
      <c r="U264" s="77"/>
      <c r="V264" s="77"/>
    </row>
    <row r="265" spans="1:22">
      <c r="A265" t="s">
        <v>72</v>
      </c>
      <c r="B265" t="s">
        <v>689</v>
      </c>
      <c r="C265" s="77">
        <v>86.2</v>
      </c>
      <c r="D265" s="77">
        <v>1392</v>
      </c>
      <c r="E265" s="77">
        <v>85.8</v>
      </c>
      <c r="F265" s="77">
        <v>85.6</v>
      </c>
      <c r="G265" s="77">
        <v>85.8</v>
      </c>
      <c r="H265" s="77">
        <v>86.1</v>
      </c>
      <c r="I265" s="77">
        <v>86.3</v>
      </c>
      <c r="J265" s="85">
        <v>1391.7</v>
      </c>
      <c r="K265" s="85">
        <v>1391.5</v>
      </c>
      <c r="L265" s="85">
        <v>1392.2</v>
      </c>
      <c r="M265" s="85">
        <v>1392.8</v>
      </c>
      <c r="N265" s="85">
        <v>1391.8</v>
      </c>
      <c r="O265" s="77">
        <v>0</v>
      </c>
      <c r="P265" s="77">
        <v>0</v>
      </c>
      <c r="Q265" s="77">
        <v>1</v>
      </c>
      <c r="R265" s="77">
        <v>33</v>
      </c>
      <c r="S265" s="77">
        <f>_xlfn.STDEV.P(Table2[[#This Row],[volt-sbmu1]:[volt-sbmu5]])</f>
        <v>0.46043457732883974</v>
      </c>
      <c r="T265" s="77">
        <f>MAX(Table2[[#This Row],[soc-sbmu1]:[soc-sbmu5]])-MIN(Table2[[#This Row],[soc-sbmu1]:[soc-sbmu5]])</f>
        <v>0.70000000000000284</v>
      </c>
      <c r="U265" s="77"/>
      <c r="V265" s="77"/>
    </row>
    <row r="266" spans="1:22">
      <c r="A266" t="s">
        <v>73</v>
      </c>
      <c r="B266" t="s">
        <v>690</v>
      </c>
      <c r="C266" s="77">
        <v>86.1</v>
      </c>
      <c r="D266" s="77">
        <v>1392.8</v>
      </c>
      <c r="E266" s="77">
        <v>85.9</v>
      </c>
      <c r="F266" s="77">
        <v>86</v>
      </c>
      <c r="G266" s="77">
        <v>85.9</v>
      </c>
      <c r="H266" s="77">
        <v>85.9</v>
      </c>
      <c r="I266" s="77">
        <v>86.2</v>
      </c>
      <c r="J266" s="85">
        <v>1393.3</v>
      </c>
      <c r="K266" s="85">
        <v>1392.9</v>
      </c>
      <c r="L266" s="85">
        <v>1393.1</v>
      </c>
      <c r="M266" s="85">
        <v>1392.1</v>
      </c>
      <c r="N266" s="85">
        <v>1392.2</v>
      </c>
      <c r="O266" s="77">
        <v>0</v>
      </c>
      <c r="P266" s="77">
        <v>0</v>
      </c>
      <c r="Q266" s="77">
        <v>1</v>
      </c>
      <c r="R266" s="77">
        <v>36</v>
      </c>
      <c r="S266" s="77">
        <f>_xlfn.STDEV.P(Table2[[#This Row],[volt-sbmu1]:[volt-sbmu5]])</f>
        <v>0.483321838943778</v>
      </c>
      <c r="T266" s="77">
        <f>MAX(Table2[[#This Row],[soc-sbmu1]:[soc-sbmu5]])-MIN(Table2[[#This Row],[soc-sbmu1]:[soc-sbmu5]])</f>
        <v>0.29999999999999716</v>
      </c>
      <c r="U266" s="77"/>
      <c r="V266" s="77"/>
    </row>
    <row r="267" spans="1:22">
      <c r="A267" t="s">
        <v>74</v>
      </c>
      <c r="B267" t="s">
        <v>691</v>
      </c>
      <c r="C267" s="77">
        <v>99.9</v>
      </c>
      <c r="D267" s="77">
        <v>0</v>
      </c>
      <c r="E267" s="77">
        <v>99.9</v>
      </c>
      <c r="F267" s="77">
        <v>99.9</v>
      </c>
      <c r="G267" s="77">
        <v>99.9</v>
      </c>
      <c r="H267" s="77">
        <v>99.9</v>
      </c>
      <c r="I267" s="77">
        <v>99.9</v>
      </c>
      <c r="J267" s="85">
        <v>1407</v>
      </c>
      <c r="K267" s="85">
        <v>1407.7</v>
      </c>
      <c r="L267" s="85">
        <v>1406</v>
      </c>
      <c r="M267" s="85">
        <v>1406.4</v>
      </c>
      <c r="N267" s="85">
        <v>1402.7</v>
      </c>
      <c r="O267" s="77">
        <v>0</v>
      </c>
      <c r="P267" s="77">
        <v>0</v>
      </c>
      <c r="Q267" s="77">
        <v>1</v>
      </c>
      <c r="R267" s="77">
        <v>31</v>
      </c>
      <c r="S267" s="77">
        <f>_xlfn.STDEV.P(Table2[[#This Row],[volt-sbmu1]:[volt-sbmu5]])</f>
        <v>1.7281203661782325</v>
      </c>
      <c r="T267" s="77">
        <f>MAX(Table2[[#This Row],[soc-sbmu1]:[soc-sbmu5]])-MIN(Table2[[#This Row],[soc-sbmu1]:[soc-sbmu5]])</f>
        <v>0</v>
      </c>
      <c r="U267" s="77"/>
      <c r="V267" s="77"/>
    </row>
    <row r="268" spans="1:22">
      <c r="A268" t="s">
        <v>75</v>
      </c>
      <c r="B268" t="s">
        <v>692</v>
      </c>
      <c r="C268" s="77">
        <v>99.8</v>
      </c>
      <c r="D268" s="77">
        <v>1394.8</v>
      </c>
      <c r="E268" s="77">
        <v>99.7</v>
      </c>
      <c r="F268" s="77">
        <v>99.9</v>
      </c>
      <c r="G268" s="77">
        <v>99.9</v>
      </c>
      <c r="H268" s="77">
        <v>99.7</v>
      </c>
      <c r="I268" s="77">
        <v>99.7</v>
      </c>
      <c r="J268" s="85">
        <v>1395.5</v>
      </c>
      <c r="K268" s="85">
        <v>1394.3</v>
      </c>
      <c r="L268" s="85">
        <v>1394.6</v>
      </c>
      <c r="M268" s="85">
        <v>1395.1</v>
      </c>
      <c r="N268" s="85">
        <v>1394.8</v>
      </c>
      <c r="O268" s="77">
        <v>0</v>
      </c>
      <c r="P268" s="77">
        <v>0</v>
      </c>
      <c r="Q268" s="77">
        <v>2</v>
      </c>
      <c r="R268" s="77">
        <v>31</v>
      </c>
      <c r="S268" s="77">
        <f>_xlfn.STDEV.P(Table2[[#This Row],[volt-sbmu1]:[volt-sbmu5]])</f>
        <v>0.41279534881102037</v>
      </c>
      <c r="T268" s="77">
        <f>MAX(Table2[[#This Row],[soc-sbmu1]:[soc-sbmu5]])-MIN(Table2[[#This Row],[soc-sbmu1]:[soc-sbmu5]])</f>
        <v>0.20000000000000284</v>
      </c>
      <c r="U268" s="77"/>
      <c r="V268" s="77"/>
    </row>
    <row r="269" spans="1:22">
      <c r="A269" t="s">
        <v>76</v>
      </c>
      <c r="B269" t="s">
        <v>693</v>
      </c>
      <c r="C269" s="77">
        <v>76.7</v>
      </c>
      <c r="D269" s="77">
        <v>1386.4</v>
      </c>
      <c r="E269" s="77">
        <v>77</v>
      </c>
      <c r="F269" s="77">
        <v>76.599999999999994</v>
      </c>
      <c r="G269" s="77">
        <v>76</v>
      </c>
      <c r="H269" s="77">
        <v>76.2</v>
      </c>
      <c r="I269" s="77">
        <v>76.400000000000006</v>
      </c>
      <c r="J269" s="85">
        <v>1386.8</v>
      </c>
      <c r="K269" s="85">
        <v>1386.6</v>
      </c>
      <c r="L269" s="85">
        <v>1387.3</v>
      </c>
      <c r="M269" s="85">
        <v>1386.8</v>
      </c>
      <c r="N269" s="85">
        <v>1386.7</v>
      </c>
      <c r="O269" s="77">
        <v>0</v>
      </c>
      <c r="P269" s="77">
        <v>0</v>
      </c>
      <c r="Q269" s="77">
        <v>1</v>
      </c>
      <c r="R269" s="77">
        <v>31</v>
      </c>
      <c r="S269" s="77">
        <f>_xlfn.STDEV.P(Table2[[#This Row],[volt-sbmu1]:[volt-sbmu5]])</f>
        <v>0.24166091947188995</v>
      </c>
      <c r="T269" s="77">
        <f>MAX(Table2[[#This Row],[soc-sbmu1]:[soc-sbmu5]])-MIN(Table2[[#This Row],[soc-sbmu1]:[soc-sbmu5]])</f>
        <v>1</v>
      </c>
      <c r="U269" s="77"/>
      <c r="V269" s="77"/>
    </row>
    <row r="270" spans="1:22">
      <c r="A270" t="s">
        <v>77</v>
      </c>
      <c r="B270" t="s">
        <v>694</v>
      </c>
      <c r="C270" s="77">
        <v>97.4</v>
      </c>
      <c r="D270" s="77">
        <v>0</v>
      </c>
      <c r="E270" s="77">
        <v>99.8</v>
      </c>
      <c r="F270" s="77">
        <v>7.6</v>
      </c>
      <c r="G270" s="77">
        <v>99.8</v>
      </c>
      <c r="H270" s="77">
        <v>99.8</v>
      </c>
      <c r="I270" s="77">
        <v>8</v>
      </c>
      <c r="J270" s="85">
        <v>1384.6</v>
      </c>
      <c r="K270" s="85">
        <v>1339.2</v>
      </c>
      <c r="L270" s="85">
        <v>1391.1</v>
      </c>
      <c r="M270" s="85">
        <v>1392.2</v>
      </c>
      <c r="N270" s="85">
        <v>1338.6</v>
      </c>
      <c r="O270" s="77">
        <v>0</v>
      </c>
      <c r="P270" s="77">
        <v>0</v>
      </c>
      <c r="Q270" s="77">
        <v>4</v>
      </c>
      <c r="R270" s="77">
        <v>32</v>
      </c>
      <c r="S270" s="77">
        <f>_xlfn.STDEV.P(Table2[[#This Row],[volt-sbmu1]:[volt-sbmu5]])</f>
        <v>24.827855324211949</v>
      </c>
      <c r="T270" s="77">
        <f>MAX(Table2[[#This Row],[soc-sbmu1]:[soc-sbmu5]])-MIN(Table2[[#This Row],[soc-sbmu1]:[soc-sbmu5]])</f>
        <v>92.2</v>
      </c>
      <c r="U270" s="77"/>
      <c r="V270" s="77"/>
    </row>
    <row r="271" spans="1:22">
      <c r="A271" t="s">
        <v>78</v>
      </c>
      <c r="B271" t="s">
        <v>695</v>
      </c>
      <c r="C271" s="77">
        <v>99.8</v>
      </c>
      <c r="D271" s="77">
        <v>1385.2</v>
      </c>
      <c r="E271" s="77">
        <v>99.9</v>
      </c>
      <c r="F271" s="77">
        <v>99.7</v>
      </c>
      <c r="G271" s="77">
        <v>99.9</v>
      </c>
      <c r="H271" s="77">
        <v>99.9</v>
      </c>
      <c r="I271" s="77">
        <v>99.9</v>
      </c>
      <c r="J271" s="85">
        <v>1385</v>
      </c>
      <c r="K271" s="85">
        <v>1385.4</v>
      </c>
      <c r="L271" s="85">
        <v>1386.3</v>
      </c>
      <c r="M271" s="85">
        <v>1385</v>
      </c>
      <c r="N271" s="85">
        <v>1385.7</v>
      </c>
      <c r="O271" s="77">
        <v>0</v>
      </c>
      <c r="P271" s="77">
        <v>0</v>
      </c>
      <c r="Q271" s="77">
        <v>2</v>
      </c>
      <c r="R271" s="77">
        <v>34</v>
      </c>
      <c r="S271" s="77">
        <f>_xlfn.STDEV.P(Table2[[#This Row],[volt-sbmu1]:[volt-sbmu5]])</f>
        <v>0.48744230427814345</v>
      </c>
      <c r="T271" s="77">
        <f>MAX(Table2[[#This Row],[soc-sbmu1]:[soc-sbmu5]])-MIN(Table2[[#This Row],[soc-sbmu1]:[soc-sbmu5]])</f>
        <v>0.20000000000000284</v>
      </c>
      <c r="U271" s="77"/>
      <c r="V271" s="77"/>
    </row>
    <row r="272" spans="1:22">
      <c r="A272" t="s">
        <v>79</v>
      </c>
      <c r="B272" t="s">
        <v>696</v>
      </c>
      <c r="C272" s="77">
        <v>100</v>
      </c>
      <c r="D272" s="77">
        <v>1385.9</v>
      </c>
      <c r="E272" s="77">
        <v>100</v>
      </c>
      <c r="F272" s="77">
        <v>99.9</v>
      </c>
      <c r="G272" s="77">
        <v>99.8</v>
      </c>
      <c r="H272" s="77">
        <v>99.9</v>
      </c>
      <c r="I272" s="77">
        <v>99.9</v>
      </c>
      <c r="J272" s="85">
        <v>1386.3</v>
      </c>
      <c r="K272" s="85">
        <v>1385.7</v>
      </c>
      <c r="L272" s="85">
        <v>1386.5</v>
      </c>
      <c r="M272" s="85">
        <v>1386.5</v>
      </c>
      <c r="N272" s="85">
        <v>1387.1</v>
      </c>
      <c r="O272" s="77">
        <v>0</v>
      </c>
      <c r="P272" s="77">
        <v>0</v>
      </c>
      <c r="Q272" s="77">
        <v>2</v>
      </c>
      <c r="R272" s="77">
        <v>34</v>
      </c>
      <c r="S272" s="77">
        <f>_xlfn.STDEV.P(Table2[[#This Row],[volt-sbmu1]:[volt-sbmu5]])</f>
        <v>0.44899888641283325</v>
      </c>
      <c r="T272" s="77">
        <f>MAX(Table2[[#This Row],[soc-sbmu1]:[soc-sbmu5]])-MIN(Table2[[#This Row],[soc-sbmu1]:[soc-sbmu5]])</f>
        <v>0.20000000000000284</v>
      </c>
      <c r="U272" s="77"/>
      <c r="V272" s="77"/>
    </row>
    <row r="273" spans="1:22">
      <c r="A273" t="s">
        <v>80</v>
      </c>
      <c r="B273" t="s">
        <v>697</v>
      </c>
      <c r="C273" s="77">
        <v>72.8</v>
      </c>
      <c r="D273" s="77">
        <v>1394</v>
      </c>
      <c r="E273" s="77">
        <v>73.2</v>
      </c>
      <c r="F273" s="77">
        <v>72.900000000000006</v>
      </c>
      <c r="G273" s="77">
        <v>73.099999999999994</v>
      </c>
      <c r="H273" s="77">
        <v>72</v>
      </c>
      <c r="I273" s="77">
        <v>72.8</v>
      </c>
      <c r="J273" s="85">
        <v>1394.5</v>
      </c>
      <c r="K273" s="85">
        <v>1393.9</v>
      </c>
      <c r="L273" s="85">
        <v>1393.9</v>
      </c>
      <c r="M273" s="85">
        <v>1393.3</v>
      </c>
      <c r="N273" s="85">
        <v>1393.1</v>
      </c>
      <c r="O273" s="77">
        <v>0</v>
      </c>
      <c r="P273" s="77">
        <v>0</v>
      </c>
      <c r="Q273" s="77">
        <v>1</v>
      </c>
      <c r="R273" s="77">
        <v>34</v>
      </c>
      <c r="S273" s="77">
        <f>_xlfn.STDEV.P(Table2[[#This Row],[volt-sbmu1]:[volt-sbmu5]])</f>
        <v>0.49638694583967752</v>
      </c>
      <c r="T273" s="77">
        <f>MAX(Table2[[#This Row],[soc-sbmu1]:[soc-sbmu5]])-MIN(Table2[[#This Row],[soc-sbmu1]:[soc-sbmu5]])</f>
        <v>1.2000000000000028</v>
      </c>
      <c r="U273" s="77"/>
      <c r="V273" s="77"/>
    </row>
    <row r="274" spans="1:22">
      <c r="A274" t="s">
        <v>81</v>
      </c>
      <c r="B274" t="s">
        <v>698</v>
      </c>
      <c r="C274" s="77">
        <v>73.3</v>
      </c>
      <c r="D274" s="77">
        <v>1393.3</v>
      </c>
      <c r="E274" s="77">
        <v>74.5</v>
      </c>
      <c r="F274" s="77">
        <v>70.900000000000006</v>
      </c>
      <c r="G274" s="77">
        <v>71</v>
      </c>
      <c r="H274" s="77">
        <v>70.900000000000006</v>
      </c>
      <c r="I274" s="77">
        <v>70.2</v>
      </c>
      <c r="J274" s="85">
        <v>1393.1</v>
      </c>
      <c r="K274" s="85">
        <v>1395.5</v>
      </c>
      <c r="L274" s="85">
        <v>1393.8</v>
      </c>
      <c r="M274" s="85">
        <v>1393</v>
      </c>
      <c r="N274" s="85">
        <v>1392</v>
      </c>
      <c r="O274" s="77">
        <v>0</v>
      </c>
      <c r="P274" s="77">
        <v>0</v>
      </c>
      <c r="Q274" s="77">
        <v>1</v>
      </c>
      <c r="R274" s="77">
        <v>36</v>
      </c>
      <c r="S274" s="77">
        <f>_xlfn.STDEV.P(Table2[[#This Row],[volt-sbmu1]:[volt-sbmu5]])</f>
        <v>1.1617228585166119</v>
      </c>
      <c r="T274" s="77">
        <f>MAX(Table2[[#This Row],[soc-sbmu1]:[soc-sbmu5]])-MIN(Table2[[#This Row],[soc-sbmu1]:[soc-sbmu5]])</f>
        <v>4.2999999999999972</v>
      </c>
      <c r="U274" s="77"/>
      <c r="V274" s="77"/>
    </row>
    <row r="275" spans="1:22">
      <c r="A275" t="s">
        <v>82</v>
      </c>
      <c r="B275" t="s">
        <v>699</v>
      </c>
      <c r="C275" s="77">
        <v>99.7</v>
      </c>
      <c r="D275" s="77">
        <v>1384.7</v>
      </c>
      <c r="E275" s="77">
        <v>99.8</v>
      </c>
      <c r="F275" s="77">
        <v>99.4</v>
      </c>
      <c r="G275" s="77">
        <v>99.6</v>
      </c>
      <c r="H275" s="77">
        <v>99.4</v>
      </c>
      <c r="I275" s="77">
        <v>97.9</v>
      </c>
      <c r="J275" s="85">
        <v>1384.1</v>
      </c>
      <c r="K275" s="85">
        <v>1384.7</v>
      </c>
      <c r="L275" s="85">
        <v>1384.4</v>
      </c>
      <c r="M275" s="85">
        <v>1385.1</v>
      </c>
      <c r="N275" s="85">
        <v>1384</v>
      </c>
      <c r="O275" s="77">
        <v>0</v>
      </c>
      <c r="P275" s="77">
        <v>0</v>
      </c>
      <c r="Q275" s="77">
        <v>2</v>
      </c>
      <c r="R275" s="77">
        <v>31</v>
      </c>
      <c r="S275" s="77">
        <f>_xlfn.STDEV.P(Table2[[#This Row],[volt-sbmu1]:[volt-sbmu5]])</f>
        <v>0.40298883359218779</v>
      </c>
      <c r="T275" s="77">
        <f>MAX(Table2[[#This Row],[soc-sbmu1]:[soc-sbmu5]])-MIN(Table2[[#This Row],[soc-sbmu1]:[soc-sbmu5]])</f>
        <v>1.8999999999999915</v>
      </c>
      <c r="U275" s="77"/>
      <c r="V275" s="77"/>
    </row>
    <row r="276" spans="1:22">
      <c r="A276" t="s">
        <v>83</v>
      </c>
      <c r="B276" t="s">
        <v>700</v>
      </c>
      <c r="C276" s="77">
        <v>99.5</v>
      </c>
      <c r="D276" s="77">
        <v>1384.4</v>
      </c>
      <c r="E276" s="77">
        <v>99.6</v>
      </c>
      <c r="F276" s="77">
        <v>99.3</v>
      </c>
      <c r="G276" s="77">
        <v>98.7</v>
      </c>
      <c r="H276" s="77">
        <v>98.7</v>
      </c>
      <c r="I276" s="77">
        <v>98.7</v>
      </c>
      <c r="J276" s="85">
        <v>1384.7</v>
      </c>
      <c r="K276" s="85">
        <v>1384.9</v>
      </c>
      <c r="L276" s="85">
        <v>1385</v>
      </c>
      <c r="M276" s="85">
        <v>1385.8</v>
      </c>
      <c r="N276" s="85">
        <v>1384.9</v>
      </c>
      <c r="O276" s="77">
        <v>0</v>
      </c>
      <c r="P276" s="77">
        <v>0</v>
      </c>
      <c r="Q276" s="77">
        <v>2</v>
      </c>
      <c r="R276" s="77">
        <v>31</v>
      </c>
      <c r="S276" s="77">
        <f>_xlfn.STDEV.P(Table2[[#This Row],[volt-sbmu1]:[volt-sbmu5]])</f>
        <v>0.38262252939413843</v>
      </c>
      <c r="T276" s="77">
        <f>MAX(Table2[[#This Row],[soc-sbmu1]:[soc-sbmu5]])-MIN(Table2[[#This Row],[soc-sbmu1]:[soc-sbmu5]])</f>
        <v>0.89999999999999147</v>
      </c>
      <c r="U276" s="77"/>
      <c r="V276" s="77"/>
    </row>
    <row r="277" spans="1:22">
      <c r="A277" t="s">
        <v>84</v>
      </c>
      <c r="B277" t="s">
        <v>701</v>
      </c>
      <c r="C277" s="77">
        <v>99.6</v>
      </c>
      <c r="D277" s="77">
        <v>1384.4</v>
      </c>
      <c r="E277" s="77">
        <v>99.5</v>
      </c>
      <c r="F277" s="77">
        <v>99.2</v>
      </c>
      <c r="G277" s="77">
        <v>99.7</v>
      </c>
      <c r="H277" s="77">
        <v>99.5</v>
      </c>
      <c r="I277" s="77">
        <v>99.5</v>
      </c>
      <c r="J277" s="85">
        <v>1383.3</v>
      </c>
      <c r="K277" s="85">
        <v>1385.1</v>
      </c>
      <c r="L277" s="85">
        <v>1385.1</v>
      </c>
      <c r="M277" s="85">
        <v>1383.6</v>
      </c>
      <c r="N277" s="85">
        <v>1385</v>
      </c>
      <c r="O277" s="77">
        <v>0</v>
      </c>
      <c r="P277" s="77">
        <v>0</v>
      </c>
      <c r="Q277" s="77">
        <v>2</v>
      </c>
      <c r="R277" s="77">
        <v>31</v>
      </c>
      <c r="S277" s="77">
        <f>_xlfn.STDEV.P(Table2[[#This Row],[volt-sbmu1]:[volt-sbmu5]])</f>
        <v>0.79849859110708554</v>
      </c>
      <c r="T277" s="77">
        <f>MAX(Table2[[#This Row],[soc-sbmu1]:[soc-sbmu5]])-MIN(Table2[[#This Row],[soc-sbmu1]:[soc-sbmu5]])</f>
        <v>0.5</v>
      </c>
      <c r="U277" s="77"/>
      <c r="V277" s="77"/>
    </row>
    <row r="278" spans="1:22">
      <c r="A278" t="s">
        <v>85</v>
      </c>
      <c r="B278" t="s">
        <v>702</v>
      </c>
      <c r="C278" s="77">
        <v>99.4</v>
      </c>
      <c r="D278" s="77">
        <v>1383.2</v>
      </c>
      <c r="E278" s="77">
        <v>99.3</v>
      </c>
      <c r="F278" s="77">
        <v>99.5</v>
      </c>
      <c r="G278" s="77">
        <v>99.4</v>
      </c>
      <c r="H278" s="77">
        <v>99.3</v>
      </c>
      <c r="I278" s="77">
        <v>99.4</v>
      </c>
      <c r="J278" s="85">
        <v>1382.6</v>
      </c>
      <c r="K278" s="85">
        <v>1382.9</v>
      </c>
      <c r="L278" s="85">
        <v>1381.6</v>
      </c>
      <c r="M278" s="85">
        <v>1383.4</v>
      </c>
      <c r="N278" s="85">
        <v>1383.4</v>
      </c>
      <c r="O278" s="77">
        <v>0</v>
      </c>
      <c r="P278" s="77">
        <v>0</v>
      </c>
      <c r="Q278" s="77">
        <v>2</v>
      </c>
      <c r="R278" s="77">
        <v>32</v>
      </c>
      <c r="S278" s="77">
        <f>_xlfn.STDEV.P(Table2[[#This Row],[volt-sbmu1]:[volt-sbmu5]])</f>
        <v>0.66452990903352049</v>
      </c>
      <c r="T278" s="77">
        <f>MAX(Table2[[#This Row],[soc-sbmu1]:[soc-sbmu5]])-MIN(Table2[[#This Row],[soc-sbmu1]:[soc-sbmu5]])</f>
        <v>0.20000000000000284</v>
      </c>
      <c r="U278" s="77"/>
      <c r="V278" s="77"/>
    </row>
    <row r="279" spans="1:22">
      <c r="A279" t="s">
        <v>86</v>
      </c>
      <c r="B279" t="s">
        <v>703</v>
      </c>
      <c r="C279" s="77">
        <v>99.8</v>
      </c>
      <c r="D279" s="77">
        <v>1389.1</v>
      </c>
      <c r="E279" s="77">
        <v>99.7</v>
      </c>
      <c r="F279" s="77">
        <v>99.7</v>
      </c>
      <c r="G279" s="77">
        <v>99.7</v>
      </c>
      <c r="H279" s="77">
        <v>99.7</v>
      </c>
      <c r="I279" s="77">
        <v>99.9</v>
      </c>
      <c r="J279" s="85">
        <v>1388.2</v>
      </c>
      <c r="K279" s="85">
        <v>1388.9</v>
      </c>
      <c r="L279" s="85">
        <v>1390.2</v>
      </c>
      <c r="M279" s="85">
        <v>1389.1</v>
      </c>
      <c r="N279" s="85">
        <v>1389</v>
      </c>
      <c r="O279" s="77">
        <v>0</v>
      </c>
      <c r="P279" s="77">
        <v>0</v>
      </c>
      <c r="Q279" s="77">
        <v>2</v>
      </c>
      <c r="R279" s="77">
        <v>32</v>
      </c>
      <c r="S279" s="77">
        <f>_xlfn.STDEV.P(Table2[[#This Row],[volt-sbmu1]:[volt-sbmu5]])</f>
        <v>0.64311740763253877</v>
      </c>
      <c r="T279" s="77">
        <f>MAX(Table2[[#This Row],[soc-sbmu1]:[soc-sbmu5]])-MIN(Table2[[#This Row],[soc-sbmu1]:[soc-sbmu5]])</f>
        <v>0.20000000000000284</v>
      </c>
      <c r="U279" s="77"/>
      <c r="V279" s="77"/>
    </row>
    <row r="280" spans="1:22">
      <c r="A280" t="s">
        <v>87</v>
      </c>
      <c r="B280" t="s">
        <v>704</v>
      </c>
      <c r="C280" s="77">
        <v>99.7</v>
      </c>
      <c r="D280" s="77">
        <v>1387.7</v>
      </c>
      <c r="E280" s="77">
        <v>99.8</v>
      </c>
      <c r="F280" s="77">
        <v>99.7</v>
      </c>
      <c r="G280" s="77">
        <v>99.8</v>
      </c>
      <c r="H280" s="77">
        <v>99.8</v>
      </c>
      <c r="I280" s="77">
        <v>99.8</v>
      </c>
      <c r="J280" s="85">
        <v>1387.2</v>
      </c>
      <c r="K280" s="85">
        <v>1388.3</v>
      </c>
      <c r="L280" s="85">
        <v>1388.3</v>
      </c>
      <c r="M280" s="85">
        <v>1387</v>
      </c>
      <c r="N280" s="85">
        <v>1387.6</v>
      </c>
      <c r="O280" s="77">
        <v>0</v>
      </c>
      <c r="P280" s="77">
        <v>0</v>
      </c>
      <c r="Q280" s="77">
        <v>2</v>
      </c>
      <c r="R280" s="77">
        <v>33</v>
      </c>
      <c r="S280" s="77">
        <f>_xlfn.STDEV.P(Table2[[#This Row],[volt-sbmu1]:[volt-sbmu5]])</f>
        <v>0.54184868736573655</v>
      </c>
      <c r="T280" s="77">
        <f>MAX(Table2[[#This Row],[soc-sbmu1]:[soc-sbmu5]])-MIN(Table2[[#This Row],[soc-sbmu1]:[soc-sbmu5]])</f>
        <v>9.9999999999994316E-2</v>
      </c>
      <c r="U280" s="77"/>
      <c r="V280" s="77"/>
    </row>
    <row r="281" spans="1:22">
      <c r="A281" t="s">
        <v>88</v>
      </c>
      <c r="B281" t="s">
        <v>705</v>
      </c>
      <c r="C281" s="77">
        <v>99.7</v>
      </c>
      <c r="D281" s="77">
        <v>1387.6</v>
      </c>
      <c r="E281" s="77">
        <v>99.8</v>
      </c>
      <c r="F281" s="77">
        <v>99.7</v>
      </c>
      <c r="G281" s="77">
        <v>99.7</v>
      </c>
      <c r="H281" s="77">
        <v>99.8</v>
      </c>
      <c r="I281" s="77">
        <v>99.8</v>
      </c>
      <c r="J281" s="85">
        <v>1387.8</v>
      </c>
      <c r="K281" s="85">
        <v>1388.2</v>
      </c>
      <c r="L281" s="85">
        <v>1387.2</v>
      </c>
      <c r="M281" s="85">
        <v>1388</v>
      </c>
      <c r="N281" s="85">
        <v>1387.6</v>
      </c>
      <c r="O281" s="77">
        <v>0</v>
      </c>
      <c r="P281" s="77">
        <v>0</v>
      </c>
      <c r="Q281" s="77">
        <v>2</v>
      </c>
      <c r="R281" s="77">
        <v>33</v>
      </c>
      <c r="S281" s="77">
        <f>_xlfn.STDEV.P(Table2[[#This Row],[volt-sbmu1]:[volt-sbmu5]])</f>
        <v>0.34409301068170928</v>
      </c>
      <c r="T281" s="77">
        <f>MAX(Table2[[#This Row],[soc-sbmu1]:[soc-sbmu5]])-MIN(Table2[[#This Row],[soc-sbmu1]:[soc-sbmu5]])</f>
        <v>9.9999999999994316E-2</v>
      </c>
      <c r="U281" s="77"/>
      <c r="V281" s="77"/>
    </row>
    <row r="282" spans="1:22">
      <c r="A282" t="s">
        <v>89</v>
      </c>
      <c r="B282" t="s">
        <v>706</v>
      </c>
      <c r="C282" s="77">
        <v>99.7</v>
      </c>
      <c r="D282" s="77">
        <v>1385.6</v>
      </c>
      <c r="E282" s="77">
        <v>99.6</v>
      </c>
      <c r="F282" s="77">
        <v>99.8</v>
      </c>
      <c r="G282" s="77">
        <v>99.5</v>
      </c>
      <c r="H282" s="77">
        <v>99.8</v>
      </c>
      <c r="I282" s="77">
        <v>99.8</v>
      </c>
      <c r="J282" s="85">
        <v>1386.1</v>
      </c>
      <c r="K282" s="85">
        <v>1385.6</v>
      </c>
      <c r="L282" s="85">
        <v>1386.9</v>
      </c>
      <c r="M282" s="85">
        <v>1385.9</v>
      </c>
      <c r="N282" s="85">
        <v>1385</v>
      </c>
      <c r="O282" s="77">
        <v>0</v>
      </c>
      <c r="P282" s="77">
        <v>0</v>
      </c>
      <c r="Q282" s="77">
        <v>2</v>
      </c>
      <c r="R282" s="77">
        <v>36</v>
      </c>
      <c r="S282" s="77">
        <f>_xlfn.STDEV.P(Table2[[#This Row],[volt-sbmu1]:[volt-sbmu5]])</f>
        <v>0.62289646009592958</v>
      </c>
      <c r="T282" s="77">
        <f>MAX(Table2[[#This Row],[soc-sbmu1]:[soc-sbmu5]])-MIN(Table2[[#This Row],[soc-sbmu1]:[soc-sbmu5]])</f>
        <v>0.29999999999999716</v>
      </c>
      <c r="U282" s="77"/>
      <c r="V282" s="77"/>
    </row>
    <row r="283" spans="1:22">
      <c r="A283" t="s">
        <v>90</v>
      </c>
      <c r="B283" t="s">
        <v>707</v>
      </c>
      <c r="C283" s="77">
        <v>99.7</v>
      </c>
      <c r="D283" s="77">
        <v>1385.2</v>
      </c>
      <c r="E283" s="77">
        <v>99.8</v>
      </c>
      <c r="F283" s="77">
        <v>99.7</v>
      </c>
      <c r="G283" s="77">
        <v>99.5</v>
      </c>
      <c r="H283" s="77">
        <v>99.7</v>
      </c>
      <c r="I283" s="77">
        <v>99.8</v>
      </c>
      <c r="J283" s="85">
        <v>1385.9</v>
      </c>
      <c r="K283" s="85">
        <v>1385.1</v>
      </c>
      <c r="L283" s="85">
        <v>1384.7</v>
      </c>
      <c r="M283" s="85">
        <v>1384.9</v>
      </c>
      <c r="N283" s="85">
        <v>1385.4</v>
      </c>
      <c r="O283" s="77">
        <v>0</v>
      </c>
      <c r="P283" s="77">
        <v>0</v>
      </c>
      <c r="Q283" s="77">
        <v>2</v>
      </c>
      <c r="R283" s="77">
        <v>31</v>
      </c>
      <c r="S283" s="77">
        <f>_xlfn.STDEV.P(Table2[[#This Row],[volt-sbmu1]:[volt-sbmu5]])</f>
        <v>0.41952353926808011</v>
      </c>
      <c r="T283" s="77">
        <f>MAX(Table2[[#This Row],[soc-sbmu1]:[soc-sbmu5]])-MIN(Table2[[#This Row],[soc-sbmu1]:[soc-sbmu5]])</f>
        <v>0.29999999999999716</v>
      </c>
      <c r="U283" s="77"/>
      <c r="V283" s="77"/>
    </row>
    <row r="284" spans="1:22">
      <c r="A284" t="s">
        <v>91</v>
      </c>
      <c r="B284" t="s">
        <v>708</v>
      </c>
      <c r="C284" s="77">
        <v>99.8</v>
      </c>
      <c r="D284" s="77">
        <v>1385.2</v>
      </c>
      <c r="E284" s="77">
        <v>99.9</v>
      </c>
      <c r="F284" s="77">
        <v>99.7</v>
      </c>
      <c r="G284" s="77">
        <v>99.6</v>
      </c>
      <c r="H284" s="77">
        <v>99.7</v>
      </c>
      <c r="I284" s="77">
        <v>99.7</v>
      </c>
      <c r="J284" s="85">
        <v>1383.5</v>
      </c>
      <c r="K284" s="85">
        <v>1385.5</v>
      </c>
      <c r="L284" s="85">
        <v>1385.2</v>
      </c>
      <c r="M284" s="85">
        <v>1385.8</v>
      </c>
      <c r="N284" s="85">
        <v>1386.1</v>
      </c>
      <c r="O284" s="77">
        <v>0</v>
      </c>
      <c r="P284" s="77">
        <v>0</v>
      </c>
      <c r="Q284" s="77">
        <v>2</v>
      </c>
      <c r="R284" s="77">
        <v>30</v>
      </c>
      <c r="S284" s="77">
        <f>_xlfn.STDEV.P(Table2[[#This Row],[volt-sbmu1]:[volt-sbmu5]])</f>
        <v>0.91082380293883236</v>
      </c>
      <c r="T284" s="77">
        <f>MAX(Table2[[#This Row],[soc-sbmu1]:[soc-sbmu5]])-MIN(Table2[[#This Row],[soc-sbmu1]:[soc-sbmu5]])</f>
        <v>0.30000000000001137</v>
      </c>
      <c r="U284" s="77"/>
      <c r="V284" s="77"/>
    </row>
    <row r="285" spans="1:22">
      <c r="A285" t="s">
        <v>92</v>
      </c>
      <c r="B285" t="s">
        <v>709</v>
      </c>
      <c r="C285" s="77">
        <v>99.7</v>
      </c>
      <c r="D285" s="77">
        <v>1384.6</v>
      </c>
      <c r="E285" s="77">
        <v>99.8</v>
      </c>
      <c r="F285" s="77">
        <v>99.5</v>
      </c>
      <c r="G285" s="77">
        <v>99.6</v>
      </c>
      <c r="H285" s="77">
        <v>99.7</v>
      </c>
      <c r="I285" s="77">
        <v>99.7</v>
      </c>
      <c r="J285" s="85">
        <v>1383.8</v>
      </c>
      <c r="K285" s="85">
        <v>1382.8</v>
      </c>
      <c r="L285" s="85">
        <v>1385.2</v>
      </c>
      <c r="M285" s="85">
        <v>1384.8</v>
      </c>
      <c r="N285" s="85">
        <v>1384.6</v>
      </c>
      <c r="O285" s="77">
        <v>0</v>
      </c>
      <c r="P285" s="77">
        <v>0</v>
      </c>
      <c r="Q285" s="77">
        <v>2</v>
      </c>
      <c r="R285" s="77">
        <v>30</v>
      </c>
      <c r="S285" s="77">
        <f>_xlfn.STDEV.P(Table2[[#This Row],[volt-sbmu1]:[volt-sbmu5]])</f>
        <v>0.8522910301065173</v>
      </c>
      <c r="T285" s="77">
        <f>MAX(Table2[[#This Row],[soc-sbmu1]:[soc-sbmu5]])-MIN(Table2[[#This Row],[soc-sbmu1]:[soc-sbmu5]])</f>
        <v>0.29999999999999716</v>
      </c>
      <c r="U285" s="77"/>
      <c r="V285" s="77"/>
    </row>
    <row r="286" spans="1:22">
      <c r="A286" t="s">
        <v>93</v>
      </c>
      <c r="B286" t="s">
        <v>710</v>
      </c>
      <c r="C286" s="77">
        <v>99.7</v>
      </c>
      <c r="D286" s="77">
        <v>1384.9</v>
      </c>
      <c r="E286" s="77">
        <v>99.7</v>
      </c>
      <c r="F286" s="77">
        <v>99.8</v>
      </c>
      <c r="G286" s="77">
        <v>99.7</v>
      </c>
      <c r="H286" s="77">
        <v>99.6</v>
      </c>
      <c r="I286" s="77">
        <v>99.7</v>
      </c>
      <c r="J286" s="85">
        <v>1385.3</v>
      </c>
      <c r="K286" s="85">
        <v>1385.4</v>
      </c>
      <c r="L286" s="85">
        <v>1384.4</v>
      </c>
      <c r="M286" s="85">
        <v>1384.2</v>
      </c>
      <c r="N286" s="85">
        <v>1383.7</v>
      </c>
      <c r="O286" s="77">
        <v>0</v>
      </c>
      <c r="P286" s="77">
        <v>0</v>
      </c>
      <c r="Q286" s="77">
        <v>2</v>
      </c>
      <c r="R286" s="77">
        <v>32</v>
      </c>
      <c r="S286" s="77">
        <f>_xlfn.STDEV.P(Table2[[#This Row],[volt-sbmu1]:[volt-sbmu5]])</f>
        <v>0.65421708935183387</v>
      </c>
      <c r="T286" s="77">
        <f>MAX(Table2[[#This Row],[soc-sbmu1]:[soc-sbmu5]])-MIN(Table2[[#This Row],[soc-sbmu1]:[soc-sbmu5]])</f>
        <v>0.20000000000000284</v>
      </c>
      <c r="U286" s="77"/>
      <c r="V286" s="77"/>
    </row>
    <row r="287" spans="1:22">
      <c r="A287" t="s">
        <v>94</v>
      </c>
      <c r="B287" t="s">
        <v>711</v>
      </c>
      <c r="C287" s="77">
        <v>85.6</v>
      </c>
      <c r="D287" s="77">
        <v>1392.2</v>
      </c>
      <c r="E287" s="77">
        <v>84.6</v>
      </c>
      <c r="F287" s="77">
        <v>84.5</v>
      </c>
      <c r="G287" s="77">
        <v>85.9</v>
      </c>
      <c r="H287" s="77">
        <v>84</v>
      </c>
      <c r="I287" s="77">
        <v>84.2</v>
      </c>
      <c r="J287" s="85">
        <v>1393.6</v>
      </c>
      <c r="K287" s="85">
        <v>1391.7</v>
      </c>
      <c r="L287" s="85">
        <v>1391.7</v>
      </c>
      <c r="M287" s="85">
        <v>1392.1</v>
      </c>
      <c r="N287" s="85">
        <v>1391.9</v>
      </c>
      <c r="O287" s="77">
        <v>0</v>
      </c>
      <c r="P287" s="77">
        <v>0</v>
      </c>
      <c r="Q287" s="77">
        <v>1</v>
      </c>
      <c r="R287" s="77">
        <v>32</v>
      </c>
      <c r="S287" s="77">
        <f>_xlfn.STDEV.P(Table2[[#This Row],[volt-sbmu1]:[volt-sbmu5]])</f>
        <v>0.7155417527998793</v>
      </c>
      <c r="T287" s="77">
        <f>MAX(Table2[[#This Row],[soc-sbmu1]:[soc-sbmu5]])-MIN(Table2[[#This Row],[soc-sbmu1]:[soc-sbmu5]])</f>
        <v>1.9000000000000057</v>
      </c>
      <c r="U287" s="77"/>
      <c r="V287" s="77"/>
    </row>
    <row r="288" spans="1:22">
      <c r="A288" t="s">
        <v>95</v>
      </c>
      <c r="B288" t="s">
        <v>712</v>
      </c>
      <c r="C288" s="77">
        <v>85.3</v>
      </c>
      <c r="D288" s="77">
        <v>1393</v>
      </c>
      <c r="E288" s="77">
        <v>85.2</v>
      </c>
      <c r="F288" s="77">
        <v>85.2</v>
      </c>
      <c r="G288" s="77">
        <v>85.3</v>
      </c>
      <c r="H288" s="77">
        <v>85.4</v>
      </c>
      <c r="I288" s="77">
        <v>84.9</v>
      </c>
      <c r="J288" s="85">
        <v>1391.9</v>
      </c>
      <c r="K288" s="85">
        <v>1392</v>
      </c>
      <c r="L288" s="85">
        <v>1392.6</v>
      </c>
      <c r="M288" s="85">
        <v>1394.2</v>
      </c>
      <c r="N288" s="85">
        <v>1392.2</v>
      </c>
      <c r="O288" s="77">
        <v>0</v>
      </c>
      <c r="P288" s="77">
        <v>0</v>
      </c>
      <c r="Q288" s="77">
        <v>1</v>
      </c>
      <c r="R288" s="77">
        <v>32</v>
      </c>
      <c r="S288" s="77">
        <f>_xlfn.STDEV.P(Table2[[#This Row],[volt-sbmu1]:[volt-sbmu5]])</f>
        <v>0.84474848327771335</v>
      </c>
      <c r="T288" s="77">
        <f>MAX(Table2[[#This Row],[soc-sbmu1]:[soc-sbmu5]])-MIN(Table2[[#This Row],[soc-sbmu1]:[soc-sbmu5]])</f>
        <v>0.5</v>
      </c>
      <c r="U288" s="77"/>
      <c r="V288" s="77"/>
    </row>
    <row r="289" spans="1:22">
      <c r="A289" t="s">
        <v>96</v>
      </c>
      <c r="B289" t="s">
        <v>713</v>
      </c>
      <c r="C289" s="77">
        <v>85.8</v>
      </c>
      <c r="D289" s="77">
        <v>1391.2</v>
      </c>
      <c r="E289" s="77">
        <v>86.1</v>
      </c>
      <c r="F289" s="77">
        <v>84.6</v>
      </c>
      <c r="G289" s="77">
        <v>84.6</v>
      </c>
      <c r="H289" s="77">
        <v>84.6</v>
      </c>
      <c r="I289" s="77">
        <v>84.5</v>
      </c>
      <c r="J289" s="85">
        <v>1391</v>
      </c>
      <c r="K289" s="85">
        <v>1391.5</v>
      </c>
      <c r="L289" s="85">
        <v>1391.1</v>
      </c>
      <c r="M289" s="85">
        <v>1390.4</v>
      </c>
      <c r="N289" s="85">
        <v>1391.4</v>
      </c>
      <c r="O289" s="77">
        <v>0</v>
      </c>
      <c r="P289" s="77">
        <v>0</v>
      </c>
      <c r="Q289" s="77">
        <v>1</v>
      </c>
      <c r="R289" s="77">
        <v>32</v>
      </c>
      <c r="S289" s="77">
        <f>_xlfn.STDEV.P(Table2[[#This Row],[volt-sbmu1]:[volt-sbmu5]])</f>
        <v>0.38678159211625646</v>
      </c>
      <c r="T289" s="77">
        <f>MAX(Table2[[#This Row],[soc-sbmu1]:[soc-sbmu5]])-MIN(Table2[[#This Row],[soc-sbmu1]:[soc-sbmu5]])</f>
        <v>1.5999999999999943</v>
      </c>
      <c r="U289" s="77"/>
      <c r="V289" s="77"/>
    </row>
    <row r="290" spans="1:22">
      <c r="A290" t="s">
        <v>97</v>
      </c>
      <c r="B290" t="s">
        <v>714</v>
      </c>
      <c r="C290" s="77">
        <v>85.3</v>
      </c>
      <c r="D290" s="77">
        <v>1394</v>
      </c>
      <c r="E290" s="77">
        <v>85.3</v>
      </c>
      <c r="F290" s="77">
        <v>85.5</v>
      </c>
      <c r="G290" s="77">
        <v>85.5</v>
      </c>
      <c r="H290" s="77">
        <v>84.8</v>
      </c>
      <c r="I290" s="77">
        <v>84.7</v>
      </c>
      <c r="J290" s="85">
        <v>1395</v>
      </c>
      <c r="K290" s="85">
        <v>1392.4</v>
      </c>
      <c r="L290" s="85">
        <v>1392.5</v>
      </c>
      <c r="M290" s="85">
        <v>1393</v>
      </c>
      <c r="N290" s="85">
        <v>1394.5</v>
      </c>
      <c r="O290" s="77">
        <v>0</v>
      </c>
      <c r="P290" s="77">
        <v>64</v>
      </c>
      <c r="Q290" s="77">
        <v>4</v>
      </c>
      <c r="R290" s="77">
        <v>36</v>
      </c>
      <c r="S290" s="77">
        <f>_xlfn.STDEV.P(Table2[[#This Row],[volt-sbmu1]:[volt-sbmu5]])</f>
        <v>1.0684568311354281</v>
      </c>
      <c r="T290" s="77">
        <f>MAX(Table2[[#This Row],[soc-sbmu1]:[soc-sbmu5]])-MIN(Table2[[#This Row],[soc-sbmu1]:[soc-sbmu5]])</f>
        <v>0.79999999999999716</v>
      </c>
      <c r="U290" s="77"/>
      <c r="V290" s="77"/>
    </row>
  </sheetData>
  <phoneticPr fontId="13" type="noConversion"/>
  <dataValidations count="1">
    <dataValidation type="list" allowBlank="1" showInputMessage="1" showErrorMessage="1" sqref="AB6" xr:uid="{7E7003CD-7EEA-4D52-BB6C-DFEB8C928C98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209550</xdr:colOff>
                    <xdr:row>1</xdr:row>
                    <xdr:rowOff>0</xdr:rowOff>
                  </from>
                  <to>
                    <xdr:col>30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B290"/>
  <sheetViews>
    <sheetView workbookViewId="0"/>
  </sheetViews>
  <sheetFormatPr defaultRowHeight="13.5"/>
  <cols>
    <col min="1" max="1" width="11.875" bestFit="1" customWidth="1"/>
    <col min="2" max="2" width="4.25" customWidth="1"/>
    <col min="3" max="11" width="6.625" customWidth="1"/>
    <col min="12" max="19" width="4.875" bestFit="1" customWidth="1"/>
    <col min="20" max="27" width="3.5" customWidth="1"/>
  </cols>
  <sheetData>
    <row r="1" spans="1:26" ht="15">
      <c r="A1" s="88" t="s">
        <v>37</v>
      </c>
      <c r="B1" s="88" t="s">
        <v>38</v>
      </c>
      <c r="C1" s="88" t="s">
        <v>751</v>
      </c>
      <c r="D1" s="88" t="s">
        <v>752</v>
      </c>
      <c r="E1" s="88" t="s">
        <v>753</v>
      </c>
      <c r="F1" s="88" t="s">
        <v>754</v>
      </c>
      <c r="G1" s="88" t="s">
        <v>755</v>
      </c>
      <c r="H1" s="88" t="s">
        <v>756</v>
      </c>
      <c r="I1" s="88" t="s">
        <v>757</v>
      </c>
      <c r="J1" s="88" t="s">
        <v>758</v>
      </c>
      <c r="K1" s="88"/>
      <c r="L1" s="88"/>
      <c r="M1" s="88"/>
      <c r="N1" s="88"/>
      <c r="O1" s="89"/>
      <c r="P1" s="89"/>
      <c r="Q1" s="88"/>
      <c r="R1" s="88"/>
      <c r="S1" s="88"/>
      <c r="T1" s="88"/>
      <c r="U1" s="61"/>
      <c r="V1" s="61"/>
      <c r="W1" s="61"/>
      <c r="X1" s="87"/>
      <c r="Z1" s="87"/>
    </row>
    <row r="2" spans="1:26" ht="15">
      <c r="A2" s="61" t="s">
        <v>37</v>
      </c>
      <c r="B2" s="61" t="s">
        <v>38</v>
      </c>
      <c r="C2" s="61">
        <v>272</v>
      </c>
      <c r="D2" s="61">
        <v>273</v>
      </c>
      <c r="E2" s="61">
        <v>274</v>
      </c>
      <c r="F2" s="61">
        <v>275</v>
      </c>
      <c r="G2" s="61">
        <v>276</v>
      </c>
      <c r="H2" s="61">
        <v>277</v>
      </c>
      <c r="I2" s="61">
        <v>278</v>
      </c>
      <c r="J2" s="61">
        <v>279</v>
      </c>
      <c r="K2" s="61"/>
      <c r="L2" s="61"/>
      <c r="M2" s="61"/>
      <c r="N2" s="61"/>
      <c r="O2" s="87"/>
      <c r="P2" s="87"/>
      <c r="Q2" s="87"/>
      <c r="R2" s="87"/>
      <c r="S2" s="77"/>
      <c r="T2" s="77"/>
    </row>
    <row r="3" spans="1:26">
      <c r="A3" t="s">
        <v>152</v>
      </c>
      <c r="B3" t="s">
        <v>428</v>
      </c>
      <c r="C3" s="77"/>
      <c r="D3" s="77"/>
      <c r="E3" s="77"/>
      <c r="F3" s="77"/>
      <c r="G3" s="77"/>
      <c r="H3" s="77"/>
      <c r="I3" s="77"/>
      <c r="J3" s="85"/>
      <c r="K3" s="85"/>
      <c r="L3" s="85"/>
      <c r="M3" s="85"/>
      <c r="N3" s="85"/>
      <c r="O3" s="77"/>
      <c r="P3" s="77"/>
      <c r="Q3" s="77"/>
      <c r="R3" s="77"/>
      <c r="S3" s="77"/>
      <c r="T3" s="77"/>
      <c r="U3" s="77"/>
      <c r="V3" s="77"/>
    </row>
    <row r="4" spans="1:26">
      <c r="A4" t="s">
        <v>153</v>
      </c>
      <c r="B4" t="s">
        <v>429</v>
      </c>
      <c r="C4" s="77"/>
      <c r="D4" s="77"/>
      <c r="E4" s="77"/>
      <c r="F4" s="77"/>
      <c r="G4" s="77"/>
      <c r="H4" s="77"/>
      <c r="I4" s="77"/>
      <c r="J4" s="85"/>
      <c r="K4" s="85"/>
      <c r="L4" s="85"/>
      <c r="M4" s="85"/>
      <c r="N4" s="85"/>
      <c r="O4" s="77"/>
      <c r="P4" s="77"/>
      <c r="Q4" s="77"/>
      <c r="R4" s="77"/>
      <c r="S4" s="77"/>
      <c r="T4" s="77"/>
      <c r="U4" s="77"/>
      <c r="V4" s="77"/>
    </row>
    <row r="5" spans="1:26">
      <c r="A5" t="s">
        <v>154</v>
      </c>
      <c r="B5" t="s">
        <v>430</v>
      </c>
      <c r="C5" s="77"/>
      <c r="D5" s="77"/>
      <c r="E5" s="77"/>
      <c r="F5" s="77"/>
      <c r="G5" s="77"/>
      <c r="H5" s="77"/>
      <c r="I5" s="77"/>
      <c r="J5" s="85"/>
      <c r="K5" s="85"/>
      <c r="L5" s="85"/>
      <c r="M5" s="85"/>
      <c r="N5" s="85"/>
      <c r="O5" s="77"/>
      <c r="P5" s="77"/>
      <c r="Q5" s="77"/>
      <c r="R5" s="77"/>
      <c r="S5" s="77"/>
      <c r="T5" s="77"/>
      <c r="U5" s="77"/>
      <c r="V5" s="77"/>
    </row>
    <row r="6" spans="1:26">
      <c r="A6" t="s">
        <v>155</v>
      </c>
      <c r="B6" t="s">
        <v>431</v>
      </c>
      <c r="C6" s="77"/>
      <c r="D6" s="77"/>
      <c r="E6" s="77"/>
      <c r="F6" s="77"/>
      <c r="G6" s="77"/>
      <c r="H6" s="77"/>
      <c r="I6" s="77"/>
      <c r="J6" s="85"/>
      <c r="K6" s="85"/>
      <c r="L6" s="85"/>
      <c r="M6" s="85"/>
      <c r="N6" s="85"/>
      <c r="O6" s="77"/>
      <c r="P6" s="77"/>
      <c r="Q6" s="77"/>
      <c r="R6" s="77"/>
      <c r="S6" s="77"/>
      <c r="T6" s="77"/>
      <c r="U6" s="77"/>
      <c r="V6" s="77"/>
    </row>
    <row r="7" spans="1:26">
      <c r="A7" t="s">
        <v>156</v>
      </c>
      <c r="B7" t="s">
        <v>443</v>
      </c>
      <c r="C7" s="77"/>
      <c r="D7" s="77"/>
      <c r="E7" s="77"/>
      <c r="F7" s="77"/>
      <c r="G7" s="77"/>
      <c r="H7" s="77"/>
      <c r="I7" s="77"/>
      <c r="J7" s="85"/>
      <c r="K7" s="85"/>
      <c r="L7" s="85"/>
      <c r="M7" s="85"/>
      <c r="N7" s="85"/>
      <c r="O7" s="77"/>
      <c r="P7" s="77"/>
      <c r="Q7" s="77"/>
      <c r="R7" s="77"/>
      <c r="S7" s="77"/>
      <c r="T7" s="77"/>
      <c r="U7" s="77"/>
      <c r="V7" s="77"/>
    </row>
    <row r="8" spans="1:26">
      <c r="A8" t="s">
        <v>157</v>
      </c>
      <c r="B8" t="s">
        <v>444</v>
      </c>
      <c r="C8" s="77"/>
      <c r="D8" s="77"/>
      <c r="E8" s="77"/>
      <c r="F8" s="77"/>
      <c r="G8" s="77"/>
      <c r="H8" s="77"/>
      <c r="I8" s="77"/>
      <c r="J8" s="85"/>
      <c r="K8" s="85"/>
      <c r="L8" s="85"/>
      <c r="M8" s="85"/>
      <c r="N8" s="85"/>
      <c r="O8" s="77"/>
      <c r="P8" s="77"/>
      <c r="Q8" s="77"/>
      <c r="R8" s="77"/>
      <c r="S8" s="77"/>
      <c r="T8" s="77"/>
      <c r="U8" s="77"/>
      <c r="V8" s="77"/>
    </row>
    <row r="9" spans="1:26" ht="15">
      <c r="A9" t="s">
        <v>158</v>
      </c>
      <c r="B9" t="s">
        <v>445</v>
      </c>
      <c r="C9" s="77"/>
      <c r="D9" s="77"/>
      <c r="E9" s="77"/>
      <c r="F9" s="77"/>
      <c r="G9" s="77"/>
      <c r="H9" s="77"/>
      <c r="I9" s="77"/>
      <c r="J9" s="85"/>
      <c r="K9" s="85"/>
      <c r="L9" s="85"/>
      <c r="M9" s="85"/>
      <c r="N9" s="85"/>
      <c r="O9" s="77"/>
      <c r="P9" s="77"/>
      <c r="Q9" s="77"/>
      <c r="R9" s="77"/>
      <c r="S9" s="77"/>
      <c r="T9" s="77"/>
      <c r="U9" s="77"/>
      <c r="V9" s="77"/>
      <c r="X9" s="62"/>
    </row>
    <row r="10" spans="1:26">
      <c r="A10" t="s">
        <v>159</v>
      </c>
      <c r="B10" t="s">
        <v>446</v>
      </c>
      <c r="C10" s="77"/>
      <c r="D10" s="77"/>
      <c r="E10" s="77"/>
      <c r="F10" s="77"/>
      <c r="G10" s="77"/>
      <c r="H10" s="77"/>
      <c r="I10" s="77"/>
      <c r="J10" s="85"/>
      <c r="K10" s="85"/>
      <c r="L10" s="85"/>
      <c r="M10" s="85"/>
      <c r="N10" s="85"/>
      <c r="O10" s="77"/>
      <c r="P10" s="77"/>
      <c r="Q10" s="77"/>
      <c r="R10" s="77"/>
      <c r="S10" s="77"/>
      <c r="T10" s="77"/>
      <c r="U10" s="77"/>
      <c r="V10" s="77"/>
      <c r="Y10" s="77"/>
    </row>
    <row r="11" spans="1:26">
      <c r="A11" t="s">
        <v>160</v>
      </c>
      <c r="B11" t="s">
        <v>447</v>
      </c>
      <c r="C11" s="77"/>
      <c r="D11" s="77"/>
      <c r="E11" s="77"/>
      <c r="F11" s="77"/>
      <c r="G11" s="77"/>
      <c r="H11" s="77"/>
      <c r="I11" s="77"/>
      <c r="J11" s="85"/>
      <c r="K11" s="85"/>
      <c r="L11" s="85"/>
      <c r="M11" s="85"/>
      <c r="N11" s="85"/>
      <c r="O11" s="77"/>
      <c r="P11" s="77"/>
      <c r="Q11" s="77"/>
      <c r="R11" s="77"/>
      <c r="S11" s="77"/>
      <c r="T11" s="77"/>
      <c r="U11" s="77"/>
      <c r="V11" s="77"/>
    </row>
    <row r="12" spans="1:26">
      <c r="A12" t="s">
        <v>161</v>
      </c>
      <c r="B12" t="s">
        <v>448</v>
      </c>
      <c r="C12" s="77"/>
      <c r="D12" s="77"/>
      <c r="E12" s="77"/>
      <c r="F12" s="77"/>
      <c r="G12" s="77"/>
      <c r="H12" s="77"/>
      <c r="I12" s="77"/>
      <c r="J12" s="85"/>
      <c r="K12" s="85"/>
      <c r="L12" s="85"/>
      <c r="M12" s="85"/>
      <c r="N12" s="85"/>
      <c r="O12" s="77"/>
      <c r="P12" s="77"/>
      <c r="Q12" s="77"/>
      <c r="R12" s="77"/>
      <c r="S12" s="77"/>
      <c r="T12" s="77"/>
      <c r="U12" s="77"/>
      <c r="V12" s="77"/>
    </row>
    <row r="13" spans="1:26">
      <c r="A13" t="s">
        <v>162</v>
      </c>
      <c r="B13" t="s">
        <v>449</v>
      </c>
      <c r="C13" s="77"/>
      <c r="D13" s="77"/>
      <c r="E13" s="77"/>
      <c r="F13" s="77"/>
      <c r="G13" s="77"/>
      <c r="H13" s="77"/>
      <c r="I13" s="77"/>
      <c r="J13" s="85"/>
      <c r="K13" s="85"/>
      <c r="L13" s="85"/>
      <c r="M13" s="85"/>
      <c r="N13" s="85"/>
      <c r="O13" s="77"/>
      <c r="P13" s="77"/>
      <c r="Q13" s="77"/>
      <c r="R13" s="77"/>
      <c r="S13" s="77"/>
      <c r="T13" s="77"/>
      <c r="U13" s="77"/>
      <c r="V13" s="77"/>
    </row>
    <row r="14" spans="1:26">
      <c r="A14" t="s">
        <v>163</v>
      </c>
      <c r="B14" t="s">
        <v>450</v>
      </c>
      <c r="C14" s="77"/>
      <c r="D14" s="77"/>
      <c r="E14" s="77"/>
      <c r="F14" s="77"/>
      <c r="G14" s="77"/>
      <c r="H14" s="77"/>
      <c r="I14" s="77"/>
      <c r="J14" s="85"/>
      <c r="K14" s="85"/>
      <c r="L14" s="85"/>
      <c r="M14" s="85"/>
      <c r="N14" s="85"/>
      <c r="O14" s="77"/>
      <c r="P14" s="77"/>
      <c r="Q14" s="77"/>
      <c r="R14" s="77"/>
      <c r="S14" s="77"/>
      <c r="T14" s="77"/>
      <c r="U14" s="77"/>
      <c r="V14" s="77"/>
    </row>
    <row r="15" spans="1:26">
      <c r="A15" t="s">
        <v>164</v>
      </c>
      <c r="B15" t="s">
        <v>451</v>
      </c>
      <c r="C15" s="77"/>
      <c r="D15" s="77"/>
      <c r="E15" s="77"/>
      <c r="F15" s="77"/>
      <c r="G15" s="77"/>
      <c r="H15" s="77"/>
      <c r="I15" s="77"/>
      <c r="J15" s="85"/>
      <c r="K15" s="85"/>
      <c r="L15" s="85"/>
      <c r="M15" s="85"/>
      <c r="N15" s="85"/>
      <c r="O15" s="77"/>
      <c r="P15" s="77"/>
      <c r="Q15" s="77"/>
      <c r="R15" s="77"/>
      <c r="S15" s="77"/>
      <c r="T15" s="77"/>
      <c r="U15" s="77"/>
      <c r="V15" s="77"/>
    </row>
    <row r="16" spans="1:26">
      <c r="A16" t="s">
        <v>165</v>
      </c>
      <c r="B16" t="s">
        <v>452</v>
      </c>
      <c r="C16" s="77"/>
      <c r="D16" s="77"/>
      <c r="E16" s="77"/>
      <c r="F16" s="77"/>
      <c r="G16" s="77"/>
      <c r="H16" s="77"/>
      <c r="I16" s="77"/>
      <c r="J16" s="85"/>
      <c r="K16" s="85"/>
      <c r="L16" s="85"/>
      <c r="M16" s="85"/>
      <c r="N16" s="85"/>
      <c r="O16" s="77"/>
      <c r="P16" s="77"/>
      <c r="Q16" s="77"/>
      <c r="R16" s="77"/>
      <c r="S16" s="77"/>
      <c r="T16" s="77"/>
      <c r="U16" s="77"/>
      <c r="V16" s="77"/>
    </row>
    <row r="17" spans="1:22">
      <c r="A17" t="s">
        <v>166</v>
      </c>
      <c r="B17" t="s">
        <v>453</v>
      </c>
      <c r="C17" s="77"/>
      <c r="D17" s="77"/>
      <c r="E17" s="77"/>
      <c r="F17" s="77"/>
      <c r="G17" s="77"/>
      <c r="H17" s="77"/>
      <c r="I17" s="77"/>
      <c r="J17" s="85"/>
      <c r="K17" s="85"/>
      <c r="L17" s="85"/>
      <c r="M17" s="85"/>
      <c r="N17" s="85"/>
      <c r="O17" s="77"/>
      <c r="P17" s="77"/>
      <c r="Q17" s="77"/>
      <c r="R17" s="77"/>
      <c r="S17" s="77"/>
      <c r="T17" s="77"/>
      <c r="U17" s="77"/>
      <c r="V17" s="77"/>
    </row>
    <row r="18" spans="1:22">
      <c r="A18" t="s">
        <v>167</v>
      </c>
      <c r="B18" t="s">
        <v>454</v>
      </c>
      <c r="C18" s="77"/>
      <c r="D18" s="77"/>
      <c r="E18" s="77"/>
      <c r="F18" s="77"/>
      <c r="G18" s="77"/>
      <c r="H18" s="77"/>
      <c r="I18" s="77"/>
      <c r="J18" s="85"/>
      <c r="K18" s="85"/>
      <c r="L18" s="85"/>
      <c r="M18" s="85"/>
      <c r="N18" s="85"/>
      <c r="O18" s="77"/>
      <c r="P18" s="77"/>
      <c r="Q18" s="77"/>
      <c r="R18" s="77"/>
      <c r="S18" s="77"/>
      <c r="T18" s="77"/>
      <c r="U18" s="77"/>
      <c r="V18" s="77"/>
    </row>
    <row r="19" spans="1:22">
      <c r="A19" t="s">
        <v>168</v>
      </c>
      <c r="B19" t="s">
        <v>455</v>
      </c>
      <c r="C19" s="77"/>
      <c r="D19" s="77"/>
      <c r="E19" s="77"/>
      <c r="F19" s="77"/>
      <c r="G19" s="77"/>
      <c r="H19" s="77"/>
      <c r="I19" s="77"/>
      <c r="J19" s="85"/>
      <c r="K19" s="85"/>
      <c r="L19" s="85"/>
      <c r="M19" s="85"/>
      <c r="N19" s="85"/>
      <c r="O19" s="77"/>
      <c r="P19" s="77"/>
      <c r="Q19" s="77"/>
      <c r="R19" s="77"/>
      <c r="S19" s="77"/>
      <c r="T19" s="77"/>
      <c r="U19" s="77"/>
      <c r="V19" s="77"/>
    </row>
    <row r="20" spans="1:22">
      <c r="A20" t="s">
        <v>169</v>
      </c>
      <c r="B20" t="s">
        <v>456</v>
      </c>
      <c r="C20" s="77"/>
      <c r="D20" s="77"/>
      <c r="E20" s="77"/>
      <c r="F20" s="77"/>
      <c r="G20" s="77"/>
      <c r="H20" s="77"/>
      <c r="I20" s="77"/>
      <c r="J20" s="85"/>
      <c r="K20" s="85"/>
      <c r="L20" s="85"/>
      <c r="M20" s="85"/>
      <c r="N20" s="85"/>
      <c r="O20" s="77"/>
      <c r="P20" s="77"/>
      <c r="Q20" s="77"/>
      <c r="R20" s="77"/>
      <c r="S20" s="77"/>
      <c r="T20" s="77"/>
      <c r="U20" s="77"/>
      <c r="V20" s="77"/>
    </row>
    <row r="21" spans="1:22">
      <c r="A21" t="s">
        <v>170</v>
      </c>
      <c r="B21" t="s">
        <v>457</v>
      </c>
      <c r="C21" s="77"/>
      <c r="D21" s="77"/>
      <c r="E21" s="77"/>
      <c r="F21" s="77"/>
      <c r="G21" s="77"/>
      <c r="H21" s="77"/>
      <c r="I21" s="77"/>
      <c r="J21" s="85"/>
      <c r="K21" s="85"/>
      <c r="L21" s="85"/>
      <c r="M21" s="85"/>
      <c r="N21" s="85"/>
      <c r="O21" s="77"/>
      <c r="P21" s="77"/>
      <c r="Q21" s="77"/>
      <c r="R21" s="77"/>
      <c r="S21" s="77"/>
      <c r="T21" s="77"/>
      <c r="U21" s="77"/>
      <c r="V21" s="77"/>
    </row>
    <row r="22" spans="1:22">
      <c r="A22" t="s">
        <v>171</v>
      </c>
      <c r="B22" t="s">
        <v>458</v>
      </c>
      <c r="C22" s="77"/>
      <c r="D22" s="77"/>
      <c r="E22" s="77"/>
      <c r="F22" s="77"/>
      <c r="G22" s="77"/>
      <c r="H22" s="77"/>
      <c r="I22" s="77"/>
      <c r="J22" s="85"/>
      <c r="K22" s="85"/>
      <c r="L22" s="85"/>
      <c r="M22" s="85"/>
      <c r="N22" s="85"/>
      <c r="O22" s="77"/>
      <c r="P22" s="77"/>
      <c r="Q22" s="77"/>
      <c r="R22" s="77"/>
      <c r="S22" s="77"/>
      <c r="T22" s="77"/>
      <c r="U22" s="77"/>
      <c r="V22" s="77"/>
    </row>
    <row r="23" spans="1:22">
      <c r="A23" t="s">
        <v>172</v>
      </c>
      <c r="B23" t="s">
        <v>459</v>
      </c>
      <c r="C23" s="77"/>
      <c r="D23" s="77"/>
      <c r="E23" s="77"/>
      <c r="F23" s="77"/>
      <c r="G23" s="77"/>
      <c r="H23" s="77"/>
      <c r="I23" s="77"/>
      <c r="J23" s="85"/>
      <c r="K23" s="85"/>
      <c r="L23" s="85"/>
      <c r="M23" s="85"/>
      <c r="N23" s="85"/>
      <c r="O23" s="77"/>
      <c r="P23" s="77"/>
      <c r="Q23" s="77"/>
      <c r="R23" s="77"/>
      <c r="S23" s="77"/>
      <c r="T23" s="77"/>
      <c r="U23" s="77"/>
      <c r="V23" s="77"/>
    </row>
    <row r="24" spans="1:22">
      <c r="A24" t="s">
        <v>173</v>
      </c>
      <c r="B24" t="s">
        <v>460</v>
      </c>
      <c r="C24" s="77"/>
      <c r="D24" s="77"/>
      <c r="E24" s="77"/>
      <c r="F24" s="77"/>
      <c r="G24" s="77"/>
      <c r="H24" s="77"/>
      <c r="I24" s="77"/>
      <c r="J24" s="85"/>
      <c r="K24" s="85"/>
      <c r="L24" s="85"/>
      <c r="M24" s="85"/>
      <c r="N24" s="85"/>
      <c r="O24" s="77"/>
      <c r="P24" s="77"/>
      <c r="Q24" s="77"/>
      <c r="R24" s="77"/>
      <c r="S24" s="77"/>
      <c r="T24" s="77"/>
      <c r="U24" s="77"/>
      <c r="V24" s="77"/>
    </row>
    <row r="25" spans="1:22">
      <c r="A25" t="s">
        <v>174</v>
      </c>
      <c r="B25" t="s">
        <v>461</v>
      </c>
      <c r="C25" s="77"/>
      <c r="D25" s="77"/>
      <c r="E25" s="77"/>
      <c r="F25" s="77"/>
      <c r="G25" s="77"/>
      <c r="H25" s="77"/>
      <c r="I25" s="77"/>
      <c r="J25" s="85"/>
      <c r="K25" s="85"/>
      <c r="L25" s="85"/>
      <c r="M25" s="85"/>
      <c r="N25" s="85"/>
      <c r="O25" s="77"/>
      <c r="P25" s="77"/>
      <c r="Q25" s="77"/>
      <c r="R25" s="77"/>
      <c r="S25" s="77"/>
      <c r="T25" s="77"/>
      <c r="U25" s="77"/>
      <c r="V25" s="77"/>
    </row>
    <row r="26" spans="1:22">
      <c r="A26" t="s">
        <v>175</v>
      </c>
      <c r="B26" t="s">
        <v>462</v>
      </c>
      <c r="C26" s="77"/>
      <c r="D26" s="77"/>
      <c r="E26" s="77"/>
      <c r="F26" s="77"/>
      <c r="G26" s="77"/>
      <c r="H26" s="77"/>
      <c r="I26" s="77"/>
      <c r="J26" s="85"/>
      <c r="K26" s="85"/>
      <c r="L26" s="85"/>
      <c r="M26" s="85"/>
      <c r="N26" s="85"/>
      <c r="O26" s="77"/>
      <c r="P26" s="77"/>
      <c r="Q26" s="77"/>
      <c r="R26" s="77"/>
      <c r="S26" s="77"/>
      <c r="T26" s="77"/>
      <c r="U26" s="77"/>
      <c r="V26" s="77"/>
    </row>
    <row r="27" spans="1:22">
      <c r="A27" t="s">
        <v>176</v>
      </c>
      <c r="B27" t="s">
        <v>463</v>
      </c>
      <c r="C27" s="77"/>
      <c r="D27" s="77"/>
      <c r="E27" s="77"/>
      <c r="F27" s="77"/>
      <c r="G27" s="77"/>
      <c r="H27" s="77"/>
      <c r="I27" s="77"/>
      <c r="J27" s="85"/>
      <c r="K27" s="85"/>
      <c r="L27" s="85"/>
      <c r="M27" s="85"/>
      <c r="N27" s="85"/>
      <c r="O27" s="77"/>
      <c r="P27" s="77"/>
      <c r="Q27" s="77"/>
      <c r="R27" s="77"/>
      <c r="S27" s="77"/>
      <c r="T27" s="77"/>
      <c r="U27" s="77"/>
      <c r="V27" s="77"/>
    </row>
    <row r="28" spans="1:22">
      <c r="A28" t="s">
        <v>177</v>
      </c>
      <c r="B28" t="s">
        <v>464</v>
      </c>
      <c r="C28" s="77"/>
      <c r="D28" s="77"/>
      <c r="E28" s="77"/>
      <c r="F28" s="77"/>
      <c r="G28" s="77"/>
      <c r="H28" s="77"/>
      <c r="I28" s="77"/>
      <c r="J28" s="85"/>
      <c r="K28" s="85"/>
      <c r="L28" s="85"/>
      <c r="M28" s="85"/>
      <c r="N28" s="85"/>
      <c r="O28" s="77"/>
      <c r="P28" s="77"/>
      <c r="Q28" s="77"/>
      <c r="R28" s="77"/>
      <c r="S28" s="77"/>
      <c r="T28" s="77"/>
      <c r="U28" s="77"/>
      <c r="V28" s="77"/>
    </row>
    <row r="29" spans="1:22">
      <c r="A29" t="s">
        <v>178</v>
      </c>
      <c r="B29" t="s">
        <v>465</v>
      </c>
      <c r="C29" s="77"/>
      <c r="D29" s="77"/>
      <c r="E29" s="77"/>
      <c r="F29" s="77"/>
      <c r="G29" s="77"/>
      <c r="H29" s="77"/>
      <c r="I29" s="77"/>
      <c r="J29" s="85"/>
      <c r="K29" s="85"/>
      <c r="L29" s="85"/>
      <c r="M29" s="85"/>
      <c r="N29" s="85"/>
      <c r="O29" s="77"/>
      <c r="P29" s="77"/>
      <c r="Q29" s="77"/>
      <c r="R29" s="77"/>
      <c r="S29" s="77"/>
      <c r="T29" s="77"/>
      <c r="U29" s="77"/>
      <c r="V29" s="77"/>
    </row>
    <row r="30" spans="1:22">
      <c r="A30" t="s">
        <v>179</v>
      </c>
      <c r="B30" t="s">
        <v>466</v>
      </c>
      <c r="C30" s="77"/>
      <c r="D30" s="77"/>
      <c r="E30" s="77"/>
      <c r="F30" s="77"/>
      <c r="G30" s="77"/>
      <c r="H30" s="77"/>
      <c r="I30" s="77"/>
      <c r="J30" s="85"/>
      <c r="K30" s="85"/>
      <c r="L30" s="85"/>
      <c r="M30" s="85"/>
      <c r="N30" s="85"/>
      <c r="O30" s="77"/>
      <c r="P30" s="77"/>
      <c r="Q30" s="77"/>
      <c r="R30" s="77"/>
      <c r="S30" s="77"/>
      <c r="T30" s="77"/>
      <c r="U30" s="77"/>
    </row>
    <row r="31" spans="1:22">
      <c r="A31" t="s">
        <v>180</v>
      </c>
      <c r="B31" t="s">
        <v>467</v>
      </c>
      <c r="C31" s="77"/>
      <c r="D31" s="77"/>
      <c r="E31" s="77"/>
      <c r="F31" s="77"/>
      <c r="G31" s="77"/>
      <c r="H31" s="77"/>
      <c r="I31" s="77"/>
      <c r="J31" s="85"/>
      <c r="K31" s="85"/>
      <c r="L31" s="85"/>
      <c r="M31" s="85"/>
      <c r="N31" s="85"/>
      <c r="O31" s="77"/>
      <c r="P31" s="77"/>
      <c r="Q31" s="77"/>
      <c r="R31" s="77"/>
      <c r="S31" s="77"/>
      <c r="T31" s="77"/>
      <c r="U31" s="77"/>
    </row>
    <row r="32" spans="1:22">
      <c r="A32" t="s">
        <v>181</v>
      </c>
      <c r="B32" t="s">
        <v>468</v>
      </c>
      <c r="C32" s="77"/>
      <c r="D32" s="77"/>
      <c r="E32" s="77"/>
      <c r="F32" s="77"/>
      <c r="G32" s="77"/>
      <c r="H32" s="77"/>
      <c r="I32" s="77"/>
      <c r="J32" s="85"/>
      <c r="K32" s="85"/>
      <c r="L32" s="85"/>
      <c r="M32" s="85"/>
      <c r="N32" s="85"/>
      <c r="O32" s="77"/>
      <c r="P32" s="77"/>
      <c r="Q32" s="77"/>
      <c r="R32" s="77"/>
      <c r="S32" s="77"/>
      <c r="T32" s="77"/>
      <c r="U32" s="77"/>
    </row>
    <row r="33" spans="1:22">
      <c r="A33" t="s">
        <v>182</v>
      </c>
      <c r="B33" t="s">
        <v>469</v>
      </c>
      <c r="C33" s="77"/>
      <c r="D33" s="77"/>
      <c r="E33" s="77"/>
      <c r="F33" s="77"/>
      <c r="G33" s="77"/>
      <c r="H33" s="77"/>
      <c r="I33" s="77"/>
      <c r="J33" s="85"/>
      <c r="K33" s="85"/>
      <c r="L33" s="85"/>
      <c r="M33" s="85"/>
      <c r="N33" s="85"/>
      <c r="O33" s="77"/>
      <c r="P33" s="77"/>
      <c r="Q33" s="77"/>
      <c r="R33" s="77"/>
      <c r="S33" s="77"/>
      <c r="T33" s="77"/>
      <c r="U33" s="77"/>
    </row>
    <row r="34" spans="1:22">
      <c r="A34" t="s">
        <v>183</v>
      </c>
      <c r="B34" t="s">
        <v>470</v>
      </c>
      <c r="C34" s="77"/>
      <c r="D34" s="77"/>
      <c r="E34" s="77"/>
      <c r="F34" s="77"/>
      <c r="G34" s="77"/>
      <c r="H34" s="77"/>
      <c r="I34" s="77"/>
      <c r="J34" s="85"/>
      <c r="K34" s="85"/>
      <c r="L34" s="85"/>
      <c r="M34" s="85"/>
      <c r="N34" s="85"/>
      <c r="O34" s="77"/>
      <c r="P34" s="77"/>
      <c r="Q34" s="77"/>
      <c r="R34" s="77"/>
      <c r="S34" s="77"/>
      <c r="T34" s="77"/>
      <c r="U34" s="77"/>
    </row>
    <row r="35" spans="1:22">
      <c r="A35" t="s">
        <v>184</v>
      </c>
      <c r="B35" t="s">
        <v>471</v>
      </c>
      <c r="C35" s="77"/>
      <c r="D35" s="77"/>
      <c r="E35" s="77"/>
      <c r="F35" s="77"/>
      <c r="G35" s="77"/>
      <c r="H35" s="77"/>
      <c r="I35" s="77"/>
      <c r="J35" s="85"/>
      <c r="K35" s="85"/>
      <c r="L35" s="85"/>
      <c r="M35" s="85"/>
      <c r="N35" s="85"/>
      <c r="O35" s="77"/>
      <c r="P35" s="77"/>
      <c r="Q35" s="77"/>
      <c r="R35" s="77"/>
      <c r="S35" s="77"/>
      <c r="T35" s="77"/>
      <c r="U35" s="77"/>
    </row>
    <row r="36" spans="1:22">
      <c r="A36" t="s">
        <v>185</v>
      </c>
      <c r="B36" t="s">
        <v>472</v>
      </c>
      <c r="C36" s="77"/>
      <c r="D36" s="77"/>
      <c r="E36" s="77"/>
      <c r="F36" s="77"/>
      <c r="G36" s="77"/>
      <c r="H36" s="77"/>
      <c r="I36" s="77"/>
      <c r="J36" s="85"/>
      <c r="K36" s="85"/>
      <c r="L36" s="85"/>
      <c r="M36" s="85"/>
      <c r="N36" s="85"/>
      <c r="O36" s="77"/>
      <c r="P36" s="77"/>
      <c r="Q36" s="77"/>
      <c r="R36" s="77"/>
      <c r="S36" s="77"/>
      <c r="T36" s="77"/>
      <c r="U36" s="77"/>
    </row>
    <row r="37" spans="1:22">
      <c r="A37" t="s">
        <v>186</v>
      </c>
      <c r="B37" t="s">
        <v>473</v>
      </c>
      <c r="C37" s="77"/>
      <c r="D37" s="77"/>
      <c r="E37" s="77"/>
      <c r="F37" s="77"/>
      <c r="G37" s="77"/>
      <c r="H37" s="77"/>
      <c r="I37" s="77"/>
      <c r="J37" s="85"/>
      <c r="K37" s="85"/>
      <c r="L37" s="85"/>
      <c r="M37" s="85"/>
      <c r="N37" s="85"/>
      <c r="O37" s="77"/>
      <c r="P37" s="77"/>
      <c r="Q37" s="77"/>
      <c r="R37" s="77"/>
      <c r="S37" s="77"/>
      <c r="T37" s="77"/>
      <c r="U37" s="77"/>
    </row>
    <row r="38" spans="1:22">
      <c r="A38" t="s">
        <v>187</v>
      </c>
      <c r="B38" t="s">
        <v>474</v>
      </c>
      <c r="C38" s="77"/>
      <c r="D38" s="77"/>
      <c r="E38" s="77"/>
      <c r="F38" s="77"/>
      <c r="G38" s="77"/>
      <c r="H38" s="77"/>
      <c r="I38" s="77"/>
      <c r="J38" s="85"/>
      <c r="K38" s="85"/>
      <c r="L38" s="85"/>
      <c r="M38" s="85"/>
      <c r="N38" s="85"/>
      <c r="O38" s="77"/>
      <c r="P38" s="77"/>
      <c r="Q38" s="77"/>
      <c r="R38" s="77"/>
      <c r="S38" s="77"/>
      <c r="T38" s="77"/>
      <c r="U38" s="77"/>
      <c r="V38" s="77"/>
    </row>
    <row r="39" spans="1:22">
      <c r="A39" t="s">
        <v>188</v>
      </c>
      <c r="B39" t="s">
        <v>475</v>
      </c>
      <c r="C39" s="77"/>
      <c r="D39" s="77"/>
      <c r="E39" s="77"/>
      <c r="F39" s="77"/>
      <c r="G39" s="77"/>
      <c r="H39" s="77"/>
      <c r="I39" s="77"/>
      <c r="J39" s="85"/>
      <c r="K39" s="85"/>
      <c r="L39" s="85"/>
      <c r="M39" s="85"/>
      <c r="N39" s="85"/>
      <c r="O39" s="77"/>
      <c r="P39" s="77"/>
      <c r="Q39" s="77"/>
      <c r="R39" s="77"/>
      <c r="S39" s="77"/>
      <c r="T39" s="77"/>
      <c r="U39" s="77"/>
      <c r="V39" s="77"/>
    </row>
    <row r="40" spans="1:22">
      <c r="A40" t="s">
        <v>189</v>
      </c>
      <c r="B40" t="s">
        <v>476</v>
      </c>
      <c r="C40" s="77"/>
      <c r="D40" s="77"/>
      <c r="E40" s="77"/>
      <c r="F40" s="77"/>
      <c r="G40" s="77"/>
      <c r="H40" s="77"/>
      <c r="I40" s="77"/>
      <c r="J40" s="85"/>
      <c r="K40" s="85"/>
      <c r="L40" s="85"/>
      <c r="M40" s="85"/>
      <c r="N40" s="85"/>
      <c r="O40" s="77"/>
      <c r="P40" s="77"/>
      <c r="Q40" s="77"/>
      <c r="R40" s="77"/>
      <c r="S40" s="77"/>
      <c r="T40" s="77"/>
      <c r="U40" s="77"/>
      <c r="V40" s="77"/>
    </row>
    <row r="41" spans="1:22">
      <c r="A41" t="s">
        <v>190</v>
      </c>
      <c r="B41" t="s">
        <v>477</v>
      </c>
      <c r="C41" s="77"/>
      <c r="D41" s="77"/>
      <c r="E41" s="77"/>
      <c r="F41" s="77"/>
      <c r="G41" s="77"/>
      <c r="H41" s="77"/>
      <c r="I41" s="77"/>
      <c r="J41" s="85"/>
      <c r="K41" s="85"/>
      <c r="L41" s="85"/>
      <c r="M41" s="85"/>
      <c r="N41" s="85"/>
      <c r="O41" s="77"/>
      <c r="P41" s="77"/>
      <c r="Q41" s="77"/>
      <c r="R41" s="77"/>
      <c r="S41" s="77"/>
      <c r="T41" s="77"/>
      <c r="U41" s="77"/>
      <c r="V41" s="77"/>
    </row>
    <row r="42" spans="1:22">
      <c r="A42" t="s">
        <v>191</v>
      </c>
      <c r="B42" t="s">
        <v>478</v>
      </c>
      <c r="C42" s="77"/>
      <c r="D42" s="77"/>
      <c r="E42" s="77"/>
      <c r="F42" s="77"/>
      <c r="G42" s="77"/>
      <c r="H42" s="77"/>
      <c r="I42" s="77"/>
      <c r="J42" s="85"/>
      <c r="K42" s="85"/>
      <c r="L42" s="85"/>
      <c r="M42" s="85"/>
      <c r="N42" s="85"/>
      <c r="O42" s="77"/>
      <c r="P42" s="77"/>
      <c r="Q42" s="77"/>
      <c r="R42" s="77"/>
      <c r="S42" s="77"/>
      <c r="T42" s="77"/>
      <c r="U42" s="77"/>
      <c r="V42" s="77"/>
    </row>
    <row r="43" spans="1:22">
      <c r="A43" t="s">
        <v>192</v>
      </c>
      <c r="B43" t="s">
        <v>479</v>
      </c>
      <c r="C43" s="77"/>
      <c r="D43" s="77"/>
      <c r="E43" s="77"/>
      <c r="F43" s="77"/>
      <c r="G43" s="77"/>
      <c r="H43" s="77"/>
      <c r="I43" s="77"/>
      <c r="J43" s="85"/>
      <c r="K43" s="85"/>
      <c r="L43" s="85"/>
      <c r="M43" s="85"/>
      <c r="N43" s="85"/>
      <c r="O43" s="77"/>
      <c r="P43" s="77"/>
      <c r="Q43" s="77"/>
      <c r="R43" s="77"/>
      <c r="S43" s="77"/>
      <c r="T43" s="77"/>
      <c r="U43" s="77"/>
      <c r="V43" s="77"/>
    </row>
    <row r="44" spans="1:22">
      <c r="A44" t="s">
        <v>193</v>
      </c>
      <c r="B44" t="s">
        <v>480</v>
      </c>
      <c r="C44" s="77"/>
      <c r="D44" s="77"/>
      <c r="E44" s="77"/>
      <c r="F44" s="77"/>
      <c r="G44" s="77"/>
      <c r="H44" s="77"/>
      <c r="I44" s="77"/>
      <c r="J44" s="85"/>
      <c r="K44" s="85"/>
      <c r="L44" s="85"/>
      <c r="M44" s="85"/>
      <c r="N44" s="85"/>
      <c r="O44" s="77"/>
      <c r="P44" s="77"/>
      <c r="Q44" s="77"/>
      <c r="R44" s="77"/>
      <c r="S44" s="77"/>
      <c r="T44" s="77"/>
      <c r="U44" s="77"/>
      <c r="V44" s="77"/>
    </row>
    <row r="45" spans="1:22">
      <c r="A45" t="s">
        <v>194</v>
      </c>
      <c r="B45" t="s">
        <v>481</v>
      </c>
      <c r="C45" s="77"/>
      <c r="D45" s="77"/>
      <c r="E45" s="77"/>
      <c r="F45" s="77"/>
      <c r="G45" s="77"/>
      <c r="H45" s="77"/>
      <c r="I45" s="77"/>
      <c r="J45" s="85"/>
      <c r="K45" s="85"/>
      <c r="L45" s="85"/>
      <c r="M45" s="85"/>
      <c r="N45" s="85"/>
      <c r="O45" s="77"/>
      <c r="P45" s="77"/>
      <c r="Q45" s="77"/>
      <c r="R45" s="77"/>
      <c r="S45" s="77"/>
      <c r="T45" s="77"/>
      <c r="U45" s="77"/>
      <c r="V45" s="77"/>
    </row>
    <row r="46" spans="1:22">
      <c r="A46" t="s">
        <v>195</v>
      </c>
      <c r="B46" t="s">
        <v>482</v>
      </c>
      <c r="C46" s="77"/>
      <c r="D46" s="77"/>
      <c r="E46" s="77"/>
      <c r="F46" s="77"/>
      <c r="G46" s="77"/>
      <c r="H46" s="77"/>
      <c r="I46" s="77"/>
      <c r="J46" s="85"/>
      <c r="K46" s="85"/>
      <c r="L46" s="85"/>
      <c r="M46" s="85"/>
      <c r="N46" s="85"/>
      <c r="O46" s="77"/>
      <c r="P46" s="77"/>
      <c r="Q46" s="77"/>
      <c r="R46" s="77"/>
      <c r="S46" s="77"/>
      <c r="T46" s="77"/>
      <c r="U46" s="77"/>
      <c r="V46" s="77"/>
    </row>
    <row r="47" spans="1:22">
      <c r="A47" t="s">
        <v>196</v>
      </c>
      <c r="B47" t="s">
        <v>483</v>
      </c>
      <c r="C47" s="77"/>
      <c r="D47" s="77"/>
      <c r="E47" s="77"/>
      <c r="F47" s="77"/>
      <c r="G47" s="77"/>
      <c r="H47" s="77"/>
      <c r="I47" s="77"/>
      <c r="J47" s="85"/>
      <c r="K47" s="85"/>
      <c r="L47" s="85"/>
      <c r="M47" s="85"/>
      <c r="N47" s="85"/>
      <c r="O47" s="77"/>
      <c r="P47" s="77"/>
      <c r="Q47" s="77"/>
      <c r="R47" s="77"/>
      <c r="S47" s="77"/>
      <c r="T47" s="77"/>
      <c r="U47" s="77"/>
      <c r="V47" s="77"/>
    </row>
    <row r="48" spans="1:22">
      <c r="A48" t="s">
        <v>197</v>
      </c>
      <c r="B48" t="s">
        <v>484</v>
      </c>
      <c r="C48" s="77"/>
      <c r="D48" s="77"/>
      <c r="E48" s="77"/>
      <c r="F48" s="77"/>
      <c r="G48" s="77"/>
      <c r="H48" s="77"/>
      <c r="I48" s="77"/>
      <c r="J48" s="85"/>
      <c r="K48" s="85"/>
      <c r="L48" s="85"/>
      <c r="M48" s="85"/>
      <c r="N48" s="85"/>
      <c r="O48" s="77"/>
      <c r="P48" s="77"/>
      <c r="Q48" s="77"/>
      <c r="R48" s="77"/>
      <c r="S48" s="77"/>
      <c r="T48" s="77"/>
      <c r="U48" s="77"/>
      <c r="V48" s="77"/>
    </row>
    <row r="49" spans="1:22">
      <c r="A49" t="s">
        <v>198</v>
      </c>
      <c r="B49" t="s">
        <v>485</v>
      </c>
      <c r="C49" s="77"/>
      <c r="D49" s="77"/>
      <c r="E49" s="77"/>
      <c r="F49" s="77"/>
      <c r="G49" s="77"/>
      <c r="H49" s="77"/>
      <c r="I49" s="77"/>
      <c r="J49" s="85"/>
      <c r="K49" s="85"/>
      <c r="L49" s="85"/>
      <c r="M49" s="85"/>
      <c r="N49" s="85"/>
      <c r="O49" s="77"/>
      <c r="P49" s="77"/>
      <c r="Q49" s="77"/>
      <c r="R49" s="77"/>
      <c r="S49" s="77"/>
      <c r="T49" s="77"/>
      <c r="U49" s="77"/>
      <c r="V49" s="77"/>
    </row>
    <row r="50" spans="1:22">
      <c r="A50" t="s">
        <v>199</v>
      </c>
      <c r="B50" t="s">
        <v>486</v>
      </c>
      <c r="C50" s="77"/>
      <c r="D50" s="77"/>
      <c r="E50" s="77"/>
      <c r="F50" s="77"/>
      <c r="G50" s="77"/>
      <c r="H50" s="77"/>
      <c r="I50" s="77"/>
      <c r="J50" s="85"/>
      <c r="K50" s="85"/>
      <c r="L50" s="85"/>
      <c r="M50" s="85"/>
      <c r="N50" s="85"/>
      <c r="O50" s="77"/>
      <c r="P50" s="77"/>
      <c r="Q50" s="77"/>
      <c r="R50" s="77"/>
      <c r="S50" s="77"/>
      <c r="T50" s="77"/>
      <c r="U50" s="77"/>
      <c r="V50" s="77"/>
    </row>
    <row r="51" spans="1:22">
      <c r="A51" t="s">
        <v>200</v>
      </c>
      <c r="B51" t="s">
        <v>487</v>
      </c>
      <c r="C51" s="77"/>
      <c r="D51" s="77"/>
      <c r="E51" s="77"/>
      <c r="F51" s="77"/>
      <c r="G51" s="77"/>
      <c r="H51" s="77"/>
      <c r="I51" s="77"/>
      <c r="J51" s="85"/>
      <c r="K51" s="85"/>
      <c r="L51" s="85"/>
      <c r="M51" s="85"/>
      <c r="N51" s="85"/>
      <c r="O51" s="77"/>
      <c r="P51" s="77"/>
      <c r="Q51" s="77"/>
      <c r="R51" s="77"/>
      <c r="S51" s="77"/>
      <c r="T51" s="77"/>
      <c r="U51" s="77"/>
      <c r="V51" s="77"/>
    </row>
    <row r="52" spans="1:22">
      <c r="A52" t="s">
        <v>201</v>
      </c>
      <c r="B52" t="s">
        <v>488</v>
      </c>
      <c r="C52" s="77"/>
      <c r="D52" s="77"/>
      <c r="E52" s="77"/>
      <c r="F52" s="77"/>
      <c r="G52" s="77"/>
      <c r="H52" s="77"/>
      <c r="I52" s="77"/>
      <c r="J52" s="85"/>
      <c r="K52" s="85"/>
      <c r="L52" s="85"/>
      <c r="M52" s="85"/>
      <c r="N52" s="85"/>
      <c r="O52" s="77"/>
      <c r="P52" s="77"/>
      <c r="Q52" s="77"/>
      <c r="R52" s="77"/>
      <c r="S52" s="77"/>
      <c r="T52" s="77"/>
      <c r="U52" s="77"/>
      <c r="V52" s="77"/>
    </row>
    <row r="53" spans="1:22">
      <c r="A53" t="s">
        <v>202</v>
      </c>
      <c r="B53" t="s">
        <v>489</v>
      </c>
      <c r="C53" s="77"/>
      <c r="D53" s="77"/>
      <c r="E53" s="77"/>
      <c r="F53" s="77"/>
      <c r="G53" s="77"/>
      <c r="H53" s="77"/>
      <c r="I53" s="77"/>
      <c r="J53" s="85"/>
      <c r="K53" s="85"/>
      <c r="L53" s="85"/>
      <c r="M53" s="85"/>
      <c r="N53" s="85"/>
      <c r="O53" s="77"/>
      <c r="P53" s="77"/>
      <c r="Q53" s="77"/>
      <c r="R53" s="77"/>
      <c r="S53" s="77"/>
      <c r="T53" s="77"/>
      <c r="U53" s="77"/>
      <c r="V53" s="77"/>
    </row>
    <row r="54" spans="1:22">
      <c r="A54" t="s">
        <v>203</v>
      </c>
      <c r="B54" t="s">
        <v>490</v>
      </c>
      <c r="C54" s="77"/>
      <c r="D54" s="77"/>
      <c r="E54" s="77"/>
      <c r="F54" s="77"/>
      <c r="G54" s="77"/>
      <c r="H54" s="77"/>
      <c r="I54" s="77"/>
      <c r="J54" s="85"/>
      <c r="K54" s="85"/>
      <c r="L54" s="85"/>
      <c r="M54" s="85"/>
      <c r="N54" s="85"/>
      <c r="O54" s="77"/>
      <c r="P54" s="77"/>
      <c r="Q54" s="77"/>
      <c r="R54" s="77"/>
      <c r="S54" s="77"/>
      <c r="T54" s="77"/>
      <c r="U54" s="77"/>
      <c r="V54" s="77"/>
    </row>
    <row r="55" spans="1:22">
      <c r="A55" t="s">
        <v>204</v>
      </c>
      <c r="B55" t="s">
        <v>491</v>
      </c>
      <c r="C55" s="77"/>
      <c r="D55" s="77"/>
      <c r="E55" s="77"/>
      <c r="F55" s="77"/>
      <c r="G55" s="77"/>
      <c r="H55" s="77"/>
      <c r="I55" s="77"/>
      <c r="J55" s="85"/>
      <c r="K55" s="85"/>
      <c r="L55" s="85"/>
      <c r="M55" s="85"/>
      <c r="N55" s="85"/>
      <c r="O55" s="77"/>
      <c r="P55" s="77"/>
      <c r="Q55" s="77"/>
      <c r="R55" s="77"/>
      <c r="S55" s="77"/>
      <c r="T55" s="77"/>
      <c r="U55" s="77"/>
      <c r="V55" s="77"/>
    </row>
    <row r="56" spans="1:22">
      <c r="A56" t="s">
        <v>205</v>
      </c>
      <c r="B56" t="s">
        <v>492</v>
      </c>
      <c r="C56" s="77"/>
      <c r="D56" s="77"/>
      <c r="E56" s="77"/>
      <c r="F56" s="77"/>
      <c r="G56" s="77"/>
      <c r="H56" s="77"/>
      <c r="I56" s="77"/>
      <c r="J56" s="85"/>
      <c r="K56" s="85"/>
      <c r="L56" s="85"/>
      <c r="M56" s="85"/>
      <c r="N56" s="85"/>
      <c r="O56" s="77"/>
      <c r="P56" s="77"/>
      <c r="Q56" s="77"/>
      <c r="R56" s="77"/>
      <c r="S56" s="77"/>
      <c r="T56" s="77"/>
      <c r="U56" s="77"/>
      <c r="V56" s="77"/>
    </row>
    <row r="57" spans="1:22">
      <c r="A57" t="s">
        <v>206</v>
      </c>
      <c r="B57" t="s">
        <v>493</v>
      </c>
      <c r="C57" s="77"/>
      <c r="D57" s="77"/>
      <c r="E57" s="77"/>
      <c r="F57" s="77"/>
      <c r="G57" s="77"/>
      <c r="H57" s="77"/>
      <c r="I57" s="77"/>
      <c r="J57" s="85"/>
      <c r="K57" s="85"/>
      <c r="L57" s="85"/>
      <c r="M57" s="85"/>
      <c r="N57" s="85"/>
      <c r="O57" s="77"/>
      <c r="P57" s="77"/>
      <c r="Q57" s="77"/>
      <c r="R57" s="77"/>
      <c r="S57" s="77"/>
      <c r="T57" s="77"/>
      <c r="U57" s="77"/>
      <c r="V57" s="77"/>
    </row>
    <row r="58" spans="1:22">
      <c r="A58" t="s">
        <v>207</v>
      </c>
      <c r="B58" t="s">
        <v>494</v>
      </c>
      <c r="C58" s="77"/>
      <c r="D58" s="77"/>
      <c r="E58" s="77"/>
      <c r="F58" s="77"/>
      <c r="G58" s="77"/>
      <c r="H58" s="77"/>
      <c r="I58" s="77"/>
      <c r="J58" s="85"/>
      <c r="K58" s="85"/>
      <c r="L58" s="85"/>
      <c r="M58" s="85"/>
      <c r="N58" s="85"/>
      <c r="O58" s="77"/>
      <c r="P58" s="77"/>
      <c r="Q58" s="77"/>
      <c r="R58" s="77"/>
      <c r="S58" s="77"/>
      <c r="T58" s="77"/>
      <c r="U58" s="77"/>
      <c r="V58" s="77"/>
    </row>
    <row r="59" spans="1:22">
      <c r="A59" t="s">
        <v>208</v>
      </c>
      <c r="B59" t="s">
        <v>495</v>
      </c>
      <c r="C59" s="77"/>
      <c r="D59" s="77"/>
      <c r="E59" s="77"/>
      <c r="F59" s="77"/>
      <c r="G59" s="77"/>
      <c r="H59" s="77"/>
      <c r="I59" s="77"/>
      <c r="J59" s="85"/>
      <c r="K59" s="85"/>
      <c r="L59" s="85"/>
      <c r="M59" s="85"/>
      <c r="N59" s="85"/>
      <c r="O59" s="77"/>
      <c r="P59" s="77"/>
      <c r="Q59" s="77"/>
      <c r="R59" s="77"/>
      <c r="S59" s="77"/>
      <c r="T59" s="77"/>
      <c r="U59" s="77"/>
      <c r="V59" s="77"/>
    </row>
    <row r="60" spans="1:22">
      <c r="A60" t="s">
        <v>209</v>
      </c>
      <c r="B60" t="s">
        <v>496</v>
      </c>
      <c r="C60" s="77"/>
      <c r="D60" s="77"/>
      <c r="E60" s="77"/>
      <c r="F60" s="77"/>
      <c r="G60" s="77"/>
      <c r="H60" s="77"/>
      <c r="I60" s="77"/>
      <c r="J60" s="85"/>
      <c r="K60" s="85"/>
      <c r="L60" s="85"/>
      <c r="M60" s="85"/>
      <c r="N60" s="85"/>
      <c r="O60" s="77"/>
      <c r="P60" s="77"/>
      <c r="Q60" s="77"/>
      <c r="R60" s="77"/>
      <c r="S60" s="77"/>
      <c r="T60" s="77"/>
      <c r="U60" s="77"/>
      <c r="V60" s="77"/>
    </row>
    <row r="61" spans="1:22">
      <c r="A61" t="s">
        <v>210</v>
      </c>
      <c r="B61" t="s">
        <v>497</v>
      </c>
      <c r="C61" s="77"/>
      <c r="D61" s="77"/>
      <c r="E61" s="77"/>
      <c r="F61" s="77"/>
      <c r="G61" s="77"/>
      <c r="H61" s="77"/>
      <c r="I61" s="77"/>
      <c r="J61" s="85"/>
      <c r="K61" s="85"/>
      <c r="L61" s="85"/>
      <c r="M61" s="85"/>
      <c r="N61" s="85"/>
      <c r="O61" s="77"/>
      <c r="P61" s="77"/>
      <c r="Q61" s="77"/>
      <c r="R61" s="77"/>
      <c r="S61" s="77"/>
      <c r="T61" s="77"/>
      <c r="U61" s="77"/>
      <c r="V61" s="77"/>
    </row>
    <row r="62" spans="1:22">
      <c r="A62" t="s">
        <v>211</v>
      </c>
      <c r="B62" t="s">
        <v>498</v>
      </c>
      <c r="C62" s="77"/>
      <c r="D62" s="77"/>
      <c r="E62" s="77"/>
      <c r="F62" s="77"/>
      <c r="G62" s="77"/>
      <c r="H62" s="77"/>
      <c r="I62" s="77"/>
      <c r="J62" s="85"/>
      <c r="K62" s="85"/>
      <c r="L62" s="85"/>
      <c r="M62" s="85"/>
      <c r="N62" s="85"/>
      <c r="O62" s="77"/>
      <c r="P62" s="77"/>
      <c r="Q62" s="77"/>
      <c r="R62" s="77"/>
      <c r="S62" s="77"/>
      <c r="T62" s="77"/>
      <c r="U62" s="77"/>
      <c r="V62" s="77"/>
    </row>
    <row r="63" spans="1:22">
      <c r="A63" t="s">
        <v>212</v>
      </c>
      <c r="B63" t="s">
        <v>499</v>
      </c>
      <c r="C63" s="77"/>
      <c r="D63" s="77"/>
      <c r="E63" s="77"/>
      <c r="F63" s="77"/>
      <c r="G63" s="77"/>
      <c r="H63" s="77"/>
      <c r="I63" s="77"/>
      <c r="J63" s="85"/>
      <c r="K63" s="85"/>
      <c r="L63" s="85"/>
      <c r="M63" s="85"/>
      <c r="N63" s="85"/>
      <c r="O63" s="77"/>
      <c r="P63" s="77"/>
      <c r="Q63" s="77"/>
      <c r="R63" s="77"/>
      <c r="S63" s="77"/>
      <c r="T63" s="77"/>
      <c r="U63" s="77"/>
      <c r="V63" s="77"/>
    </row>
    <row r="64" spans="1:22">
      <c r="A64" t="s">
        <v>213</v>
      </c>
      <c r="B64" t="s">
        <v>500</v>
      </c>
      <c r="C64" s="77"/>
      <c r="D64" s="77"/>
      <c r="E64" s="77"/>
      <c r="F64" s="77"/>
      <c r="G64" s="77"/>
      <c r="H64" s="77"/>
      <c r="I64" s="77"/>
      <c r="J64" s="85"/>
      <c r="K64" s="85"/>
      <c r="L64" s="85"/>
      <c r="M64" s="85"/>
      <c r="N64" s="85"/>
      <c r="O64" s="77"/>
      <c r="P64" s="77"/>
      <c r="Q64" s="77"/>
      <c r="R64" s="77"/>
      <c r="S64" s="77"/>
      <c r="T64" s="77"/>
      <c r="U64" s="77"/>
      <c r="V64" s="77"/>
    </row>
    <row r="65" spans="1:28">
      <c r="A65" t="s">
        <v>214</v>
      </c>
      <c r="B65" t="s">
        <v>501</v>
      </c>
      <c r="C65" s="77"/>
      <c r="D65" s="77"/>
      <c r="E65" s="77"/>
      <c r="F65" s="77"/>
      <c r="G65" s="77"/>
      <c r="H65" s="77"/>
      <c r="I65" s="77"/>
      <c r="J65" s="85"/>
      <c r="K65" s="85"/>
      <c r="L65" s="85"/>
      <c r="M65" s="85"/>
      <c r="N65" s="85"/>
      <c r="O65" s="77"/>
      <c r="P65" s="77"/>
      <c r="Q65" s="77"/>
      <c r="R65" s="77"/>
      <c r="S65" s="77"/>
      <c r="T65" s="77"/>
      <c r="U65" s="77"/>
      <c r="V65" s="77"/>
    </row>
    <row r="66" spans="1:28">
      <c r="A66" t="s">
        <v>215</v>
      </c>
      <c r="B66" t="s">
        <v>502</v>
      </c>
      <c r="C66" s="77"/>
      <c r="D66" s="77"/>
      <c r="E66" s="77"/>
      <c r="F66" s="77"/>
      <c r="G66" s="77"/>
      <c r="H66" s="77"/>
      <c r="I66" s="77"/>
      <c r="J66" s="85"/>
      <c r="K66" s="85"/>
      <c r="L66" s="85"/>
      <c r="M66" s="85"/>
      <c r="N66" s="85"/>
      <c r="O66" s="77"/>
      <c r="P66" s="77"/>
      <c r="Q66" s="77"/>
      <c r="R66" s="77"/>
      <c r="S66" s="77"/>
      <c r="T66" s="77"/>
      <c r="U66" s="77"/>
      <c r="V66" s="77"/>
    </row>
    <row r="67" spans="1:28">
      <c r="A67" t="s">
        <v>216</v>
      </c>
      <c r="B67" t="s">
        <v>503</v>
      </c>
      <c r="C67" s="77"/>
      <c r="D67" s="77"/>
      <c r="E67" s="77"/>
      <c r="F67" s="77"/>
      <c r="G67" s="77"/>
      <c r="H67" s="77"/>
      <c r="I67" s="77"/>
      <c r="J67" s="85"/>
      <c r="K67" s="85"/>
      <c r="L67" s="85"/>
      <c r="M67" s="85"/>
      <c r="N67" s="85"/>
      <c r="O67" s="77"/>
      <c r="P67" s="77"/>
      <c r="Q67" s="77"/>
      <c r="R67" s="77"/>
      <c r="S67" s="77"/>
      <c r="T67" s="77"/>
      <c r="U67" s="77"/>
      <c r="V67" s="77"/>
    </row>
    <row r="68" spans="1:28">
      <c r="A68" t="s">
        <v>217</v>
      </c>
      <c r="B68" t="s">
        <v>504</v>
      </c>
      <c r="C68" s="77"/>
      <c r="D68" s="77"/>
      <c r="E68" s="77"/>
      <c r="F68" s="77"/>
      <c r="G68" s="77"/>
      <c r="H68" s="77"/>
      <c r="I68" s="77"/>
      <c r="J68" s="85"/>
      <c r="K68" s="85"/>
      <c r="L68" s="85"/>
      <c r="M68" s="85"/>
      <c r="N68" s="85"/>
      <c r="O68" s="77"/>
      <c r="P68" s="77"/>
      <c r="Q68" s="77"/>
      <c r="R68" s="77"/>
      <c r="S68" s="77"/>
      <c r="T68" s="77"/>
      <c r="U68" s="77"/>
      <c r="V68" s="77"/>
    </row>
    <row r="69" spans="1:28">
      <c r="A69" t="s">
        <v>218</v>
      </c>
      <c r="B69" t="s">
        <v>505</v>
      </c>
      <c r="C69" s="77"/>
      <c r="D69" s="77"/>
      <c r="E69" s="77"/>
      <c r="F69" s="77"/>
      <c r="G69" s="77"/>
      <c r="H69" s="77"/>
      <c r="I69" s="77"/>
      <c r="J69" s="85"/>
      <c r="K69" s="85"/>
      <c r="L69" s="85"/>
      <c r="M69" s="85"/>
      <c r="N69" s="85"/>
      <c r="O69" s="77"/>
      <c r="P69" s="77"/>
      <c r="Q69" s="77"/>
      <c r="R69" s="77"/>
      <c r="S69" s="77"/>
      <c r="T69" s="77"/>
      <c r="U69" s="77"/>
      <c r="V69" s="77"/>
    </row>
    <row r="70" spans="1:28">
      <c r="A70" t="s">
        <v>219</v>
      </c>
      <c r="B70" t="s">
        <v>506</v>
      </c>
      <c r="C70" s="77"/>
      <c r="D70" s="77"/>
      <c r="E70" s="77"/>
      <c r="F70" s="77"/>
      <c r="G70" s="77"/>
      <c r="H70" s="77"/>
      <c r="I70" s="77"/>
      <c r="J70" s="85"/>
      <c r="K70" s="85"/>
      <c r="L70" s="85"/>
      <c r="M70" s="85"/>
      <c r="N70" s="85"/>
      <c r="O70" s="77"/>
      <c r="P70" s="77"/>
      <c r="Q70" s="77"/>
      <c r="R70" s="77"/>
      <c r="S70" s="77"/>
      <c r="T70" s="77"/>
      <c r="U70" s="77"/>
      <c r="V70" s="77"/>
    </row>
    <row r="71" spans="1:28">
      <c r="A71" t="s">
        <v>220</v>
      </c>
      <c r="B71" t="s">
        <v>507</v>
      </c>
      <c r="C71" s="77"/>
      <c r="D71" s="77"/>
      <c r="E71" s="77"/>
      <c r="F71" s="77"/>
      <c r="G71" s="77"/>
      <c r="H71" s="77"/>
      <c r="I71" s="77"/>
      <c r="J71" s="85"/>
      <c r="K71" s="85"/>
      <c r="L71" s="85"/>
      <c r="M71" s="85"/>
      <c r="N71" s="85"/>
      <c r="O71" s="77"/>
      <c r="P71" s="77"/>
      <c r="Q71" s="77"/>
      <c r="R71" s="77"/>
      <c r="S71" s="77"/>
      <c r="T71" s="77"/>
      <c r="U71" s="77"/>
      <c r="V71" s="77"/>
    </row>
    <row r="72" spans="1:28">
      <c r="A72" t="s">
        <v>221</v>
      </c>
      <c r="B72" t="s">
        <v>508</v>
      </c>
      <c r="C72" s="77"/>
      <c r="D72" s="77"/>
      <c r="E72" s="77"/>
      <c r="F72" s="77"/>
      <c r="G72" s="77"/>
      <c r="H72" s="77"/>
      <c r="I72" s="77"/>
      <c r="J72" s="85"/>
      <c r="K72" s="85"/>
      <c r="L72" s="85"/>
      <c r="M72" s="85"/>
      <c r="N72" s="85"/>
      <c r="O72" s="77"/>
      <c r="P72" s="77"/>
      <c r="Q72" s="77"/>
      <c r="R72" s="77"/>
      <c r="S72" s="77"/>
      <c r="T72" s="77"/>
      <c r="U72" s="77"/>
      <c r="V72" s="77"/>
    </row>
    <row r="73" spans="1:28">
      <c r="A73" t="s">
        <v>222</v>
      </c>
      <c r="B73" t="s">
        <v>509</v>
      </c>
      <c r="C73" s="77"/>
      <c r="D73" s="77"/>
      <c r="E73" s="77"/>
      <c r="F73" s="77"/>
      <c r="G73" s="77"/>
      <c r="H73" s="77"/>
      <c r="I73" s="77"/>
      <c r="J73" s="85"/>
      <c r="K73" s="85"/>
      <c r="L73" s="85"/>
      <c r="M73" s="85"/>
      <c r="N73" s="85"/>
      <c r="O73" s="77"/>
      <c r="P73" s="77"/>
      <c r="Q73" s="77"/>
      <c r="R73" s="77"/>
      <c r="S73" s="77"/>
      <c r="T73" s="77"/>
      <c r="U73" s="77"/>
      <c r="V73" s="77"/>
    </row>
    <row r="74" spans="1:28">
      <c r="A74" t="s">
        <v>223</v>
      </c>
      <c r="B74" t="s">
        <v>510</v>
      </c>
      <c r="C74" s="77"/>
      <c r="D74" s="77"/>
      <c r="E74" s="77"/>
      <c r="F74" s="77"/>
      <c r="G74" s="77"/>
      <c r="H74" s="77"/>
      <c r="I74" s="77"/>
      <c r="J74" s="85"/>
      <c r="K74" s="85"/>
      <c r="L74" s="85"/>
      <c r="M74" s="85"/>
      <c r="N74" s="85"/>
      <c r="O74" s="77"/>
      <c r="P74" s="77"/>
      <c r="Q74" s="77"/>
      <c r="R74" s="77"/>
      <c r="S74" s="77"/>
      <c r="T74" s="77"/>
      <c r="U74" s="77"/>
      <c r="V74" s="77"/>
    </row>
    <row r="75" spans="1:28">
      <c r="A75" t="s">
        <v>224</v>
      </c>
      <c r="B75" t="s">
        <v>435</v>
      </c>
      <c r="C75" s="77">
        <v>1668.9</v>
      </c>
      <c r="D75" s="77">
        <v>1774.8</v>
      </c>
      <c r="E75" s="77">
        <v>1850.2</v>
      </c>
      <c r="F75" s="77">
        <v>1261.3</v>
      </c>
      <c r="G75" s="77">
        <v>1237.0999999999999</v>
      </c>
      <c r="H75" s="77">
        <v>1310.4000000000001</v>
      </c>
      <c r="I75" s="77">
        <v>1698.2</v>
      </c>
      <c r="J75" s="85">
        <v>1234.5</v>
      </c>
      <c r="K75" s="85"/>
      <c r="L75" s="85" t="str">
        <f>DEC2HEX(Table25[[#This Row],[ETHVer1]]*10)</f>
        <v>4131</v>
      </c>
      <c r="M75" s="85" t="str">
        <f>DEC2HEX(Table25[[#This Row],[ETHVer2]]*10)</f>
        <v>4554</v>
      </c>
      <c r="N75" s="85" t="str">
        <f>DEC2HEX(Table25[[#This Row],[ETHVer3]]*10)</f>
        <v>4846</v>
      </c>
      <c r="O75" s="85" t="str">
        <f>DEC2HEX(Table25[[#This Row],[ETHVer4]]*10)</f>
        <v>3145</v>
      </c>
      <c r="P75" s="85" t="str">
        <f>DEC2HEX(Table25[[#This Row],[ETHVer5]]*10)</f>
        <v>3053</v>
      </c>
      <c r="Q75" s="85" t="str">
        <f>DEC2HEX(Table25[[#This Row],[ETHVer6]]*10)</f>
        <v>3330</v>
      </c>
      <c r="R75" s="85" t="str">
        <f>DEC2HEX(Table25[[#This Row],[ETHVer7]]*10)</f>
        <v>4256</v>
      </c>
      <c r="S75" s="85" t="str">
        <f>DEC2HEX(Table25[[#This Row],[ETHVer8]]*10)</f>
        <v>3039</v>
      </c>
      <c r="T75" s="60" t="str">
        <f>CHAR(HEX2DEC(LEFT(L75,2)))&amp;CHAR(HEX2DEC(RIGHT(L75,2)))</f>
        <v>A1</v>
      </c>
      <c r="U75" s="60" t="str">
        <f t="shared" ref="U75:AA75" si="0">CHAR(HEX2DEC(LEFT(M75,2)))&amp;CHAR(HEX2DEC(RIGHT(M75,2)))</f>
        <v>ET</v>
      </c>
      <c r="V75" s="60" t="str">
        <f t="shared" si="0"/>
        <v>HF</v>
      </c>
      <c r="W75" s="60" t="str">
        <f t="shared" si="0"/>
        <v>1E</v>
      </c>
      <c r="X75" s="60" t="str">
        <f t="shared" si="0"/>
        <v>0S</v>
      </c>
      <c r="Y75" s="60" t="str">
        <f t="shared" si="0"/>
        <v>30</v>
      </c>
      <c r="Z75" s="60" t="str">
        <f t="shared" si="0"/>
        <v>BV</v>
      </c>
      <c r="AA75" s="60" t="str">
        <f t="shared" si="0"/>
        <v>09</v>
      </c>
      <c r="AB75" s="60" t="str">
        <f>_xlfn.CONCAT(T75:AA75)</f>
        <v>A1ETHF1E0S30BV09</v>
      </c>
    </row>
    <row r="76" spans="1:28">
      <c r="A76" t="s">
        <v>225</v>
      </c>
      <c r="B76" t="s">
        <v>434</v>
      </c>
      <c r="C76" s="77">
        <v>1668.9</v>
      </c>
      <c r="D76" s="77">
        <v>1774.8</v>
      </c>
      <c r="E76" s="77">
        <v>1850.2</v>
      </c>
      <c r="F76" s="77">
        <v>1261.3</v>
      </c>
      <c r="G76" s="77">
        <v>1237.0999999999999</v>
      </c>
      <c r="H76" s="77">
        <v>1310.4000000000001</v>
      </c>
      <c r="I76" s="77">
        <v>1698.2</v>
      </c>
      <c r="J76" s="85">
        <v>1234.5</v>
      </c>
      <c r="K76" s="85"/>
      <c r="L76" s="85" t="str">
        <f>DEC2HEX(Table25[[#This Row],[ETHVer1]]*10)</f>
        <v>4131</v>
      </c>
      <c r="M76" s="85" t="str">
        <f>DEC2HEX(Table25[[#This Row],[ETHVer2]]*10)</f>
        <v>4554</v>
      </c>
      <c r="N76" s="85" t="str">
        <f>DEC2HEX(Table25[[#This Row],[ETHVer3]]*10)</f>
        <v>4846</v>
      </c>
      <c r="O76" s="85" t="str">
        <f>DEC2HEX(Table25[[#This Row],[ETHVer4]]*10)</f>
        <v>3145</v>
      </c>
      <c r="P76" s="85" t="str">
        <f>DEC2HEX(Table25[[#This Row],[ETHVer5]]*10)</f>
        <v>3053</v>
      </c>
      <c r="Q76" s="85" t="str">
        <f>DEC2HEX(Table25[[#This Row],[ETHVer6]]*10)</f>
        <v>3330</v>
      </c>
      <c r="R76" s="85" t="str">
        <f>DEC2HEX(Table25[[#This Row],[ETHVer7]]*10)</f>
        <v>4256</v>
      </c>
      <c r="S76" s="85" t="str">
        <f>DEC2HEX(Table25[[#This Row],[ETHVer8]]*10)</f>
        <v>3039</v>
      </c>
      <c r="T76" s="60" t="str">
        <f t="shared" ref="T76:T110" si="1">CHAR(HEX2DEC(LEFT(L76,2)))&amp;CHAR(HEX2DEC(RIGHT(L76,2)))</f>
        <v>A1</v>
      </c>
      <c r="U76" s="60" t="str">
        <f t="shared" ref="U76:U110" si="2">CHAR(HEX2DEC(LEFT(M76,2)))&amp;CHAR(HEX2DEC(RIGHT(M76,2)))</f>
        <v>ET</v>
      </c>
      <c r="V76" s="60" t="str">
        <f t="shared" ref="V76:V110" si="3">CHAR(HEX2DEC(LEFT(N76,2)))&amp;CHAR(HEX2DEC(RIGHT(N76,2)))</f>
        <v>HF</v>
      </c>
      <c r="W76" s="60" t="str">
        <f t="shared" ref="W76:W110" si="4">CHAR(HEX2DEC(LEFT(O76,2)))&amp;CHAR(HEX2DEC(RIGHT(O76,2)))</f>
        <v>1E</v>
      </c>
      <c r="X76" s="60" t="str">
        <f t="shared" ref="X76:X110" si="5">CHAR(HEX2DEC(LEFT(P76,2)))&amp;CHAR(HEX2DEC(RIGHT(P76,2)))</f>
        <v>0S</v>
      </c>
      <c r="Y76" s="60" t="str">
        <f t="shared" ref="Y76:Y110" si="6">CHAR(HEX2DEC(LEFT(Q76,2)))&amp;CHAR(HEX2DEC(RIGHT(Q76,2)))</f>
        <v>30</v>
      </c>
      <c r="Z76" s="60" t="str">
        <f t="shared" ref="Z76:Z110" si="7">CHAR(HEX2DEC(LEFT(R76,2)))&amp;CHAR(HEX2DEC(RIGHT(R76,2)))</f>
        <v>BV</v>
      </c>
      <c r="AA76" s="60" t="str">
        <f t="shared" ref="AA76:AA110" si="8">CHAR(HEX2DEC(LEFT(S76,2)))&amp;CHAR(HEX2DEC(RIGHT(S76,2)))</f>
        <v>09</v>
      </c>
      <c r="AB76" s="60" t="str">
        <f t="shared" ref="AB76:AB110" si="9">_xlfn.CONCAT(T76:AA76)</f>
        <v>A1ETHF1E0S30BV09</v>
      </c>
    </row>
    <row r="77" spans="1:28">
      <c r="A77" t="s">
        <v>226</v>
      </c>
      <c r="B77" t="s">
        <v>433</v>
      </c>
      <c r="C77" s="77">
        <v>1668.9</v>
      </c>
      <c r="D77" s="77">
        <v>1774.8</v>
      </c>
      <c r="E77" s="77">
        <v>1850.2</v>
      </c>
      <c r="F77" s="77">
        <v>1261.3</v>
      </c>
      <c r="G77" s="77">
        <v>1237.0999999999999</v>
      </c>
      <c r="H77" s="77">
        <v>1310.4000000000001</v>
      </c>
      <c r="I77" s="77">
        <v>1698.2</v>
      </c>
      <c r="J77" s="85">
        <v>1234.5</v>
      </c>
      <c r="K77" s="85"/>
      <c r="L77" s="85" t="str">
        <f>DEC2HEX(Table25[[#This Row],[ETHVer1]]*10)</f>
        <v>4131</v>
      </c>
      <c r="M77" s="85" t="str">
        <f>DEC2HEX(Table25[[#This Row],[ETHVer2]]*10)</f>
        <v>4554</v>
      </c>
      <c r="N77" s="85" t="str">
        <f>DEC2HEX(Table25[[#This Row],[ETHVer3]]*10)</f>
        <v>4846</v>
      </c>
      <c r="O77" s="85" t="str">
        <f>DEC2HEX(Table25[[#This Row],[ETHVer4]]*10)</f>
        <v>3145</v>
      </c>
      <c r="P77" s="85" t="str">
        <f>DEC2HEX(Table25[[#This Row],[ETHVer5]]*10)</f>
        <v>3053</v>
      </c>
      <c r="Q77" s="85" t="str">
        <f>DEC2HEX(Table25[[#This Row],[ETHVer6]]*10)</f>
        <v>3330</v>
      </c>
      <c r="R77" s="85" t="str">
        <f>DEC2HEX(Table25[[#This Row],[ETHVer7]]*10)</f>
        <v>4256</v>
      </c>
      <c r="S77" s="85" t="str">
        <f>DEC2HEX(Table25[[#This Row],[ETHVer8]]*10)</f>
        <v>3039</v>
      </c>
      <c r="T77" s="60" t="str">
        <f t="shared" si="1"/>
        <v>A1</v>
      </c>
      <c r="U77" s="60" t="str">
        <f t="shared" si="2"/>
        <v>ET</v>
      </c>
      <c r="V77" s="60" t="str">
        <f t="shared" si="3"/>
        <v>HF</v>
      </c>
      <c r="W77" s="60" t="str">
        <f t="shared" si="4"/>
        <v>1E</v>
      </c>
      <c r="X77" s="60" t="str">
        <f t="shared" si="5"/>
        <v>0S</v>
      </c>
      <c r="Y77" s="60" t="str">
        <f t="shared" si="6"/>
        <v>30</v>
      </c>
      <c r="Z77" s="60" t="str">
        <f t="shared" si="7"/>
        <v>BV</v>
      </c>
      <c r="AA77" s="60" t="str">
        <f t="shared" si="8"/>
        <v>09</v>
      </c>
      <c r="AB77" s="60" t="str">
        <f t="shared" si="9"/>
        <v>A1ETHF1E0S30BV09</v>
      </c>
    </row>
    <row r="78" spans="1:28">
      <c r="A78" t="s">
        <v>227</v>
      </c>
      <c r="B78" t="s">
        <v>432</v>
      </c>
      <c r="C78" s="77">
        <v>1668.9</v>
      </c>
      <c r="D78" s="77">
        <v>1774.8</v>
      </c>
      <c r="E78" s="77">
        <v>1850.2</v>
      </c>
      <c r="F78" s="77">
        <v>1261.3</v>
      </c>
      <c r="G78" s="77">
        <v>1237.0999999999999</v>
      </c>
      <c r="H78" s="77">
        <v>1310.4000000000001</v>
      </c>
      <c r="I78" s="77">
        <v>1698.2</v>
      </c>
      <c r="J78" s="85">
        <v>1234.5</v>
      </c>
      <c r="K78" s="85"/>
      <c r="L78" s="85" t="str">
        <f>DEC2HEX(Table25[[#This Row],[ETHVer1]]*10)</f>
        <v>4131</v>
      </c>
      <c r="M78" s="85" t="str">
        <f>DEC2HEX(Table25[[#This Row],[ETHVer2]]*10)</f>
        <v>4554</v>
      </c>
      <c r="N78" s="85" t="str">
        <f>DEC2HEX(Table25[[#This Row],[ETHVer3]]*10)</f>
        <v>4846</v>
      </c>
      <c r="O78" s="85" t="str">
        <f>DEC2HEX(Table25[[#This Row],[ETHVer4]]*10)</f>
        <v>3145</v>
      </c>
      <c r="P78" s="85" t="str">
        <f>DEC2HEX(Table25[[#This Row],[ETHVer5]]*10)</f>
        <v>3053</v>
      </c>
      <c r="Q78" s="85" t="str">
        <f>DEC2HEX(Table25[[#This Row],[ETHVer6]]*10)</f>
        <v>3330</v>
      </c>
      <c r="R78" s="85" t="str">
        <f>DEC2HEX(Table25[[#This Row],[ETHVer7]]*10)</f>
        <v>4256</v>
      </c>
      <c r="S78" s="85" t="str">
        <f>DEC2HEX(Table25[[#This Row],[ETHVer8]]*10)</f>
        <v>3039</v>
      </c>
      <c r="T78" s="60" t="str">
        <f t="shared" si="1"/>
        <v>A1</v>
      </c>
      <c r="U78" s="60" t="str">
        <f t="shared" si="2"/>
        <v>ET</v>
      </c>
      <c r="V78" s="60" t="str">
        <f t="shared" si="3"/>
        <v>HF</v>
      </c>
      <c r="W78" s="60" t="str">
        <f t="shared" si="4"/>
        <v>1E</v>
      </c>
      <c r="X78" s="60" t="str">
        <f t="shared" si="5"/>
        <v>0S</v>
      </c>
      <c r="Y78" s="60" t="str">
        <f t="shared" si="6"/>
        <v>30</v>
      </c>
      <c r="Z78" s="60" t="str">
        <f t="shared" si="7"/>
        <v>BV</v>
      </c>
      <c r="AA78" s="60" t="str">
        <f t="shared" si="8"/>
        <v>09</v>
      </c>
      <c r="AB78" s="60" t="str">
        <f t="shared" si="9"/>
        <v>A1ETHF1E0S30BV09</v>
      </c>
    </row>
    <row r="79" spans="1:28">
      <c r="A79" t="s">
        <v>228</v>
      </c>
      <c r="B79" t="s">
        <v>511</v>
      </c>
      <c r="C79" s="77">
        <v>1668.9</v>
      </c>
      <c r="D79" s="77">
        <v>1774.8</v>
      </c>
      <c r="E79" s="77">
        <v>1850.2</v>
      </c>
      <c r="F79" s="77">
        <v>1261.3</v>
      </c>
      <c r="G79" s="77">
        <v>1237.0999999999999</v>
      </c>
      <c r="H79" s="77">
        <v>1310.4000000000001</v>
      </c>
      <c r="I79" s="77">
        <v>1698.2</v>
      </c>
      <c r="J79" s="85">
        <v>1234.5</v>
      </c>
      <c r="K79" s="85"/>
      <c r="L79" s="85" t="str">
        <f>DEC2HEX(Table25[[#This Row],[ETHVer1]]*10)</f>
        <v>4131</v>
      </c>
      <c r="M79" s="85" t="str">
        <f>DEC2HEX(Table25[[#This Row],[ETHVer2]]*10)</f>
        <v>4554</v>
      </c>
      <c r="N79" s="85" t="str">
        <f>DEC2HEX(Table25[[#This Row],[ETHVer3]]*10)</f>
        <v>4846</v>
      </c>
      <c r="O79" s="85" t="str">
        <f>DEC2HEX(Table25[[#This Row],[ETHVer4]]*10)</f>
        <v>3145</v>
      </c>
      <c r="P79" s="85" t="str">
        <f>DEC2HEX(Table25[[#This Row],[ETHVer5]]*10)</f>
        <v>3053</v>
      </c>
      <c r="Q79" s="85" t="str">
        <f>DEC2HEX(Table25[[#This Row],[ETHVer6]]*10)</f>
        <v>3330</v>
      </c>
      <c r="R79" s="85" t="str">
        <f>DEC2HEX(Table25[[#This Row],[ETHVer7]]*10)</f>
        <v>4256</v>
      </c>
      <c r="S79" s="85" t="str">
        <f>DEC2HEX(Table25[[#This Row],[ETHVer8]]*10)</f>
        <v>3039</v>
      </c>
      <c r="T79" s="60" t="str">
        <f t="shared" si="1"/>
        <v>A1</v>
      </c>
      <c r="U79" s="60" t="str">
        <f t="shared" si="2"/>
        <v>ET</v>
      </c>
      <c r="V79" s="60" t="str">
        <f t="shared" si="3"/>
        <v>HF</v>
      </c>
      <c r="W79" s="60" t="str">
        <f t="shared" si="4"/>
        <v>1E</v>
      </c>
      <c r="X79" s="60" t="str">
        <f t="shared" si="5"/>
        <v>0S</v>
      </c>
      <c r="Y79" s="60" t="str">
        <f t="shared" si="6"/>
        <v>30</v>
      </c>
      <c r="Z79" s="60" t="str">
        <f t="shared" si="7"/>
        <v>BV</v>
      </c>
      <c r="AA79" s="60" t="str">
        <f t="shared" si="8"/>
        <v>09</v>
      </c>
      <c r="AB79" s="60" t="str">
        <f t="shared" si="9"/>
        <v>A1ETHF1E0S30BV09</v>
      </c>
    </row>
    <row r="80" spans="1:28">
      <c r="A80" t="s">
        <v>229</v>
      </c>
      <c r="B80" t="s">
        <v>512</v>
      </c>
      <c r="C80" s="77">
        <v>1668.9</v>
      </c>
      <c r="D80" s="77">
        <v>1774.8</v>
      </c>
      <c r="E80" s="77">
        <v>1850.2</v>
      </c>
      <c r="F80" s="77">
        <v>1261.3</v>
      </c>
      <c r="G80" s="77">
        <v>1237.0999999999999</v>
      </c>
      <c r="H80" s="77">
        <v>1310.4000000000001</v>
      </c>
      <c r="I80" s="77">
        <v>1698.2</v>
      </c>
      <c r="J80" s="85">
        <v>1234.5</v>
      </c>
      <c r="K80" s="85"/>
      <c r="L80" s="85" t="str">
        <f>DEC2HEX(Table25[[#This Row],[ETHVer1]]*10)</f>
        <v>4131</v>
      </c>
      <c r="M80" s="85" t="str">
        <f>DEC2HEX(Table25[[#This Row],[ETHVer2]]*10)</f>
        <v>4554</v>
      </c>
      <c r="N80" s="85" t="str">
        <f>DEC2HEX(Table25[[#This Row],[ETHVer3]]*10)</f>
        <v>4846</v>
      </c>
      <c r="O80" s="85" t="str">
        <f>DEC2HEX(Table25[[#This Row],[ETHVer4]]*10)</f>
        <v>3145</v>
      </c>
      <c r="P80" s="85" t="str">
        <f>DEC2HEX(Table25[[#This Row],[ETHVer5]]*10)</f>
        <v>3053</v>
      </c>
      <c r="Q80" s="85" t="str">
        <f>DEC2HEX(Table25[[#This Row],[ETHVer6]]*10)</f>
        <v>3330</v>
      </c>
      <c r="R80" s="85" t="str">
        <f>DEC2HEX(Table25[[#This Row],[ETHVer7]]*10)</f>
        <v>4256</v>
      </c>
      <c r="S80" s="85" t="str">
        <f>DEC2HEX(Table25[[#This Row],[ETHVer8]]*10)</f>
        <v>3039</v>
      </c>
      <c r="T80" s="60" t="str">
        <f t="shared" si="1"/>
        <v>A1</v>
      </c>
      <c r="U80" s="60" t="str">
        <f t="shared" si="2"/>
        <v>ET</v>
      </c>
      <c r="V80" s="60" t="str">
        <f t="shared" si="3"/>
        <v>HF</v>
      </c>
      <c r="W80" s="60" t="str">
        <f t="shared" si="4"/>
        <v>1E</v>
      </c>
      <c r="X80" s="60" t="str">
        <f t="shared" si="5"/>
        <v>0S</v>
      </c>
      <c r="Y80" s="60" t="str">
        <f t="shared" si="6"/>
        <v>30</v>
      </c>
      <c r="Z80" s="60" t="str">
        <f t="shared" si="7"/>
        <v>BV</v>
      </c>
      <c r="AA80" s="60" t="str">
        <f t="shared" si="8"/>
        <v>09</v>
      </c>
      <c r="AB80" s="60" t="str">
        <f t="shared" si="9"/>
        <v>A1ETHF1E0S30BV09</v>
      </c>
    </row>
    <row r="81" spans="1:28">
      <c r="A81" t="s">
        <v>230</v>
      </c>
      <c r="B81" t="s">
        <v>513</v>
      </c>
      <c r="C81" s="77">
        <v>1668.9</v>
      </c>
      <c r="D81" s="77">
        <v>1774.8</v>
      </c>
      <c r="E81" s="77">
        <v>1850.2</v>
      </c>
      <c r="F81" s="77">
        <v>1261.3</v>
      </c>
      <c r="G81" s="77">
        <v>1237.0999999999999</v>
      </c>
      <c r="H81" s="77">
        <v>1310.4000000000001</v>
      </c>
      <c r="I81" s="77">
        <v>1698.2</v>
      </c>
      <c r="J81" s="85">
        <v>1234.5</v>
      </c>
      <c r="K81" s="85"/>
      <c r="L81" s="85" t="str">
        <f>DEC2HEX(Table25[[#This Row],[ETHVer1]]*10)</f>
        <v>4131</v>
      </c>
      <c r="M81" s="85" t="str">
        <f>DEC2HEX(Table25[[#This Row],[ETHVer2]]*10)</f>
        <v>4554</v>
      </c>
      <c r="N81" s="85" t="str">
        <f>DEC2HEX(Table25[[#This Row],[ETHVer3]]*10)</f>
        <v>4846</v>
      </c>
      <c r="O81" s="85" t="str">
        <f>DEC2HEX(Table25[[#This Row],[ETHVer4]]*10)</f>
        <v>3145</v>
      </c>
      <c r="P81" s="85" t="str">
        <f>DEC2HEX(Table25[[#This Row],[ETHVer5]]*10)</f>
        <v>3053</v>
      </c>
      <c r="Q81" s="85" t="str">
        <f>DEC2HEX(Table25[[#This Row],[ETHVer6]]*10)</f>
        <v>3330</v>
      </c>
      <c r="R81" s="85" t="str">
        <f>DEC2HEX(Table25[[#This Row],[ETHVer7]]*10)</f>
        <v>4256</v>
      </c>
      <c r="S81" s="85" t="str">
        <f>DEC2HEX(Table25[[#This Row],[ETHVer8]]*10)</f>
        <v>3039</v>
      </c>
      <c r="T81" s="60" t="str">
        <f t="shared" si="1"/>
        <v>A1</v>
      </c>
      <c r="U81" s="60" t="str">
        <f t="shared" si="2"/>
        <v>ET</v>
      </c>
      <c r="V81" s="60" t="str">
        <f t="shared" si="3"/>
        <v>HF</v>
      </c>
      <c r="W81" s="60" t="str">
        <f t="shared" si="4"/>
        <v>1E</v>
      </c>
      <c r="X81" s="60" t="str">
        <f t="shared" si="5"/>
        <v>0S</v>
      </c>
      <c r="Y81" s="60" t="str">
        <f t="shared" si="6"/>
        <v>30</v>
      </c>
      <c r="Z81" s="60" t="str">
        <f t="shared" si="7"/>
        <v>BV</v>
      </c>
      <c r="AA81" s="60" t="str">
        <f t="shared" si="8"/>
        <v>09</v>
      </c>
      <c r="AB81" s="60" t="str">
        <f t="shared" si="9"/>
        <v>A1ETHF1E0S30BV09</v>
      </c>
    </row>
    <row r="82" spans="1:28">
      <c r="A82" t="s">
        <v>231</v>
      </c>
      <c r="B82" t="s">
        <v>514</v>
      </c>
      <c r="C82" s="77">
        <v>1668.9</v>
      </c>
      <c r="D82" s="77">
        <v>1774.8</v>
      </c>
      <c r="E82" s="77">
        <v>1850.2</v>
      </c>
      <c r="F82" s="77">
        <v>1261.3</v>
      </c>
      <c r="G82" s="77">
        <v>1237.0999999999999</v>
      </c>
      <c r="H82" s="77">
        <v>1310.4000000000001</v>
      </c>
      <c r="I82" s="77">
        <v>1698.2</v>
      </c>
      <c r="J82" s="85">
        <v>1234.5</v>
      </c>
      <c r="K82" s="85"/>
      <c r="L82" s="85" t="str">
        <f>DEC2HEX(Table25[[#This Row],[ETHVer1]]*10)</f>
        <v>4131</v>
      </c>
      <c r="M82" s="85" t="str">
        <f>DEC2HEX(Table25[[#This Row],[ETHVer2]]*10)</f>
        <v>4554</v>
      </c>
      <c r="N82" s="85" t="str">
        <f>DEC2HEX(Table25[[#This Row],[ETHVer3]]*10)</f>
        <v>4846</v>
      </c>
      <c r="O82" s="85" t="str">
        <f>DEC2HEX(Table25[[#This Row],[ETHVer4]]*10)</f>
        <v>3145</v>
      </c>
      <c r="P82" s="85" t="str">
        <f>DEC2HEX(Table25[[#This Row],[ETHVer5]]*10)</f>
        <v>3053</v>
      </c>
      <c r="Q82" s="85" t="str">
        <f>DEC2HEX(Table25[[#This Row],[ETHVer6]]*10)</f>
        <v>3330</v>
      </c>
      <c r="R82" s="85" t="str">
        <f>DEC2HEX(Table25[[#This Row],[ETHVer7]]*10)</f>
        <v>4256</v>
      </c>
      <c r="S82" s="85" t="str">
        <f>DEC2HEX(Table25[[#This Row],[ETHVer8]]*10)</f>
        <v>3039</v>
      </c>
      <c r="T82" s="60" t="str">
        <f t="shared" si="1"/>
        <v>A1</v>
      </c>
      <c r="U82" s="60" t="str">
        <f t="shared" si="2"/>
        <v>ET</v>
      </c>
      <c r="V82" s="60" t="str">
        <f t="shared" si="3"/>
        <v>HF</v>
      </c>
      <c r="W82" s="60" t="str">
        <f t="shared" si="4"/>
        <v>1E</v>
      </c>
      <c r="X82" s="60" t="str">
        <f t="shared" si="5"/>
        <v>0S</v>
      </c>
      <c r="Y82" s="60" t="str">
        <f t="shared" si="6"/>
        <v>30</v>
      </c>
      <c r="Z82" s="60" t="str">
        <f t="shared" si="7"/>
        <v>BV</v>
      </c>
      <c r="AA82" s="60" t="str">
        <f t="shared" si="8"/>
        <v>09</v>
      </c>
      <c r="AB82" s="60" t="str">
        <f t="shared" si="9"/>
        <v>A1ETHF1E0S30BV09</v>
      </c>
    </row>
    <row r="83" spans="1:28">
      <c r="A83" t="s">
        <v>232</v>
      </c>
      <c r="B83" t="s">
        <v>515</v>
      </c>
      <c r="C83" s="77">
        <v>1668.9</v>
      </c>
      <c r="D83" s="77">
        <v>1774.8</v>
      </c>
      <c r="E83" s="77">
        <v>1850.2</v>
      </c>
      <c r="F83" s="77">
        <v>1261.3</v>
      </c>
      <c r="G83" s="77">
        <v>1237.0999999999999</v>
      </c>
      <c r="H83" s="77">
        <v>1310.4000000000001</v>
      </c>
      <c r="I83" s="77">
        <v>1698.2</v>
      </c>
      <c r="J83" s="85">
        <v>1234.5</v>
      </c>
      <c r="K83" s="85"/>
      <c r="L83" s="85" t="str">
        <f>DEC2HEX(Table25[[#This Row],[ETHVer1]]*10)</f>
        <v>4131</v>
      </c>
      <c r="M83" s="85" t="str">
        <f>DEC2HEX(Table25[[#This Row],[ETHVer2]]*10)</f>
        <v>4554</v>
      </c>
      <c r="N83" s="85" t="str">
        <f>DEC2HEX(Table25[[#This Row],[ETHVer3]]*10)</f>
        <v>4846</v>
      </c>
      <c r="O83" s="85" t="str">
        <f>DEC2HEX(Table25[[#This Row],[ETHVer4]]*10)</f>
        <v>3145</v>
      </c>
      <c r="P83" s="85" t="str">
        <f>DEC2HEX(Table25[[#This Row],[ETHVer5]]*10)</f>
        <v>3053</v>
      </c>
      <c r="Q83" s="85" t="str">
        <f>DEC2HEX(Table25[[#This Row],[ETHVer6]]*10)</f>
        <v>3330</v>
      </c>
      <c r="R83" s="85" t="str">
        <f>DEC2HEX(Table25[[#This Row],[ETHVer7]]*10)</f>
        <v>4256</v>
      </c>
      <c r="S83" s="85" t="str">
        <f>DEC2HEX(Table25[[#This Row],[ETHVer8]]*10)</f>
        <v>3039</v>
      </c>
      <c r="T83" s="60" t="str">
        <f t="shared" si="1"/>
        <v>A1</v>
      </c>
      <c r="U83" s="60" t="str">
        <f t="shared" si="2"/>
        <v>ET</v>
      </c>
      <c r="V83" s="60" t="str">
        <f t="shared" si="3"/>
        <v>HF</v>
      </c>
      <c r="W83" s="60" t="str">
        <f t="shared" si="4"/>
        <v>1E</v>
      </c>
      <c r="X83" s="60" t="str">
        <f t="shared" si="5"/>
        <v>0S</v>
      </c>
      <c r="Y83" s="60" t="str">
        <f t="shared" si="6"/>
        <v>30</v>
      </c>
      <c r="Z83" s="60" t="str">
        <f t="shared" si="7"/>
        <v>BV</v>
      </c>
      <c r="AA83" s="60" t="str">
        <f t="shared" si="8"/>
        <v>09</v>
      </c>
      <c r="AB83" s="60" t="str">
        <f t="shared" si="9"/>
        <v>A1ETHF1E0S30BV09</v>
      </c>
    </row>
    <row r="84" spans="1:28">
      <c r="A84" t="s">
        <v>233</v>
      </c>
      <c r="B84" t="s">
        <v>516</v>
      </c>
      <c r="C84" s="77">
        <v>1668.9</v>
      </c>
      <c r="D84" s="77">
        <v>1774.8</v>
      </c>
      <c r="E84" s="77">
        <v>1850.2</v>
      </c>
      <c r="F84" s="77">
        <v>1261.3</v>
      </c>
      <c r="G84" s="77">
        <v>1237.0999999999999</v>
      </c>
      <c r="H84" s="77">
        <v>1310.4000000000001</v>
      </c>
      <c r="I84" s="77">
        <v>1698.2</v>
      </c>
      <c r="J84" s="85">
        <v>1234.5</v>
      </c>
      <c r="K84" s="85"/>
      <c r="L84" s="85" t="str">
        <f>DEC2HEX(Table25[[#This Row],[ETHVer1]]*10)</f>
        <v>4131</v>
      </c>
      <c r="M84" s="85" t="str">
        <f>DEC2HEX(Table25[[#This Row],[ETHVer2]]*10)</f>
        <v>4554</v>
      </c>
      <c r="N84" s="85" t="str">
        <f>DEC2HEX(Table25[[#This Row],[ETHVer3]]*10)</f>
        <v>4846</v>
      </c>
      <c r="O84" s="85" t="str">
        <f>DEC2HEX(Table25[[#This Row],[ETHVer4]]*10)</f>
        <v>3145</v>
      </c>
      <c r="P84" s="85" t="str">
        <f>DEC2HEX(Table25[[#This Row],[ETHVer5]]*10)</f>
        <v>3053</v>
      </c>
      <c r="Q84" s="85" t="str">
        <f>DEC2HEX(Table25[[#This Row],[ETHVer6]]*10)</f>
        <v>3330</v>
      </c>
      <c r="R84" s="85" t="str">
        <f>DEC2HEX(Table25[[#This Row],[ETHVer7]]*10)</f>
        <v>4256</v>
      </c>
      <c r="S84" s="85" t="str">
        <f>DEC2HEX(Table25[[#This Row],[ETHVer8]]*10)</f>
        <v>3039</v>
      </c>
      <c r="T84" s="60" t="str">
        <f t="shared" si="1"/>
        <v>A1</v>
      </c>
      <c r="U84" s="60" t="str">
        <f t="shared" si="2"/>
        <v>ET</v>
      </c>
      <c r="V84" s="60" t="str">
        <f t="shared" si="3"/>
        <v>HF</v>
      </c>
      <c r="W84" s="60" t="str">
        <f t="shared" si="4"/>
        <v>1E</v>
      </c>
      <c r="X84" s="60" t="str">
        <f t="shared" si="5"/>
        <v>0S</v>
      </c>
      <c r="Y84" s="60" t="str">
        <f t="shared" si="6"/>
        <v>30</v>
      </c>
      <c r="Z84" s="60" t="str">
        <f t="shared" si="7"/>
        <v>BV</v>
      </c>
      <c r="AA84" s="60" t="str">
        <f t="shared" si="8"/>
        <v>09</v>
      </c>
      <c r="AB84" s="60" t="str">
        <f t="shared" si="9"/>
        <v>A1ETHF1E0S30BV09</v>
      </c>
    </row>
    <row r="85" spans="1:28">
      <c r="A85" t="s">
        <v>234</v>
      </c>
      <c r="B85" t="s">
        <v>517</v>
      </c>
      <c r="C85" s="77">
        <v>0</v>
      </c>
      <c r="D85" s="77">
        <v>0</v>
      </c>
      <c r="E85" s="77">
        <v>0</v>
      </c>
      <c r="F85" s="77">
        <v>0</v>
      </c>
      <c r="G85" s="77">
        <v>0</v>
      </c>
      <c r="H85" s="77">
        <v>0</v>
      </c>
      <c r="I85" s="77">
        <v>0</v>
      </c>
      <c r="J85" s="85">
        <v>0</v>
      </c>
      <c r="K85" s="85"/>
      <c r="L85" s="85" t="str">
        <f>DEC2HEX(Table25[[#This Row],[ETHVer1]]*10)</f>
        <v>0</v>
      </c>
      <c r="M85" s="85" t="str">
        <f>DEC2HEX(Table25[[#This Row],[ETHVer2]]*10)</f>
        <v>0</v>
      </c>
      <c r="N85" s="85" t="str">
        <f>DEC2HEX(Table25[[#This Row],[ETHVer3]]*10)</f>
        <v>0</v>
      </c>
      <c r="O85" s="85" t="str">
        <f>DEC2HEX(Table25[[#This Row],[ETHVer4]]*10)</f>
        <v>0</v>
      </c>
      <c r="P85" s="85" t="str">
        <f>DEC2HEX(Table25[[#This Row],[ETHVer5]]*10)</f>
        <v>0</v>
      </c>
      <c r="Q85" s="85" t="str">
        <f>DEC2HEX(Table25[[#This Row],[ETHVer6]]*10)</f>
        <v>0</v>
      </c>
      <c r="R85" s="85" t="str">
        <f>DEC2HEX(Table25[[#This Row],[ETHVer7]]*10)</f>
        <v>0</v>
      </c>
      <c r="S85" s="85" t="str">
        <f>DEC2HEX(Table25[[#This Row],[ETHVer8]]*10)</f>
        <v>0</v>
      </c>
      <c r="T85" s="60" t="e">
        <f t="shared" si="1"/>
        <v>#VALUE!</v>
      </c>
      <c r="U85" s="60" t="e">
        <f t="shared" si="2"/>
        <v>#VALUE!</v>
      </c>
      <c r="V85" s="60" t="e">
        <f t="shared" si="3"/>
        <v>#VALUE!</v>
      </c>
      <c r="W85" s="60" t="e">
        <f t="shared" si="4"/>
        <v>#VALUE!</v>
      </c>
      <c r="X85" s="60" t="e">
        <f t="shared" si="5"/>
        <v>#VALUE!</v>
      </c>
      <c r="Y85" s="60" t="e">
        <f t="shared" si="6"/>
        <v>#VALUE!</v>
      </c>
      <c r="Z85" s="60" t="e">
        <f t="shared" si="7"/>
        <v>#VALUE!</v>
      </c>
      <c r="AA85" s="60" t="e">
        <f t="shared" si="8"/>
        <v>#VALUE!</v>
      </c>
      <c r="AB85" s="60" t="e">
        <f t="shared" si="9"/>
        <v>#VALUE!</v>
      </c>
    </row>
    <row r="86" spans="1:28">
      <c r="A86" t="s">
        <v>235</v>
      </c>
      <c r="B86" t="s">
        <v>518</v>
      </c>
      <c r="C86" s="77">
        <v>1668.9</v>
      </c>
      <c r="D86" s="77">
        <v>1774.8</v>
      </c>
      <c r="E86" s="77">
        <v>1850.2</v>
      </c>
      <c r="F86" s="77">
        <v>1261.3</v>
      </c>
      <c r="G86" s="77">
        <v>1237.0999999999999</v>
      </c>
      <c r="H86" s="77">
        <v>1310.4000000000001</v>
      </c>
      <c r="I86" s="77">
        <v>1698.2</v>
      </c>
      <c r="J86" s="85">
        <v>1234.5</v>
      </c>
      <c r="K86" s="85"/>
      <c r="L86" s="85" t="str">
        <f>DEC2HEX(Table25[[#This Row],[ETHVer1]]*10)</f>
        <v>4131</v>
      </c>
      <c r="M86" s="85" t="str">
        <f>DEC2HEX(Table25[[#This Row],[ETHVer2]]*10)</f>
        <v>4554</v>
      </c>
      <c r="N86" s="85" t="str">
        <f>DEC2HEX(Table25[[#This Row],[ETHVer3]]*10)</f>
        <v>4846</v>
      </c>
      <c r="O86" s="85" t="str">
        <f>DEC2HEX(Table25[[#This Row],[ETHVer4]]*10)</f>
        <v>3145</v>
      </c>
      <c r="P86" s="85" t="str">
        <f>DEC2HEX(Table25[[#This Row],[ETHVer5]]*10)</f>
        <v>3053</v>
      </c>
      <c r="Q86" s="85" t="str">
        <f>DEC2HEX(Table25[[#This Row],[ETHVer6]]*10)</f>
        <v>3330</v>
      </c>
      <c r="R86" s="85" t="str">
        <f>DEC2HEX(Table25[[#This Row],[ETHVer7]]*10)</f>
        <v>4256</v>
      </c>
      <c r="S86" s="85" t="str">
        <f>DEC2HEX(Table25[[#This Row],[ETHVer8]]*10)</f>
        <v>3039</v>
      </c>
      <c r="T86" s="60" t="str">
        <f t="shared" si="1"/>
        <v>A1</v>
      </c>
      <c r="U86" s="60" t="str">
        <f t="shared" si="2"/>
        <v>ET</v>
      </c>
      <c r="V86" s="60" t="str">
        <f t="shared" si="3"/>
        <v>HF</v>
      </c>
      <c r="W86" s="60" t="str">
        <f t="shared" si="4"/>
        <v>1E</v>
      </c>
      <c r="X86" s="60" t="str">
        <f t="shared" si="5"/>
        <v>0S</v>
      </c>
      <c r="Y86" s="60" t="str">
        <f t="shared" si="6"/>
        <v>30</v>
      </c>
      <c r="Z86" s="60" t="str">
        <f t="shared" si="7"/>
        <v>BV</v>
      </c>
      <c r="AA86" s="60" t="str">
        <f t="shared" si="8"/>
        <v>09</v>
      </c>
      <c r="AB86" s="60" t="str">
        <f t="shared" si="9"/>
        <v>A1ETHF1E0S30BV09</v>
      </c>
    </row>
    <row r="87" spans="1:28">
      <c r="A87" t="s">
        <v>236</v>
      </c>
      <c r="B87" t="s">
        <v>519</v>
      </c>
      <c r="C87" s="77">
        <v>1668.9</v>
      </c>
      <c r="D87" s="77">
        <v>1774.8</v>
      </c>
      <c r="E87" s="77">
        <v>1850.2</v>
      </c>
      <c r="F87" s="77">
        <v>1261.3</v>
      </c>
      <c r="G87" s="77">
        <v>1237.0999999999999</v>
      </c>
      <c r="H87" s="77">
        <v>1310.4000000000001</v>
      </c>
      <c r="I87" s="77">
        <v>1698.2</v>
      </c>
      <c r="J87" s="85">
        <v>1234.5</v>
      </c>
      <c r="K87" s="85"/>
      <c r="L87" s="85" t="str">
        <f>DEC2HEX(Table25[[#This Row],[ETHVer1]]*10)</f>
        <v>4131</v>
      </c>
      <c r="M87" s="85" t="str">
        <f>DEC2HEX(Table25[[#This Row],[ETHVer2]]*10)</f>
        <v>4554</v>
      </c>
      <c r="N87" s="85" t="str">
        <f>DEC2HEX(Table25[[#This Row],[ETHVer3]]*10)</f>
        <v>4846</v>
      </c>
      <c r="O87" s="85" t="str">
        <f>DEC2HEX(Table25[[#This Row],[ETHVer4]]*10)</f>
        <v>3145</v>
      </c>
      <c r="P87" s="85" t="str">
        <f>DEC2HEX(Table25[[#This Row],[ETHVer5]]*10)</f>
        <v>3053</v>
      </c>
      <c r="Q87" s="85" t="str">
        <f>DEC2HEX(Table25[[#This Row],[ETHVer6]]*10)</f>
        <v>3330</v>
      </c>
      <c r="R87" s="85" t="str">
        <f>DEC2HEX(Table25[[#This Row],[ETHVer7]]*10)</f>
        <v>4256</v>
      </c>
      <c r="S87" s="85" t="str">
        <f>DEC2HEX(Table25[[#This Row],[ETHVer8]]*10)</f>
        <v>3039</v>
      </c>
      <c r="T87" s="60" t="str">
        <f t="shared" si="1"/>
        <v>A1</v>
      </c>
      <c r="U87" s="60" t="str">
        <f t="shared" si="2"/>
        <v>ET</v>
      </c>
      <c r="V87" s="60" t="str">
        <f t="shared" si="3"/>
        <v>HF</v>
      </c>
      <c r="W87" s="60" t="str">
        <f t="shared" si="4"/>
        <v>1E</v>
      </c>
      <c r="X87" s="60" t="str">
        <f t="shared" si="5"/>
        <v>0S</v>
      </c>
      <c r="Y87" s="60" t="str">
        <f t="shared" si="6"/>
        <v>30</v>
      </c>
      <c r="Z87" s="60" t="str">
        <f t="shared" si="7"/>
        <v>BV</v>
      </c>
      <c r="AA87" s="60" t="str">
        <f t="shared" si="8"/>
        <v>09</v>
      </c>
      <c r="AB87" s="60" t="str">
        <f t="shared" si="9"/>
        <v>A1ETHF1E0S30BV09</v>
      </c>
    </row>
    <row r="88" spans="1:28">
      <c r="A88" t="s">
        <v>237</v>
      </c>
      <c r="B88" t="s">
        <v>520</v>
      </c>
      <c r="C88" s="77">
        <v>1668.9</v>
      </c>
      <c r="D88" s="77">
        <v>1774.8</v>
      </c>
      <c r="E88" s="77">
        <v>1850.2</v>
      </c>
      <c r="F88" s="77">
        <v>1261.3</v>
      </c>
      <c r="G88" s="77">
        <v>1237.0999999999999</v>
      </c>
      <c r="H88" s="77">
        <v>1310.4000000000001</v>
      </c>
      <c r="I88" s="77">
        <v>1698.2</v>
      </c>
      <c r="J88" s="85">
        <v>1234.5</v>
      </c>
      <c r="K88" s="85"/>
      <c r="L88" s="85" t="str">
        <f>DEC2HEX(Table25[[#This Row],[ETHVer1]]*10)</f>
        <v>4131</v>
      </c>
      <c r="M88" s="85" t="str">
        <f>DEC2HEX(Table25[[#This Row],[ETHVer2]]*10)</f>
        <v>4554</v>
      </c>
      <c r="N88" s="85" t="str">
        <f>DEC2HEX(Table25[[#This Row],[ETHVer3]]*10)</f>
        <v>4846</v>
      </c>
      <c r="O88" s="85" t="str">
        <f>DEC2HEX(Table25[[#This Row],[ETHVer4]]*10)</f>
        <v>3145</v>
      </c>
      <c r="P88" s="85" t="str">
        <f>DEC2HEX(Table25[[#This Row],[ETHVer5]]*10)</f>
        <v>3053</v>
      </c>
      <c r="Q88" s="85" t="str">
        <f>DEC2HEX(Table25[[#This Row],[ETHVer6]]*10)</f>
        <v>3330</v>
      </c>
      <c r="R88" s="85" t="str">
        <f>DEC2HEX(Table25[[#This Row],[ETHVer7]]*10)</f>
        <v>4256</v>
      </c>
      <c r="S88" s="85" t="str">
        <f>DEC2HEX(Table25[[#This Row],[ETHVer8]]*10)</f>
        <v>3039</v>
      </c>
      <c r="T88" s="60" t="str">
        <f t="shared" si="1"/>
        <v>A1</v>
      </c>
      <c r="U88" s="60" t="str">
        <f t="shared" si="2"/>
        <v>ET</v>
      </c>
      <c r="V88" s="60" t="str">
        <f t="shared" si="3"/>
        <v>HF</v>
      </c>
      <c r="W88" s="60" t="str">
        <f t="shared" si="4"/>
        <v>1E</v>
      </c>
      <c r="X88" s="60" t="str">
        <f t="shared" si="5"/>
        <v>0S</v>
      </c>
      <c r="Y88" s="60" t="str">
        <f t="shared" si="6"/>
        <v>30</v>
      </c>
      <c r="Z88" s="60" t="str">
        <f t="shared" si="7"/>
        <v>BV</v>
      </c>
      <c r="AA88" s="60" t="str">
        <f t="shared" si="8"/>
        <v>09</v>
      </c>
      <c r="AB88" s="60" t="str">
        <f t="shared" si="9"/>
        <v>A1ETHF1E0S30BV09</v>
      </c>
    </row>
    <row r="89" spans="1:28">
      <c r="A89" t="s">
        <v>238</v>
      </c>
      <c r="B89" t="s">
        <v>521</v>
      </c>
      <c r="C89" s="77">
        <v>1668.9</v>
      </c>
      <c r="D89" s="77">
        <v>1774.8</v>
      </c>
      <c r="E89" s="77">
        <v>1850.2</v>
      </c>
      <c r="F89" s="77">
        <v>1261.3</v>
      </c>
      <c r="G89" s="77">
        <v>1237.0999999999999</v>
      </c>
      <c r="H89" s="77">
        <v>1310.4000000000001</v>
      </c>
      <c r="I89" s="77">
        <v>1698.2</v>
      </c>
      <c r="J89" s="85">
        <v>1234.5</v>
      </c>
      <c r="K89" s="85"/>
      <c r="L89" s="85" t="str">
        <f>DEC2HEX(Table25[[#This Row],[ETHVer1]]*10)</f>
        <v>4131</v>
      </c>
      <c r="M89" s="85" t="str">
        <f>DEC2HEX(Table25[[#This Row],[ETHVer2]]*10)</f>
        <v>4554</v>
      </c>
      <c r="N89" s="85" t="str">
        <f>DEC2HEX(Table25[[#This Row],[ETHVer3]]*10)</f>
        <v>4846</v>
      </c>
      <c r="O89" s="85" t="str">
        <f>DEC2HEX(Table25[[#This Row],[ETHVer4]]*10)</f>
        <v>3145</v>
      </c>
      <c r="P89" s="85" t="str">
        <f>DEC2HEX(Table25[[#This Row],[ETHVer5]]*10)</f>
        <v>3053</v>
      </c>
      <c r="Q89" s="85" t="str">
        <f>DEC2HEX(Table25[[#This Row],[ETHVer6]]*10)</f>
        <v>3330</v>
      </c>
      <c r="R89" s="85" t="str">
        <f>DEC2HEX(Table25[[#This Row],[ETHVer7]]*10)</f>
        <v>4256</v>
      </c>
      <c r="S89" s="85" t="str">
        <f>DEC2HEX(Table25[[#This Row],[ETHVer8]]*10)</f>
        <v>3039</v>
      </c>
      <c r="T89" s="60" t="str">
        <f t="shared" si="1"/>
        <v>A1</v>
      </c>
      <c r="U89" s="60" t="str">
        <f t="shared" si="2"/>
        <v>ET</v>
      </c>
      <c r="V89" s="60" t="str">
        <f t="shared" si="3"/>
        <v>HF</v>
      </c>
      <c r="W89" s="60" t="str">
        <f t="shared" si="4"/>
        <v>1E</v>
      </c>
      <c r="X89" s="60" t="str">
        <f t="shared" si="5"/>
        <v>0S</v>
      </c>
      <c r="Y89" s="60" t="str">
        <f t="shared" si="6"/>
        <v>30</v>
      </c>
      <c r="Z89" s="60" t="str">
        <f t="shared" si="7"/>
        <v>BV</v>
      </c>
      <c r="AA89" s="60" t="str">
        <f t="shared" si="8"/>
        <v>09</v>
      </c>
      <c r="AB89" s="60" t="str">
        <f t="shared" si="9"/>
        <v>A1ETHF1E0S30BV09</v>
      </c>
    </row>
    <row r="90" spans="1:28">
      <c r="A90" t="s">
        <v>239</v>
      </c>
      <c r="B90" t="s">
        <v>522</v>
      </c>
      <c r="C90" s="77">
        <v>1668.9</v>
      </c>
      <c r="D90" s="77">
        <v>1774.8</v>
      </c>
      <c r="E90" s="77">
        <v>1850.2</v>
      </c>
      <c r="F90" s="77">
        <v>1261.3</v>
      </c>
      <c r="G90" s="77">
        <v>1237.0999999999999</v>
      </c>
      <c r="H90" s="77">
        <v>1310.4000000000001</v>
      </c>
      <c r="I90" s="77">
        <v>1698.2</v>
      </c>
      <c r="J90" s="85">
        <v>1234.5</v>
      </c>
      <c r="K90" s="85"/>
      <c r="L90" s="85" t="str">
        <f>DEC2HEX(Table25[[#This Row],[ETHVer1]]*10)</f>
        <v>4131</v>
      </c>
      <c r="M90" s="85" t="str">
        <f>DEC2HEX(Table25[[#This Row],[ETHVer2]]*10)</f>
        <v>4554</v>
      </c>
      <c r="N90" s="85" t="str">
        <f>DEC2HEX(Table25[[#This Row],[ETHVer3]]*10)</f>
        <v>4846</v>
      </c>
      <c r="O90" s="85" t="str">
        <f>DEC2HEX(Table25[[#This Row],[ETHVer4]]*10)</f>
        <v>3145</v>
      </c>
      <c r="P90" s="85" t="str">
        <f>DEC2HEX(Table25[[#This Row],[ETHVer5]]*10)</f>
        <v>3053</v>
      </c>
      <c r="Q90" s="85" t="str">
        <f>DEC2HEX(Table25[[#This Row],[ETHVer6]]*10)</f>
        <v>3330</v>
      </c>
      <c r="R90" s="85" t="str">
        <f>DEC2HEX(Table25[[#This Row],[ETHVer7]]*10)</f>
        <v>4256</v>
      </c>
      <c r="S90" s="85" t="str">
        <f>DEC2HEX(Table25[[#This Row],[ETHVer8]]*10)</f>
        <v>3039</v>
      </c>
      <c r="T90" s="60" t="str">
        <f t="shared" si="1"/>
        <v>A1</v>
      </c>
      <c r="U90" s="60" t="str">
        <f t="shared" si="2"/>
        <v>ET</v>
      </c>
      <c r="V90" s="60" t="str">
        <f t="shared" si="3"/>
        <v>HF</v>
      </c>
      <c r="W90" s="60" t="str">
        <f t="shared" si="4"/>
        <v>1E</v>
      </c>
      <c r="X90" s="60" t="str">
        <f t="shared" si="5"/>
        <v>0S</v>
      </c>
      <c r="Y90" s="60" t="str">
        <f t="shared" si="6"/>
        <v>30</v>
      </c>
      <c r="Z90" s="60" t="str">
        <f t="shared" si="7"/>
        <v>BV</v>
      </c>
      <c r="AA90" s="60" t="str">
        <f t="shared" si="8"/>
        <v>09</v>
      </c>
      <c r="AB90" s="60" t="str">
        <f t="shared" si="9"/>
        <v>A1ETHF1E0S30BV09</v>
      </c>
    </row>
    <row r="91" spans="1:28">
      <c r="A91" t="s">
        <v>240</v>
      </c>
      <c r="B91" t="s">
        <v>523</v>
      </c>
      <c r="C91" s="77">
        <v>1668.9</v>
      </c>
      <c r="D91" s="77">
        <v>1774.8</v>
      </c>
      <c r="E91" s="77">
        <v>1850.2</v>
      </c>
      <c r="F91" s="77">
        <v>1261.3</v>
      </c>
      <c r="G91" s="77">
        <v>1237.0999999999999</v>
      </c>
      <c r="H91" s="77">
        <v>1310.4000000000001</v>
      </c>
      <c r="I91" s="77">
        <v>1698.2</v>
      </c>
      <c r="J91" s="85">
        <v>1234.5</v>
      </c>
      <c r="K91" s="85"/>
      <c r="L91" s="85" t="str">
        <f>DEC2HEX(Table25[[#This Row],[ETHVer1]]*10)</f>
        <v>4131</v>
      </c>
      <c r="M91" s="85" t="str">
        <f>DEC2HEX(Table25[[#This Row],[ETHVer2]]*10)</f>
        <v>4554</v>
      </c>
      <c r="N91" s="85" t="str">
        <f>DEC2HEX(Table25[[#This Row],[ETHVer3]]*10)</f>
        <v>4846</v>
      </c>
      <c r="O91" s="85" t="str">
        <f>DEC2HEX(Table25[[#This Row],[ETHVer4]]*10)</f>
        <v>3145</v>
      </c>
      <c r="P91" s="85" t="str">
        <f>DEC2HEX(Table25[[#This Row],[ETHVer5]]*10)</f>
        <v>3053</v>
      </c>
      <c r="Q91" s="85" t="str">
        <f>DEC2HEX(Table25[[#This Row],[ETHVer6]]*10)</f>
        <v>3330</v>
      </c>
      <c r="R91" s="85" t="str">
        <f>DEC2HEX(Table25[[#This Row],[ETHVer7]]*10)</f>
        <v>4256</v>
      </c>
      <c r="S91" s="85" t="str">
        <f>DEC2HEX(Table25[[#This Row],[ETHVer8]]*10)</f>
        <v>3039</v>
      </c>
      <c r="T91" s="60" t="str">
        <f t="shared" si="1"/>
        <v>A1</v>
      </c>
      <c r="U91" s="60" t="str">
        <f t="shared" si="2"/>
        <v>ET</v>
      </c>
      <c r="V91" s="60" t="str">
        <f t="shared" si="3"/>
        <v>HF</v>
      </c>
      <c r="W91" s="60" t="str">
        <f t="shared" si="4"/>
        <v>1E</v>
      </c>
      <c r="X91" s="60" t="str">
        <f t="shared" si="5"/>
        <v>0S</v>
      </c>
      <c r="Y91" s="60" t="str">
        <f t="shared" si="6"/>
        <v>30</v>
      </c>
      <c r="Z91" s="60" t="str">
        <f t="shared" si="7"/>
        <v>BV</v>
      </c>
      <c r="AA91" s="60" t="str">
        <f t="shared" si="8"/>
        <v>09</v>
      </c>
      <c r="AB91" s="60" t="str">
        <f t="shared" si="9"/>
        <v>A1ETHF1E0S30BV09</v>
      </c>
    </row>
    <row r="92" spans="1:28">
      <c r="A92" t="s">
        <v>241</v>
      </c>
      <c r="B92" t="s">
        <v>524</v>
      </c>
      <c r="C92" s="77">
        <v>1668.9</v>
      </c>
      <c r="D92" s="77">
        <v>1774.8</v>
      </c>
      <c r="E92" s="77">
        <v>1850.2</v>
      </c>
      <c r="F92" s="77">
        <v>1261.3</v>
      </c>
      <c r="G92" s="77">
        <v>1237.0999999999999</v>
      </c>
      <c r="H92" s="77">
        <v>1310.4000000000001</v>
      </c>
      <c r="I92" s="77">
        <v>1698.2</v>
      </c>
      <c r="J92" s="85">
        <v>1234.5</v>
      </c>
      <c r="K92" s="85"/>
      <c r="L92" s="85" t="str">
        <f>DEC2HEX(Table25[[#This Row],[ETHVer1]]*10)</f>
        <v>4131</v>
      </c>
      <c r="M92" s="85" t="str">
        <f>DEC2HEX(Table25[[#This Row],[ETHVer2]]*10)</f>
        <v>4554</v>
      </c>
      <c r="N92" s="85" t="str">
        <f>DEC2HEX(Table25[[#This Row],[ETHVer3]]*10)</f>
        <v>4846</v>
      </c>
      <c r="O92" s="85" t="str">
        <f>DEC2HEX(Table25[[#This Row],[ETHVer4]]*10)</f>
        <v>3145</v>
      </c>
      <c r="P92" s="85" t="str">
        <f>DEC2HEX(Table25[[#This Row],[ETHVer5]]*10)</f>
        <v>3053</v>
      </c>
      <c r="Q92" s="85" t="str">
        <f>DEC2HEX(Table25[[#This Row],[ETHVer6]]*10)</f>
        <v>3330</v>
      </c>
      <c r="R92" s="85" t="str">
        <f>DEC2HEX(Table25[[#This Row],[ETHVer7]]*10)</f>
        <v>4256</v>
      </c>
      <c r="S92" s="85" t="str">
        <f>DEC2HEX(Table25[[#This Row],[ETHVer8]]*10)</f>
        <v>3039</v>
      </c>
      <c r="T92" s="60" t="str">
        <f t="shared" si="1"/>
        <v>A1</v>
      </c>
      <c r="U92" s="60" t="str">
        <f t="shared" si="2"/>
        <v>ET</v>
      </c>
      <c r="V92" s="60" t="str">
        <f t="shared" si="3"/>
        <v>HF</v>
      </c>
      <c r="W92" s="60" t="str">
        <f t="shared" si="4"/>
        <v>1E</v>
      </c>
      <c r="X92" s="60" t="str">
        <f t="shared" si="5"/>
        <v>0S</v>
      </c>
      <c r="Y92" s="60" t="str">
        <f t="shared" si="6"/>
        <v>30</v>
      </c>
      <c r="Z92" s="60" t="str">
        <f t="shared" si="7"/>
        <v>BV</v>
      </c>
      <c r="AA92" s="60" t="str">
        <f t="shared" si="8"/>
        <v>09</v>
      </c>
      <c r="AB92" s="60" t="str">
        <f t="shared" si="9"/>
        <v>A1ETHF1E0S30BV09</v>
      </c>
    </row>
    <row r="93" spans="1:28">
      <c r="A93" t="s">
        <v>242</v>
      </c>
      <c r="B93" t="s">
        <v>525</v>
      </c>
      <c r="C93" s="77">
        <v>1668.9</v>
      </c>
      <c r="D93" s="77">
        <v>1774.8</v>
      </c>
      <c r="E93" s="77">
        <v>1850.2</v>
      </c>
      <c r="F93" s="77">
        <v>1261.3</v>
      </c>
      <c r="G93" s="77">
        <v>1237.0999999999999</v>
      </c>
      <c r="H93" s="77">
        <v>1310.4000000000001</v>
      </c>
      <c r="I93" s="77">
        <v>1698.2</v>
      </c>
      <c r="J93" s="85">
        <v>1234.5</v>
      </c>
      <c r="K93" s="85"/>
      <c r="L93" s="85" t="str">
        <f>DEC2HEX(Table25[[#This Row],[ETHVer1]]*10)</f>
        <v>4131</v>
      </c>
      <c r="M93" s="85" t="str">
        <f>DEC2HEX(Table25[[#This Row],[ETHVer2]]*10)</f>
        <v>4554</v>
      </c>
      <c r="N93" s="85" t="str">
        <f>DEC2HEX(Table25[[#This Row],[ETHVer3]]*10)</f>
        <v>4846</v>
      </c>
      <c r="O93" s="85" t="str">
        <f>DEC2HEX(Table25[[#This Row],[ETHVer4]]*10)</f>
        <v>3145</v>
      </c>
      <c r="P93" s="85" t="str">
        <f>DEC2HEX(Table25[[#This Row],[ETHVer5]]*10)</f>
        <v>3053</v>
      </c>
      <c r="Q93" s="85" t="str">
        <f>DEC2HEX(Table25[[#This Row],[ETHVer6]]*10)</f>
        <v>3330</v>
      </c>
      <c r="R93" s="85" t="str">
        <f>DEC2HEX(Table25[[#This Row],[ETHVer7]]*10)</f>
        <v>4256</v>
      </c>
      <c r="S93" s="85" t="str">
        <f>DEC2HEX(Table25[[#This Row],[ETHVer8]]*10)</f>
        <v>3039</v>
      </c>
      <c r="T93" s="60" t="str">
        <f t="shared" si="1"/>
        <v>A1</v>
      </c>
      <c r="U93" s="60" t="str">
        <f t="shared" si="2"/>
        <v>ET</v>
      </c>
      <c r="V93" s="60" t="str">
        <f t="shared" si="3"/>
        <v>HF</v>
      </c>
      <c r="W93" s="60" t="str">
        <f t="shared" si="4"/>
        <v>1E</v>
      </c>
      <c r="X93" s="60" t="str">
        <f t="shared" si="5"/>
        <v>0S</v>
      </c>
      <c r="Y93" s="60" t="str">
        <f t="shared" si="6"/>
        <v>30</v>
      </c>
      <c r="Z93" s="60" t="str">
        <f t="shared" si="7"/>
        <v>BV</v>
      </c>
      <c r="AA93" s="60" t="str">
        <f t="shared" si="8"/>
        <v>09</v>
      </c>
      <c r="AB93" s="60" t="str">
        <f t="shared" si="9"/>
        <v>A1ETHF1E0S30BV09</v>
      </c>
    </row>
    <row r="94" spans="1:28">
      <c r="A94" t="s">
        <v>243</v>
      </c>
      <c r="B94" t="s">
        <v>526</v>
      </c>
      <c r="C94" s="77">
        <v>1668.9</v>
      </c>
      <c r="D94" s="77">
        <v>1774.8</v>
      </c>
      <c r="E94" s="77">
        <v>1850.2</v>
      </c>
      <c r="F94" s="77">
        <v>1261.3</v>
      </c>
      <c r="G94" s="77">
        <v>1237.0999999999999</v>
      </c>
      <c r="H94" s="77">
        <v>1310.4000000000001</v>
      </c>
      <c r="I94" s="77">
        <v>1698.2</v>
      </c>
      <c r="J94" s="85">
        <v>1234.5</v>
      </c>
      <c r="K94" s="85"/>
      <c r="L94" s="85" t="str">
        <f>DEC2HEX(Table25[[#This Row],[ETHVer1]]*10)</f>
        <v>4131</v>
      </c>
      <c r="M94" s="85" t="str">
        <f>DEC2HEX(Table25[[#This Row],[ETHVer2]]*10)</f>
        <v>4554</v>
      </c>
      <c r="N94" s="85" t="str">
        <f>DEC2HEX(Table25[[#This Row],[ETHVer3]]*10)</f>
        <v>4846</v>
      </c>
      <c r="O94" s="85" t="str">
        <f>DEC2HEX(Table25[[#This Row],[ETHVer4]]*10)</f>
        <v>3145</v>
      </c>
      <c r="P94" s="85" t="str">
        <f>DEC2HEX(Table25[[#This Row],[ETHVer5]]*10)</f>
        <v>3053</v>
      </c>
      <c r="Q94" s="85" t="str">
        <f>DEC2HEX(Table25[[#This Row],[ETHVer6]]*10)</f>
        <v>3330</v>
      </c>
      <c r="R94" s="85" t="str">
        <f>DEC2HEX(Table25[[#This Row],[ETHVer7]]*10)</f>
        <v>4256</v>
      </c>
      <c r="S94" s="85" t="str">
        <f>DEC2HEX(Table25[[#This Row],[ETHVer8]]*10)</f>
        <v>3039</v>
      </c>
      <c r="T94" s="60" t="str">
        <f t="shared" si="1"/>
        <v>A1</v>
      </c>
      <c r="U94" s="60" t="str">
        <f t="shared" si="2"/>
        <v>ET</v>
      </c>
      <c r="V94" s="60" t="str">
        <f t="shared" si="3"/>
        <v>HF</v>
      </c>
      <c r="W94" s="60" t="str">
        <f t="shared" si="4"/>
        <v>1E</v>
      </c>
      <c r="X94" s="60" t="str">
        <f t="shared" si="5"/>
        <v>0S</v>
      </c>
      <c r="Y94" s="60" t="str">
        <f t="shared" si="6"/>
        <v>30</v>
      </c>
      <c r="Z94" s="60" t="str">
        <f t="shared" si="7"/>
        <v>BV</v>
      </c>
      <c r="AA94" s="60" t="str">
        <f t="shared" si="8"/>
        <v>09</v>
      </c>
      <c r="AB94" s="60" t="str">
        <f t="shared" si="9"/>
        <v>A1ETHF1E0S30BV09</v>
      </c>
    </row>
    <row r="95" spans="1:28">
      <c r="A95" t="s">
        <v>244</v>
      </c>
      <c r="B95" t="s">
        <v>527</v>
      </c>
      <c r="C95" s="77">
        <v>1668.9</v>
      </c>
      <c r="D95" s="77">
        <v>1774.8</v>
      </c>
      <c r="E95" s="77">
        <v>1850.2</v>
      </c>
      <c r="F95" s="77">
        <v>1261.3</v>
      </c>
      <c r="G95" s="77">
        <v>1237.0999999999999</v>
      </c>
      <c r="H95" s="77">
        <v>1310.4000000000001</v>
      </c>
      <c r="I95" s="77">
        <v>1698.2</v>
      </c>
      <c r="J95" s="85">
        <v>1234.5</v>
      </c>
      <c r="K95" s="85"/>
      <c r="L95" s="85" t="str">
        <f>DEC2HEX(Table25[[#This Row],[ETHVer1]]*10)</f>
        <v>4131</v>
      </c>
      <c r="M95" s="85" t="str">
        <f>DEC2HEX(Table25[[#This Row],[ETHVer2]]*10)</f>
        <v>4554</v>
      </c>
      <c r="N95" s="85" t="str">
        <f>DEC2HEX(Table25[[#This Row],[ETHVer3]]*10)</f>
        <v>4846</v>
      </c>
      <c r="O95" s="85" t="str">
        <f>DEC2HEX(Table25[[#This Row],[ETHVer4]]*10)</f>
        <v>3145</v>
      </c>
      <c r="P95" s="85" t="str">
        <f>DEC2HEX(Table25[[#This Row],[ETHVer5]]*10)</f>
        <v>3053</v>
      </c>
      <c r="Q95" s="85" t="str">
        <f>DEC2HEX(Table25[[#This Row],[ETHVer6]]*10)</f>
        <v>3330</v>
      </c>
      <c r="R95" s="85" t="str">
        <f>DEC2HEX(Table25[[#This Row],[ETHVer7]]*10)</f>
        <v>4256</v>
      </c>
      <c r="S95" s="85" t="str">
        <f>DEC2HEX(Table25[[#This Row],[ETHVer8]]*10)</f>
        <v>3039</v>
      </c>
      <c r="T95" s="60" t="str">
        <f t="shared" si="1"/>
        <v>A1</v>
      </c>
      <c r="U95" s="60" t="str">
        <f t="shared" si="2"/>
        <v>ET</v>
      </c>
      <c r="V95" s="60" t="str">
        <f t="shared" si="3"/>
        <v>HF</v>
      </c>
      <c r="W95" s="60" t="str">
        <f t="shared" si="4"/>
        <v>1E</v>
      </c>
      <c r="X95" s="60" t="str">
        <f t="shared" si="5"/>
        <v>0S</v>
      </c>
      <c r="Y95" s="60" t="str">
        <f t="shared" si="6"/>
        <v>30</v>
      </c>
      <c r="Z95" s="60" t="str">
        <f t="shared" si="7"/>
        <v>BV</v>
      </c>
      <c r="AA95" s="60" t="str">
        <f t="shared" si="8"/>
        <v>09</v>
      </c>
      <c r="AB95" s="60" t="str">
        <f t="shared" si="9"/>
        <v>A1ETHF1E0S30BV09</v>
      </c>
    </row>
    <row r="96" spans="1:28">
      <c r="A96" t="s">
        <v>245</v>
      </c>
      <c r="B96" t="s">
        <v>528</v>
      </c>
      <c r="C96" s="77">
        <v>1668.9</v>
      </c>
      <c r="D96" s="77">
        <v>1774.8</v>
      </c>
      <c r="E96" s="77">
        <v>1850.2</v>
      </c>
      <c r="F96" s="77">
        <v>1261.3</v>
      </c>
      <c r="G96" s="77">
        <v>1237.0999999999999</v>
      </c>
      <c r="H96" s="77">
        <v>1310.4000000000001</v>
      </c>
      <c r="I96" s="77">
        <v>1698.2</v>
      </c>
      <c r="J96" s="85">
        <v>1234.5</v>
      </c>
      <c r="K96" s="85"/>
      <c r="L96" s="85" t="str">
        <f>DEC2HEX(Table25[[#This Row],[ETHVer1]]*10)</f>
        <v>4131</v>
      </c>
      <c r="M96" s="85" t="str">
        <f>DEC2HEX(Table25[[#This Row],[ETHVer2]]*10)</f>
        <v>4554</v>
      </c>
      <c r="N96" s="85" t="str">
        <f>DEC2HEX(Table25[[#This Row],[ETHVer3]]*10)</f>
        <v>4846</v>
      </c>
      <c r="O96" s="85" t="str">
        <f>DEC2HEX(Table25[[#This Row],[ETHVer4]]*10)</f>
        <v>3145</v>
      </c>
      <c r="P96" s="85" t="str">
        <f>DEC2HEX(Table25[[#This Row],[ETHVer5]]*10)</f>
        <v>3053</v>
      </c>
      <c r="Q96" s="85" t="str">
        <f>DEC2HEX(Table25[[#This Row],[ETHVer6]]*10)</f>
        <v>3330</v>
      </c>
      <c r="R96" s="85" t="str">
        <f>DEC2HEX(Table25[[#This Row],[ETHVer7]]*10)</f>
        <v>4256</v>
      </c>
      <c r="S96" s="85" t="str">
        <f>DEC2HEX(Table25[[#This Row],[ETHVer8]]*10)</f>
        <v>3039</v>
      </c>
      <c r="T96" s="60" t="str">
        <f t="shared" si="1"/>
        <v>A1</v>
      </c>
      <c r="U96" s="60" t="str">
        <f t="shared" si="2"/>
        <v>ET</v>
      </c>
      <c r="V96" s="60" t="str">
        <f t="shared" si="3"/>
        <v>HF</v>
      </c>
      <c r="W96" s="60" t="str">
        <f t="shared" si="4"/>
        <v>1E</v>
      </c>
      <c r="X96" s="60" t="str">
        <f t="shared" si="5"/>
        <v>0S</v>
      </c>
      <c r="Y96" s="60" t="str">
        <f t="shared" si="6"/>
        <v>30</v>
      </c>
      <c r="Z96" s="60" t="str">
        <f t="shared" si="7"/>
        <v>BV</v>
      </c>
      <c r="AA96" s="60" t="str">
        <f t="shared" si="8"/>
        <v>09</v>
      </c>
      <c r="AB96" s="60" t="str">
        <f t="shared" si="9"/>
        <v>A1ETHF1E0S30BV09</v>
      </c>
    </row>
    <row r="97" spans="1:28">
      <c r="A97" t="s">
        <v>246</v>
      </c>
      <c r="B97" t="s">
        <v>529</v>
      </c>
      <c r="C97" s="77">
        <v>1668.9</v>
      </c>
      <c r="D97" s="77">
        <v>1774.8</v>
      </c>
      <c r="E97" s="77">
        <v>1850.2</v>
      </c>
      <c r="F97" s="77">
        <v>1261.3</v>
      </c>
      <c r="G97" s="77">
        <v>1237.0999999999999</v>
      </c>
      <c r="H97" s="77">
        <v>1310.4000000000001</v>
      </c>
      <c r="I97" s="77">
        <v>1698.2</v>
      </c>
      <c r="J97" s="85">
        <v>1234.5</v>
      </c>
      <c r="K97" s="85"/>
      <c r="L97" s="85" t="str">
        <f>DEC2HEX(Table25[[#This Row],[ETHVer1]]*10)</f>
        <v>4131</v>
      </c>
      <c r="M97" s="85" t="str">
        <f>DEC2HEX(Table25[[#This Row],[ETHVer2]]*10)</f>
        <v>4554</v>
      </c>
      <c r="N97" s="85" t="str">
        <f>DEC2HEX(Table25[[#This Row],[ETHVer3]]*10)</f>
        <v>4846</v>
      </c>
      <c r="O97" s="85" t="str">
        <f>DEC2HEX(Table25[[#This Row],[ETHVer4]]*10)</f>
        <v>3145</v>
      </c>
      <c r="P97" s="85" t="str">
        <f>DEC2HEX(Table25[[#This Row],[ETHVer5]]*10)</f>
        <v>3053</v>
      </c>
      <c r="Q97" s="85" t="str">
        <f>DEC2HEX(Table25[[#This Row],[ETHVer6]]*10)</f>
        <v>3330</v>
      </c>
      <c r="R97" s="85" t="str">
        <f>DEC2HEX(Table25[[#This Row],[ETHVer7]]*10)</f>
        <v>4256</v>
      </c>
      <c r="S97" s="85" t="str">
        <f>DEC2HEX(Table25[[#This Row],[ETHVer8]]*10)</f>
        <v>3039</v>
      </c>
      <c r="T97" s="60" t="str">
        <f t="shared" si="1"/>
        <v>A1</v>
      </c>
      <c r="U97" s="60" t="str">
        <f t="shared" si="2"/>
        <v>ET</v>
      </c>
      <c r="V97" s="60" t="str">
        <f t="shared" si="3"/>
        <v>HF</v>
      </c>
      <c r="W97" s="60" t="str">
        <f t="shared" si="4"/>
        <v>1E</v>
      </c>
      <c r="X97" s="60" t="str">
        <f t="shared" si="5"/>
        <v>0S</v>
      </c>
      <c r="Y97" s="60" t="str">
        <f t="shared" si="6"/>
        <v>30</v>
      </c>
      <c r="Z97" s="60" t="str">
        <f t="shared" si="7"/>
        <v>BV</v>
      </c>
      <c r="AA97" s="60" t="str">
        <f t="shared" si="8"/>
        <v>09</v>
      </c>
      <c r="AB97" s="60" t="str">
        <f t="shared" si="9"/>
        <v>A1ETHF1E0S30BV09</v>
      </c>
    </row>
    <row r="98" spans="1:28">
      <c r="A98" t="s">
        <v>247</v>
      </c>
      <c r="B98" t="s">
        <v>530</v>
      </c>
      <c r="C98" s="77">
        <v>1668.9</v>
      </c>
      <c r="D98" s="77">
        <v>1774.8</v>
      </c>
      <c r="E98" s="77">
        <v>1850.2</v>
      </c>
      <c r="F98" s="77">
        <v>1261.3</v>
      </c>
      <c r="G98" s="77">
        <v>1237.0999999999999</v>
      </c>
      <c r="H98" s="77">
        <v>1310.4000000000001</v>
      </c>
      <c r="I98" s="77">
        <v>1698.2</v>
      </c>
      <c r="J98" s="85">
        <v>1234.5</v>
      </c>
      <c r="K98" s="85"/>
      <c r="L98" s="85" t="str">
        <f>DEC2HEX(Table25[[#This Row],[ETHVer1]]*10)</f>
        <v>4131</v>
      </c>
      <c r="M98" s="85" t="str">
        <f>DEC2HEX(Table25[[#This Row],[ETHVer2]]*10)</f>
        <v>4554</v>
      </c>
      <c r="N98" s="85" t="str">
        <f>DEC2HEX(Table25[[#This Row],[ETHVer3]]*10)</f>
        <v>4846</v>
      </c>
      <c r="O98" s="85" t="str">
        <f>DEC2HEX(Table25[[#This Row],[ETHVer4]]*10)</f>
        <v>3145</v>
      </c>
      <c r="P98" s="85" t="str">
        <f>DEC2HEX(Table25[[#This Row],[ETHVer5]]*10)</f>
        <v>3053</v>
      </c>
      <c r="Q98" s="85" t="str">
        <f>DEC2HEX(Table25[[#This Row],[ETHVer6]]*10)</f>
        <v>3330</v>
      </c>
      <c r="R98" s="85" t="str">
        <f>DEC2HEX(Table25[[#This Row],[ETHVer7]]*10)</f>
        <v>4256</v>
      </c>
      <c r="S98" s="85" t="str">
        <f>DEC2HEX(Table25[[#This Row],[ETHVer8]]*10)</f>
        <v>3039</v>
      </c>
      <c r="T98" s="60" t="str">
        <f t="shared" si="1"/>
        <v>A1</v>
      </c>
      <c r="U98" s="60" t="str">
        <f t="shared" si="2"/>
        <v>ET</v>
      </c>
      <c r="V98" s="60" t="str">
        <f t="shared" si="3"/>
        <v>HF</v>
      </c>
      <c r="W98" s="60" t="str">
        <f t="shared" si="4"/>
        <v>1E</v>
      </c>
      <c r="X98" s="60" t="str">
        <f t="shared" si="5"/>
        <v>0S</v>
      </c>
      <c r="Y98" s="60" t="str">
        <f t="shared" si="6"/>
        <v>30</v>
      </c>
      <c r="Z98" s="60" t="str">
        <f t="shared" si="7"/>
        <v>BV</v>
      </c>
      <c r="AA98" s="60" t="str">
        <f t="shared" si="8"/>
        <v>09</v>
      </c>
      <c r="AB98" s="60" t="str">
        <f t="shared" si="9"/>
        <v>A1ETHF1E0S30BV09</v>
      </c>
    </row>
    <row r="99" spans="1:28">
      <c r="A99" t="s">
        <v>248</v>
      </c>
      <c r="B99" t="s">
        <v>531</v>
      </c>
      <c r="C99" s="77">
        <v>1668.9</v>
      </c>
      <c r="D99" s="77">
        <v>1774.8</v>
      </c>
      <c r="E99" s="77">
        <v>1850.2</v>
      </c>
      <c r="F99" s="77">
        <v>1261.3</v>
      </c>
      <c r="G99" s="77">
        <v>1237.0999999999999</v>
      </c>
      <c r="H99" s="77">
        <v>1310.4000000000001</v>
      </c>
      <c r="I99" s="77">
        <v>1698.2</v>
      </c>
      <c r="J99" s="85">
        <v>1234.5</v>
      </c>
      <c r="K99" s="85"/>
      <c r="L99" s="85" t="str">
        <f>DEC2HEX(Table25[[#This Row],[ETHVer1]]*10)</f>
        <v>4131</v>
      </c>
      <c r="M99" s="85" t="str">
        <f>DEC2HEX(Table25[[#This Row],[ETHVer2]]*10)</f>
        <v>4554</v>
      </c>
      <c r="N99" s="85" t="str">
        <f>DEC2HEX(Table25[[#This Row],[ETHVer3]]*10)</f>
        <v>4846</v>
      </c>
      <c r="O99" s="85" t="str">
        <f>DEC2HEX(Table25[[#This Row],[ETHVer4]]*10)</f>
        <v>3145</v>
      </c>
      <c r="P99" s="85" t="str">
        <f>DEC2HEX(Table25[[#This Row],[ETHVer5]]*10)</f>
        <v>3053</v>
      </c>
      <c r="Q99" s="85" t="str">
        <f>DEC2HEX(Table25[[#This Row],[ETHVer6]]*10)</f>
        <v>3330</v>
      </c>
      <c r="R99" s="85" t="str">
        <f>DEC2HEX(Table25[[#This Row],[ETHVer7]]*10)</f>
        <v>4256</v>
      </c>
      <c r="S99" s="85" t="str">
        <f>DEC2HEX(Table25[[#This Row],[ETHVer8]]*10)</f>
        <v>3039</v>
      </c>
      <c r="T99" s="60" t="str">
        <f t="shared" si="1"/>
        <v>A1</v>
      </c>
      <c r="U99" s="60" t="str">
        <f t="shared" si="2"/>
        <v>ET</v>
      </c>
      <c r="V99" s="60" t="str">
        <f t="shared" si="3"/>
        <v>HF</v>
      </c>
      <c r="W99" s="60" t="str">
        <f t="shared" si="4"/>
        <v>1E</v>
      </c>
      <c r="X99" s="60" t="str">
        <f t="shared" si="5"/>
        <v>0S</v>
      </c>
      <c r="Y99" s="60" t="str">
        <f t="shared" si="6"/>
        <v>30</v>
      </c>
      <c r="Z99" s="60" t="str">
        <f t="shared" si="7"/>
        <v>BV</v>
      </c>
      <c r="AA99" s="60" t="str">
        <f t="shared" si="8"/>
        <v>09</v>
      </c>
      <c r="AB99" s="60" t="str">
        <f t="shared" si="9"/>
        <v>A1ETHF1E0S30BV09</v>
      </c>
    </row>
    <row r="100" spans="1:28">
      <c r="A100" t="s">
        <v>249</v>
      </c>
      <c r="B100" t="s">
        <v>532</v>
      </c>
      <c r="C100" s="77">
        <v>1668.9</v>
      </c>
      <c r="D100" s="77">
        <v>1774.8</v>
      </c>
      <c r="E100" s="77">
        <v>1850.2</v>
      </c>
      <c r="F100" s="77">
        <v>1261.3</v>
      </c>
      <c r="G100" s="77">
        <v>1237.0999999999999</v>
      </c>
      <c r="H100" s="77">
        <v>1310.4000000000001</v>
      </c>
      <c r="I100" s="77">
        <v>1698.2</v>
      </c>
      <c r="J100" s="85">
        <v>1234.5</v>
      </c>
      <c r="K100" s="85"/>
      <c r="L100" s="85" t="str">
        <f>DEC2HEX(Table25[[#This Row],[ETHVer1]]*10)</f>
        <v>4131</v>
      </c>
      <c r="M100" s="85" t="str">
        <f>DEC2HEX(Table25[[#This Row],[ETHVer2]]*10)</f>
        <v>4554</v>
      </c>
      <c r="N100" s="85" t="str">
        <f>DEC2HEX(Table25[[#This Row],[ETHVer3]]*10)</f>
        <v>4846</v>
      </c>
      <c r="O100" s="85" t="str">
        <f>DEC2HEX(Table25[[#This Row],[ETHVer4]]*10)</f>
        <v>3145</v>
      </c>
      <c r="P100" s="85" t="str">
        <f>DEC2HEX(Table25[[#This Row],[ETHVer5]]*10)</f>
        <v>3053</v>
      </c>
      <c r="Q100" s="85" t="str">
        <f>DEC2HEX(Table25[[#This Row],[ETHVer6]]*10)</f>
        <v>3330</v>
      </c>
      <c r="R100" s="85" t="str">
        <f>DEC2HEX(Table25[[#This Row],[ETHVer7]]*10)</f>
        <v>4256</v>
      </c>
      <c r="S100" s="85" t="str">
        <f>DEC2HEX(Table25[[#This Row],[ETHVer8]]*10)</f>
        <v>3039</v>
      </c>
      <c r="T100" s="60" t="str">
        <f t="shared" si="1"/>
        <v>A1</v>
      </c>
      <c r="U100" s="60" t="str">
        <f t="shared" si="2"/>
        <v>ET</v>
      </c>
      <c r="V100" s="60" t="str">
        <f t="shared" si="3"/>
        <v>HF</v>
      </c>
      <c r="W100" s="60" t="str">
        <f t="shared" si="4"/>
        <v>1E</v>
      </c>
      <c r="X100" s="60" t="str">
        <f t="shared" si="5"/>
        <v>0S</v>
      </c>
      <c r="Y100" s="60" t="str">
        <f t="shared" si="6"/>
        <v>30</v>
      </c>
      <c r="Z100" s="60" t="str">
        <f t="shared" si="7"/>
        <v>BV</v>
      </c>
      <c r="AA100" s="60" t="str">
        <f t="shared" si="8"/>
        <v>09</v>
      </c>
      <c r="AB100" s="60" t="str">
        <f t="shared" si="9"/>
        <v>A1ETHF1E0S30BV09</v>
      </c>
    </row>
    <row r="101" spans="1:28">
      <c r="A101" t="s">
        <v>250</v>
      </c>
      <c r="B101" t="s">
        <v>533</v>
      </c>
      <c r="C101" s="77">
        <v>1668.9</v>
      </c>
      <c r="D101" s="77">
        <v>1774.8</v>
      </c>
      <c r="E101" s="77">
        <v>1850.2</v>
      </c>
      <c r="F101" s="77">
        <v>1261.3</v>
      </c>
      <c r="G101" s="77">
        <v>1237.0999999999999</v>
      </c>
      <c r="H101" s="77">
        <v>1310.4000000000001</v>
      </c>
      <c r="I101" s="77">
        <v>1698.2</v>
      </c>
      <c r="J101" s="85">
        <v>1234.5</v>
      </c>
      <c r="K101" s="85"/>
      <c r="L101" s="85" t="str">
        <f>DEC2HEX(Table25[[#This Row],[ETHVer1]]*10)</f>
        <v>4131</v>
      </c>
      <c r="M101" s="85" t="str">
        <f>DEC2HEX(Table25[[#This Row],[ETHVer2]]*10)</f>
        <v>4554</v>
      </c>
      <c r="N101" s="85" t="str">
        <f>DEC2HEX(Table25[[#This Row],[ETHVer3]]*10)</f>
        <v>4846</v>
      </c>
      <c r="O101" s="85" t="str">
        <f>DEC2HEX(Table25[[#This Row],[ETHVer4]]*10)</f>
        <v>3145</v>
      </c>
      <c r="P101" s="85" t="str">
        <f>DEC2HEX(Table25[[#This Row],[ETHVer5]]*10)</f>
        <v>3053</v>
      </c>
      <c r="Q101" s="85" t="str">
        <f>DEC2HEX(Table25[[#This Row],[ETHVer6]]*10)</f>
        <v>3330</v>
      </c>
      <c r="R101" s="85" t="str">
        <f>DEC2HEX(Table25[[#This Row],[ETHVer7]]*10)</f>
        <v>4256</v>
      </c>
      <c r="S101" s="85" t="str">
        <f>DEC2HEX(Table25[[#This Row],[ETHVer8]]*10)</f>
        <v>3039</v>
      </c>
      <c r="T101" s="60" t="str">
        <f t="shared" si="1"/>
        <v>A1</v>
      </c>
      <c r="U101" s="60" t="str">
        <f t="shared" si="2"/>
        <v>ET</v>
      </c>
      <c r="V101" s="60" t="str">
        <f t="shared" si="3"/>
        <v>HF</v>
      </c>
      <c r="W101" s="60" t="str">
        <f t="shared" si="4"/>
        <v>1E</v>
      </c>
      <c r="X101" s="60" t="str">
        <f t="shared" si="5"/>
        <v>0S</v>
      </c>
      <c r="Y101" s="60" t="str">
        <f t="shared" si="6"/>
        <v>30</v>
      </c>
      <c r="Z101" s="60" t="str">
        <f t="shared" si="7"/>
        <v>BV</v>
      </c>
      <c r="AA101" s="60" t="str">
        <f t="shared" si="8"/>
        <v>09</v>
      </c>
      <c r="AB101" s="60" t="str">
        <f t="shared" si="9"/>
        <v>A1ETHF1E0S30BV09</v>
      </c>
    </row>
    <row r="102" spans="1:28">
      <c r="A102" t="s">
        <v>251</v>
      </c>
      <c r="B102" t="s">
        <v>534</v>
      </c>
      <c r="C102" s="77">
        <v>1668.9</v>
      </c>
      <c r="D102" s="77">
        <v>1774.8</v>
      </c>
      <c r="E102" s="77">
        <v>1850.2</v>
      </c>
      <c r="F102" s="77">
        <v>1261.3</v>
      </c>
      <c r="G102" s="77">
        <v>1237.0999999999999</v>
      </c>
      <c r="H102" s="77">
        <v>1310.4000000000001</v>
      </c>
      <c r="I102" s="77">
        <v>1698.2</v>
      </c>
      <c r="J102" s="85">
        <v>1234.5</v>
      </c>
      <c r="K102" s="85"/>
      <c r="L102" s="85" t="str">
        <f>DEC2HEX(Table25[[#This Row],[ETHVer1]]*10)</f>
        <v>4131</v>
      </c>
      <c r="M102" s="85" t="str">
        <f>DEC2HEX(Table25[[#This Row],[ETHVer2]]*10)</f>
        <v>4554</v>
      </c>
      <c r="N102" s="85" t="str">
        <f>DEC2HEX(Table25[[#This Row],[ETHVer3]]*10)</f>
        <v>4846</v>
      </c>
      <c r="O102" s="85" t="str">
        <f>DEC2HEX(Table25[[#This Row],[ETHVer4]]*10)</f>
        <v>3145</v>
      </c>
      <c r="P102" s="85" t="str">
        <f>DEC2HEX(Table25[[#This Row],[ETHVer5]]*10)</f>
        <v>3053</v>
      </c>
      <c r="Q102" s="85" t="str">
        <f>DEC2HEX(Table25[[#This Row],[ETHVer6]]*10)</f>
        <v>3330</v>
      </c>
      <c r="R102" s="85" t="str">
        <f>DEC2HEX(Table25[[#This Row],[ETHVer7]]*10)</f>
        <v>4256</v>
      </c>
      <c r="S102" s="85" t="str">
        <f>DEC2HEX(Table25[[#This Row],[ETHVer8]]*10)</f>
        <v>3039</v>
      </c>
      <c r="T102" s="60" t="str">
        <f t="shared" si="1"/>
        <v>A1</v>
      </c>
      <c r="U102" s="60" t="str">
        <f t="shared" si="2"/>
        <v>ET</v>
      </c>
      <c r="V102" s="60" t="str">
        <f t="shared" si="3"/>
        <v>HF</v>
      </c>
      <c r="W102" s="60" t="str">
        <f t="shared" si="4"/>
        <v>1E</v>
      </c>
      <c r="X102" s="60" t="str">
        <f t="shared" si="5"/>
        <v>0S</v>
      </c>
      <c r="Y102" s="60" t="str">
        <f t="shared" si="6"/>
        <v>30</v>
      </c>
      <c r="Z102" s="60" t="str">
        <f t="shared" si="7"/>
        <v>BV</v>
      </c>
      <c r="AA102" s="60" t="str">
        <f t="shared" si="8"/>
        <v>09</v>
      </c>
      <c r="AB102" s="60" t="str">
        <f t="shared" si="9"/>
        <v>A1ETHF1E0S30BV09</v>
      </c>
    </row>
    <row r="103" spans="1:28">
      <c r="A103" t="s">
        <v>252</v>
      </c>
      <c r="B103" t="s">
        <v>535</v>
      </c>
      <c r="C103" s="77">
        <v>1668.9</v>
      </c>
      <c r="D103" s="77">
        <v>1774.8</v>
      </c>
      <c r="E103" s="77">
        <v>1850.2</v>
      </c>
      <c r="F103" s="77">
        <v>1261.3</v>
      </c>
      <c r="G103" s="77">
        <v>1237.0999999999999</v>
      </c>
      <c r="H103" s="77">
        <v>1310.4000000000001</v>
      </c>
      <c r="I103" s="77">
        <v>1698.2</v>
      </c>
      <c r="J103" s="85">
        <v>1234.5</v>
      </c>
      <c r="K103" s="85"/>
      <c r="L103" s="85" t="str">
        <f>DEC2HEX(Table25[[#This Row],[ETHVer1]]*10)</f>
        <v>4131</v>
      </c>
      <c r="M103" s="85" t="str">
        <f>DEC2HEX(Table25[[#This Row],[ETHVer2]]*10)</f>
        <v>4554</v>
      </c>
      <c r="N103" s="85" t="str">
        <f>DEC2HEX(Table25[[#This Row],[ETHVer3]]*10)</f>
        <v>4846</v>
      </c>
      <c r="O103" s="85" t="str">
        <f>DEC2HEX(Table25[[#This Row],[ETHVer4]]*10)</f>
        <v>3145</v>
      </c>
      <c r="P103" s="85" t="str">
        <f>DEC2HEX(Table25[[#This Row],[ETHVer5]]*10)</f>
        <v>3053</v>
      </c>
      <c r="Q103" s="85" t="str">
        <f>DEC2HEX(Table25[[#This Row],[ETHVer6]]*10)</f>
        <v>3330</v>
      </c>
      <c r="R103" s="85" t="str">
        <f>DEC2HEX(Table25[[#This Row],[ETHVer7]]*10)</f>
        <v>4256</v>
      </c>
      <c r="S103" s="85" t="str">
        <f>DEC2HEX(Table25[[#This Row],[ETHVer8]]*10)</f>
        <v>3039</v>
      </c>
      <c r="T103" s="60" t="str">
        <f t="shared" si="1"/>
        <v>A1</v>
      </c>
      <c r="U103" s="60" t="str">
        <f t="shared" si="2"/>
        <v>ET</v>
      </c>
      <c r="V103" s="60" t="str">
        <f t="shared" si="3"/>
        <v>HF</v>
      </c>
      <c r="W103" s="60" t="str">
        <f t="shared" si="4"/>
        <v>1E</v>
      </c>
      <c r="X103" s="60" t="str">
        <f t="shared" si="5"/>
        <v>0S</v>
      </c>
      <c r="Y103" s="60" t="str">
        <f t="shared" si="6"/>
        <v>30</v>
      </c>
      <c r="Z103" s="60" t="str">
        <f t="shared" si="7"/>
        <v>BV</v>
      </c>
      <c r="AA103" s="60" t="str">
        <f t="shared" si="8"/>
        <v>09</v>
      </c>
      <c r="AB103" s="60" t="str">
        <f t="shared" si="9"/>
        <v>A1ETHF1E0S30BV09</v>
      </c>
    </row>
    <row r="104" spans="1:28">
      <c r="A104" t="s">
        <v>253</v>
      </c>
      <c r="B104" t="s">
        <v>536</v>
      </c>
      <c r="C104" s="77">
        <v>1668.9</v>
      </c>
      <c r="D104" s="77">
        <v>1774.8</v>
      </c>
      <c r="E104" s="77">
        <v>1850.2</v>
      </c>
      <c r="F104" s="77">
        <v>1261.3</v>
      </c>
      <c r="G104" s="77">
        <v>1237.0999999999999</v>
      </c>
      <c r="H104" s="77">
        <v>1310.4000000000001</v>
      </c>
      <c r="I104" s="77">
        <v>1698.2</v>
      </c>
      <c r="J104" s="85">
        <v>1234.5</v>
      </c>
      <c r="K104" s="85"/>
      <c r="L104" s="85" t="str">
        <f>DEC2HEX(Table25[[#This Row],[ETHVer1]]*10)</f>
        <v>4131</v>
      </c>
      <c r="M104" s="85" t="str">
        <f>DEC2HEX(Table25[[#This Row],[ETHVer2]]*10)</f>
        <v>4554</v>
      </c>
      <c r="N104" s="85" t="str">
        <f>DEC2HEX(Table25[[#This Row],[ETHVer3]]*10)</f>
        <v>4846</v>
      </c>
      <c r="O104" s="85" t="str">
        <f>DEC2HEX(Table25[[#This Row],[ETHVer4]]*10)</f>
        <v>3145</v>
      </c>
      <c r="P104" s="85" t="str">
        <f>DEC2HEX(Table25[[#This Row],[ETHVer5]]*10)</f>
        <v>3053</v>
      </c>
      <c r="Q104" s="85" t="str">
        <f>DEC2HEX(Table25[[#This Row],[ETHVer6]]*10)</f>
        <v>3330</v>
      </c>
      <c r="R104" s="85" t="str">
        <f>DEC2HEX(Table25[[#This Row],[ETHVer7]]*10)</f>
        <v>4256</v>
      </c>
      <c r="S104" s="85" t="str">
        <f>DEC2HEX(Table25[[#This Row],[ETHVer8]]*10)</f>
        <v>3039</v>
      </c>
      <c r="T104" s="60" t="str">
        <f t="shared" si="1"/>
        <v>A1</v>
      </c>
      <c r="U104" s="60" t="str">
        <f t="shared" si="2"/>
        <v>ET</v>
      </c>
      <c r="V104" s="60" t="str">
        <f t="shared" si="3"/>
        <v>HF</v>
      </c>
      <c r="W104" s="60" t="str">
        <f t="shared" si="4"/>
        <v>1E</v>
      </c>
      <c r="X104" s="60" t="str">
        <f t="shared" si="5"/>
        <v>0S</v>
      </c>
      <c r="Y104" s="60" t="str">
        <f t="shared" si="6"/>
        <v>30</v>
      </c>
      <c r="Z104" s="60" t="str">
        <f t="shared" si="7"/>
        <v>BV</v>
      </c>
      <c r="AA104" s="60" t="str">
        <f t="shared" si="8"/>
        <v>09</v>
      </c>
      <c r="AB104" s="60" t="str">
        <f t="shared" si="9"/>
        <v>A1ETHF1E0S30BV09</v>
      </c>
    </row>
    <row r="105" spans="1:28">
      <c r="A105" t="s">
        <v>254</v>
      </c>
      <c r="B105" t="s">
        <v>537</v>
      </c>
      <c r="C105" s="77">
        <v>1668.9</v>
      </c>
      <c r="D105" s="77">
        <v>1774.8</v>
      </c>
      <c r="E105" s="77">
        <v>1850.2</v>
      </c>
      <c r="F105" s="77">
        <v>1261.3</v>
      </c>
      <c r="G105" s="77">
        <v>1237.0999999999999</v>
      </c>
      <c r="H105" s="77">
        <v>1310.4000000000001</v>
      </c>
      <c r="I105" s="77">
        <v>1698.2</v>
      </c>
      <c r="J105" s="85">
        <v>1234.5</v>
      </c>
      <c r="K105" s="85"/>
      <c r="L105" s="85" t="str">
        <f>DEC2HEX(Table25[[#This Row],[ETHVer1]]*10)</f>
        <v>4131</v>
      </c>
      <c r="M105" s="85" t="str">
        <f>DEC2HEX(Table25[[#This Row],[ETHVer2]]*10)</f>
        <v>4554</v>
      </c>
      <c r="N105" s="85" t="str">
        <f>DEC2HEX(Table25[[#This Row],[ETHVer3]]*10)</f>
        <v>4846</v>
      </c>
      <c r="O105" s="85" t="str">
        <f>DEC2HEX(Table25[[#This Row],[ETHVer4]]*10)</f>
        <v>3145</v>
      </c>
      <c r="P105" s="85" t="str">
        <f>DEC2HEX(Table25[[#This Row],[ETHVer5]]*10)</f>
        <v>3053</v>
      </c>
      <c r="Q105" s="85" t="str">
        <f>DEC2HEX(Table25[[#This Row],[ETHVer6]]*10)</f>
        <v>3330</v>
      </c>
      <c r="R105" s="85" t="str">
        <f>DEC2HEX(Table25[[#This Row],[ETHVer7]]*10)</f>
        <v>4256</v>
      </c>
      <c r="S105" s="85" t="str">
        <f>DEC2HEX(Table25[[#This Row],[ETHVer8]]*10)</f>
        <v>3039</v>
      </c>
      <c r="T105" s="60" t="str">
        <f t="shared" si="1"/>
        <v>A1</v>
      </c>
      <c r="U105" s="60" t="str">
        <f t="shared" si="2"/>
        <v>ET</v>
      </c>
      <c r="V105" s="60" t="str">
        <f t="shared" si="3"/>
        <v>HF</v>
      </c>
      <c r="W105" s="60" t="str">
        <f t="shared" si="4"/>
        <v>1E</v>
      </c>
      <c r="X105" s="60" t="str">
        <f t="shared" si="5"/>
        <v>0S</v>
      </c>
      <c r="Y105" s="60" t="str">
        <f t="shared" si="6"/>
        <v>30</v>
      </c>
      <c r="Z105" s="60" t="str">
        <f t="shared" si="7"/>
        <v>BV</v>
      </c>
      <c r="AA105" s="60" t="str">
        <f t="shared" si="8"/>
        <v>09</v>
      </c>
      <c r="AB105" s="60" t="str">
        <f t="shared" si="9"/>
        <v>A1ETHF1E0S30BV09</v>
      </c>
    </row>
    <row r="106" spans="1:28">
      <c r="A106" t="s">
        <v>255</v>
      </c>
      <c r="B106" t="s">
        <v>538</v>
      </c>
      <c r="C106" s="77">
        <v>1668.9</v>
      </c>
      <c r="D106" s="77">
        <v>1774.8</v>
      </c>
      <c r="E106" s="77">
        <v>1850.2</v>
      </c>
      <c r="F106" s="77">
        <v>1261.3</v>
      </c>
      <c r="G106" s="77">
        <v>1237.0999999999999</v>
      </c>
      <c r="H106" s="77">
        <v>1310.4000000000001</v>
      </c>
      <c r="I106" s="77">
        <v>1698.2</v>
      </c>
      <c r="J106" s="85">
        <v>1234.5</v>
      </c>
      <c r="K106" s="85"/>
      <c r="L106" s="85" t="str">
        <f>DEC2HEX(Table25[[#This Row],[ETHVer1]]*10)</f>
        <v>4131</v>
      </c>
      <c r="M106" s="85" t="str">
        <f>DEC2HEX(Table25[[#This Row],[ETHVer2]]*10)</f>
        <v>4554</v>
      </c>
      <c r="N106" s="85" t="str">
        <f>DEC2HEX(Table25[[#This Row],[ETHVer3]]*10)</f>
        <v>4846</v>
      </c>
      <c r="O106" s="85" t="str">
        <f>DEC2HEX(Table25[[#This Row],[ETHVer4]]*10)</f>
        <v>3145</v>
      </c>
      <c r="P106" s="85" t="str">
        <f>DEC2HEX(Table25[[#This Row],[ETHVer5]]*10)</f>
        <v>3053</v>
      </c>
      <c r="Q106" s="85" t="str">
        <f>DEC2HEX(Table25[[#This Row],[ETHVer6]]*10)</f>
        <v>3330</v>
      </c>
      <c r="R106" s="85" t="str">
        <f>DEC2HEX(Table25[[#This Row],[ETHVer7]]*10)</f>
        <v>4256</v>
      </c>
      <c r="S106" s="85" t="str">
        <f>DEC2HEX(Table25[[#This Row],[ETHVer8]]*10)</f>
        <v>3039</v>
      </c>
      <c r="T106" s="60" t="str">
        <f t="shared" si="1"/>
        <v>A1</v>
      </c>
      <c r="U106" s="60" t="str">
        <f t="shared" si="2"/>
        <v>ET</v>
      </c>
      <c r="V106" s="60" t="str">
        <f t="shared" si="3"/>
        <v>HF</v>
      </c>
      <c r="W106" s="60" t="str">
        <f t="shared" si="4"/>
        <v>1E</v>
      </c>
      <c r="X106" s="60" t="str">
        <f t="shared" si="5"/>
        <v>0S</v>
      </c>
      <c r="Y106" s="60" t="str">
        <f t="shared" si="6"/>
        <v>30</v>
      </c>
      <c r="Z106" s="60" t="str">
        <f t="shared" si="7"/>
        <v>BV</v>
      </c>
      <c r="AA106" s="60" t="str">
        <f t="shared" si="8"/>
        <v>09</v>
      </c>
      <c r="AB106" s="60" t="str">
        <f t="shared" si="9"/>
        <v>A1ETHF1E0S30BV09</v>
      </c>
    </row>
    <row r="107" spans="1:28">
      <c r="A107" t="s">
        <v>256</v>
      </c>
      <c r="B107" t="s">
        <v>539</v>
      </c>
      <c r="C107" s="77">
        <v>1668.9</v>
      </c>
      <c r="D107" s="77">
        <v>1774.8</v>
      </c>
      <c r="E107" s="77">
        <v>1850.2</v>
      </c>
      <c r="F107" s="77">
        <v>1261.3</v>
      </c>
      <c r="G107" s="77">
        <v>1237.0999999999999</v>
      </c>
      <c r="H107" s="77">
        <v>1310.4000000000001</v>
      </c>
      <c r="I107" s="77">
        <v>1698.2</v>
      </c>
      <c r="J107" s="85">
        <v>1234.5</v>
      </c>
      <c r="K107" s="85"/>
      <c r="L107" s="85" t="str">
        <f>DEC2HEX(Table25[[#This Row],[ETHVer1]]*10)</f>
        <v>4131</v>
      </c>
      <c r="M107" s="85" t="str">
        <f>DEC2HEX(Table25[[#This Row],[ETHVer2]]*10)</f>
        <v>4554</v>
      </c>
      <c r="N107" s="85" t="str">
        <f>DEC2HEX(Table25[[#This Row],[ETHVer3]]*10)</f>
        <v>4846</v>
      </c>
      <c r="O107" s="85" t="str">
        <f>DEC2HEX(Table25[[#This Row],[ETHVer4]]*10)</f>
        <v>3145</v>
      </c>
      <c r="P107" s="85" t="str">
        <f>DEC2HEX(Table25[[#This Row],[ETHVer5]]*10)</f>
        <v>3053</v>
      </c>
      <c r="Q107" s="85" t="str">
        <f>DEC2HEX(Table25[[#This Row],[ETHVer6]]*10)</f>
        <v>3330</v>
      </c>
      <c r="R107" s="85" t="str">
        <f>DEC2HEX(Table25[[#This Row],[ETHVer7]]*10)</f>
        <v>4256</v>
      </c>
      <c r="S107" s="85" t="str">
        <f>DEC2HEX(Table25[[#This Row],[ETHVer8]]*10)</f>
        <v>3039</v>
      </c>
      <c r="T107" s="60" t="str">
        <f t="shared" si="1"/>
        <v>A1</v>
      </c>
      <c r="U107" s="60" t="str">
        <f t="shared" si="2"/>
        <v>ET</v>
      </c>
      <c r="V107" s="60" t="str">
        <f t="shared" si="3"/>
        <v>HF</v>
      </c>
      <c r="W107" s="60" t="str">
        <f t="shared" si="4"/>
        <v>1E</v>
      </c>
      <c r="X107" s="60" t="str">
        <f t="shared" si="5"/>
        <v>0S</v>
      </c>
      <c r="Y107" s="60" t="str">
        <f t="shared" si="6"/>
        <v>30</v>
      </c>
      <c r="Z107" s="60" t="str">
        <f t="shared" si="7"/>
        <v>BV</v>
      </c>
      <c r="AA107" s="60" t="str">
        <f t="shared" si="8"/>
        <v>09</v>
      </c>
      <c r="AB107" s="60" t="str">
        <f t="shared" si="9"/>
        <v>A1ETHF1E0S30BV09</v>
      </c>
    </row>
    <row r="108" spans="1:28">
      <c r="A108" t="s">
        <v>257</v>
      </c>
      <c r="B108" t="s">
        <v>540</v>
      </c>
      <c r="C108" s="77">
        <v>1668.9</v>
      </c>
      <c r="D108" s="77">
        <v>1774.8</v>
      </c>
      <c r="E108" s="77">
        <v>1850.2</v>
      </c>
      <c r="F108" s="77">
        <v>1261.3</v>
      </c>
      <c r="G108" s="77">
        <v>1237.0999999999999</v>
      </c>
      <c r="H108" s="77">
        <v>1310.4000000000001</v>
      </c>
      <c r="I108" s="77">
        <v>1698.2</v>
      </c>
      <c r="J108" s="85">
        <v>1234.5</v>
      </c>
      <c r="K108" s="85"/>
      <c r="L108" s="85" t="str">
        <f>DEC2HEX(Table25[[#This Row],[ETHVer1]]*10)</f>
        <v>4131</v>
      </c>
      <c r="M108" s="85" t="str">
        <f>DEC2HEX(Table25[[#This Row],[ETHVer2]]*10)</f>
        <v>4554</v>
      </c>
      <c r="N108" s="85" t="str">
        <f>DEC2HEX(Table25[[#This Row],[ETHVer3]]*10)</f>
        <v>4846</v>
      </c>
      <c r="O108" s="85" t="str">
        <f>DEC2HEX(Table25[[#This Row],[ETHVer4]]*10)</f>
        <v>3145</v>
      </c>
      <c r="P108" s="85" t="str">
        <f>DEC2HEX(Table25[[#This Row],[ETHVer5]]*10)</f>
        <v>3053</v>
      </c>
      <c r="Q108" s="85" t="str">
        <f>DEC2HEX(Table25[[#This Row],[ETHVer6]]*10)</f>
        <v>3330</v>
      </c>
      <c r="R108" s="85" t="str">
        <f>DEC2HEX(Table25[[#This Row],[ETHVer7]]*10)</f>
        <v>4256</v>
      </c>
      <c r="S108" s="85" t="str">
        <f>DEC2HEX(Table25[[#This Row],[ETHVer8]]*10)</f>
        <v>3039</v>
      </c>
      <c r="T108" s="60" t="str">
        <f t="shared" si="1"/>
        <v>A1</v>
      </c>
      <c r="U108" s="60" t="str">
        <f t="shared" si="2"/>
        <v>ET</v>
      </c>
      <c r="V108" s="60" t="str">
        <f t="shared" si="3"/>
        <v>HF</v>
      </c>
      <c r="W108" s="60" t="str">
        <f t="shared" si="4"/>
        <v>1E</v>
      </c>
      <c r="X108" s="60" t="str">
        <f t="shared" si="5"/>
        <v>0S</v>
      </c>
      <c r="Y108" s="60" t="str">
        <f t="shared" si="6"/>
        <v>30</v>
      </c>
      <c r="Z108" s="60" t="str">
        <f t="shared" si="7"/>
        <v>BV</v>
      </c>
      <c r="AA108" s="60" t="str">
        <f t="shared" si="8"/>
        <v>09</v>
      </c>
      <c r="AB108" s="60" t="str">
        <f t="shared" si="9"/>
        <v>A1ETHF1E0S30BV09</v>
      </c>
    </row>
    <row r="109" spans="1:28">
      <c r="A109" t="s">
        <v>258</v>
      </c>
      <c r="B109" t="s">
        <v>541</v>
      </c>
      <c r="C109" s="77">
        <v>1668.9</v>
      </c>
      <c r="D109" s="77">
        <v>1774.8</v>
      </c>
      <c r="E109" s="77">
        <v>1850.2</v>
      </c>
      <c r="F109" s="77">
        <v>1261.3</v>
      </c>
      <c r="G109" s="77">
        <v>1237.0999999999999</v>
      </c>
      <c r="H109" s="77">
        <v>1310.4000000000001</v>
      </c>
      <c r="I109" s="77">
        <v>1698.2</v>
      </c>
      <c r="J109" s="85">
        <v>1234.5</v>
      </c>
      <c r="K109" s="85"/>
      <c r="L109" s="85" t="str">
        <f>DEC2HEX(Table25[[#This Row],[ETHVer1]]*10)</f>
        <v>4131</v>
      </c>
      <c r="M109" s="85" t="str">
        <f>DEC2HEX(Table25[[#This Row],[ETHVer2]]*10)</f>
        <v>4554</v>
      </c>
      <c r="N109" s="85" t="str">
        <f>DEC2HEX(Table25[[#This Row],[ETHVer3]]*10)</f>
        <v>4846</v>
      </c>
      <c r="O109" s="85" t="str">
        <f>DEC2HEX(Table25[[#This Row],[ETHVer4]]*10)</f>
        <v>3145</v>
      </c>
      <c r="P109" s="85" t="str">
        <f>DEC2HEX(Table25[[#This Row],[ETHVer5]]*10)</f>
        <v>3053</v>
      </c>
      <c r="Q109" s="85" t="str">
        <f>DEC2HEX(Table25[[#This Row],[ETHVer6]]*10)</f>
        <v>3330</v>
      </c>
      <c r="R109" s="85" t="str">
        <f>DEC2HEX(Table25[[#This Row],[ETHVer7]]*10)</f>
        <v>4256</v>
      </c>
      <c r="S109" s="85" t="str">
        <f>DEC2HEX(Table25[[#This Row],[ETHVer8]]*10)</f>
        <v>3039</v>
      </c>
      <c r="T109" s="60" t="str">
        <f t="shared" si="1"/>
        <v>A1</v>
      </c>
      <c r="U109" s="60" t="str">
        <f t="shared" si="2"/>
        <v>ET</v>
      </c>
      <c r="V109" s="60" t="str">
        <f t="shared" si="3"/>
        <v>HF</v>
      </c>
      <c r="W109" s="60" t="str">
        <f t="shared" si="4"/>
        <v>1E</v>
      </c>
      <c r="X109" s="60" t="str">
        <f t="shared" si="5"/>
        <v>0S</v>
      </c>
      <c r="Y109" s="60" t="str">
        <f t="shared" si="6"/>
        <v>30</v>
      </c>
      <c r="Z109" s="60" t="str">
        <f t="shared" si="7"/>
        <v>BV</v>
      </c>
      <c r="AA109" s="60" t="str">
        <f t="shared" si="8"/>
        <v>09</v>
      </c>
      <c r="AB109" s="60" t="str">
        <f t="shared" si="9"/>
        <v>A1ETHF1E0S30BV09</v>
      </c>
    </row>
    <row r="110" spans="1:28">
      <c r="A110" t="s">
        <v>259</v>
      </c>
      <c r="B110" t="s">
        <v>542</v>
      </c>
      <c r="C110" s="77">
        <v>1668.9</v>
      </c>
      <c r="D110" s="77">
        <v>1774.8</v>
      </c>
      <c r="E110" s="77">
        <v>1850.2</v>
      </c>
      <c r="F110" s="77">
        <v>1261.3</v>
      </c>
      <c r="G110" s="77">
        <v>1237.0999999999999</v>
      </c>
      <c r="H110" s="77">
        <v>1310.4000000000001</v>
      </c>
      <c r="I110" s="77">
        <v>1698.2</v>
      </c>
      <c r="J110" s="85">
        <v>1234.5</v>
      </c>
      <c r="K110" s="85"/>
      <c r="L110" s="85" t="str">
        <f>DEC2HEX(Table25[[#This Row],[ETHVer1]]*10)</f>
        <v>4131</v>
      </c>
      <c r="M110" s="85" t="str">
        <f>DEC2HEX(Table25[[#This Row],[ETHVer2]]*10)</f>
        <v>4554</v>
      </c>
      <c r="N110" s="85" t="str">
        <f>DEC2HEX(Table25[[#This Row],[ETHVer3]]*10)</f>
        <v>4846</v>
      </c>
      <c r="O110" s="85" t="str">
        <f>DEC2HEX(Table25[[#This Row],[ETHVer4]]*10)</f>
        <v>3145</v>
      </c>
      <c r="P110" s="85" t="str">
        <f>DEC2HEX(Table25[[#This Row],[ETHVer5]]*10)</f>
        <v>3053</v>
      </c>
      <c r="Q110" s="85" t="str">
        <f>DEC2HEX(Table25[[#This Row],[ETHVer6]]*10)</f>
        <v>3330</v>
      </c>
      <c r="R110" s="85" t="str">
        <f>DEC2HEX(Table25[[#This Row],[ETHVer7]]*10)</f>
        <v>4256</v>
      </c>
      <c r="S110" s="85" t="str">
        <f>DEC2HEX(Table25[[#This Row],[ETHVer8]]*10)</f>
        <v>3039</v>
      </c>
      <c r="T110" s="60" t="str">
        <f t="shared" si="1"/>
        <v>A1</v>
      </c>
      <c r="U110" s="60" t="str">
        <f t="shared" si="2"/>
        <v>ET</v>
      </c>
      <c r="V110" s="60" t="str">
        <f t="shared" si="3"/>
        <v>HF</v>
      </c>
      <c r="W110" s="60" t="str">
        <f t="shared" si="4"/>
        <v>1E</v>
      </c>
      <c r="X110" s="60" t="str">
        <f t="shared" si="5"/>
        <v>0S</v>
      </c>
      <c r="Y110" s="60" t="str">
        <f t="shared" si="6"/>
        <v>30</v>
      </c>
      <c r="Z110" s="60" t="str">
        <f t="shared" si="7"/>
        <v>BV</v>
      </c>
      <c r="AA110" s="60" t="str">
        <f t="shared" si="8"/>
        <v>09</v>
      </c>
      <c r="AB110" s="60" t="str">
        <f t="shared" si="9"/>
        <v>A1ETHF1E0S30BV09</v>
      </c>
    </row>
    <row r="111" spans="1:28">
      <c r="A111" t="s">
        <v>260</v>
      </c>
      <c r="B111" t="s">
        <v>543</v>
      </c>
      <c r="C111" s="77"/>
      <c r="D111" s="77"/>
      <c r="E111" s="77"/>
      <c r="F111" s="77"/>
      <c r="G111" s="77"/>
      <c r="H111" s="77"/>
      <c r="I111" s="77"/>
      <c r="J111" s="85"/>
      <c r="K111" s="85"/>
      <c r="L111" s="85"/>
      <c r="M111" s="85"/>
      <c r="N111" s="85"/>
      <c r="O111" s="77"/>
      <c r="P111" s="77"/>
      <c r="Q111" s="77"/>
      <c r="R111" s="77"/>
      <c r="S111" s="77"/>
      <c r="T111" s="77"/>
      <c r="U111" s="77"/>
      <c r="V111" s="77"/>
    </row>
    <row r="112" spans="1:28">
      <c r="A112" t="s">
        <v>261</v>
      </c>
      <c r="B112" t="s">
        <v>544</v>
      </c>
      <c r="C112" s="77"/>
      <c r="D112" s="77"/>
      <c r="E112" s="77"/>
      <c r="F112" s="77"/>
      <c r="G112" s="77"/>
      <c r="H112" s="77"/>
      <c r="I112" s="77"/>
      <c r="J112" s="85"/>
      <c r="K112" s="85"/>
      <c r="L112" s="85"/>
      <c r="M112" s="85"/>
      <c r="N112" s="85"/>
      <c r="O112" s="77"/>
      <c r="P112" s="77"/>
      <c r="Q112" s="77"/>
      <c r="R112" s="77"/>
      <c r="S112" s="77"/>
      <c r="T112" s="77"/>
      <c r="U112" s="77"/>
      <c r="V112" s="77"/>
    </row>
    <row r="113" spans="1:22">
      <c r="A113" t="s">
        <v>262</v>
      </c>
      <c r="B113" t="s">
        <v>545</v>
      </c>
      <c r="C113" s="77"/>
      <c r="D113" s="77"/>
      <c r="E113" s="77"/>
      <c r="F113" s="77"/>
      <c r="G113" s="77"/>
      <c r="H113" s="77"/>
      <c r="I113" s="77"/>
      <c r="J113" s="85"/>
      <c r="K113" s="85"/>
      <c r="L113" s="85"/>
      <c r="M113" s="85"/>
      <c r="N113" s="85"/>
      <c r="O113" s="77"/>
      <c r="P113" s="77"/>
      <c r="Q113" s="77"/>
      <c r="R113" s="77"/>
      <c r="S113" s="77"/>
      <c r="T113" s="77"/>
      <c r="U113" s="77"/>
      <c r="V113" s="77"/>
    </row>
    <row r="114" spans="1:22">
      <c r="A114" t="s">
        <v>263</v>
      </c>
      <c r="B114" t="s">
        <v>546</v>
      </c>
      <c r="C114" s="77"/>
      <c r="D114" s="77"/>
      <c r="E114" s="77"/>
      <c r="F114" s="77"/>
      <c r="G114" s="77"/>
      <c r="H114" s="77"/>
      <c r="I114" s="77"/>
      <c r="J114" s="85"/>
      <c r="K114" s="85"/>
      <c r="L114" s="85"/>
      <c r="M114" s="85"/>
      <c r="N114" s="85"/>
      <c r="O114" s="77"/>
      <c r="P114" s="77"/>
      <c r="Q114" s="77"/>
      <c r="R114" s="77"/>
      <c r="S114" s="77"/>
      <c r="T114" s="77"/>
      <c r="U114" s="77"/>
      <c r="V114" s="77"/>
    </row>
    <row r="115" spans="1:22">
      <c r="A115" t="s">
        <v>264</v>
      </c>
      <c r="B115" t="s">
        <v>547</v>
      </c>
      <c r="C115" s="77"/>
      <c r="D115" s="77"/>
      <c r="E115" s="77"/>
      <c r="F115" s="77"/>
      <c r="G115" s="77"/>
      <c r="H115" s="77"/>
      <c r="I115" s="77"/>
      <c r="J115" s="85"/>
      <c r="K115" s="85"/>
      <c r="L115" s="85"/>
      <c r="M115" s="85"/>
      <c r="N115" s="85"/>
      <c r="O115" s="77"/>
      <c r="P115" s="77"/>
      <c r="Q115" s="77"/>
      <c r="R115" s="77"/>
      <c r="S115" s="77"/>
      <c r="T115" s="77"/>
      <c r="U115" s="77"/>
      <c r="V115" s="77"/>
    </row>
    <row r="116" spans="1:22">
      <c r="A116" t="s">
        <v>265</v>
      </c>
      <c r="B116" t="s">
        <v>548</v>
      </c>
      <c r="C116" s="77"/>
      <c r="D116" s="77"/>
      <c r="E116" s="77"/>
      <c r="F116" s="77"/>
      <c r="G116" s="77"/>
      <c r="H116" s="77"/>
      <c r="I116" s="77"/>
      <c r="J116" s="85"/>
      <c r="K116" s="85"/>
      <c r="L116" s="85"/>
      <c r="M116" s="85"/>
      <c r="N116" s="85"/>
      <c r="O116" s="77"/>
      <c r="P116" s="77"/>
      <c r="Q116" s="77"/>
      <c r="R116" s="77"/>
      <c r="S116" s="77"/>
      <c r="T116" s="77"/>
      <c r="U116" s="77"/>
      <c r="V116" s="77"/>
    </row>
    <row r="117" spans="1:22">
      <c r="A117" t="s">
        <v>266</v>
      </c>
      <c r="B117" t="s">
        <v>549</v>
      </c>
      <c r="C117" s="77"/>
      <c r="D117" s="77"/>
      <c r="E117" s="77"/>
      <c r="F117" s="77"/>
      <c r="G117" s="77"/>
      <c r="H117" s="77"/>
      <c r="I117" s="77"/>
      <c r="J117" s="85"/>
      <c r="K117" s="85"/>
      <c r="L117" s="85"/>
      <c r="M117" s="85"/>
      <c r="N117" s="85"/>
      <c r="O117" s="77"/>
      <c r="P117" s="77"/>
      <c r="Q117" s="77"/>
      <c r="R117" s="77"/>
      <c r="S117" s="77"/>
      <c r="T117" s="77"/>
      <c r="U117" s="77"/>
      <c r="V117" s="77"/>
    </row>
    <row r="118" spans="1:22">
      <c r="A118" t="s">
        <v>267</v>
      </c>
      <c r="B118" t="s">
        <v>550</v>
      </c>
      <c r="C118" s="77"/>
      <c r="D118" s="77"/>
      <c r="E118" s="77"/>
      <c r="F118" s="77"/>
      <c r="G118" s="77"/>
      <c r="H118" s="77"/>
      <c r="I118" s="77"/>
      <c r="J118" s="85"/>
      <c r="K118" s="85"/>
      <c r="L118" s="85"/>
      <c r="M118" s="85"/>
      <c r="N118" s="85"/>
      <c r="O118" s="77"/>
      <c r="P118" s="77"/>
      <c r="Q118" s="77"/>
      <c r="R118" s="77"/>
      <c r="S118" s="77"/>
      <c r="T118" s="77"/>
      <c r="U118" s="77"/>
      <c r="V118" s="77"/>
    </row>
    <row r="119" spans="1:22">
      <c r="A119" t="s">
        <v>268</v>
      </c>
      <c r="B119" t="s">
        <v>551</v>
      </c>
      <c r="C119" s="77"/>
      <c r="D119" s="77"/>
      <c r="E119" s="77"/>
      <c r="F119" s="77"/>
      <c r="G119" s="77"/>
      <c r="H119" s="77"/>
      <c r="I119" s="77"/>
      <c r="J119" s="85"/>
      <c r="K119" s="85"/>
      <c r="L119" s="85"/>
      <c r="M119" s="85"/>
      <c r="N119" s="85"/>
      <c r="O119" s="77"/>
      <c r="P119" s="77"/>
      <c r="Q119" s="77"/>
      <c r="R119" s="77"/>
      <c r="S119" s="77"/>
      <c r="T119" s="77"/>
      <c r="U119" s="77"/>
      <c r="V119" s="77"/>
    </row>
    <row r="120" spans="1:22">
      <c r="A120" t="s">
        <v>269</v>
      </c>
      <c r="B120" t="s">
        <v>552</v>
      </c>
      <c r="C120" s="77"/>
      <c r="D120" s="77"/>
      <c r="E120" s="77"/>
      <c r="F120" s="77"/>
      <c r="G120" s="77"/>
      <c r="H120" s="77"/>
      <c r="I120" s="77"/>
      <c r="J120" s="85"/>
      <c r="K120" s="85"/>
      <c r="L120" s="85"/>
      <c r="M120" s="85"/>
      <c r="N120" s="85"/>
      <c r="O120" s="77"/>
      <c r="P120" s="77"/>
      <c r="Q120" s="77"/>
      <c r="R120" s="77"/>
      <c r="S120" s="77"/>
      <c r="T120" s="77"/>
      <c r="U120" s="77"/>
      <c r="V120" s="77"/>
    </row>
    <row r="121" spans="1:22">
      <c r="A121" t="s">
        <v>270</v>
      </c>
      <c r="B121" t="s">
        <v>553</v>
      </c>
      <c r="C121" s="77"/>
      <c r="D121" s="77"/>
      <c r="E121" s="77"/>
      <c r="F121" s="77"/>
      <c r="G121" s="77"/>
      <c r="H121" s="77"/>
      <c r="I121" s="77"/>
      <c r="J121" s="85"/>
      <c r="K121" s="85"/>
      <c r="L121" s="85"/>
      <c r="M121" s="85"/>
      <c r="N121" s="85"/>
      <c r="O121" s="77"/>
      <c r="P121" s="77"/>
      <c r="Q121" s="77"/>
      <c r="R121" s="77"/>
      <c r="S121" s="77"/>
      <c r="T121" s="77"/>
      <c r="U121" s="77"/>
      <c r="V121" s="77"/>
    </row>
    <row r="122" spans="1:22">
      <c r="A122" t="s">
        <v>271</v>
      </c>
      <c r="B122" t="s">
        <v>554</v>
      </c>
      <c r="C122" s="77"/>
      <c r="D122" s="77"/>
      <c r="E122" s="77"/>
      <c r="F122" s="77"/>
      <c r="G122" s="77"/>
      <c r="H122" s="77"/>
      <c r="I122" s="77"/>
      <c r="J122" s="85"/>
      <c r="K122" s="85"/>
      <c r="L122" s="85"/>
      <c r="M122" s="85"/>
      <c r="N122" s="85"/>
      <c r="O122" s="77"/>
      <c r="P122" s="77"/>
      <c r="Q122" s="77"/>
      <c r="R122" s="77"/>
      <c r="S122" s="77"/>
      <c r="T122" s="77"/>
      <c r="U122" s="77"/>
      <c r="V122" s="77"/>
    </row>
    <row r="123" spans="1:22">
      <c r="A123" t="s">
        <v>272</v>
      </c>
      <c r="B123" t="s">
        <v>555</v>
      </c>
      <c r="C123" s="77"/>
      <c r="D123" s="77"/>
      <c r="E123" s="77"/>
      <c r="F123" s="77"/>
      <c r="G123" s="77"/>
      <c r="H123" s="77"/>
      <c r="I123" s="77"/>
      <c r="J123" s="85"/>
      <c r="K123" s="85"/>
      <c r="L123" s="85"/>
      <c r="M123" s="85"/>
      <c r="N123" s="85"/>
      <c r="O123" s="77"/>
      <c r="P123" s="77"/>
      <c r="Q123" s="77"/>
      <c r="R123" s="77"/>
      <c r="S123" s="77"/>
      <c r="T123" s="77"/>
      <c r="U123" s="77"/>
      <c r="V123" s="77"/>
    </row>
    <row r="124" spans="1:22">
      <c r="A124" t="s">
        <v>273</v>
      </c>
      <c r="B124" t="s">
        <v>556</v>
      </c>
      <c r="C124" s="77"/>
      <c r="D124" s="77"/>
      <c r="E124" s="77"/>
      <c r="F124" s="77"/>
      <c r="G124" s="77"/>
      <c r="H124" s="77"/>
      <c r="I124" s="77"/>
      <c r="J124" s="85"/>
      <c r="K124" s="85"/>
      <c r="L124" s="85"/>
      <c r="M124" s="85"/>
      <c r="N124" s="85"/>
      <c r="O124" s="77"/>
      <c r="P124" s="77"/>
      <c r="Q124" s="77"/>
      <c r="R124" s="77"/>
      <c r="S124" s="77"/>
      <c r="T124" s="77"/>
      <c r="U124" s="77"/>
      <c r="V124" s="77"/>
    </row>
    <row r="125" spans="1:22">
      <c r="A125" t="s">
        <v>274</v>
      </c>
      <c r="B125" t="s">
        <v>557</v>
      </c>
      <c r="C125" s="77"/>
      <c r="D125" s="77"/>
      <c r="E125" s="77"/>
      <c r="F125" s="77"/>
      <c r="G125" s="77"/>
      <c r="H125" s="77"/>
      <c r="I125" s="77"/>
      <c r="J125" s="85"/>
      <c r="K125" s="85"/>
      <c r="L125" s="85"/>
      <c r="M125" s="85"/>
      <c r="N125" s="85"/>
      <c r="O125" s="77"/>
      <c r="P125" s="77"/>
      <c r="Q125" s="77"/>
      <c r="R125" s="77"/>
      <c r="S125" s="77"/>
      <c r="T125" s="77"/>
      <c r="U125" s="77"/>
      <c r="V125" s="77"/>
    </row>
    <row r="126" spans="1:22">
      <c r="A126" t="s">
        <v>275</v>
      </c>
      <c r="B126" t="s">
        <v>558</v>
      </c>
      <c r="C126" s="77"/>
      <c r="D126" s="77"/>
      <c r="E126" s="77"/>
      <c r="F126" s="77"/>
      <c r="G126" s="77"/>
      <c r="H126" s="77"/>
      <c r="I126" s="77"/>
      <c r="J126" s="85"/>
      <c r="K126" s="85"/>
      <c r="L126" s="85"/>
      <c r="M126" s="85"/>
      <c r="N126" s="85"/>
      <c r="O126" s="77"/>
      <c r="P126" s="77"/>
      <c r="Q126" s="77"/>
      <c r="R126" s="77"/>
      <c r="S126" s="77"/>
      <c r="T126" s="77"/>
      <c r="U126" s="77"/>
      <c r="V126" s="77"/>
    </row>
    <row r="127" spans="1:22">
      <c r="A127" t="s">
        <v>276</v>
      </c>
      <c r="B127" t="s">
        <v>559</v>
      </c>
      <c r="C127" s="77"/>
      <c r="D127" s="77"/>
      <c r="E127" s="77"/>
      <c r="F127" s="77"/>
      <c r="G127" s="77"/>
      <c r="H127" s="77"/>
      <c r="I127" s="77"/>
      <c r="J127" s="85"/>
      <c r="K127" s="85"/>
      <c r="L127" s="85"/>
      <c r="M127" s="85"/>
      <c r="N127" s="85"/>
      <c r="O127" s="77"/>
      <c r="P127" s="77"/>
      <c r="Q127" s="77"/>
      <c r="R127" s="77"/>
      <c r="S127" s="77"/>
      <c r="T127" s="77"/>
      <c r="U127" s="77"/>
      <c r="V127" s="77"/>
    </row>
    <row r="128" spans="1:22">
      <c r="A128" t="s">
        <v>277</v>
      </c>
      <c r="B128" t="s">
        <v>560</v>
      </c>
      <c r="C128" s="77"/>
      <c r="D128" s="77"/>
      <c r="E128" s="77"/>
      <c r="F128" s="77"/>
      <c r="G128" s="77"/>
      <c r="H128" s="77"/>
      <c r="I128" s="77"/>
      <c r="J128" s="85"/>
      <c r="K128" s="85"/>
      <c r="L128" s="85"/>
      <c r="M128" s="85"/>
      <c r="N128" s="85"/>
      <c r="O128" s="77"/>
      <c r="P128" s="77"/>
      <c r="Q128" s="77"/>
      <c r="R128" s="77"/>
      <c r="S128" s="77"/>
      <c r="T128" s="77"/>
      <c r="U128" s="77"/>
      <c r="V128" s="77"/>
    </row>
    <row r="129" spans="1:22">
      <c r="A129" t="s">
        <v>278</v>
      </c>
      <c r="B129" t="s">
        <v>561</v>
      </c>
      <c r="C129" s="77"/>
      <c r="D129" s="77"/>
      <c r="E129" s="77"/>
      <c r="F129" s="77"/>
      <c r="G129" s="77"/>
      <c r="H129" s="77"/>
      <c r="I129" s="77"/>
      <c r="J129" s="85"/>
      <c r="K129" s="85"/>
      <c r="L129" s="85"/>
      <c r="M129" s="85"/>
      <c r="N129" s="85"/>
      <c r="O129" s="77"/>
      <c r="P129" s="77"/>
      <c r="Q129" s="77"/>
      <c r="R129" s="77"/>
      <c r="S129" s="77"/>
      <c r="T129" s="77"/>
      <c r="U129" s="77"/>
      <c r="V129" s="77"/>
    </row>
    <row r="130" spans="1:22">
      <c r="A130" t="s">
        <v>279</v>
      </c>
      <c r="B130" t="s">
        <v>562</v>
      </c>
      <c r="C130" s="77"/>
      <c r="D130" s="77"/>
      <c r="E130" s="77"/>
      <c r="F130" s="77"/>
      <c r="G130" s="77"/>
      <c r="H130" s="77"/>
      <c r="I130" s="77"/>
      <c r="J130" s="85"/>
      <c r="K130" s="85"/>
      <c r="L130" s="85"/>
      <c r="M130" s="85"/>
      <c r="N130" s="85"/>
      <c r="O130" s="77"/>
      <c r="P130" s="77"/>
      <c r="Q130" s="77"/>
      <c r="R130" s="77"/>
      <c r="S130" s="77"/>
      <c r="T130" s="77"/>
      <c r="U130" s="77"/>
      <c r="V130" s="77"/>
    </row>
    <row r="131" spans="1:22">
      <c r="A131" t="s">
        <v>280</v>
      </c>
      <c r="B131" t="s">
        <v>563</v>
      </c>
      <c r="C131" s="77"/>
      <c r="D131" s="77"/>
      <c r="E131" s="77"/>
      <c r="F131" s="77"/>
      <c r="G131" s="77"/>
      <c r="H131" s="77"/>
      <c r="I131" s="77"/>
      <c r="J131" s="85"/>
      <c r="K131" s="85"/>
      <c r="L131" s="85"/>
      <c r="M131" s="85"/>
      <c r="N131" s="85"/>
      <c r="O131" s="77"/>
      <c r="P131" s="77"/>
      <c r="Q131" s="77"/>
      <c r="R131" s="77"/>
      <c r="S131" s="77"/>
      <c r="T131" s="77"/>
      <c r="U131" s="77"/>
      <c r="V131" s="77"/>
    </row>
    <row r="132" spans="1:22">
      <c r="A132" t="s">
        <v>281</v>
      </c>
      <c r="B132" t="s">
        <v>564</v>
      </c>
      <c r="C132" s="77"/>
      <c r="D132" s="77"/>
      <c r="E132" s="77"/>
      <c r="F132" s="77"/>
      <c r="G132" s="77"/>
      <c r="H132" s="77"/>
      <c r="I132" s="77"/>
      <c r="J132" s="85"/>
      <c r="K132" s="85"/>
      <c r="L132" s="85"/>
      <c r="M132" s="85"/>
      <c r="N132" s="85"/>
      <c r="O132" s="77"/>
      <c r="P132" s="77"/>
      <c r="Q132" s="77"/>
      <c r="R132" s="77"/>
      <c r="S132" s="77"/>
      <c r="T132" s="77"/>
      <c r="U132" s="77"/>
      <c r="V132" s="77"/>
    </row>
    <row r="133" spans="1:22">
      <c r="A133" t="s">
        <v>282</v>
      </c>
      <c r="B133" t="s">
        <v>565</v>
      </c>
      <c r="C133" s="77"/>
      <c r="D133" s="77"/>
      <c r="E133" s="77"/>
      <c r="F133" s="77"/>
      <c r="G133" s="77"/>
      <c r="H133" s="77"/>
      <c r="I133" s="77"/>
      <c r="J133" s="85"/>
      <c r="K133" s="85"/>
      <c r="L133" s="85"/>
      <c r="M133" s="85"/>
      <c r="N133" s="85"/>
      <c r="O133" s="77"/>
      <c r="P133" s="77"/>
      <c r="Q133" s="77"/>
      <c r="R133" s="77"/>
      <c r="S133" s="77"/>
      <c r="T133" s="77"/>
      <c r="U133" s="77"/>
      <c r="V133" s="77"/>
    </row>
    <row r="134" spans="1:22">
      <c r="A134" t="s">
        <v>283</v>
      </c>
      <c r="B134" t="s">
        <v>566</v>
      </c>
      <c r="C134" s="77"/>
      <c r="D134" s="77"/>
      <c r="E134" s="77"/>
      <c r="F134" s="77"/>
      <c r="G134" s="77"/>
      <c r="H134" s="77"/>
      <c r="I134" s="77"/>
      <c r="J134" s="85"/>
      <c r="K134" s="85"/>
      <c r="L134" s="85"/>
      <c r="M134" s="85"/>
      <c r="N134" s="85"/>
      <c r="O134" s="77"/>
      <c r="P134" s="77"/>
      <c r="Q134" s="77"/>
      <c r="R134" s="77"/>
      <c r="S134" s="77"/>
      <c r="T134" s="77"/>
      <c r="U134" s="77"/>
      <c r="V134" s="77"/>
    </row>
    <row r="135" spans="1:22">
      <c r="A135" t="s">
        <v>284</v>
      </c>
      <c r="B135" t="s">
        <v>567</v>
      </c>
      <c r="C135" s="77"/>
      <c r="D135" s="77"/>
      <c r="E135" s="77"/>
      <c r="F135" s="77"/>
      <c r="G135" s="77"/>
      <c r="H135" s="77"/>
      <c r="I135" s="77"/>
      <c r="J135" s="85"/>
      <c r="K135" s="85"/>
      <c r="L135" s="85"/>
      <c r="M135" s="85"/>
      <c r="N135" s="85"/>
      <c r="O135" s="77"/>
      <c r="P135" s="77"/>
      <c r="Q135" s="77"/>
      <c r="R135" s="77"/>
      <c r="S135" s="77"/>
      <c r="T135" s="77"/>
      <c r="U135" s="77"/>
      <c r="V135" s="77"/>
    </row>
    <row r="136" spans="1:22">
      <c r="A136" t="s">
        <v>285</v>
      </c>
      <c r="B136" t="s">
        <v>568</v>
      </c>
      <c r="C136" s="77"/>
      <c r="D136" s="77"/>
      <c r="E136" s="77"/>
      <c r="F136" s="77"/>
      <c r="G136" s="77"/>
      <c r="H136" s="77"/>
      <c r="I136" s="77"/>
      <c r="J136" s="85"/>
      <c r="K136" s="85"/>
      <c r="L136" s="85"/>
      <c r="M136" s="85"/>
      <c r="N136" s="85"/>
      <c r="O136" s="77"/>
      <c r="P136" s="77"/>
      <c r="Q136" s="77"/>
      <c r="R136" s="77"/>
      <c r="S136" s="77"/>
      <c r="T136" s="77"/>
      <c r="U136" s="77"/>
      <c r="V136" s="77"/>
    </row>
    <row r="137" spans="1:22">
      <c r="A137" t="s">
        <v>286</v>
      </c>
      <c r="B137" t="s">
        <v>569</v>
      </c>
      <c r="C137" s="77"/>
      <c r="D137" s="77"/>
      <c r="E137" s="77"/>
      <c r="F137" s="77"/>
      <c r="G137" s="77"/>
      <c r="H137" s="77"/>
      <c r="I137" s="77"/>
      <c r="J137" s="85"/>
      <c r="K137" s="85"/>
      <c r="L137" s="85"/>
      <c r="M137" s="85"/>
      <c r="N137" s="85"/>
      <c r="O137" s="77"/>
      <c r="P137" s="77"/>
      <c r="Q137" s="77"/>
      <c r="R137" s="77"/>
      <c r="S137" s="77"/>
      <c r="T137" s="77"/>
      <c r="U137" s="77"/>
      <c r="V137" s="77"/>
    </row>
    <row r="138" spans="1:22">
      <c r="A138" t="s">
        <v>287</v>
      </c>
      <c r="B138" t="s">
        <v>570</v>
      </c>
      <c r="C138" s="77"/>
      <c r="D138" s="77"/>
      <c r="E138" s="77"/>
      <c r="F138" s="77"/>
      <c r="G138" s="77"/>
      <c r="H138" s="77"/>
      <c r="I138" s="77"/>
      <c r="J138" s="85"/>
      <c r="K138" s="85"/>
      <c r="L138" s="85"/>
      <c r="M138" s="85"/>
      <c r="N138" s="85"/>
      <c r="O138" s="77"/>
      <c r="P138" s="77"/>
      <c r="Q138" s="77"/>
      <c r="R138" s="77"/>
      <c r="S138" s="77"/>
      <c r="T138" s="77"/>
      <c r="U138" s="77"/>
      <c r="V138" s="77"/>
    </row>
    <row r="139" spans="1:22">
      <c r="A139" t="s">
        <v>288</v>
      </c>
      <c r="B139" t="s">
        <v>571</v>
      </c>
      <c r="C139" s="77"/>
      <c r="D139" s="77"/>
      <c r="E139" s="77"/>
      <c r="F139" s="77"/>
      <c r="G139" s="77"/>
      <c r="H139" s="77"/>
      <c r="I139" s="77"/>
      <c r="J139" s="85"/>
      <c r="K139" s="85"/>
      <c r="L139" s="85"/>
      <c r="M139" s="85"/>
      <c r="N139" s="85"/>
      <c r="O139" s="77"/>
      <c r="P139" s="77"/>
      <c r="Q139" s="77"/>
      <c r="R139" s="77"/>
      <c r="S139" s="77"/>
      <c r="T139" s="77"/>
      <c r="U139" s="77"/>
      <c r="V139" s="77"/>
    </row>
    <row r="140" spans="1:22">
      <c r="A140" t="s">
        <v>289</v>
      </c>
      <c r="B140" t="s">
        <v>572</v>
      </c>
      <c r="C140" s="77"/>
      <c r="D140" s="77"/>
      <c r="E140" s="77"/>
      <c r="F140" s="77"/>
      <c r="G140" s="77"/>
      <c r="H140" s="77"/>
      <c r="I140" s="77"/>
      <c r="J140" s="85"/>
      <c r="K140" s="85"/>
      <c r="L140" s="85"/>
      <c r="M140" s="85"/>
      <c r="N140" s="85"/>
      <c r="O140" s="77"/>
      <c r="P140" s="77"/>
      <c r="Q140" s="77"/>
      <c r="R140" s="77"/>
      <c r="S140" s="77"/>
      <c r="T140" s="77"/>
      <c r="U140" s="77"/>
      <c r="V140" s="77"/>
    </row>
    <row r="141" spans="1:22">
      <c r="A141" t="s">
        <v>290</v>
      </c>
      <c r="B141" t="s">
        <v>573</v>
      </c>
      <c r="C141" s="77"/>
      <c r="D141" s="77"/>
      <c r="E141" s="77"/>
      <c r="F141" s="77"/>
      <c r="G141" s="77"/>
      <c r="H141" s="77"/>
      <c r="I141" s="77"/>
      <c r="J141" s="85"/>
      <c r="K141" s="85"/>
      <c r="L141" s="85"/>
      <c r="M141" s="85"/>
      <c r="N141" s="85"/>
      <c r="O141" s="77"/>
      <c r="P141" s="77"/>
      <c r="Q141" s="77"/>
      <c r="R141" s="77"/>
      <c r="S141" s="77"/>
      <c r="T141" s="77"/>
      <c r="U141" s="77"/>
      <c r="V141" s="77"/>
    </row>
    <row r="142" spans="1:22">
      <c r="A142" t="s">
        <v>291</v>
      </c>
      <c r="B142" t="s">
        <v>574</v>
      </c>
      <c r="C142" s="77"/>
      <c r="D142" s="77"/>
      <c r="E142" s="77"/>
      <c r="F142" s="77"/>
      <c r="G142" s="77"/>
      <c r="H142" s="77"/>
      <c r="I142" s="77"/>
      <c r="J142" s="85"/>
      <c r="K142" s="85"/>
      <c r="L142" s="85"/>
      <c r="M142" s="85"/>
      <c r="N142" s="85"/>
      <c r="O142" s="77"/>
      <c r="P142" s="77"/>
      <c r="Q142" s="77"/>
      <c r="R142" s="77"/>
      <c r="S142" s="77"/>
      <c r="T142" s="77"/>
      <c r="U142" s="77"/>
      <c r="V142" s="77"/>
    </row>
    <row r="143" spans="1:22">
      <c r="A143" t="s">
        <v>292</v>
      </c>
      <c r="B143" t="s">
        <v>575</v>
      </c>
      <c r="C143" s="77"/>
      <c r="D143" s="77"/>
      <c r="E143" s="77"/>
      <c r="F143" s="77"/>
      <c r="G143" s="77"/>
      <c r="H143" s="77"/>
      <c r="I143" s="77"/>
      <c r="J143" s="85"/>
      <c r="K143" s="85"/>
      <c r="L143" s="85"/>
      <c r="M143" s="85"/>
      <c r="N143" s="85"/>
      <c r="O143" s="77"/>
      <c r="P143" s="77"/>
      <c r="Q143" s="77"/>
      <c r="R143" s="77"/>
      <c r="S143" s="77"/>
      <c r="T143" s="77"/>
      <c r="U143" s="77"/>
      <c r="V143" s="77"/>
    </row>
    <row r="144" spans="1:22">
      <c r="A144" t="s">
        <v>293</v>
      </c>
      <c r="B144" t="s">
        <v>576</v>
      </c>
      <c r="C144" s="77"/>
      <c r="D144" s="77"/>
      <c r="E144" s="77"/>
      <c r="F144" s="77"/>
      <c r="G144" s="77"/>
      <c r="H144" s="77"/>
      <c r="I144" s="77"/>
      <c r="J144" s="85"/>
      <c r="K144" s="85"/>
      <c r="L144" s="85"/>
      <c r="M144" s="85"/>
      <c r="N144" s="85"/>
      <c r="O144" s="77"/>
      <c r="P144" s="77"/>
      <c r="Q144" s="77"/>
      <c r="R144" s="77"/>
      <c r="S144" s="77"/>
      <c r="T144" s="77"/>
      <c r="U144" s="77"/>
      <c r="V144" s="77"/>
    </row>
    <row r="145" spans="1:22">
      <c r="A145" t="s">
        <v>294</v>
      </c>
      <c r="B145" t="s">
        <v>577</v>
      </c>
      <c r="C145" s="77"/>
      <c r="D145" s="77"/>
      <c r="E145" s="77"/>
      <c r="F145" s="77"/>
      <c r="G145" s="77"/>
      <c r="H145" s="77"/>
      <c r="I145" s="77"/>
      <c r="J145" s="85"/>
      <c r="K145" s="85"/>
      <c r="L145" s="85"/>
      <c r="M145" s="85"/>
      <c r="N145" s="85"/>
      <c r="O145" s="77"/>
      <c r="P145" s="77"/>
      <c r="Q145" s="77"/>
      <c r="R145" s="77"/>
      <c r="S145" s="77"/>
      <c r="T145" s="77"/>
      <c r="U145" s="77"/>
      <c r="V145" s="77"/>
    </row>
    <row r="146" spans="1:22">
      <c r="A146" t="s">
        <v>295</v>
      </c>
      <c r="B146" t="s">
        <v>578</v>
      </c>
      <c r="C146" s="77"/>
      <c r="D146" s="77"/>
      <c r="E146" s="77"/>
      <c r="F146" s="77"/>
      <c r="G146" s="77"/>
      <c r="H146" s="77"/>
      <c r="I146" s="77"/>
      <c r="J146" s="85"/>
      <c r="K146" s="85"/>
      <c r="L146" s="85"/>
      <c r="M146" s="85"/>
      <c r="N146" s="85"/>
      <c r="O146" s="77"/>
      <c r="P146" s="77"/>
      <c r="Q146" s="77"/>
      <c r="R146" s="77"/>
      <c r="S146" s="77"/>
      <c r="T146" s="77"/>
      <c r="U146" s="77"/>
      <c r="V146" s="77"/>
    </row>
    <row r="147" spans="1:22">
      <c r="A147" t="s">
        <v>296</v>
      </c>
      <c r="B147" t="s">
        <v>420</v>
      </c>
      <c r="C147" s="77"/>
      <c r="D147" s="77"/>
      <c r="E147" s="77"/>
      <c r="F147" s="77"/>
      <c r="G147" s="77"/>
      <c r="H147" s="77"/>
      <c r="I147" s="77"/>
      <c r="J147" s="85"/>
      <c r="K147" s="85"/>
      <c r="L147" s="85"/>
      <c r="M147" s="85"/>
      <c r="N147" s="85"/>
      <c r="O147" s="77"/>
      <c r="P147" s="77"/>
      <c r="Q147" s="77"/>
      <c r="R147" s="77"/>
      <c r="S147" s="77"/>
      <c r="T147" s="77"/>
      <c r="U147" s="77"/>
      <c r="V147" s="77"/>
    </row>
    <row r="148" spans="1:22">
      <c r="A148" t="s">
        <v>297</v>
      </c>
      <c r="B148" t="s">
        <v>421</v>
      </c>
      <c r="C148" s="77"/>
      <c r="D148" s="77"/>
      <c r="E148" s="77"/>
      <c r="F148" s="77"/>
      <c r="G148" s="77"/>
      <c r="H148" s="77"/>
      <c r="I148" s="77"/>
      <c r="J148" s="85"/>
      <c r="K148" s="85"/>
      <c r="L148" s="85"/>
      <c r="M148" s="85"/>
      <c r="N148" s="85"/>
      <c r="O148" s="77"/>
      <c r="P148" s="77"/>
      <c r="Q148" s="77"/>
      <c r="R148" s="77"/>
      <c r="S148" s="77"/>
      <c r="T148" s="77"/>
      <c r="U148" s="77"/>
      <c r="V148" s="77"/>
    </row>
    <row r="149" spans="1:22">
      <c r="A149" t="s">
        <v>298</v>
      </c>
      <c r="B149" t="s">
        <v>422</v>
      </c>
      <c r="C149" s="77"/>
      <c r="D149" s="77"/>
      <c r="E149" s="77"/>
      <c r="F149" s="77"/>
      <c r="G149" s="77"/>
      <c r="H149" s="77"/>
      <c r="I149" s="77"/>
      <c r="J149" s="85"/>
      <c r="K149" s="85"/>
      <c r="L149" s="85"/>
      <c r="M149" s="85"/>
      <c r="N149" s="85"/>
      <c r="O149" s="77"/>
      <c r="P149" s="77"/>
      <c r="Q149" s="77"/>
      <c r="R149" s="77"/>
      <c r="S149" s="77"/>
      <c r="T149" s="77"/>
      <c r="U149" s="77"/>
      <c r="V149" s="77"/>
    </row>
    <row r="150" spans="1:22">
      <c r="A150" t="s">
        <v>299</v>
      </c>
      <c r="B150" t="s">
        <v>423</v>
      </c>
      <c r="C150" s="77"/>
      <c r="D150" s="77"/>
      <c r="E150" s="77"/>
      <c r="F150" s="77"/>
      <c r="G150" s="77"/>
      <c r="H150" s="77"/>
      <c r="I150" s="77"/>
      <c r="J150" s="85"/>
      <c r="K150" s="85"/>
      <c r="L150" s="85"/>
      <c r="M150" s="85"/>
      <c r="N150" s="85"/>
      <c r="O150" s="77"/>
      <c r="P150" s="77"/>
      <c r="Q150" s="77"/>
      <c r="R150" s="77"/>
      <c r="S150" s="77"/>
      <c r="T150" s="77"/>
      <c r="U150" s="77"/>
      <c r="V150" s="77"/>
    </row>
    <row r="151" spans="1:22">
      <c r="A151" t="s">
        <v>300</v>
      </c>
      <c r="B151" t="s">
        <v>579</v>
      </c>
      <c r="C151" s="77"/>
      <c r="D151" s="77"/>
      <c r="E151" s="77"/>
      <c r="F151" s="77"/>
      <c r="G151" s="77"/>
      <c r="H151" s="77"/>
      <c r="I151" s="77"/>
      <c r="J151" s="85"/>
      <c r="K151" s="85"/>
      <c r="L151" s="85"/>
      <c r="M151" s="85"/>
      <c r="N151" s="85"/>
      <c r="O151" s="77"/>
      <c r="P151" s="77"/>
      <c r="Q151" s="77"/>
      <c r="R151" s="77"/>
      <c r="S151" s="77"/>
      <c r="T151" s="77"/>
      <c r="U151" s="77"/>
      <c r="V151" s="77"/>
    </row>
    <row r="152" spans="1:22">
      <c r="A152" t="s">
        <v>301</v>
      </c>
      <c r="B152" t="s">
        <v>580</v>
      </c>
      <c r="C152" s="77"/>
      <c r="D152" s="77"/>
      <c r="E152" s="77"/>
      <c r="F152" s="77"/>
      <c r="G152" s="77"/>
      <c r="H152" s="77"/>
      <c r="I152" s="77"/>
      <c r="J152" s="85"/>
      <c r="K152" s="85"/>
      <c r="L152" s="85"/>
      <c r="M152" s="85"/>
      <c r="N152" s="85"/>
      <c r="O152" s="77"/>
      <c r="P152" s="77"/>
      <c r="Q152" s="77"/>
      <c r="R152" s="77"/>
      <c r="S152" s="77"/>
      <c r="T152" s="77"/>
      <c r="U152" s="77"/>
      <c r="V152" s="77"/>
    </row>
    <row r="153" spans="1:22">
      <c r="A153" t="s">
        <v>302</v>
      </c>
      <c r="B153" t="s">
        <v>581</v>
      </c>
      <c r="C153" s="77"/>
      <c r="D153" s="77"/>
      <c r="E153" s="77"/>
      <c r="F153" s="77"/>
      <c r="G153" s="77"/>
      <c r="H153" s="77"/>
      <c r="I153" s="77"/>
      <c r="J153" s="85"/>
      <c r="K153" s="85"/>
      <c r="L153" s="85"/>
      <c r="M153" s="85"/>
      <c r="N153" s="85"/>
      <c r="O153" s="77"/>
      <c r="P153" s="77"/>
      <c r="Q153" s="77"/>
      <c r="R153" s="77"/>
      <c r="S153" s="77"/>
      <c r="T153" s="77"/>
      <c r="U153" s="77"/>
      <c r="V153" s="77"/>
    </row>
    <row r="154" spans="1:22">
      <c r="A154" t="s">
        <v>303</v>
      </c>
      <c r="B154" t="s">
        <v>582</v>
      </c>
      <c r="C154" s="77"/>
      <c r="D154" s="77"/>
      <c r="E154" s="77"/>
      <c r="F154" s="77"/>
      <c r="G154" s="77"/>
      <c r="H154" s="77"/>
      <c r="I154" s="77"/>
      <c r="J154" s="85"/>
      <c r="K154" s="85"/>
      <c r="L154" s="85"/>
      <c r="M154" s="85"/>
      <c r="N154" s="85"/>
      <c r="O154" s="77"/>
      <c r="P154" s="77"/>
      <c r="Q154" s="77"/>
      <c r="R154" s="77"/>
      <c r="S154" s="77"/>
      <c r="T154" s="77"/>
      <c r="U154" s="77"/>
      <c r="V154" s="77"/>
    </row>
    <row r="155" spans="1:22">
      <c r="A155" t="s">
        <v>151</v>
      </c>
      <c r="B155" t="s">
        <v>583</v>
      </c>
      <c r="C155" s="77"/>
      <c r="D155" s="77"/>
      <c r="E155" s="77"/>
      <c r="F155" s="77"/>
      <c r="G155" s="77"/>
      <c r="H155" s="77"/>
      <c r="I155" s="77"/>
      <c r="J155" s="85"/>
      <c r="K155" s="85"/>
      <c r="L155" s="85"/>
      <c r="M155" s="85"/>
      <c r="N155" s="85"/>
      <c r="O155" s="77"/>
      <c r="P155" s="77"/>
      <c r="Q155" s="77"/>
      <c r="R155" s="77"/>
      <c r="S155" s="77"/>
      <c r="T155" s="77"/>
      <c r="U155" s="77"/>
      <c r="V155" s="77"/>
    </row>
    <row r="156" spans="1:22">
      <c r="A156" t="s">
        <v>304</v>
      </c>
      <c r="B156" t="s">
        <v>584</v>
      </c>
      <c r="C156" s="77"/>
      <c r="D156" s="77"/>
      <c r="E156" s="77"/>
      <c r="F156" s="77"/>
      <c r="G156" s="77"/>
      <c r="H156" s="77"/>
      <c r="I156" s="77"/>
      <c r="J156" s="85"/>
      <c r="K156" s="85"/>
      <c r="L156" s="85"/>
      <c r="M156" s="85"/>
      <c r="N156" s="85"/>
      <c r="O156" s="77"/>
      <c r="P156" s="77"/>
      <c r="Q156" s="77"/>
      <c r="R156" s="77"/>
      <c r="S156" s="77"/>
      <c r="T156" s="77"/>
      <c r="U156" s="77"/>
      <c r="V156" s="77"/>
    </row>
    <row r="157" spans="1:22">
      <c r="A157" t="s">
        <v>305</v>
      </c>
      <c r="B157" t="s">
        <v>585</v>
      </c>
      <c r="C157" s="77"/>
      <c r="D157" s="77"/>
      <c r="E157" s="77"/>
      <c r="F157" s="77"/>
      <c r="G157" s="77"/>
      <c r="H157" s="77"/>
      <c r="I157" s="77"/>
      <c r="J157" s="85"/>
      <c r="K157" s="85"/>
      <c r="L157" s="85"/>
      <c r="M157" s="85"/>
      <c r="N157" s="85"/>
      <c r="O157" s="77"/>
      <c r="P157" s="77"/>
      <c r="Q157" s="77"/>
      <c r="R157" s="77"/>
      <c r="S157" s="77"/>
      <c r="T157" s="77"/>
      <c r="U157" s="77"/>
      <c r="V157" s="77"/>
    </row>
    <row r="158" spans="1:22">
      <c r="A158" t="s">
        <v>306</v>
      </c>
      <c r="B158" t="s">
        <v>586</v>
      </c>
      <c r="C158" s="77"/>
      <c r="D158" s="77"/>
      <c r="E158" s="77"/>
      <c r="F158" s="77"/>
      <c r="G158" s="77"/>
      <c r="H158" s="77"/>
      <c r="I158" s="77"/>
      <c r="J158" s="85"/>
      <c r="K158" s="85"/>
      <c r="L158" s="85"/>
      <c r="M158" s="85"/>
      <c r="N158" s="85"/>
      <c r="O158" s="77"/>
      <c r="P158" s="77"/>
      <c r="Q158" s="77"/>
      <c r="R158" s="77"/>
      <c r="S158" s="77"/>
      <c r="T158" s="77"/>
      <c r="U158" s="77"/>
      <c r="V158" s="77"/>
    </row>
    <row r="159" spans="1:22">
      <c r="A159" t="s">
        <v>307</v>
      </c>
      <c r="B159" t="s">
        <v>587</v>
      </c>
      <c r="C159" s="77"/>
      <c r="D159" s="77"/>
      <c r="E159" s="77"/>
      <c r="F159" s="77"/>
      <c r="G159" s="77"/>
      <c r="H159" s="77"/>
      <c r="I159" s="77"/>
      <c r="J159" s="85"/>
      <c r="K159" s="85"/>
      <c r="L159" s="85"/>
      <c r="M159" s="85"/>
      <c r="N159" s="85"/>
      <c r="O159" s="77"/>
      <c r="P159" s="77"/>
      <c r="Q159" s="77"/>
      <c r="R159" s="77"/>
      <c r="S159" s="77"/>
      <c r="T159" s="77"/>
      <c r="U159" s="77"/>
      <c r="V159" s="77"/>
    </row>
    <row r="160" spans="1:22">
      <c r="A160" t="s">
        <v>308</v>
      </c>
      <c r="B160" t="s">
        <v>588</v>
      </c>
      <c r="C160" s="77"/>
      <c r="D160" s="77"/>
      <c r="E160" s="77"/>
      <c r="F160" s="77"/>
      <c r="G160" s="77"/>
      <c r="H160" s="77"/>
      <c r="I160" s="77"/>
      <c r="J160" s="85"/>
      <c r="K160" s="85"/>
      <c r="L160" s="85"/>
      <c r="M160" s="85"/>
      <c r="N160" s="85"/>
      <c r="O160" s="77"/>
      <c r="P160" s="77"/>
      <c r="Q160" s="77"/>
      <c r="R160" s="77"/>
      <c r="S160" s="77"/>
      <c r="T160" s="77"/>
      <c r="U160" s="77"/>
      <c r="V160" s="77"/>
    </row>
    <row r="161" spans="1:22">
      <c r="A161" t="s">
        <v>309</v>
      </c>
      <c r="B161" t="s">
        <v>589</v>
      </c>
      <c r="C161" s="77"/>
      <c r="D161" s="77"/>
      <c r="E161" s="77"/>
      <c r="F161" s="77"/>
      <c r="G161" s="77"/>
      <c r="H161" s="77"/>
      <c r="I161" s="77"/>
      <c r="J161" s="85"/>
      <c r="K161" s="85"/>
      <c r="L161" s="85"/>
      <c r="M161" s="85"/>
      <c r="N161" s="85"/>
      <c r="O161" s="77"/>
      <c r="P161" s="77"/>
      <c r="Q161" s="77"/>
      <c r="R161" s="77"/>
      <c r="S161" s="77"/>
      <c r="T161" s="77"/>
      <c r="U161" s="77"/>
      <c r="V161" s="77"/>
    </row>
    <row r="162" spans="1:22">
      <c r="A162" t="s">
        <v>310</v>
      </c>
      <c r="B162" t="s">
        <v>590</v>
      </c>
      <c r="C162" s="77"/>
      <c r="D162" s="77"/>
      <c r="E162" s="77"/>
      <c r="F162" s="77"/>
      <c r="G162" s="77"/>
      <c r="H162" s="77"/>
      <c r="I162" s="77"/>
      <c r="J162" s="85"/>
      <c r="K162" s="85"/>
      <c r="L162" s="85"/>
      <c r="M162" s="85"/>
      <c r="N162" s="85"/>
      <c r="O162" s="77"/>
      <c r="P162" s="77"/>
      <c r="Q162" s="77"/>
      <c r="R162" s="77"/>
      <c r="S162" s="77"/>
      <c r="T162" s="77"/>
      <c r="U162" s="77"/>
      <c r="V162" s="77"/>
    </row>
    <row r="163" spans="1:22">
      <c r="A163" t="s">
        <v>311</v>
      </c>
      <c r="B163" t="s">
        <v>591</v>
      </c>
      <c r="C163" s="77"/>
      <c r="D163" s="77"/>
      <c r="E163" s="77"/>
      <c r="F163" s="77"/>
      <c r="G163" s="77"/>
      <c r="H163" s="77"/>
      <c r="I163" s="77"/>
      <c r="J163" s="85"/>
      <c r="K163" s="85"/>
      <c r="L163" s="85"/>
      <c r="M163" s="85"/>
      <c r="N163" s="85"/>
      <c r="O163" s="77"/>
      <c r="P163" s="77"/>
      <c r="Q163" s="77"/>
      <c r="R163" s="77"/>
      <c r="S163" s="77"/>
      <c r="T163" s="77"/>
      <c r="U163" s="77"/>
      <c r="V163" s="77"/>
    </row>
    <row r="164" spans="1:22">
      <c r="A164" t="s">
        <v>312</v>
      </c>
      <c r="B164" t="s">
        <v>592</v>
      </c>
      <c r="C164" s="77"/>
      <c r="D164" s="77"/>
      <c r="E164" s="77"/>
      <c r="F164" s="77"/>
      <c r="G164" s="77"/>
      <c r="H164" s="77"/>
      <c r="I164" s="77"/>
      <c r="J164" s="85"/>
      <c r="K164" s="85"/>
      <c r="L164" s="85"/>
      <c r="M164" s="85"/>
      <c r="N164" s="85"/>
      <c r="O164" s="77"/>
      <c r="P164" s="77"/>
      <c r="Q164" s="77"/>
      <c r="R164" s="77"/>
      <c r="S164" s="77"/>
      <c r="T164" s="77"/>
      <c r="U164" s="77"/>
      <c r="V164" s="77"/>
    </row>
    <row r="165" spans="1:22">
      <c r="A165" t="s">
        <v>313</v>
      </c>
      <c r="B165" t="s">
        <v>593</v>
      </c>
      <c r="C165" s="77"/>
      <c r="D165" s="77"/>
      <c r="E165" s="77"/>
      <c r="F165" s="77"/>
      <c r="G165" s="77"/>
      <c r="H165" s="77"/>
      <c r="I165" s="77"/>
      <c r="J165" s="85"/>
      <c r="K165" s="85"/>
      <c r="L165" s="85"/>
      <c r="M165" s="85"/>
      <c r="N165" s="85"/>
      <c r="O165" s="77"/>
      <c r="P165" s="77"/>
      <c r="Q165" s="77"/>
      <c r="R165" s="77"/>
      <c r="S165" s="77"/>
      <c r="T165" s="77"/>
      <c r="U165" s="77"/>
      <c r="V165" s="77"/>
    </row>
    <row r="166" spans="1:22">
      <c r="A166" t="s">
        <v>314</v>
      </c>
      <c r="B166" t="s">
        <v>594</v>
      </c>
      <c r="C166" s="77"/>
      <c r="D166" s="77"/>
      <c r="E166" s="77"/>
      <c r="F166" s="77"/>
      <c r="G166" s="77"/>
      <c r="H166" s="77"/>
      <c r="I166" s="77"/>
      <c r="J166" s="85"/>
      <c r="K166" s="85"/>
      <c r="L166" s="85"/>
      <c r="M166" s="85"/>
      <c r="N166" s="85"/>
      <c r="O166" s="77"/>
      <c r="P166" s="77"/>
      <c r="Q166" s="77"/>
      <c r="R166" s="77"/>
      <c r="S166" s="77"/>
      <c r="T166" s="77"/>
      <c r="U166" s="77"/>
      <c r="V166" s="77"/>
    </row>
    <row r="167" spans="1:22">
      <c r="A167" t="s">
        <v>315</v>
      </c>
      <c r="B167" t="s">
        <v>595</v>
      </c>
      <c r="C167" s="77"/>
      <c r="D167" s="77"/>
      <c r="E167" s="77"/>
      <c r="F167" s="77"/>
      <c r="G167" s="77"/>
      <c r="H167" s="77"/>
      <c r="I167" s="77"/>
      <c r="J167" s="85"/>
      <c r="K167" s="85"/>
      <c r="L167" s="85"/>
      <c r="M167" s="85"/>
      <c r="N167" s="85"/>
      <c r="O167" s="77"/>
      <c r="P167" s="77"/>
      <c r="Q167" s="77"/>
      <c r="R167" s="77"/>
      <c r="S167" s="77"/>
      <c r="T167" s="77"/>
      <c r="U167" s="77"/>
      <c r="V167" s="77"/>
    </row>
    <row r="168" spans="1:22">
      <c r="A168" t="s">
        <v>316</v>
      </c>
      <c r="B168" t="s">
        <v>596</v>
      </c>
      <c r="C168" s="77"/>
      <c r="D168" s="77"/>
      <c r="E168" s="77"/>
      <c r="F168" s="77"/>
      <c r="G168" s="77"/>
      <c r="H168" s="77"/>
      <c r="I168" s="77"/>
      <c r="J168" s="85"/>
      <c r="K168" s="85"/>
      <c r="L168" s="85"/>
      <c r="M168" s="85"/>
      <c r="N168" s="85"/>
      <c r="O168" s="77"/>
      <c r="P168" s="77"/>
      <c r="Q168" s="77"/>
      <c r="R168" s="77"/>
      <c r="S168" s="77"/>
      <c r="T168" s="77"/>
      <c r="U168" s="77"/>
      <c r="V168" s="77"/>
    </row>
    <row r="169" spans="1:22">
      <c r="A169" t="s">
        <v>317</v>
      </c>
      <c r="B169" t="s">
        <v>597</v>
      </c>
      <c r="C169" s="77"/>
      <c r="D169" s="77"/>
      <c r="E169" s="77"/>
      <c r="F169" s="77"/>
      <c r="G169" s="77"/>
      <c r="H169" s="77"/>
      <c r="I169" s="77"/>
      <c r="J169" s="85"/>
      <c r="K169" s="85"/>
      <c r="L169" s="85"/>
      <c r="M169" s="85"/>
      <c r="N169" s="85"/>
      <c r="O169" s="77"/>
      <c r="P169" s="77"/>
      <c r="Q169" s="77"/>
      <c r="R169" s="77"/>
      <c r="S169" s="77"/>
      <c r="T169" s="77"/>
      <c r="U169" s="77"/>
      <c r="V169" s="77"/>
    </row>
    <row r="170" spans="1:22">
      <c r="A170" t="s">
        <v>318</v>
      </c>
      <c r="B170" t="s">
        <v>598</v>
      </c>
      <c r="C170" s="77"/>
      <c r="D170" s="77"/>
      <c r="E170" s="77"/>
      <c r="F170" s="77"/>
      <c r="G170" s="77"/>
      <c r="H170" s="77"/>
      <c r="I170" s="77"/>
      <c r="J170" s="85"/>
      <c r="K170" s="85"/>
      <c r="L170" s="85"/>
      <c r="M170" s="85"/>
      <c r="N170" s="85"/>
      <c r="O170" s="77"/>
      <c r="P170" s="77"/>
      <c r="Q170" s="77"/>
      <c r="R170" s="77"/>
      <c r="S170" s="77"/>
      <c r="T170" s="77"/>
      <c r="U170" s="77"/>
      <c r="V170" s="77"/>
    </row>
    <row r="171" spans="1:22">
      <c r="A171" t="s">
        <v>319</v>
      </c>
      <c r="B171" t="s">
        <v>599</v>
      </c>
      <c r="C171" s="77"/>
      <c r="D171" s="77"/>
      <c r="E171" s="77"/>
      <c r="F171" s="77"/>
      <c r="G171" s="77"/>
      <c r="H171" s="77"/>
      <c r="I171" s="77"/>
      <c r="J171" s="85"/>
      <c r="K171" s="85"/>
      <c r="L171" s="85"/>
      <c r="M171" s="85"/>
      <c r="N171" s="85"/>
      <c r="O171" s="77"/>
      <c r="P171" s="77"/>
      <c r="Q171" s="77"/>
      <c r="R171" s="77"/>
      <c r="S171" s="77"/>
      <c r="T171" s="77"/>
      <c r="U171" s="77"/>
      <c r="V171" s="77"/>
    </row>
    <row r="172" spans="1:22">
      <c r="A172" t="s">
        <v>320</v>
      </c>
      <c r="B172" t="s">
        <v>600</v>
      </c>
      <c r="C172" s="77"/>
      <c r="D172" s="77"/>
      <c r="E172" s="77"/>
      <c r="F172" s="77"/>
      <c r="G172" s="77"/>
      <c r="H172" s="77"/>
      <c r="I172" s="77"/>
      <c r="J172" s="85"/>
      <c r="K172" s="85"/>
      <c r="L172" s="85"/>
      <c r="M172" s="85"/>
      <c r="N172" s="85"/>
      <c r="O172" s="77"/>
      <c r="P172" s="77"/>
      <c r="Q172" s="77"/>
      <c r="R172" s="77"/>
      <c r="S172" s="77"/>
      <c r="T172" s="77"/>
      <c r="U172" s="77"/>
      <c r="V172" s="77"/>
    </row>
    <row r="173" spans="1:22">
      <c r="A173" t="s">
        <v>321</v>
      </c>
      <c r="B173" t="s">
        <v>601</v>
      </c>
      <c r="C173" s="77"/>
      <c r="D173" s="77"/>
      <c r="E173" s="77"/>
      <c r="F173" s="77"/>
      <c r="G173" s="77"/>
      <c r="H173" s="77"/>
      <c r="I173" s="77"/>
      <c r="J173" s="85"/>
      <c r="K173" s="85"/>
      <c r="L173" s="85"/>
      <c r="M173" s="85"/>
      <c r="N173" s="85"/>
      <c r="O173" s="77"/>
      <c r="P173" s="77"/>
      <c r="Q173" s="77"/>
      <c r="R173" s="77"/>
      <c r="S173" s="77"/>
      <c r="T173" s="77"/>
      <c r="U173" s="77"/>
      <c r="V173" s="77"/>
    </row>
    <row r="174" spans="1:22">
      <c r="A174" t="s">
        <v>322</v>
      </c>
      <c r="B174" t="s">
        <v>602</v>
      </c>
      <c r="C174" s="77"/>
      <c r="D174" s="77"/>
      <c r="E174" s="77"/>
      <c r="F174" s="77"/>
      <c r="G174" s="77"/>
      <c r="H174" s="77"/>
      <c r="I174" s="77"/>
      <c r="J174" s="85"/>
      <c r="K174" s="85"/>
      <c r="L174" s="85"/>
      <c r="M174" s="85"/>
      <c r="N174" s="85"/>
      <c r="O174" s="77"/>
      <c r="P174" s="77"/>
      <c r="Q174" s="77"/>
      <c r="R174" s="77"/>
      <c r="S174" s="77"/>
      <c r="T174" s="77"/>
      <c r="U174" s="77"/>
      <c r="V174" s="77"/>
    </row>
    <row r="175" spans="1:22">
      <c r="A175" t="s">
        <v>323</v>
      </c>
      <c r="B175" t="s">
        <v>603</v>
      </c>
      <c r="C175" s="77"/>
      <c r="D175" s="77"/>
      <c r="E175" s="77"/>
      <c r="F175" s="77"/>
      <c r="G175" s="77"/>
      <c r="H175" s="77"/>
      <c r="I175" s="77"/>
      <c r="J175" s="85"/>
      <c r="K175" s="85"/>
      <c r="L175" s="85"/>
      <c r="M175" s="85"/>
      <c r="N175" s="85"/>
      <c r="O175" s="77"/>
      <c r="P175" s="77"/>
      <c r="Q175" s="77"/>
      <c r="R175" s="77"/>
      <c r="S175" s="77"/>
      <c r="T175" s="77"/>
      <c r="U175" s="77"/>
      <c r="V175" s="77"/>
    </row>
    <row r="176" spans="1:22">
      <c r="A176" t="s">
        <v>324</v>
      </c>
      <c r="B176" t="s">
        <v>604</v>
      </c>
      <c r="C176" s="77"/>
      <c r="D176" s="77"/>
      <c r="E176" s="77"/>
      <c r="F176" s="77"/>
      <c r="G176" s="77"/>
      <c r="H176" s="77"/>
      <c r="I176" s="77"/>
      <c r="J176" s="85"/>
      <c r="K176" s="85"/>
      <c r="L176" s="85"/>
      <c r="M176" s="85"/>
      <c r="N176" s="85"/>
      <c r="O176" s="77"/>
      <c r="P176" s="77"/>
      <c r="Q176" s="77"/>
      <c r="R176" s="77"/>
      <c r="S176" s="77"/>
      <c r="T176" s="77"/>
      <c r="U176" s="77"/>
      <c r="V176" s="77"/>
    </row>
    <row r="177" spans="1:22">
      <c r="A177" t="s">
        <v>325</v>
      </c>
      <c r="B177" t="s">
        <v>605</v>
      </c>
      <c r="C177" s="77"/>
      <c r="D177" s="77"/>
      <c r="E177" s="77"/>
      <c r="F177" s="77"/>
      <c r="G177" s="77"/>
      <c r="H177" s="77"/>
      <c r="I177" s="77"/>
      <c r="J177" s="85"/>
      <c r="K177" s="85"/>
      <c r="L177" s="85"/>
      <c r="M177" s="85"/>
      <c r="N177" s="85"/>
      <c r="O177" s="77"/>
      <c r="P177" s="77"/>
      <c r="Q177" s="77"/>
      <c r="R177" s="77"/>
      <c r="S177" s="77"/>
      <c r="T177" s="77"/>
      <c r="U177" s="77"/>
      <c r="V177" s="77"/>
    </row>
    <row r="178" spans="1:22">
      <c r="A178" t="s">
        <v>326</v>
      </c>
      <c r="B178" t="s">
        <v>606</v>
      </c>
      <c r="C178" s="77"/>
      <c r="D178" s="77"/>
      <c r="E178" s="77"/>
      <c r="F178" s="77"/>
      <c r="G178" s="77"/>
      <c r="H178" s="77"/>
      <c r="I178" s="77"/>
      <c r="J178" s="85"/>
      <c r="K178" s="85"/>
      <c r="L178" s="85"/>
      <c r="M178" s="85"/>
      <c r="N178" s="85"/>
      <c r="O178" s="77"/>
      <c r="P178" s="77"/>
      <c r="Q178" s="77"/>
      <c r="R178" s="77"/>
      <c r="S178" s="77"/>
      <c r="T178" s="77"/>
      <c r="U178" s="77"/>
      <c r="V178" s="77"/>
    </row>
    <row r="179" spans="1:22">
      <c r="A179" t="s">
        <v>327</v>
      </c>
      <c r="B179" t="s">
        <v>607</v>
      </c>
      <c r="C179" s="77"/>
      <c r="D179" s="77"/>
      <c r="E179" s="77"/>
      <c r="F179" s="77"/>
      <c r="G179" s="77"/>
      <c r="H179" s="77"/>
      <c r="I179" s="77"/>
      <c r="J179" s="85"/>
      <c r="K179" s="85"/>
      <c r="L179" s="85"/>
      <c r="M179" s="85"/>
      <c r="N179" s="85"/>
      <c r="O179" s="77"/>
      <c r="P179" s="77"/>
      <c r="Q179" s="77"/>
      <c r="R179" s="77"/>
      <c r="S179" s="77"/>
      <c r="T179" s="77"/>
      <c r="U179" s="77"/>
      <c r="V179" s="77"/>
    </row>
    <row r="180" spans="1:22">
      <c r="A180" t="s">
        <v>328</v>
      </c>
      <c r="B180" t="s">
        <v>608</v>
      </c>
      <c r="C180" s="77"/>
      <c r="D180" s="77"/>
      <c r="E180" s="77"/>
      <c r="F180" s="77"/>
      <c r="G180" s="77"/>
      <c r="H180" s="77"/>
      <c r="I180" s="77"/>
      <c r="J180" s="85"/>
      <c r="K180" s="85"/>
      <c r="L180" s="85"/>
      <c r="M180" s="85"/>
      <c r="N180" s="85"/>
      <c r="O180" s="77"/>
      <c r="P180" s="77"/>
      <c r="Q180" s="77"/>
      <c r="R180" s="77"/>
      <c r="S180" s="77"/>
      <c r="T180" s="77"/>
      <c r="U180" s="77"/>
      <c r="V180" s="77"/>
    </row>
    <row r="181" spans="1:22">
      <c r="A181" t="s">
        <v>329</v>
      </c>
      <c r="B181" t="s">
        <v>609</v>
      </c>
      <c r="C181" s="77"/>
      <c r="D181" s="77"/>
      <c r="E181" s="77"/>
      <c r="F181" s="77"/>
      <c r="G181" s="77"/>
      <c r="H181" s="77"/>
      <c r="I181" s="77"/>
      <c r="J181" s="85"/>
      <c r="K181" s="85"/>
      <c r="L181" s="85"/>
      <c r="M181" s="85"/>
      <c r="N181" s="85"/>
      <c r="O181" s="77"/>
      <c r="P181" s="77"/>
      <c r="Q181" s="77"/>
      <c r="R181" s="77"/>
      <c r="S181" s="77"/>
      <c r="T181" s="77"/>
      <c r="U181" s="77"/>
      <c r="V181" s="77"/>
    </row>
    <row r="182" spans="1:22">
      <c r="A182" t="s">
        <v>330</v>
      </c>
      <c r="B182" t="s">
        <v>610</v>
      </c>
      <c r="C182" s="77"/>
      <c r="D182" s="77"/>
      <c r="E182" s="77"/>
      <c r="F182" s="77"/>
      <c r="G182" s="77"/>
      <c r="H182" s="77"/>
      <c r="I182" s="77"/>
      <c r="J182" s="85"/>
      <c r="K182" s="85"/>
      <c r="L182" s="85"/>
      <c r="M182" s="85"/>
      <c r="N182" s="85"/>
      <c r="O182" s="77"/>
      <c r="P182" s="77"/>
      <c r="Q182" s="77"/>
      <c r="R182" s="77"/>
      <c r="S182" s="77"/>
      <c r="T182" s="77"/>
      <c r="U182" s="77"/>
      <c r="V182" s="77"/>
    </row>
    <row r="183" spans="1:22">
      <c r="A183" t="s">
        <v>331</v>
      </c>
      <c r="B183" t="s">
        <v>611</v>
      </c>
      <c r="C183" s="77"/>
      <c r="D183" s="77"/>
      <c r="E183" s="77"/>
      <c r="F183" s="77"/>
      <c r="G183" s="77"/>
      <c r="H183" s="77"/>
      <c r="I183" s="77"/>
      <c r="J183" s="85"/>
      <c r="K183" s="85"/>
      <c r="L183" s="85"/>
      <c r="M183" s="85"/>
      <c r="N183" s="85"/>
      <c r="O183" s="77"/>
      <c r="P183" s="77"/>
      <c r="Q183" s="77"/>
      <c r="R183" s="77"/>
      <c r="S183" s="77"/>
      <c r="T183" s="77"/>
      <c r="U183" s="77"/>
      <c r="V183" s="77"/>
    </row>
    <row r="184" spans="1:22">
      <c r="A184" t="s">
        <v>332</v>
      </c>
      <c r="B184" t="s">
        <v>612</v>
      </c>
      <c r="C184" s="77"/>
      <c r="D184" s="77"/>
      <c r="E184" s="77"/>
      <c r="F184" s="77"/>
      <c r="G184" s="77"/>
      <c r="H184" s="77"/>
      <c r="I184" s="77"/>
      <c r="J184" s="85"/>
      <c r="K184" s="85"/>
      <c r="L184" s="85"/>
      <c r="M184" s="85"/>
      <c r="N184" s="85"/>
      <c r="O184" s="77"/>
      <c r="P184" s="77"/>
      <c r="Q184" s="77"/>
      <c r="R184" s="77"/>
      <c r="S184" s="77"/>
      <c r="T184" s="77"/>
      <c r="U184" s="77"/>
      <c r="V184" s="77"/>
    </row>
    <row r="185" spans="1:22">
      <c r="A185" t="s">
        <v>333</v>
      </c>
      <c r="B185" t="s">
        <v>613</v>
      </c>
      <c r="C185" s="77"/>
      <c r="D185" s="77"/>
      <c r="E185" s="77"/>
      <c r="F185" s="77"/>
      <c r="G185" s="77"/>
      <c r="H185" s="77"/>
      <c r="I185" s="77"/>
      <c r="J185" s="85"/>
      <c r="K185" s="85"/>
      <c r="L185" s="85"/>
      <c r="M185" s="85"/>
      <c r="N185" s="85"/>
      <c r="O185" s="77"/>
      <c r="P185" s="77"/>
      <c r="Q185" s="77"/>
      <c r="R185" s="77"/>
      <c r="S185" s="77"/>
      <c r="T185" s="77"/>
      <c r="U185" s="77"/>
      <c r="V185" s="77"/>
    </row>
    <row r="186" spans="1:22">
      <c r="A186" t="s">
        <v>334</v>
      </c>
      <c r="B186" t="s">
        <v>614</v>
      </c>
      <c r="C186" s="77"/>
      <c r="D186" s="77"/>
      <c r="E186" s="77"/>
      <c r="F186" s="77"/>
      <c r="G186" s="77"/>
      <c r="H186" s="77"/>
      <c r="I186" s="77"/>
      <c r="J186" s="85"/>
      <c r="K186" s="85"/>
      <c r="L186" s="85"/>
      <c r="M186" s="85"/>
      <c r="N186" s="85"/>
      <c r="O186" s="77"/>
      <c r="P186" s="77"/>
      <c r="Q186" s="77"/>
      <c r="R186" s="77"/>
      <c r="S186" s="77"/>
      <c r="T186" s="77"/>
      <c r="U186" s="77"/>
      <c r="V186" s="77"/>
    </row>
    <row r="187" spans="1:22">
      <c r="A187" t="s">
        <v>335</v>
      </c>
      <c r="B187" t="s">
        <v>615</v>
      </c>
      <c r="C187" s="77"/>
      <c r="D187" s="77"/>
      <c r="E187" s="77"/>
      <c r="F187" s="77"/>
      <c r="G187" s="77"/>
      <c r="H187" s="77"/>
      <c r="I187" s="77"/>
      <c r="J187" s="85"/>
      <c r="K187" s="85"/>
      <c r="L187" s="85"/>
      <c r="M187" s="85"/>
      <c r="N187" s="85"/>
      <c r="O187" s="77"/>
      <c r="P187" s="77"/>
      <c r="Q187" s="77"/>
      <c r="R187" s="77"/>
      <c r="S187" s="77"/>
      <c r="T187" s="77"/>
      <c r="U187" s="77"/>
      <c r="V187" s="77"/>
    </row>
    <row r="188" spans="1:22">
      <c r="A188" t="s">
        <v>336</v>
      </c>
      <c r="B188" t="s">
        <v>616</v>
      </c>
      <c r="C188" s="77"/>
      <c r="D188" s="77"/>
      <c r="E188" s="77"/>
      <c r="F188" s="77"/>
      <c r="G188" s="77"/>
      <c r="H188" s="77"/>
      <c r="I188" s="77"/>
      <c r="J188" s="85"/>
      <c r="K188" s="85"/>
      <c r="L188" s="85"/>
      <c r="M188" s="85"/>
      <c r="N188" s="85"/>
      <c r="O188" s="77"/>
      <c r="P188" s="77"/>
      <c r="Q188" s="77"/>
      <c r="R188" s="77"/>
      <c r="S188" s="77"/>
      <c r="T188" s="77"/>
      <c r="U188" s="77"/>
      <c r="V188" s="77"/>
    </row>
    <row r="189" spans="1:22">
      <c r="A189" t="s">
        <v>337</v>
      </c>
      <c r="B189" t="s">
        <v>617</v>
      </c>
      <c r="C189" s="77"/>
      <c r="D189" s="77"/>
      <c r="E189" s="77"/>
      <c r="F189" s="77"/>
      <c r="G189" s="77"/>
      <c r="H189" s="77"/>
      <c r="I189" s="77"/>
      <c r="J189" s="85"/>
      <c r="K189" s="85"/>
      <c r="L189" s="85"/>
      <c r="M189" s="85"/>
      <c r="N189" s="85"/>
      <c r="O189" s="77"/>
      <c r="P189" s="77"/>
      <c r="Q189" s="77"/>
      <c r="R189" s="77"/>
      <c r="S189" s="77"/>
      <c r="T189" s="77"/>
      <c r="U189" s="77"/>
      <c r="V189" s="77"/>
    </row>
    <row r="190" spans="1:22">
      <c r="A190" t="s">
        <v>338</v>
      </c>
      <c r="B190" t="s">
        <v>618</v>
      </c>
      <c r="C190" s="77"/>
      <c r="D190" s="77"/>
      <c r="E190" s="77"/>
      <c r="F190" s="77"/>
      <c r="G190" s="77"/>
      <c r="H190" s="77"/>
      <c r="I190" s="77"/>
      <c r="J190" s="85"/>
      <c r="K190" s="85"/>
      <c r="L190" s="85"/>
      <c r="M190" s="85"/>
      <c r="N190" s="85"/>
      <c r="O190" s="77"/>
      <c r="P190" s="77"/>
      <c r="Q190" s="77"/>
      <c r="R190" s="77"/>
      <c r="S190" s="77"/>
      <c r="T190" s="77"/>
      <c r="U190" s="77"/>
      <c r="V190" s="77"/>
    </row>
    <row r="191" spans="1:22">
      <c r="A191" t="s">
        <v>339</v>
      </c>
      <c r="B191" t="s">
        <v>619</v>
      </c>
      <c r="C191" s="77"/>
      <c r="D191" s="77"/>
      <c r="E191" s="77"/>
      <c r="F191" s="77"/>
      <c r="G191" s="77"/>
      <c r="H191" s="77"/>
      <c r="I191" s="77"/>
      <c r="J191" s="85"/>
      <c r="K191" s="85"/>
      <c r="L191" s="85"/>
      <c r="M191" s="85"/>
      <c r="N191" s="85"/>
      <c r="O191" s="77"/>
      <c r="P191" s="77"/>
      <c r="Q191" s="77"/>
      <c r="R191" s="77"/>
      <c r="S191" s="77"/>
      <c r="T191" s="77"/>
      <c r="U191" s="77"/>
      <c r="V191" s="77"/>
    </row>
    <row r="192" spans="1:22">
      <c r="A192" t="s">
        <v>340</v>
      </c>
      <c r="B192" t="s">
        <v>620</v>
      </c>
      <c r="C192" s="77"/>
      <c r="D192" s="77"/>
      <c r="E192" s="77"/>
      <c r="F192" s="77"/>
      <c r="G192" s="77"/>
      <c r="H192" s="77"/>
      <c r="I192" s="77"/>
      <c r="J192" s="85"/>
      <c r="K192" s="85"/>
      <c r="L192" s="85"/>
      <c r="M192" s="85"/>
      <c r="N192" s="85"/>
      <c r="O192" s="77"/>
      <c r="P192" s="77"/>
      <c r="Q192" s="77"/>
      <c r="R192" s="77"/>
      <c r="S192" s="77"/>
      <c r="T192" s="77"/>
      <c r="U192" s="77"/>
      <c r="V192" s="77"/>
    </row>
    <row r="193" spans="1:22">
      <c r="A193" t="s">
        <v>341</v>
      </c>
      <c r="B193" t="s">
        <v>621</v>
      </c>
      <c r="C193" s="77"/>
      <c r="D193" s="77"/>
      <c r="E193" s="77"/>
      <c r="F193" s="77"/>
      <c r="G193" s="77"/>
      <c r="H193" s="77"/>
      <c r="I193" s="77"/>
      <c r="J193" s="85"/>
      <c r="K193" s="85"/>
      <c r="L193" s="85"/>
      <c r="M193" s="85"/>
      <c r="N193" s="85"/>
      <c r="O193" s="77"/>
      <c r="P193" s="77"/>
      <c r="Q193" s="77"/>
      <c r="R193" s="77"/>
      <c r="S193" s="77"/>
      <c r="T193" s="77"/>
      <c r="U193" s="77"/>
      <c r="V193" s="77"/>
    </row>
    <row r="194" spans="1:22">
      <c r="A194" t="s">
        <v>342</v>
      </c>
      <c r="B194" t="s">
        <v>622</v>
      </c>
      <c r="C194" s="77"/>
      <c r="D194" s="77"/>
      <c r="E194" s="77"/>
      <c r="F194" s="77"/>
      <c r="G194" s="77"/>
      <c r="H194" s="77"/>
      <c r="I194" s="77"/>
      <c r="J194" s="85"/>
      <c r="K194" s="85"/>
      <c r="L194" s="85"/>
      <c r="M194" s="85"/>
      <c r="N194" s="85"/>
      <c r="O194" s="77"/>
      <c r="P194" s="77"/>
      <c r="Q194" s="77"/>
      <c r="R194" s="77"/>
      <c r="S194" s="77"/>
      <c r="T194" s="77"/>
      <c r="U194" s="77"/>
      <c r="V194" s="77"/>
    </row>
    <row r="195" spans="1:22">
      <c r="A195" t="s">
        <v>343</v>
      </c>
      <c r="B195" t="s">
        <v>623</v>
      </c>
      <c r="C195" s="77"/>
      <c r="D195" s="77"/>
      <c r="E195" s="77"/>
      <c r="F195" s="77"/>
      <c r="G195" s="77"/>
      <c r="H195" s="77"/>
      <c r="I195" s="77"/>
      <c r="J195" s="85"/>
      <c r="K195" s="85"/>
      <c r="L195" s="85"/>
      <c r="M195" s="85"/>
      <c r="N195" s="85"/>
      <c r="O195" s="77"/>
      <c r="P195" s="77"/>
      <c r="Q195" s="77"/>
      <c r="R195" s="77"/>
      <c r="S195" s="77"/>
      <c r="T195" s="77"/>
      <c r="U195" s="77"/>
      <c r="V195" s="77"/>
    </row>
    <row r="196" spans="1:22">
      <c r="A196" t="s">
        <v>344</v>
      </c>
      <c r="B196" t="s">
        <v>624</v>
      </c>
      <c r="C196" s="77"/>
      <c r="D196" s="77"/>
      <c r="E196" s="77"/>
      <c r="F196" s="77"/>
      <c r="G196" s="77"/>
      <c r="H196" s="77"/>
      <c r="I196" s="77"/>
      <c r="J196" s="85"/>
      <c r="K196" s="85"/>
      <c r="L196" s="85"/>
      <c r="M196" s="85"/>
      <c r="N196" s="85"/>
      <c r="O196" s="77"/>
      <c r="P196" s="77"/>
      <c r="Q196" s="77"/>
      <c r="R196" s="77"/>
      <c r="S196" s="77"/>
      <c r="T196" s="77"/>
      <c r="U196" s="77"/>
      <c r="V196" s="77"/>
    </row>
    <row r="197" spans="1:22">
      <c r="A197" t="s">
        <v>345</v>
      </c>
      <c r="B197" t="s">
        <v>625</v>
      </c>
      <c r="C197" s="77"/>
      <c r="D197" s="77"/>
      <c r="E197" s="77"/>
      <c r="F197" s="77"/>
      <c r="G197" s="77"/>
      <c r="H197" s="77"/>
      <c r="I197" s="77"/>
      <c r="J197" s="85"/>
      <c r="K197" s="85"/>
      <c r="L197" s="85"/>
      <c r="M197" s="85"/>
      <c r="N197" s="85"/>
      <c r="O197" s="77"/>
      <c r="P197" s="77"/>
      <c r="Q197" s="77"/>
      <c r="R197" s="77"/>
      <c r="S197" s="77"/>
      <c r="T197" s="77"/>
      <c r="U197" s="77"/>
      <c r="V197" s="77"/>
    </row>
    <row r="198" spans="1:22">
      <c r="A198" t="s">
        <v>346</v>
      </c>
      <c r="B198" t="s">
        <v>626</v>
      </c>
      <c r="C198" s="77"/>
      <c r="D198" s="77"/>
      <c r="E198" s="77"/>
      <c r="F198" s="77"/>
      <c r="G198" s="77"/>
      <c r="H198" s="77"/>
      <c r="I198" s="77"/>
      <c r="J198" s="85"/>
      <c r="K198" s="85"/>
      <c r="L198" s="85"/>
      <c r="M198" s="85"/>
      <c r="N198" s="85"/>
      <c r="O198" s="77"/>
      <c r="P198" s="77"/>
      <c r="Q198" s="77"/>
      <c r="R198" s="77"/>
      <c r="S198" s="77"/>
      <c r="T198" s="77"/>
      <c r="U198" s="77"/>
      <c r="V198" s="77"/>
    </row>
    <row r="199" spans="1:22">
      <c r="A199" t="s">
        <v>347</v>
      </c>
      <c r="B199" t="s">
        <v>627</v>
      </c>
      <c r="C199" s="77"/>
      <c r="D199" s="77"/>
      <c r="E199" s="77"/>
      <c r="F199" s="77"/>
      <c r="G199" s="77"/>
      <c r="H199" s="77"/>
      <c r="I199" s="77"/>
      <c r="J199" s="85"/>
      <c r="K199" s="85"/>
      <c r="L199" s="85"/>
      <c r="M199" s="85"/>
      <c r="N199" s="85"/>
      <c r="O199" s="77"/>
      <c r="P199" s="77"/>
      <c r="Q199" s="77"/>
      <c r="R199" s="77"/>
      <c r="S199" s="77"/>
      <c r="T199" s="77"/>
      <c r="U199" s="77"/>
      <c r="V199" s="77"/>
    </row>
    <row r="200" spans="1:22">
      <c r="A200" t="s">
        <v>348</v>
      </c>
      <c r="B200" t="s">
        <v>628</v>
      </c>
      <c r="C200" s="77"/>
      <c r="D200" s="77"/>
      <c r="E200" s="77"/>
      <c r="F200" s="77"/>
      <c r="G200" s="77"/>
      <c r="H200" s="77"/>
      <c r="I200" s="77"/>
      <c r="J200" s="85"/>
      <c r="K200" s="85"/>
      <c r="L200" s="85"/>
      <c r="M200" s="85"/>
      <c r="N200" s="85"/>
      <c r="O200" s="77"/>
      <c r="P200" s="77"/>
      <c r="Q200" s="77"/>
      <c r="R200" s="77"/>
      <c r="S200" s="77"/>
      <c r="T200" s="77"/>
      <c r="U200" s="77"/>
      <c r="V200" s="77"/>
    </row>
    <row r="201" spans="1:22">
      <c r="A201" t="s">
        <v>349</v>
      </c>
      <c r="B201" t="s">
        <v>629</v>
      </c>
      <c r="C201" s="77"/>
      <c r="D201" s="77"/>
      <c r="E201" s="77"/>
      <c r="F201" s="77"/>
      <c r="G201" s="77"/>
      <c r="H201" s="77"/>
      <c r="I201" s="77"/>
      <c r="J201" s="85"/>
      <c r="K201" s="85"/>
      <c r="L201" s="85"/>
      <c r="M201" s="85"/>
      <c r="N201" s="85"/>
      <c r="O201" s="77"/>
      <c r="P201" s="77"/>
      <c r="Q201" s="77"/>
      <c r="R201" s="77"/>
      <c r="S201" s="77"/>
      <c r="T201" s="77"/>
      <c r="U201" s="77"/>
      <c r="V201" s="77"/>
    </row>
    <row r="202" spans="1:22">
      <c r="A202" t="s">
        <v>350</v>
      </c>
      <c r="B202" t="s">
        <v>630</v>
      </c>
      <c r="C202" s="77"/>
      <c r="D202" s="77"/>
      <c r="E202" s="77"/>
      <c r="F202" s="77"/>
      <c r="G202" s="77"/>
      <c r="H202" s="77"/>
      <c r="I202" s="77"/>
      <c r="J202" s="85"/>
      <c r="K202" s="85"/>
      <c r="L202" s="85"/>
      <c r="M202" s="85"/>
      <c r="N202" s="85"/>
      <c r="O202" s="77"/>
      <c r="P202" s="77"/>
      <c r="Q202" s="77"/>
      <c r="R202" s="77"/>
      <c r="S202" s="77"/>
      <c r="T202" s="77"/>
      <c r="U202" s="77"/>
      <c r="V202" s="77"/>
    </row>
    <row r="203" spans="1:22">
      <c r="A203" t="s">
        <v>351</v>
      </c>
      <c r="B203" t="s">
        <v>631</v>
      </c>
      <c r="C203" s="77"/>
      <c r="D203" s="77"/>
      <c r="E203" s="77"/>
      <c r="F203" s="77"/>
      <c r="G203" s="77"/>
      <c r="H203" s="77"/>
      <c r="I203" s="77"/>
      <c r="J203" s="85"/>
      <c r="K203" s="85"/>
      <c r="L203" s="85"/>
      <c r="M203" s="85"/>
      <c r="N203" s="85"/>
      <c r="O203" s="77"/>
      <c r="P203" s="77"/>
      <c r="Q203" s="77"/>
      <c r="R203" s="77"/>
      <c r="S203" s="77"/>
      <c r="T203" s="77"/>
      <c r="U203" s="77"/>
      <c r="V203" s="77"/>
    </row>
    <row r="204" spans="1:22">
      <c r="A204" t="s">
        <v>352</v>
      </c>
      <c r="B204" t="s">
        <v>632</v>
      </c>
      <c r="C204" s="77"/>
      <c r="D204" s="77"/>
      <c r="E204" s="77"/>
      <c r="F204" s="77"/>
      <c r="G204" s="77"/>
      <c r="H204" s="77"/>
      <c r="I204" s="77"/>
      <c r="J204" s="85"/>
      <c r="K204" s="85"/>
      <c r="L204" s="85"/>
      <c r="M204" s="85"/>
      <c r="N204" s="85"/>
      <c r="O204" s="77"/>
      <c r="P204" s="77"/>
      <c r="Q204" s="77"/>
      <c r="R204" s="77"/>
      <c r="S204" s="77"/>
      <c r="T204" s="77"/>
      <c r="U204" s="77"/>
      <c r="V204" s="77"/>
    </row>
    <row r="205" spans="1:22">
      <c r="A205" t="s">
        <v>353</v>
      </c>
      <c r="B205" t="s">
        <v>633</v>
      </c>
      <c r="C205" s="77"/>
      <c r="D205" s="77"/>
      <c r="E205" s="77"/>
      <c r="F205" s="77"/>
      <c r="G205" s="77"/>
      <c r="H205" s="77"/>
      <c r="I205" s="77"/>
      <c r="J205" s="85"/>
      <c r="K205" s="85"/>
      <c r="L205" s="85"/>
      <c r="M205" s="85"/>
      <c r="N205" s="85"/>
      <c r="O205" s="77"/>
      <c r="P205" s="77"/>
      <c r="Q205" s="77"/>
      <c r="R205" s="77"/>
      <c r="S205" s="77"/>
      <c r="T205" s="77"/>
      <c r="U205" s="77"/>
      <c r="V205" s="77"/>
    </row>
    <row r="206" spans="1:22">
      <c r="A206" t="s">
        <v>354</v>
      </c>
      <c r="B206" t="s">
        <v>634</v>
      </c>
      <c r="C206" s="77"/>
      <c r="D206" s="77"/>
      <c r="E206" s="77"/>
      <c r="F206" s="77"/>
      <c r="G206" s="77"/>
      <c r="H206" s="77"/>
      <c r="I206" s="77"/>
      <c r="J206" s="85"/>
      <c r="K206" s="85"/>
      <c r="L206" s="85"/>
      <c r="M206" s="85"/>
      <c r="N206" s="85"/>
      <c r="O206" s="77"/>
      <c r="P206" s="77"/>
      <c r="Q206" s="77"/>
      <c r="R206" s="77"/>
      <c r="S206" s="77"/>
      <c r="T206" s="77"/>
      <c r="U206" s="77"/>
      <c r="V206" s="77"/>
    </row>
    <row r="207" spans="1:22">
      <c r="A207" t="s">
        <v>355</v>
      </c>
      <c r="B207" t="s">
        <v>635</v>
      </c>
      <c r="C207" s="77"/>
      <c r="D207" s="77"/>
      <c r="E207" s="77"/>
      <c r="F207" s="77"/>
      <c r="G207" s="77"/>
      <c r="H207" s="77"/>
      <c r="I207" s="77"/>
      <c r="J207" s="85"/>
      <c r="K207" s="85"/>
      <c r="L207" s="85"/>
      <c r="M207" s="85"/>
      <c r="N207" s="85"/>
      <c r="O207" s="77"/>
      <c r="P207" s="77"/>
      <c r="Q207" s="77"/>
      <c r="R207" s="77"/>
      <c r="S207" s="77"/>
      <c r="T207" s="77"/>
      <c r="U207" s="77"/>
      <c r="V207" s="77"/>
    </row>
    <row r="208" spans="1:22">
      <c r="A208" t="s">
        <v>356</v>
      </c>
      <c r="B208" t="s">
        <v>636</v>
      </c>
      <c r="C208" s="77"/>
      <c r="D208" s="77"/>
      <c r="E208" s="77"/>
      <c r="F208" s="77"/>
      <c r="G208" s="77"/>
      <c r="H208" s="77"/>
      <c r="I208" s="77"/>
      <c r="J208" s="85"/>
      <c r="K208" s="85"/>
      <c r="L208" s="85"/>
      <c r="M208" s="85"/>
      <c r="N208" s="85"/>
      <c r="O208" s="77"/>
      <c r="P208" s="77"/>
      <c r="Q208" s="77"/>
      <c r="R208" s="77"/>
      <c r="S208" s="77"/>
      <c r="T208" s="77"/>
      <c r="U208" s="77"/>
      <c r="V208" s="77"/>
    </row>
    <row r="209" spans="1:22">
      <c r="A209" t="s">
        <v>357</v>
      </c>
      <c r="B209" t="s">
        <v>637</v>
      </c>
      <c r="C209" s="77"/>
      <c r="D209" s="77"/>
      <c r="E209" s="77"/>
      <c r="F209" s="77"/>
      <c r="G209" s="77"/>
      <c r="H209" s="77"/>
      <c r="I209" s="77"/>
      <c r="J209" s="85"/>
      <c r="K209" s="85"/>
      <c r="L209" s="85"/>
      <c r="M209" s="85"/>
      <c r="N209" s="85"/>
      <c r="O209" s="77"/>
      <c r="P209" s="77"/>
      <c r="Q209" s="77"/>
      <c r="R209" s="77"/>
      <c r="S209" s="77"/>
      <c r="T209" s="77"/>
      <c r="U209" s="77"/>
      <c r="V209" s="77"/>
    </row>
    <row r="210" spans="1:22">
      <c r="A210" t="s">
        <v>358</v>
      </c>
      <c r="B210" t="s">
        <v>638</v>
      </c>
      <c r="C210" s="77"/>
      <c r="D210" s="77"/>
      <c r="E210" s="77"/>
      <c r="F210" s="77"/>
      <c r="G210" s="77"/>
      <c r="H210" s="77"/>
      <c r="I210" s="77"/>
      <c r="J210" s="85"/>
      <c r="K210" s="85"/>
      <c r="L210" s="85"/>
      <c r="M210" s="85"/>
      <c r="N210" s="85"/>
      <c r="O210" s="77"/>
      <c r="P210" s="77"/>
      <c r="Q210" s="77"/>
      <c r="R210" s="77"/>
      <c r="S210" s="77"/>
      <c r="T210" s="77"/>
      <c r="U210" s="77"/>
      <c r="V210" s="77"/>
    </row>
    <row r="211" spans="1:22">
      <c r="A211" t="s">
        <v>359</v>
      </c>
      <c r="B211" t="s">
        <v>639</v>
      </c>
      <c r="C211" s="77"/>
      <c r="D211" s="77"/>
      <c r="E211" s="77"/>
      <c r="F211" s="77"/>
      <c r="G211" s="77"/>
      <c r="H211" s="77"/>
      <c r="I211" s="77"/>
      <c r="J211" s="85"/>
      <c r="K211" s="85"/>
      <c r="L211" s="85"/>
      <c r="M211" s="85"/>
      <c r="N211" s="85"/>
      <c r="O211" s="77"/>
      <c r="P211" s="77"/>
      <c r="Q211" s="77"/>
      <c r="R211" s="77"/>
      <c r="S211" s="77"/>
      <c r="T211" s="77"/>
      <c r="U211" s="77"/>
      <c r="V211" s="77"/>
    </row>
    <row r="212" spans="1:22">
      <c r="A212" t="s">
        <v>360</v>
      </c>
      <c r="B212" t="s">
        <v>640</v>
      </c>
      <c r="C212" s="77"/>
      <c r="D212" s="77"/>
      <c r="E212" s="77"/>
      <c r="F212" s="77"/>
      <c r="G212" s="77"/>
      <c r="H212" s="77"/>
      <c r="I212" s="77"/>
      <c r="J212" s="85"/>
      <c r="K212" s="85"/>
      <c r="L212" s="85"/>
      <c r="M212" s="85"/>
      <c r="N212" s="85"/>
      <c r="O212" s="77"/>
      <c r="P212" s="77"/>
      <c r="Q212" s="77"/>
      <c r="R212" s="77"/>
      <c r="S212" s="77"/>
      <c r="T212" s="77"/>
      <c r="U212" s="77"/>
      <c r="V212" s="77"/>
    </row>
    <row r="213" spans="1:22">
      <c r="A213" t="s">
        <v>361</v>
      </c>
      <c r="B213" t="s">
        <v>641</v>
      </c>
      <c r="C213" s="77"/>
      <c r="D213" s="77"/>
      <c r="E213" s="77"/>
      <c r="F213" s="77"/>
      <c r="G213" s="77"/>
      <c r="H213" s="77"/>
      <c r="I213" s="77"/>
      <c r="J213" s="85"/>
      <c r="K213" s="85"/>
      <c r="L213" s="85"/>
      <c r="M213" s="85"/>
      <c r="N213" s="85"/>
      <c r="O213" s="77"/>
      <c r="P213" s="77"/>
      <c r="Q213" s="77"/>
      <c r="R213" s="77"/>
      <c r="S213" s="77"/>
      <c r="T213" s="77"/>
      <c r="U213" s="77"/>
      <c r="V213" s="77"/>
    </row>
    <row r="214" spans="1:22">
      <c r="A214" t="s">
        <v>362</v>
      </c>
      <c r="B214" t="s">
        <v>642</v>
      </c>
      <c r="C214" s="77"/>
      <c r="D214" s="77"/>
      <c r="E214" s="77"/>
      <c r="F214" s="77"/>
      <c r="G214" s="77"/>
      <c r="H214" s="77"/>
      <c r="I214" s="77"/>
      <c r="J214" s="85"/>
      <c r="K214" s="85"/>
      <c r="L214" s="85"/>
      <c r="M214" s="85"/>
      <c r="N214" s="85"/>
      <c r="O214" s="77"/>
      <c r="P214" s="77"/>
      <c r="Q214" s="77"/>
      <c r="R214" s="77"/>
      <c r="S214" s="77"/>
      <c r="T214" s="77"/>
      <c r="U214" s="77"/>
      <c r="V214" s="77"/>
    </row>
    <row r="215" spans="1:22">
      <c r="A215" t="s">
        <v>363</v>
      </c>
      <c r="B215" t="s">
        <v>643</v>
      </c>
      <c r="C215" s="77"/>
      <c r="D215" s="77"/>
      <c r="E215" s="77"/>
      <c r="F215" s="77"/>
      <c r="G215" s="77"/>
      <c r="H215" s="77"/>
      <c r="I215" s="77"/>
      <c r="J215" s="85"/>
      <c r="K215" s="85"/>
      <c r="L215" s="85"/>
      <c r="M215" s="85"/>
      <c r="N215" s="85"/>
      <c r="O215" s="77"/>
      <c r="P215" s="77"/>
      <c r="Q215" s="77"/>
      <c r="R215" s="77"/>
      <c r="S215" s="77"/>
      <c r="T215" s="77"/>
      <c r="U215" s="77"/>
      <c r="V215" s="77"/>
    </row>
    <row r="216" spans="1:22">
      <c r="A216" t="s">
        <v>364</v>
      </c>
      <c r="B216" t="s">
        <v>644</v>
      </c>
      <c r="C216" s="77"/>
      <c r="D216" s="77"/>
      <c r="E216" s="77"/>
      <c r="F216" s="77"/>
      <c r="G216" s="77"/>
      <c r="H216" s="77"/>
      <c r="I216" s="77"/>
      <c r="J216" s="85"/>
      <c r="K216" s="85"/>
      <c r="L216" s="85"/>
      <c r="M216" s="85"/>
      <c r="N216" s="85"/>
      <c r="O216" s="77"/>
      <c r="P216" s="77"/>
      <c r="Q216" s="77"/>
      <c r="R216" s="77"/>
      <c r="S216" s="77"/>
      <c r="T216" s="77"/>
      <c r="U216" s="77"/>
      <c r="V216" s="77"/>
    </row>
    <row r="217" spans="1:22">
      <c r="A217" t="s">
        <v>365</v>
      </c>
      <c r="B217" t="s">
        <v>645</v>
      </c>
      <c r="C217" s="77"/>
      <c r="D217" s="77"/>
      <c r="E217" s="77"/>
      <c r="F217" s="77"/>
      <c r="G217" s="77"/>
      <c r="H217" s="77"/>
      <c r="I217" s="77"/>
      <c r="J217" s="85"/>
      <c r="K217" s="85"/>
      <c r="L217" s="85"/>
      <c r="M217" s="85"/>
      <c r="N217" s="85"/>
      <c r="O217" s="77"/>
      <c r="P217" s="77"/>
      <c r="Q217" s="77"/>
      <c r="R217" s="77"/>
      <c r="S217" s="77"/>
      <c r="T217" s="77"/>
      <c r="U217" s="77"/>
      <c r="V217" s="77"/>
    </row>
    <row r="218" spans="1:22">
      <c r="A218" t="s">
        <v>366</v>
      </c>
      <c r="B218" t="s">
        <v>646</v>
      </c>
      <c r="C218" s="77"/>
      <c r="D218" s="77"/>
      <c r="E218" s="77"/>
      <c r="F218" s="77"/>
      <c r="G218" s="77"/>
      <c r="H218" s="77"/>
      <c r="I218" s="77"/>
      <c r="J218" s="85"/>
      <c r="K218" s="85"/>
      <c r="L218" s="85"/>
      <c r="M218" s="85"/>
      <c r="N218" s="85"/>
      <c r="O218" s="77"/>
      <c r="P218" s="77"/>
      <c r="Q218" s="77"/>
      <c r="R218" s="77"/>
      <c r="S218" s="77"/>
      <c r="T218" s="77"/>
      <c r="U218" s="77"/>
      <c r="V218" s="77"/>
    </row>
    <row r="219" spans="1:22">
      <c r="A219" t="s">
        <v>367</v>
      </c>
      <c r="B219" t="s">
        <v>427</v>
      </c>
      <c r="C219" s="77"/>
      <c r="D219" s="77"/>
      <c r="E219" s="77"/>
      <c r="F219" s="77"/>
      <c r="G219" s="77"/>
      <c r="H219" s="77"/>
      <c r="I219" s="77"/>
      <c r="J219" s="85"/>
      <c r="K219" s="85"/>
      <c r="L219" s="85"/>
      <c r="M219" s="85"/>
      <c r="N219" s="85"/>
      <c r="O219" s="77"/>
      <c r="P219" s="77"/>
      <c r="Q219" s="77"/>
      <c r="R219" s="77"/>
      <c r="S219" s="77"/>
      <c r="T219" s="77"/>
      <c r="U219" s="77"/>
      <c r="V219" s="77"/>
    </row>
    <row r="220" spans="1:22">
      <c r="A220" t="s">
        <v>368</v>
      </c>
      <c r="B220" t="s">
        <v>426</v>
      </c>
      <c r="C220" s="77"/>
      <c r="D220" s="77"/>
      <c r="E220" s="77"/>
      <c r="F220" s="77"/>
      <c r="G220" s="77"/>
      <c r="H220" s="77"/>
      <c r="I220" s="77"/>
      <c r="J220" s="85"/>
      <c r="K220" s="85"/>
      <c r="L220" s="85"/>
      <c r="M220" s="85"/>
      <c r="N220" s="85"/>
      <c r="O220" s="77"/>
      <c r="P220" s="77"/>
      <c r="Q220" s="77"/>
      <c r="R220" s="77"/>
      <c r="S220" s="77"/>
      <c r="T220" s="77"/>
      <c r="U220" s="77"/>
      <c r="V220" s="77"/>
    </row>
    <row r="221" spans="1:22">
      <c r="A221" t="s">
        <v>369</v>
      </c>
      <c r="B221" t="s">
        <v>425</v>
      </c>
      <c r="C221" s="77"/>
      <c r="D221" s="77"/>
      <c r="E221" s="77"/>
      <c r="F221" s="77"/>
      <c r="G221" s="77"/>
      <c r="H221" s="77"/>
      <c r="I221" s="77"/>
      <c r="J221" s="85"/>
      <c r="K221" s="85"/>
      <c r="L221" s="85"/>
      <c r="M221" s="85"/>
      <c r="N221" s="85"/>
      <c r="O221" s="77"/>
      <c r="P221" s="77"/>
      <c r="Q221" s="77"/>
      <c r="R221" s="77"/>
      <c r="S221" s="77"/>
      <c r="T221" s="77"/>
      <c r="U221" s="77"/>
      <c r="V221" s="77"/>
    </row>
    <row r="222" spans="1:22">
      <c r="A222" t="s">
        <v>370</v>
      </c>
      <c r="B222" t="s">
        <v>424</v>
      </c>
      <c r="C222" s="77"/>
      <c r="D222" s="77"/>
      <c r="E222" s="77"/>
      <c r="F222" s="77"/>
      <c r="G222" s="77"/>
      <c r="H222" s="77"/>
      <c r="I222" s="77"/>
      <c r="J222" s="85"/>
      <c r="K222" s="85"/>
      <c r="L222" s="85"/>
      <c r="M222" s="85"/>
      <c r="N222" s="85"/>
      <c r="O222" s="77"/>
      <c r="P222" s="77"/>
      <c r="Q222" s="77"/>
      <c r="R222" s="77"/>
      <c r="S222" s="77"/>
      <c r="T222" s="77"/>
      <c r="U222" s="77"/>
      <c r="V222" s="77"/>
    </row>
    <row r="223" spans="1:22">
      <c r="A223" t="s">
        <v>371</v>
      </c>
      <c r="B223" t="s">
        <v>647</v>
      </c>
      <c r="C223" s="77"/>
      <c r="D223" s="77"/>
      <c r="E223" s="77"/>
      <c r="F223" s="77"/>
      <c r="G223" s="77"/>
      <c r="H223" s="77"/>
      <c r="I223" s="77"/>
      <c r="J223" s="85"/>
      <c r="K223" s="85"/>
      <c r="L223" s="85"/>
      <c r="M223" s="85"/>
      <c r="N223" s="85"/>
      <c r="O223" s="77"/>
      <c r="P223" s="77"/>
      <c r="Q223" s="77"/>
      <c r="R223" s="77"/>
      <c r="S223" s="77"/>
      <c r="T223" s="77"/>
      <c r="U223" s="77"/>
      <c r="V223" s="77"/>
    </row>
    <row r="224" spans="1:22">
      <c r="A224" t="s">
        <v>372</v>
      </c>
      <c r="B224" t="s">
        <v>648</v>
      </c>
      <c r="C224" s="77"/>
      <c r="D224" s="77"/>
      <c r="E224" s="77"/>
      <c r="F224" s="77"/>
      <c r="G224" s="77"/>
      <c r="H224" s="77"/>
      <c r="I224" s="77"/>
      <c r="J224" s="85"/>
      <c r="K224" s="85"/>
      <c r="L224" s="85"/>
      <c r="M224" s="85"/>
      <c r="N224" s="85"/>
      <c r="O224" s="77"/>
      <c r="P224" s="77"/>
      <c r="Q224" s="77"/>
      <c r="R224" s="77"/>
      <c r="S224" s="77"/>
      <c r="T224" s="77"/>
      <c r="U224" s="77"/>
      <c r="V224" s="77"/>
    </row>
    <row r="225" spans="1:22">
      <c r="A225" t="s">
        <v>373</v>
      </c>
      <c r="B225" t="s">
        <v>649</v>
      </c>
      <c r="C225" s="77"/>
      <c r="D225" s="77"/>
      <c r="E225" s="77"/>
      <c r="F225" s="77"/>
      <c r="G225" s="77"/>
      <c r="H225" s="77"/>
      <c r="I225" s="77"/>
      <c r="J225" s="85"/>
      <c r="K225" s="85"/>
      <c r="L225" s="85"/>
      <c r="M225" s="85"/>
      <c r="N225" s="85"/>
      <c r="O225" s="77"/>
      <c r="P225" s="77"/>
      <c r="Q225" s="77"/>
      <c r="R225" s="77"/>
      <c r="S225" s="77"/>
      <c r="T225" s="77"/>
      <c r="U225" s="77"/>
      <c r="V225" s="77"/>
    </row>
    <row r="226" spans="1:22">
      <c r="A226" t="s">
        <v>374</v>
      </c>
      <c r="B226" t="s">
        <v>650</v>
      </c>
      <c r="C226" s="77"/>
      <c r="D226" s="77"/>
      <c r="E226" s="77"/>
      <c r="F226" s="77"/>
      <c r="G226" s="77"/>
      <c r="H226" s="77"/>
      <c r="I226" s="77"/>
      <c r="J226" s="85"/>
      <c r="K226" s="85"/>
      <c r="L226" s="85"/>
      <c r="M226" s="85"/>
      <c r="N226" s="85"/>
      <c r="O226" s="77"/>
      <c r="P226" s="77"/>
      <c r="Q226" s="77"/>
      <c r="R226" s="77"/>
      <c r="S226" s="77"/>
      <c r="T226" s="77"/>
      <c r="U226" s="77"/>
      <c r="V226" s="77"/>
    </row>
    <row r="227" spans="1:22">
      <c r="A227" t="s">
        <v>375</v>
      </c>
      <c r="B227" t="s">
        <v>651</v>
      </c>
      <c r="C227" s="77"/>
      <c r="D227" s="77"/>
      <c r="E227" s="77"/>
      <c r="F227" s="77"/>
      <c r="G227" s="77"/>
      <c r="H227" s="77"/>
      <c r="I227" s="77"/>
      <c r="J227" s="85"/>
      <c r="K227" s="85"/>
      <c r="L227" s="85"/>
      <c r="M227" s="85"/>
      <c r="N227" s="85"/>
      <c r="O227" s="77"/>
      <c r="P227" s="77"/>
      <c r="Q227" s="77"/>
      <c r="R227" s="77"/>
      <c r="S227" s="77"/>
      <c r="T227" s="77"/>
      <c r="U227" s="77"/>
      <c r="V227" s="77"/>
    </row>
    <row r="228" spans="1:22">
      <c r="A228" t="s">
        <v>376</v>
      </c>
      <c r="B228" t="s">
        <v>652</v>
      </c>
      <c r="C228" s="77"/>
      <c r="D228" s="77"/>
      <c r="E228" s="77"/>
      <c r="F228" s="77"/>
      <c r="G228" s="77"/>
      <c r="H228" s="77"/>
      <c r="I228" s="77"/>
      <c r="J228" s="85"/>
      <c r="K228" s="85"/>
      <c r="L228" s="85"/>
      <c r="M228" s="85"/>
      <c r="N228" s="85"/>
      <c r="O228" s="77"/>
      <c r="P228" s="77"/>
      <c r="Q228" s="77"/>
      <c r="R228" s="77"/>
      <c r="S228" s="77"/>
      <c r="T228" s="77"/>
      <c r="U228" s="77"/>
      <c r="V228" s="77"/>
    </row>
    <row r="229" spans="1:22">
      <c r="A229" t="s">
        <v>377</v>
      </c>
      <c r="B229" t="s">
        <v>653</v>
      </c>
      <c r="C229" s="77"/>
      <c r="D229" s="77"/>
      <c r="E229" s="77"/>
      <c r="F229" s="77"/>
      <c r="G229" s="77"/>
      <c r="H229" s="77"/>
      <c r="I229" s="77"/>
      <c r="J229" s="85"/>
      <c r="K229" s="85"/>
      <c r="L229" s="85"/>
      <c r="M229" s="85"/>
      <c r="N229" s="85"/>
      <c r="O229" s="77"/>
      <c r="P229" s="77"/>
      <c r="Q229" s="77"/>
      <c r="R229" s="77"/>
      <c r="S229" s="77"/>
      <c r="T229" s="77"/>
      <c r="U229" s="77"/>
      <c r="V229" s="77"/>
    </row>
    <row r="230" spans="1:22">
      <c r="A230" t="s">
        <v>378</v>
      </c>
      <c r="B230" t="s">
        <v>654</v>
      </c>
      <c r="C230" s="77"/>
      <c r="D230" s="77"/>
      <c r="E230" s="77"/>
      <c r="F230" s="77"/>
      <c r="G230" s="77"/>
      <c r="H230" s="77"/>
      <c r="I230" s="77"/>
      <c r="J230" s="85"/>
      <c r="K230" s="85"/>
      <c r="L230" s="85"/>
      <c r="M230" s="85"/>
      <c r="N230" s="85"/>
      <c r="O230" s="77"/>
      <c r="P230" s="77"/>
      <c r="Q230" s="77"/>
      <c r="R230" s="77"/>
      <c r="S230" s="77"/>
      <c r="T230" s="77"/>
      <c r="U230" s="77"/>
      <c r="V230" s="77"/>
    </row>
    <row r="231" spans="1:22">
      <c r="A231" t="s">
        <v>379</v>
      </c>
      <c r="B231" t="s">
        <v>655</v>
      </c>
      <c r="C231" s="77"/>
      <c r="D231" s="77"/>
      <c r="E231" s="77"/>
      <c r="F231" s="77"/>
      <c r="G231" s="77"/>
      <c r="H231" s="77"/>
      <c r="I231" s="77"/>
      <c r="J231" s="85"/>
      <c r="K231" s="85"/>
      <c r="L231" s="85"/>
      <c r="M231" s="85"/>
      <c r="N231" s="85"/>
      <c r="O231" s="77"/>
      <c r="P231" s="77"/>
      <c r="Q231" s="77"/>
      <c r="R231" s="77"/>
      <c r="S231" s="77"/>
      <c r="T231" s="77"/>
      <c r="U231" s="77"/>
      <c r="V231" s="77"/>
    </row>
    <row r="232" spans="1:22">
      <c r="A232" t="s">
        <v>380</v>
      </c>
      <c r="B232" t="s">
        <v>656</v>
      </c>
      <c r="C232" s="77"/>
      <c r="D232" s="77"/>
      <c r="E232" s="77"/>
      <c r="F232" s="77"/>
      <c r="G232" s="77"/>
      <c r="H232" s="77"/>
      <c r="I232" s="77"/>
      <c r="J232" s="85"/>
      <c r="K232" s="85"/>
      <c r="L232" s="85"/>
      <c r="M232" s="85"/>
      <c r="N232" s="85"/>
      <c r="O232" s="77"/>
      <c r="P232" s="77"/>
      <c r="Q232" s="77"/>
      <c r="R232" s="77"/>
      <c r="S232" s="77"/>
      <c r="T232" s="77"/>
      <c r="U232" s="77"/>
      <c r="V232" s="77"/>
    </row>
    <row r="233" spans="1:22">
      <c r="A233" t="s">
        <v>381</v>
      </c>
      <c r="B233" t="s">
        <v>657</v>
      </c>
      <c r="C233" s="77"/>
      <c r="D233" s="77"/>
      <c r="E233" s="77"/>
      <c r="F233" s="77"/>
      <c r="G233" s="77"/>
      <c r="H233" s="77"/>
      <c r="I233" s="77"/>
      <c r="J233" s="85"/>
      <c r="K233" s="85"/>
      <c r="L233" s="85"/>
      <c r="M233" s="85"/>
      <c r="N233" s="85"/>
      <c r="O233" s="77"/>
      <c r="P233" s="77"/>
      <c r="Q233" s="77"/>
      <c r="R233" s="77"/>
      <c r="S233" s="77"/>
      <c r="T233" s="77"/>
      <c r="U233" s="77"/>
      <c r="V233" s="77"/>
    </row>
    <row r="234" spans="1:22">
      <c r="A234" t="s">
        <v>382</v>
      </c>
      <c r="B234" t="s">
        <v>658</v>
      </c>
      <c r="C234" s="77"/>
      <c r="D234" s="77"/>
      <c r="E234" s="77"/>
      <c r="F234" s="77"/>
      <c r="G234" s="77"/>
      <c r="H234" s="77"/>
      <c r="I234" s="77"/>
      <c r="J234" s="85"/>
      <c r="K234" s="85"/>
      <c r="L234" s="85"/>
      <c r="M234" s="85"/>
      <c r="N234" s="85"/>
      <c r="O234" s="77"/>
      <c r="P234" s="77"/>
      <c r="Q234" s="77"/>
      <c r="R234" s="77"/>
      <c r="S234" s="77"/>
      <c r="T234" s="77"/>
      <c r="U234" s="77"/>
      <c r="V234" s="77"/>
    </row>
    <row r="235" spans="1:22">
      <c r="A235" t="s">
        <v>383</v>
      </c>
      <c r="B235" t="s">
        <v>659</v>
      </c>
      <c r="C235" s="77"/>
      <c r="D235" s="77"/>
      <c r="E235" s="77"/>
      <c r="F235" s="77"/>
      <c r="G235" s="77"/>
      <c r="H235" s="77"/>
      <c r="I235" s="77"/>
      <c r="J235" s="85"/>
      <c r="K235" s="85"/>
      <c r="L235" s="85"/>
      <c r="M235" s="85"/>
      <c r="N235" s="85"/>
      <c r="O235" s="77"/>
      <c r="P235" s="77"/>
      <c r="Q235" s="77"/>
      <c r="R235" s="77"/>
      <c r="S235" s="77"/>
      <c r="T235" s="77"/>
      <c r="U235" s="77"/>
      <c r="V235" s="77"/>
    </row>
    <row r="236" spans="1:22">
      <c r="A236" t="s">
        <v>384</v>
      </c>
      <c r="B236" t="s">
        <v>660</v>
      </c>
      <c r="C236" s="77"/>
      <c r="D236" s="77"/>
      <c r="E236" s="77"/>
      <c r="F236" s="77"/>
      <c r="G236" s="77"/>
      <c r="H236" s="77"/>
      <c r="I236" s="77"/>
      <c r="J236" s="85"/>
      <c r="K236" s="85"/>
      <c r="L236" s="85"/>
      <c r="M236" s="85"/>
      <c r="N236" s="85"/>
      <c r="O236" s="77"/>
      <c r="P236" s="77"/>
      <c r="Q236" s="77"/>
      <c r="R236" s="77"/>
      <c r="S236" s="77"/>
      <c r="T236" s="77"/>
      <c r="U236" s="77"/>
      <c r="V236" s="77"/>
    </row>
    <row r="237" spans="1:22">
      <c r="A237" t="s">
        <v>385</v>
      </c>
      <c r="B237" t="s">
        <v>661</v>
      </c>
      <c r="C237" s="77"/>
      <c r="D237" s="77"/>
      <c r="E237" s="77"/>
      <c r="F237" s="77"/>
      <c r="G237" s="77"/>
      <c r="H237" s="77"/>
      <c r="I237" s="77"/>
      <c r="J237" s="85"/>
      <c r="K237" s="85"/>
      <c r="L237" s="85"/>
      <c r="M237" s="85"/>
      <c r="N237" s="85"/>
      <c r="O237" s="77"/>
      <c r="P237" s="77"/>
      <c r="Q237" s="77"/>
      <c r="R237" s="77"/>
      <c r="S237" s="77"/>
      <c r="T237" s="77"/>
      <c r="U237" s="77"/>
      <c r="V237" s="77"/>
    </row>
    <row r="238" spans="1:22">
      <c r="A238" t="s">
        <v>386</v>
      </c>
      <c r="B238" t="s">
        <v>662</v>
      </c>
      <c r="C238" s="77"/>
      <c r="D238" s="77"/>
      <c r="E238" s="77"/>
      <c r="F238" s="77"/>
      <c r="G238" s="77"/>
      <c r="H238" s="77"/>
      <c r="I238" s="77"/>
      <c r="J238" s="85"/>
      <c r="K238" s="85"/>
      <c r="L238" s="85"/>
      <c r="M238" s="85"/>
      <c r="N238" s="85"/>
      <c r="O238" s="77"/>
      <c r="P238" s="77"/>
      <c r="Q238" s="77"/>
      <c r="R238" s="77"/>
      <c r="S238" s="77"/>
      <c r="T238" s="77"/>
      <c r="U238" s="77"/>
      <c r="V238" s="77"/>
    </row>
    <row r="239" spans="1:22">
      <c r="A239" t="s">
        <v>387</v>
      </c>
      <c r="B239" t="s">
        <v>663</v>
      </c>
      <c r="C239" s="77"/>
      <c r="D239" s="77"/>
      <c r="E239" s="77"/>
      <c r="F239" s="77"/>
      <c r="G239" s="77"/>
      <c r="H239" s="77"/>
      <c r="I239" s="77"/>
      <c r="J239" s="85"/>
      <c r="K239" s="85"/>
      <c r="L239" s="85"/>
      <c r="M239" s="85"/>
      <c r="N239" s="85"/>
      <c r="O239" s="77"/>
      <c r="P239" s="77"/>
      <c r="Q239" s="77"/>
      <c r="R239" s="77"/>
      <c r="S239" s="77"/>
      <c r="T239" s="77"/>
      <c r="U239" s="77"/>
      <c r="V239" s="77"/>
    </row>
    <row r="240" spans="1:22">
      <c r="A240" t="s">
        <v>388</v>
      </c>
      <c r="B240" t="s">
        <v>664</v>
      </c>
      <c r="C240" s="77"/>
      <c r="D240" s="77"/>
      <c r="E240" s="77"/>
      <c r="F240" s="77"/>
      <c r="G240" s="77"/>
      <c r="H240" s="77"/>
      <c r="I240" s="77"/>
      <c r="J240" s="85"/>
      <c r="K240" s="85"/>
      <c r="L240" s="85"/>
      <c r="M240" s="85"/>
      <c r="N240" s="85"/>
      <c r="O240" s="77"/>
      <c r="P240" s="77"/>
      <c r="Q240" s="77"/>
      <c r="R240" s="77"/>
      <c r="S240" s="77"/>
      <c r="T240" s="77"/>
      <c r="U240" s="77"/>
      <c r="V240" s="77"/>
    </row>
    <row r="241" spans="1:22">
      <c r="A241" t="s">
        <v>389</v>
      </c>
      <c r="B241" t="s">
        <v>665</v>
      </c>
      <c r="C241" s="77"/>
      <c r="D241" s="77"/>
      <c r="E241" s="77"/>
      <c r="F241" s="77"/>
      <c r="G241" s="77"/>
      <c r="H241" s="77"/>
      <c r="I241" s="77"/>
      <c r="J241" s="85"/>
      <c r="K241" s="85"/>
      <c r="L241" s="85"/>
      <c r="M241" s="85"/>
      <c r="N241" s="85"/>
      <c r="O241" s="77"/>
      <c r="P241" s="77"/>
      <c r="Q241" s="77"/>
      <c r="R241" s="77"/>
      <c r="S241" s="77"/>
      <c r="T241" s="77"/>
      <c r="U241" s="77"/>
      <c r="V241" s="77"/>
    </row>
    <row r="242" spans="1:22">
      <c r="A242" t="s">
        <v>390</v>
      </c>
      <c r="B242" t="s">
        <v>666</v>
      </c>
      <c r="C242" s="77"/>
      <c r="D242" s="77"/>
      <c r="E242" s="77"/>
      <c r="F242" s="77"/>
      <c r="G242" s="77"/>
      <c r="H242" s="77"/>
      <c r="I242" s="77"/>
      <c r="J242" s="85"/>
      <c r="K242" s="85"/>
      <c r="L242" s="85"/>
      <c r="M242" s="85"/>
      <c r="N242" s="85"/>
      <c r="O242" s="77"/>
      <c r="P242" s="77"/>
      <c r="Q242" s="77"/>
      <c r="R242" s="77"/>
      <c r="S242" s="77"/>
      <c r="T242" s="77"/>
      <c r="U242" s="77"/>
      <c r="V242" s="77"/>
    </row>
    <row r="243" spans="1:22">
      <c r="A243" t="s">
        <v>391</v>
      </c>
      <c r="B243" t="s">
        <v>667</v>
      </c>
      <c r="C243" s="77"/>
      <c r="D243" s="77"/>
      <c r="E243" s="77"/>
      <c r="F243" s="77"/>
      <c r="G243" s="77"/>
      <c r="H243" s="77"/>
      <c r="I243" s="77"/>
      <c r="J243" s="85"/>
      <c r="K243" s="85"/>
      <c r="L243" s="85"/>
      <c r="M243" s="85"/>
      <c r="N243" s="85"/>
      <c r="O243" s="77"/>
      <c r="P243" s="77"/>
      <c r="Q243" s="77"/>
      <c r="R243" s="77"/>
      <c r="S243" s="77"/>
      <c r="T243" s="77"/>
      <c r="U243" s="77"/>
      <c r="V243" s="77"/>
    </row>
    <row r="244" spans="1:22">
      <c r="A244" t="s">
        <v>392</v>
      </c>
      <c r="B244" t="s">
        <v>668</v>
      </c>
      <c r="C244" s="77"/>
      <c r="D244" s="77"/>
      <c r="E244" s="77"/>
      <c r="F244" s="77"/>
      <c r="G244" s="77"/>
      <c r="H244" s="77"/>
      <c r="I244" s="77"/>
      <c r="J244" s="85"/>
      <c r="K244" s="85"/>
      <c r="L244" s="85"/>
      <c r="M244" s="85"/>
      <c r="N244" s="85"/>
      <c r="O244" s="77"/>
      <c r="P244" s="77"/>
      <c r="Q244" s="77"/>
      <c r="R244" s="77"/>
      <c r="S244" s="77"/>
      <c r="T244" s="77"/>
      <c r="U244" s="77"/>
      <c r="V244" s="77"/>
    </row>
    <row r="245" spans="1:22">
      <c r="A245" t="s">
        <v>393</v>
      </c>
      <c r="B245" t="s">
        <v>669</v>
      </c>
      <c r="C245" s="77"/>
      <c r="D245" s="77"/>
      <c r="E245" s="77"/>
      <c r="F245" s="77"/>
      <c r="G245" s="77"/>
      <c r="H245" s="77"/>
      <c r="I245" s="77"/>
      <c r="J245" s="85"/>
      <c r="K245" s="85"/>
      <c r="L245" s="85"/>
      <c r="M245" s="85"/>
      <c r="N245" s="85"/>
      <c r="O245" s="77"/>
      <c r="P245" s="77"/>
      <c r="Q245" s="77"/>
      <c r="R245" s="77"/>
      <c r="S245" s="77"/>
      <c r="T245" s="77"/>
      <c r="U245" s="77"/>
      <c r="V245" s="77"/>
    </row>
    <row r="246" spans="1:22">
      <c r="A246" t="s">
        <v>394</v>
      </c>
      <c r="B246" t="s">
        <v>670</v>
      </c>
      <c r="C246" s="77"/>
      <c r="D246" s="77"/>
      <c r="E246" s="77"/>
      <c r="F246" s="77"/>
      <c r="G246" s="77"/>
      <c r="H246" s="77"/>
      <c r="I246" s="77"/>
      <c r="J246" s="85"/>
      <c r="K246" s="85"/>
      <c r="L246" s="85"/>
      <c r="M246" s="85"/>
      <c r="N246" s="85"/>
      <c r="O246" s="77"/>
      <c r="P246" s="77"/>
      <c r="Q246" s="77"/>
      <c r="R246" s="77"/>
      <c r="S246" s="77"/>
      <c r="T246" s="77"/>
      <c r="U246" s="77"/>
      <c r="V246" s="77"/>
    </row>
    <row r="247" spans="1:22">
      <c r="A247" t="s">
        <v>138</v>
      </c>
      <c r="B247" t="s">
        <v>671</v>
      </c>
      <c r="C247" s="77"/>
      <c r="D247" s="77"/>
      <c r="E247" s="77"/>
      <c r="F247" s="77"/>
      <c r="G247" s="77"/>
      <c r="H247" s="77"/>
      <c r="I247" s="77"/>
      <c r="J247" s="85"/>
      <c r="K247" s="85"/>
      <c r="L247" s="85"/>
      <c r="M247" s="85"/>
      <c r="N247" s="85"/>
      <c r="O247" s="77"/>
      <c r="P247" s="77"/>
      <c r="Q247" s="77"/>
      <c r="R247" s="77"/>
      <c r="S247" s="77"/>
      <c r="T247" s="77"/>
      <c r="U247" s="77"/>
      <c r="V247" s="77"/>
    </row>
    <row r="248" spans="1:22">
      <c r="A248" t="s">
        <v>395</v>
      </c>
      <c r="B248" t="s">
        <v>672</v>
      </c>
      <c r="C248" s="77"/>
      <c r="D248" s="77"/>
      <c r="E248" s="77"/>
      <c r="F248" s="77"/>
      <c r="G248" s="77"/>
      <c r="H248" s="77"/>
      <c r="I248" s="77"/>
      <c r="J248" s="85"/>
      <c r="K248" s="85"/>
      <c r="L248" s="85"/>
      <c r="M248" s="85"/>
      <c r="N248" s="85"/>
      <c r="O248" s="77"/>
      <c r="P248" s="77"/>
      <c r="Q248" s="77"/>
      <c r="R248" s="77"/>
      <c r="S248" s="77"/>
      <c r="T248" s="77"/>
      <c r="U248" s="77"/>
      <c r="V248" s="77"/>
    </row>
    <row r="249" spans="1:22">
      <c r="A249" t="s">
        <v>396</v>
      </c>
      <c r="B249" t="s">
        <v>673</v>
      </c>
      <c r="C249" s="77"/>
      <c r="D249" s="77"/>
      <c r="E249" s="77"/>
      <c r="F249" s="77"/>
      <c r="G249" s="77"/>
      <c r="H249" s="77"/>
      <c r="I249" s="77"/>
      <c r="J249" s="85"/>
      <c r="K249" s="85"/>
      <c r="L249" s="85"/>
      <c r="M249" s="85"/>
      <c r="N249" s="85"/>
      <c r="O249" s="77"/>
      <c r="P249" s="77"/>
      <c r="Q249" s="77"/>
      <c r="R249" s="77"/>
      <c r="S249" s="77"/>
      <c r="T249" s="77"/>
      <c r="U249" s="77"/>
      <c r="V249" s="77"/>
    </row>
    <row r="250" spans="1:22">
      <c r="A250" t="s">
        <v>397</v>
      </c>
      <c r="B250" t="s">
        <v>674</v>
      </c>
      <c r="C250" s="77"/>
      <c r="D250" s="77"/>
      <c r="E250" s="77"/>
      <c r="F250" s="77"/>
      <c r="G250" s="77"/>
      <c r="H250" s="77"/>
      <c r="I250" s="77"/>
      <c r="J250" s="85"/>
      <c r="K250" s="85"/>
      <c r="L250" s="85"/>
      <c r="M250" s="85"/>
      <c r="N250" s="85"/>
      <c r="O250" s="77"/>
      <c r="P250" s="77"/>
      <c r="Q250" s="77"/>
      <c r="R250" s="77"/>
      <c r="S250" s="77"/>
      <c r="T250" s="77"/>
      <c r="U250" s="77"/>
      <c r="V250" s="77"/>
    </row>
    <row r="251" spans="1:22">
      <c r="A251" t="s">
        <v>398</v>
      </c>
      <c r="B251" t="s">
        <v>675</v>
      </c>
      <c r="C251" s="77"/>
      <c r="D251" s="77"/>
      <c r="E251" s="77"/>
      <c r="F251" s="77"/>
      <c r="G251" s="77"/>
      <c r="H251" s="77"/>
      <c r="I251" s="77"/>
      <c r="J251" s="85"/>
      <c r="K251" s="85"/>
      <c r="L251" s="85"/>
      <c r="M251" s="85"/>
      <c r="N251" s="85"/>
      <c r="O251" s="77"/>
      <c r="P251" s="77"/>
      <c r="Q251" s="77"/>
      <c r="R251" s="77"/>
      <c r="S251" s="77"/>
      <c r="T251" s="77"/>
      <c r="U251" s="77"/>
      <c r="V251" s="77"/>
    </row>
    <row r="252" spans="1:22">
      <c r="A252" t="s">
        <v>399</v>
      </c>
      <c r="B252" t="s">
        <v>676</v>
      </c>
      <c r="C252" s="77"/>
      <c r="D252" s="77"/>
      <c r="E252" s="77"/>
      <c r="F252" s="77"/>
      <c r="G252" s="77"/>
      <c r="H252" s="77"/>
      <c r="I252" s="77"/>
      <c r="J252" s="85"/>
      <c r="K252" s="85"/>
      <c r="L252" s="85"/>
      <c r="M252" s="85"/>
      <c r="N252" s="85"/>
      <c r="O252" s="77"/>
      <c r="P252" s="77"/>
      <c r="Q252" s="77"/>
      <c r="R252" s="77"/>
      <c r="S252" s="77"/>
      <c r="T252" s="77"/>
      <c r="U252" s="77"/>
      <c r="V252" s="77"/>
    </row>
    <row r="253" spans="1:22">
      <c r="A253" t="s">
        <v>400</v>
      </c>
      <c r="B253" t="s">
        <v>677</v>
      </c>
      <c r="C253" s="77"/>
      <c r="D253" s="77"/>
      <c r="E253" s="77"/>
      <c r="F253" s="77"/>
      <c r="G253" s="77"/>
      <c r="H253" s="77"/>
      <c r="I253" s="77"/>
      <c r="J253" s="85"/>
      <c r="K253" s="85"/>
      <c r="L253" s="85"/>
      <c r="M253" s="85"/>
      <c r="N253" s="85"/>
      <c r="O253" s="77"/>
      <c r="P253" s="77"/>
      <c r="Q253" s="77"/>
      <c r="R253" s="77"/>
      <c r="S253" s="77"/>
      <c r="T253" s="77"/>
      <c r="U253" s="77"/>
      <c r="V253" s="77"/>
    </row>
    <row r="254" spans="1:22">
      <c r="A254" t="s">
        <v>401</v>
      </c>
      <c r="B254" t="s">
        <v>678</v>
      </c>
      <c r="C254" s="77"/>
      <c r="D254" s="77"/>
      <c r="E254" s="77"/>
      <c r="F254" s="77"/>
      <c r="G254" s="77"/>
      <c r="H254" s="77"/>
      <c r="I254" s="77"/>
      <c r="J254" s="85"/>
      <c r="K254" s="85"/>
      <c r="L254" s="85"/>
      <c r="M254" s="85"/>
      <c r="N254" s="85"/>
      <c r="O254" s="77"/>
      <c r="P254" s="77"/>
      <c r="Q254" s="77"/>
      <c r="R254" s="77"/>
      <c r="S254" s="77"/>
      <c r="T254" s="77"/>
      <c r="U254" s="77"/>
      <c r="V254" s="77"/>
    </row>
    <row r="255" spans="1:22">
      <c r="A255" t="s">
        <v>62</v>
      </c>
      <c r="B255" t="s">
        <v>679</v>
      </c>
      <c r="C255" s="77"/>
      <c r="D255" s="77"/>
      <c r="E255" s="77"/>
      <c r="F255" s="77"/>
      <c r="G255" s="77"/>
      <c r="H255" s="77"/>
      <c r="I255" s="77"/>
      <c r="J255" s="85"/>
      <c r="K255" s="85"/>
      <c r="L255" s="85"/>
      <c r="M255" s="85"/>
      <c r="N255" s="85"/>
      <c r="O255" s="77"/>
      <c r="P255" s="77"/>
      <c r="Q255" s="77"/>
      <c r="R255" s="77"/>
      <c r="S255" s="77"/>
      <c r="T255" s="77"/>
      <c r="U255" s="77"/>
      <c r="V255" s="77"/>
    </row>
    <row r="256" spans="1:22">
      <c r="A256" t="s">
        <v>63</v>
      </c>
      <c r="B256" t="s">
        <v>680</v>
      </c>
      <c r="C256" s="77"/>
      <c r="D256" s="77"/>
      <c r="E256" s="77"/>
      <c r="F256" s="77"/>
      <c r="G256" s="77"/>
      <c r="H256" s="77"/>
      <c r="I256" s="77"/>
      <c r="J256" s="85"/>
      <c r="K256" s="85"/>
      <c r="L256" s="85"/>
      <c r="M256" s="85"/>
      <c r="N256" s="85"/>
      <c r="O256" s="77"/>
      <c r="P256" s="77"/>
      <c r="Q256" s="77"/>
      <c r="R256" s="77"/>
      <c r="S256" s="77"/>
      <c r="T256" s="77"/>
      <c r="U256" s="77"/>
      <c r="V256" s="77"/>
    </row>
    <row r="257" spans="1:22">
      <c r="A257" t="s">
        <v>64</v>
      </c>
      <c r="B257" t="s">
        <v>681</v>
      </c>
      <c r="C257" s="77"/>
      <c r="D257" s="77"/>
      <c r="E257" s="77"/>
      <c r="F257" s="77"/>
      <c r="G257" s="77"/>
      <c r="H257" s="77"/>
      <c r="I257" s="77"/>
      <c r="J257" s="85"/>
      <c r="K257" s="85"/>
      <c r="L257" s="85"/>
      <c r="M257" s="85"/>
      <c r="N257" s="85"/>
      <c r="O257" s="77"/>
      <c r="P257" s="77"/>
      <c r="Q257" s="77"/>
      <c r="R257" s="77"/>
      <c r="S257" s="77"/>
      <c r="T257" s="77"/>
      <c r="U257" s="77"/>
      <c r="V257" s="77"/>
    </row>
    <row r="258" spans="1:22">
      <c r="A258" t="s">
        <v>65</v>
      </c>
      <c r="B258" t="s">
        <v>682</v>
      </c>
      <c r="C258" s="77"/>
      <c r="D258" s="77"/>
      <c r="E258" s="77"/>
      <c r="F258" s="77"/>
      <c r="G258" s="77"/>
      <c r="H258" s="77"/>
      <c r="I258" s="77"/>
      <c r="J258" s="85"/>
      <c r="K258" s="85"/>
      <c r="L258" s="85"/>
      <c r="M258" s="85"/>
      <c r="N258" s="85"/>
      <c r="O258" s="77"/>
      <c r="P258" s="77"/>
      <c r="Q258" s="77"/>
      <c r="R258" s="77"/>
      <c r="S258" s="77"/>
      <c r="T258" s="77"/>
      <c r="U258" s="77"/>
      <c r="V258" s="77"/>
    </row>
    <row r="259" spans="1:22">
      <c r="A259" t="s">
        <v>66</v>
      </c>
      <c r="B259" t="s">
        <v>683</v>
      </c>
      <c r="C259" s="77"/>
      <c r="D259" s="77"/>
      <c r="E259" s="77"/>
      <c r="F259" s="77"/>
      <c r="G259" s="77"/>
      <c r="H259" s="77"/>
      <c r="I259" s="77"/>
      <c r="J259" s="85"/>
      <c r="K259" s="85"/>
      <c r="L259" s="85"/>
      <c r="M259" s="85"/>
      <c r="N259" s="85"/>
      <c r="O259" s="77"/>
      <c r="P259" s="77"/>
      <c r="Q259" s="77"/>
      <c r="R259" s="77"/>
      <c r="S259" s="77"/>
      <c r="T259" s="77"/>
      <c r="U259" s="77"/>
      <c r="V259" s="77"/>
    </row>
    <row r="260" spans="1:22">
      <c r="A260" t="s">
        <v>67</v>
      </c>
      <c r="B260" t="s">
        <v>684</v>
      </c>
      <c r="C260" s="77"/>
      <c r="D260" s="77"/>
      <c r="E260" s="77"/>
      <c r="F260" s="77"/>
      <c r="G260" s="77"/>
      <c r="H260" s="77"/>
      <c r="I260" s="77"/>
      <c r="J260" s="85"/>
      <c r="K260" s="85"/>
      <c r="L260" s="85"/>
      <c r="M260" s="85"/>
      <c r="N260" s="85"/>
      <c r="O260" s="77"/>
      <c r="P260" s="77"/>
      <c r="Q260" s="77"/>
      <c r="R260" s="77"/>
      <c r="S260" s="77"/>
      <c r="T260" s="77"/>
      <c r="U260" s="77"/>
      <c r="V260" s="77"/>
    </row>
    <row r="261" spans="1:22">
      <c r="A261" t="s">
        <v>68</v>
      </c>
      <c r="B261" t="s">
        <v>685</v>
      </c>
      <c r="C261" s="77"/>
      <c r="D261" s="77"/>
      <c r="E261" s="77"/>
      <c r="F261" s="77"/>
      <c r="G261" s="77"/>
      <c r="H261" s="77"/>
      <c r="I261" s="77"/>
      <c r="J261" s="85"/>
      <c r="K261" s="85"/>
      <c r="L261" s="85"/>
      <c r="M261" s="85"/>
      <c r="N261" s="85"/>
      <c r="O261" s="77"/>
      <c r="P261" s="77"/>
      <c r="Q261" s="77"/>
      <c r="R261" s="77"/>
      <c r="S261" s="77"/>
      <c r="T261" s="77"/>
      <c r="U261" s="77"/>
      <c r="V261" s="77"/>
    </row>
    <row r="262" spans="1:22">
      <c r="A262" t="s">
        <v>69</v>
      </c>
      <c r="B262" t="s">
        <v>686</v>
      </c>
      <c r="C262" s="77"/>
      <c r="D262" s="77"/>
      <c r="E262" s="77"/>
      <c r="F262" s="77"/>
      <c r="G262" s="77"/>
      <c r="H262" s="77"/>
      <c r="I262" s="77"/>
      <c r="J262" s="85"/>
      <c r="K262" s="85"/>
      <c r="L262" s="85"/>
      <c r="M262" s="85"/>
      <c r="N262" s="85"/>
      <c r="O262" s="77"/>
      <c r="P262" s="77"/>
      <c r="Q262" s="77"/>
      <c r="R262" s="77"/>
      <c r="S262" s="77"/>
      <c r="T262" s="77"/>
      <c r="U262" s="77"/>
      <c r="V262" s="77"/>
    </row>
    <row r="263" spans="1:22">
      <c r="A263" t="s">
        <v>70</v>
      </c>
      <c r="B263" t="s">
        <v>687</v>
      </c>
      <c r="C263" s="77"/>
      <c r="D263" s="77"/>
      <c r="E263" s="77"/>
      <c r="F263" s="77"/>
      <c r="G263" s="77"/>
      <c r="H263" s="77"/>
      <c r="I263" s="77"/>
      <c r="J263" s="85"/>
      <c r="K263" s="85"/>
      <c r="L263" s="85"/>
      <c r="M263" s="85"/>
      <c r="N263" s="85"/>
      <c r="O263" s="77"/>
      <c r="P263" s="77"/>
      <c r="Q263" s="77"/>
      <c r="R263" s="77"/>
      <c r="S263" s="77"/>
      <c r="T263" s="77"/>
      <c r="U263" s="77"/>
      <c r="V263" s="77"/>
    </row>
    <row r="264" spans="1:22">
      <c r="A264" t="s">
        <v>71</v>
      </c>
      <c r="B264" t="s">
        <v>688</v>
      </c>
      <c r="C264" s="77"/>
      <c r="D264" s="77"/>
      <c r="E264" s="77"/>
      <c r="F264" s="77"/>
      <c r="G264" s="77"/>
      <c r="H264" s="77"/>
      <c r="I264" s="77"/>
      <c r="J264" s="85"/>
      <c r="K264" s="85"/>
      <c r="L264" s="85"/>
      <c r="M264" s="85"/>
      <c r="N264" s="85"/>
      <c r="O264" s="77"/>
      <c r="P264" s="77"/>
      <c r="Q264" s="77"/>
      <c r="R264" s="77"/>
      <c r="S264" s="77"/>
      <c r="T264" s="77"/>
      <c r="U264" s="77"/>
      <c r="V264" s="77"/>
    </row>
    <row r="265" spans="1:22">
      <c r="A265" t="s">
        <v>72</v>
      </c>
      <c r="B265" t="s">
        <v>689</v>
      </c>
      <c r="C265" s="77"/>
      <c r="D265" s="77"/>
      <c r="E265" s="77"/>
      <c r="F265" s="77"/>
      <c r="G265" s="77"/>
      <c r="H265" s="77"/>
      <c r="I265" s="77"/>
      <c r="J265" s="85"/>
      <c r="K265" s="85"/>
      <c r="L265" s="85"/>
      <c r="M265" s="85"/>
      <c r="N265" s="85"/>
      <c r="O265" s="77"/>
      <c r="P265" s="77"/>
      <c r="Q265" s="77"/>
      <c r="R265" s="77"/>
      <c r="S265" s="77"/>
      <c r="T265" s="77"/>
      <c r="U265" s="77"/>
      <c r="V265" s="77"/>
    </row>
    <row r="266" spans="1:22">
      <c r="A266" t="s">
        <v>73</v>
      </c>
      <c r="B266" t="s">
        <v>690</v>
      </c>
      <c r="C266" s="77"/>
      <c r="D266" s="77"/>
      <c r="E266" s="77"/>
      <c r="F266" s="77"/>
      <c r="G266" s="77"/>
      <c r="H266" s="77"/>
      <c r="I266" s="77"/>
      <c r="J266" s="85"/>
      <c r="K266" s="85"/>
      <c r="L266" s="85"/>
      <c r="M266" s="85"/>
      <c r="N266" s="85"/>
      <c r="O266" s="77"/>
      <c r="P266" s="77"/>
      <c r="Q266" s="77"/>
      <c r="R266" s="77"/>
      <c r="S266" s="77"/>
      <c r="T266" s="77"/>
      <c r="U266" s="77"/>
      <c r="V266" s="77"/>
    </row>
    <row r="267" spans="1:22">
      <c r="A267" t="s">
        <v>74</v>
      </c>
      <c r="B267" t="s">
        <v>691</v>
      </c>
      <c r="C267" s="77"/>
      <c r="D267" s="77"/>
      <c r="E267" s="77"/>
      <c r="F267" s="77"/>
      <c r="G267" s="77"/>
      <c r="H267" s="77"/>
      <c r="I267" s="77"/>
      <c r="J267" s="85"/>
      <c r="K267" s="85"/>
      <c r="L267" s="85"/>
      <c r="M267" s="85"/>
      <c r="N267" s="85"/>
      <c r="O267" s="77"/>
      <c r="P267" s="77"/>
      <c r="Q267" s="77"/>
      <c r="R267" s="77"/>
      <c r="S267" s="77"/>
      <c r="T267" s="77"/>
      <c r="U267" s="77"/>
      <c r="V267" s="77"/>
    </row>
    <row r="268" spans="1:22">
      <c r="A268" t="s">
        <v>75</v>
      </c>
      <c r="B268" t="s">
        <v>692</v>
      </c>
      <c r="C268" s="77"/>
      <c r="D268" s="77"/>
      <c r="E268" s="77"/>
      <c r="F268" s="77"/>
      <c r="G268" s="77"/>
      <c r="H268" s="77"/>
      <c r="I268" s="77"/>
      <c r="J268" s="85"/>
      <c r="K268" s="85"/>
      <c r="L268" s="85"/>
      <c r="M268" s="85"/>
      <c r="N268" s="85"/>
      <c r="O268" s="77"/>
      <c r="P268" s="77"/>
      <c r="Q268" s="77"/>
      <c r="R268" s="77"/>
      <c r="S268" s="77"/>
      <c r="T268" s="77"/>
      <c r="U268" s="77"/>
      <c r="V268" s="77"/>
    </row>
    <row r="269" spans="1:22">
      <c r="A269" t="s">
        <v>76</v>
      </c>
      <c r="B269" t="s">
        <v>693</v>
      </c>
      <c r="C269" s="77"/>
      <c r="D269" s="77"/>
      <c r="E269" s="77"/>
      <c r="F269" s="77"/>
      <c r="G269" s="77"/>
      <c r="H269" s="77"/>
      <c r="I269" s="77"/>
      <c r="J269" s="85"/>
      <c r="K269" s="85"/>
      <c r="L269" s="85"/>
      <c r="M269" s="85"/>
      <c r="N269" s="85"/>
      <c r="O269" s="77"/>
      <c r="P269" s="77"/>
      <c r="Q269" s="77"/>
      <c r="R269" s="77"/>
      <c r="S269" s="77"/>
      <c r="T269" s="77"/>
      <c r="U269" s="77"/>
      <c r="V269" s="77"/>
    </row>
    <row r="270" spans="1:22">
      <c r="A270" t="s">
        <v>77</v>
      </c>
      <c r="B270" t="s">
        <v>694</v>
      </c>
      <c r="C270" s="77"/>
      <c r="D270" s="77"/>
      <c r="E270" s="77"/>
      <c r="F270" s="77"/>
      <c r="G270" s="77"/>
      <c r="H270" s="77"/>
      <c r="I270" s="77"/>
      <c r="J270" s="85"/>
      <c r="K270" s="85"/>
      <c r="L270" s="85"/>
      <c r="M270" s="85"/>
      <c r="N270" s="85"/>
      <c r="O270" s="77"/>
      <c r="P270" s="77"/>
      <c r="Q270" s="77"/>
      <c r="R270" s="77"/>
      <c r="S270" s="77"/>
      <c r="T270" s="77"/>
      <c r="U270" s="77"/>
      <c r="V270" s="77"/>
    </row>
    <row r="271" spans="1:22">
      <c r="A271" t="s">
        <v>78</v>
      </c>
      <c r="B271" t="s">
        <v>695</v>
      </c>
      <c r="C271" s="77"/>
      <c r="D271" s="77"/>
      <c r="E271" s="77"/>
      <c r="F271" s="77"/>
      <c r="G271" s="77"/>
      <c r="H271" s="77"/>
      <c r="I271" s="77"/>
      <c r="J271" s="85"/>
      <c r="K271" s="85"/>
      <c r="L271" s="85"/>
      <c r="M271" s="85"/>
      <c r="N271" s="85"/>
      <c r="O271" s="77"/>
      <c r="P271" s="77"/>
      <c r="Q271" s="77"/>
      <c r="R271" s="77"/>
      <c r="S271" s="77"/>
      <c r="T271" s="77"/>
      <c r="U271" s="77"/>
      <c r="V271" s="77"/>
    </row>
    <row r="272" spans="1:22">
      <c r="A272" t="s">
        <v>79</v>
      </c>
      <c r="B272" t="s">
        <v>696</v>
      </c>
      <c r="C272" s="77"/>
      <c r="D272" s="77"/>
      <c r="E272" s="77"/>
      <c r="F272" s="77"/>
      <c r="G272" s="77"/>
      <c r="H272" s="77"/>
      <c r="I272" s="77"/>
      <c r="J272" s="85"/>
      <c r="K272" s="85"/>
      <c r="L272" s="85"/>
      <c r="M272" s="85"/>
      <c r="N272" s="85"/>
      <c r="O272" s="77"/>
      <c r="P272" s="77"/>
      <c r="Q272" s="77"/>
      <c r="R272" s="77"/>
      <c r="S272" s="77"/>
      <c r="T272" s="77"/>
      <c r="U272" s="77"/>
      <c r="V272" s="77"/>
    </row>
    <row r="273" spans="1:22">
      <c r="A273" t="s">
        <v>80</v>
      </c>
      <c r="B273" t="s">
        <v>697</v>
      </c>
      <c r="C273" s="77"/>
      <c r="D273" s="77"/>
      <c r="E273" s="77"/>
      <c r="F273" s="77"/>
      <c r="G273" s="77"/>
      <c r="H273" s="77"/>
      <c r="I273" s="77"/>
      <c r="J273" s="85"/>
      <c r="K273" s="85"/>
      <c r="L273" s="85"/>
      <c r="M273" s="85"/>
      <c r="N273" s="85"/>
      <c r="O273" s="77"/>
      <c r="P273" s="77"/>
      <c r="Q273" s="77"/>
      <c r="R273" s="77"/>
      <c r="S273" s="77"/>
      <c r="T273" s="77"/>
      <c r="U273" s="77"/>
      <c r="V273" s="77"/>
    </row>
    <row r="274" spans="1:22">
      <c r="A274" t="s">
        <v>81</v>
      </c>
      <c r="B274" t="s">
        <v>698</v>
      </c>
      <c r="C274" s="77"/>
      <c r="D274" s="77"/>
      <c r="E274" s="77"/>
      <c r="F274" s="77"/>
      <c r="G274" s="77"/>
      <c r="H274" s="77"/>
      <c r="I274" s="77"/>
      <c r="J274" s="85"/>
      <c r="K274" s="85"/>
      <c r="L274" s="85"/>
      <c r="M274" s="85"/>
      <c r="N274" s="85"/>
      <c r="O274" s="77"/>
      <c r="P274" s="77"/>
      <c r="Q274" s="77"/>
      <c r="R274" s="77"/>
      <c r="S274" s="77"/>
      <c r="T274" s="77"/>
      <c r="U274" s="77"/>
      <c r="V274" s="77"/>
    </row>
    <row r="275" spans="1:22">
      <c r="A275" t="s">
        <v>82</v>
      </c>
      <c r="B275" t="s">
        <v>699</v>
      </c>
      <c r="C275" s="77"/>
      <c r="D275" s="77"/>
      <c r="E275" s="77"/>
      <c r="F275" s="77"/>
      <c r="G275" s="77"/>
      <c r="H275" s="77"/>
      <c r="I275" s="77"/>
      <c r="J275" s="85"/>
      <c r="K275" s="85"/>
      <c r="L275" s="85"/>
      <c r="M275" s="85"/>
      <c r="N275" s="85"/>
      <c r="O275" s="77"/>
      <c r="P275" s="77"/>
      <c r="Q275" s="77"/>
      <c r="R275" s="77"/>
      <c r="S275" s="77"/>
      <c r="T275" s="77"/>
      <c r="U275" s="77"/>
      <c r="V275" s="77"/>
    </row>
    <row r="276" spans="1:22">
      <c r="A276" t="s">
        <v>83</v>
      </c>
      <c r="B276" t="s">
        <v>700</v>
      </c>
      <c r="C276" s="77"/>
      <c r="D276" s="77"/>
      <c r="E276" s="77"/>
      <c r="F276" s="77"/>
      <c r="G276" s="77"/>
      <c r="H276" s="77"/>
      <c r="I276" s="77"/>
      <c r="J276" s="85"/>
      <c r="K276" s="85"/>
      <c r="L276" s="85"/>
      <c r="M276" s="85"/>
      <c r="N276" s="85"/>
      <c r="O276" s="77"/>
      <c r="P276" s="77"/>
      <c r="Q276" s="77"/>
      <c r="R276" s="77"/>
      <c r="S276" s="77"/>
      <c r="T276" s="77"/>
      <c r="U276" s="77"/>
      <c r="V276" s="77"/>
    </row>
    <row r="277" spans="1:22">
      <c r="A277" t="s">
        <v>84</v>
      </c>
      <c r="B277" t="s">
        <v>701</v>
      </c>
      <c r="C277" s="77"/>
      <c r="D277" s="77"/>
      <c r="E277" s="77"/>
      <c r="F277" s="77"/>
      <c r="G277" s="77"/>
      <c r="H277" s="77"/>
      <c r="I277" s="77"/>
      <c r="J277" s="85"/>
      <c r="K277" s="85"/>
      <c r="L277" s="85"/>
      <c r="M277" s="85"/>
      <c r="N277" s="85"/>
      <c r="O277" s="77"/>
      <c r="P277" s="77"/>
      <c r="Q277" s="77"/>
      <c r="R277" s="77"/>
      <c r="S277" s="77"/>
      <c r="T277" s="77"/>
      <c r="U277" s="77"/>
      <c r="V277" s="77"/>
    </row>
    <row r="278" spans="1:22">
      <c r="A278" t="s">
        <v>85</v>
      </c>
      <c r="B278" t="s">
        <v>702</v>
      </c>
      <c r="C278" s="77"/>
      <c r="D278" s="77"/>
      <c r="E278" s="77"/>
      <c r="F278" s="77"/>
      <c r="G278" s="77"/>
      <c r="H278" s="77"/>
      <c r="I278" s="77"/>
      <c r="J278" s="85"/>
      <c r="K278" s="85"/>
      <c r="L278" s="85"/>
      <c r="M278" s="85"/>
      <c r="N278" s="85"/>
      <c r="O278" s="77"/>
      <c r="P278" s="77"/>
      <c r="Q278" s="77"/>
      <c r="R278" s="77"/>
      <c r="S278" s="77"/>
      <c r="T278" s="77"/>
      <c r="U278" s="77"/>
      <c r="V278" s="77"/>
    </row>
    <row r="279" spans="1:22">
      <c r="A279" t="s">
        <v>86</v>
      </c>
      <c r="B279" t="s">
        <v>703</v>
      </c>
      <c r="C279" s="77"/>
      <c r="D279" s="77"/>
      <c r="E279" s="77"/>
      <c r="F279" s="77"/>
      <c r="G279" s="77"/>
      <c r="H279" s="77"/>
      <c r="I279" s="77"/>
      <c r="J279" s="85"/>
      <c r="K279" s="85"/>
      <c r="L279" s="85"/>
      <c r="M279" s="85"/>
      <c r="N279" s="85"/>
      <c r="O279" s="77"/>
      <c r="P279" s="77"/>
      <c r="Q279" s="77"/>
      <c r="R279" s="77"/>
      <c r="S279" s="77"/>
      <c r="T279" s="77"/>
      <c r="U279" s="77"/>
      <c r="V279" s="77"/>
    </row>
    <row r="280" spans="1:22">
      <c r="A280" t="s">
        <v>87</v>
      </c>
      <c r="B280" t="s">
        <v>704</v>
      </c>
      <c r="C280" s="77"/>
      <c r="D280" s="77"/>
      <c r="E280" s="77"/>
      <c r="F280" s="77"/>
      <c r="G280" s="77"/>
      <c r="H280" s="77"/>
      <c r="I280" s="77"/>
      <c r="J280" s="85"/>
      <c r="K280" s="85"/>
      <c r="L280" s="85"/>
      <c r="M280" s="85"/>
      <c r="N280" s="85"/>
      <c r="O280" s="77"/>
      <c r="P280" s="77"/>
      <c r="Q280" s="77"/>
      <c r="R280" s="77"/>
      <c r="S280" s="77"/>
      <c r="T280" s="77"/>
      <c r="U280" s="77"/>
      <c r="V280" s="77"/>
    </row>
    <row r="281" spans="1:22">
      <c r="A281" t="s">
        <v>88</v>
      </c>
      <c r="B281" t="s">
        <v>705</v>
      </c>
      <c r="C281" s="77"/>
      <c r="D281" s="77"/>
      <c r="E281" s="77"/>
      <c r="F281" s="77"/>
      <c r="G281" s="77"/>
      <c r="H281" s="77"/>
      <c r="I281" s="77"/>
      <c r="J281" s="85"/>
      <c r="K281" s="85"/>
      <c r="L281" s="85"/>
      <c r="M281" s="85"/>
      <c r="N281" s="85"/>
      <c r="O281" s="77"/>
      <c r="P281" s="77"/>
      <c r="Q281" s="77"/>
      <c r="R281" s="77"/>
      <c r="S281" s="77"/>
      <c r="T281" s="77"/>
      <c r="U281" s="77"/>
      <c r="V281" s="77"/>
    </row>
    <row r="282" spans="1:22">
      <c r="A282" t="s">
        <v>89</v>
      </c>
      <c r="B282" t="s">
        <v>706</v>
      </c>
      <c r="C282" s="77"/>
      <c r="D282" s="77"/>
      <c r="E282" s="77"/>
      <c r="F282" s="77"/>
      <c r="G282" s="77"/>
      <c r="H282" s="77"/>
      <c r="I282" s="77"/>
      <c r="J282" s="85"/>
      <c r="K282" s="85"/>
      <c r="L282" s="85"/>
      <c r="M282" s="85"/>
      <c r="N282" s="85"/>
      <c r="O282" s="77"/>
      <c r="P282" s="77"/>
      <c r="Q282" s="77"/>
      <c r="R282" s="77"/>
      <c r="S282" s="77"/>
      <c r="T282" s="77"/>
      <c r="U282" s="77"/>
      <c r="V282" s="77"/>
    </row>
    <row r="283" spans="1:22">
      <c r="A283" t="s">
        <v>90</v>
      </c>
      <c r="B283" t="s">
        <v>707</v>
      </c>
      <c r="C283" s="77"/>
      <c r="D283" s="77"/>
      <c r="E283" s="77"/>
      <c r="F283" s="77"/>
      <c r="G283" s="77"/>
      <c r="H283" s="77"/>
      <c r="I283" s="77"/>
      <c r="J283" s="85"/>
      <c r="K283" s="85"/>
      <c r="L283" s="85"/>
      <c r="M283" s="85"/>
      <c r="N283" s="85"/>
      <c r="O283" s="77"/>
      <c r="P283" s="77"/>
      <c r="Q283" s="77"/>
      <c r="R283" s="77"/>
      <c r="S283" s="77"/>
      <c r="T283" s="77"/>
      <c r="U283" s="77"/>
      <c r="V283" s="77"/>
    </row>
    <row r="284" spans="1:22">
      <c r="A284" t="s">
        <v>91</v>
      </c>
      <c r="B284" t="s">
        <v>708</v>
      </c>
      <c r="C284" s="77"/>
      <c r="D284" s="77"/>
      <c r="E284" s="77"/>
      <c r="F284" s="77"/>
      <c r="G284" s="77"/>
      <c r="H284" s="77"/>
      <c r="I284" s="77"/>
      <c r="J284" s="85"/>
      <c r="K284" s="85"/>
      <c r="L284" s="85"/>
      <c r="M284" s="85"/>
      <c r="N284" s="85"/>
      <c r="O284" s="77"/>
      <c r="P284" s="77"/>
      <c r="Q284" s="77"/>
      <c r="R284" s="77"/>
      <c r="S284" s="77"/>
      <c r="T284" s="77"/>
      <c r="U284" s="77"/>
      <c r="V284" s="77"/>
    </row>
    <row r="285" spans="1:22">
      <c r="A285" t="s">
        <v>92</v>
      </c>
      <c r="B285" t="s">
        <v>709</v>
      </c>
      <c r="C285" s="77"/>
      <c r="D285" s="77"/>
      <c r="E285" s="77"/>
      <c r="F285" s="77"/>
      <c r="G285" s="77"/>
      <c r="H285" s="77"/>
      <c r="I285" s="77"/>
      <c r="J285" s="85"/>
      <c r="K285" s="85"/>
      <c r="L285" s="85"/>
      <c r="M285" s="85"/>
      <c r="N285" s="85"/>
      <c r="O285" s="77"/>
      <c r="P285" s="77"/>
      <c r="Q285" s="77"/>
      <c r="R285" s="77"/>
      <c r="S285" s="77"/>
      <c r="T285" s="77"/>
      <c r="U285" s="77"/>
      <c r="V285" s="77"/>
    </row>
    <row r="286" spans="1:22">
      <c r="A286" t="s">
        <v>93</v>
      </c>
      <c r="B286" t="s">
        <v>710</v>
      </c>
      <c r="C286" s="77"/>
      <c r="D286" s="77"/>
      <c r="E286" s="77"/>
      <c r="F286" s="77"/>
      <c r="G286" s="77"/>
      <c r="H286" s="77"/>
      <c r="I286" s="77"/>
      <c r="J286" s="85"/>
      <c r="K286" s="85"/>
      <c r="L286" s="85"/>
      <c r="M286" s="85"/>
      <c r="N286" s="85"/>
      <c r="O286" s="77"/>
      <c r="P286" s="77"/>
      <c r="Q286" s="77"/>
      <c r="R286" s="77"/>
      <c r="S286" s="77"/>
      <c r="T286" s="77"/>
      <c r="U286" s="77"/>
      <c r="V286" s="77"/>
    </row>
    <row r="287" spans="1:22">
      <c r="A287" t="s">
        <v>94</v>
      </c>
      <c r="B287" t="s">
        <v>711</v>
      </c>
      <c r="C287" s="77"/>
      <c r="D287" s="77"/>
      <c r="E287" s="77"/>
      <c r="F287" s="77"/>
      <c r="G287" s="77"/>
      <c r="H287" s="77"/>
      <c r="I287" s="77"/>
      <c r="J287" s="85"/>
      <c r="K287" s="85"/>
      <c r="L287" s="85"/>
      <c r="M287" s="85"/>
      <c r="N287" s="85"/>
      <c r="O287" s="77"/>
      <c r="P287" s="77"/>
      <c r="Q287" s="77"/>
      <c r="R287" s="77"/>
      <c r="S287" s="77"/>
      <c r="T287" s="77"/>
      <c r="U287" s="77"/>
      <c r="V287" s="77"/>
    </row>
    <row r="288" spans="1:22">
      <c r="A288" t="s">
        <v>95</v>
      </c>
      <c r="B288" t="s">
        <v>712</v>
      </c>
      <c r="C288" s="77"/>
      <c r="D288" s="77"/>
      <c r="E288" s="77"/>
      <c r="F288" s="77"/>
      <c r="G288" s="77"/>
      <c r="H288" s="77"/>
      <c r="I288" s="77"/>
      <c r="J288" s="85"/>
      <c r="K288" s="85"/>
      <c r="L288" s="85"/>
      <c r="M288" s="85"/>
      <c r="N288" s="85"/>
      <c r="O288" s="77"/>
      <c r="P288" s="77"/>
      <c r="Q288" s="77"/>
      <c r="R288" s="77"/>
      <c r="S288" s="77"/>
      <c r="T288" s="77"/>
      <c r="U288" s="77"/>
      <c r="V288" s="77"/>
    </row>
    <row r="289" spans="1:22">
      <c r="A289" t="s">
        <v>96</v>
      </c>
      <c r="B289" t="s">
        <v>713</v>
      </c>
      <c r="C289" s="77"/>
      <c r="D289" s="77"/>
      <c r="E289" s="77"/>
      <c r="F289" s="77"/>
      <c r="G289" s="77"/>
      <c r="H289" s="77"/>
      <c r="I289" s="77"/>
      <c r="J289" s="85"/>
      <c r="K289" s="85"/>
      <c r="L289" s="85"/>
      <c r="M289" s="85"/>
      <c r="N289" s="85"/>
      <c r="O289" s="77"/>
      <c r="P289" s="77"/>
      <c r="Q289" s="77"/>
      <c r="R289" s="77"/>
      <c r="S289" s="77"/>
      <c r="T289" s="77"/>
      <c r="U289" s="77"/>
      <c r="V289" s="77"/>
    </row>
    <row r="290" spans="1:22">
      <c r="A290" t="s">
        <v>97</v>
      </c>
      <c r="B290" t="s">
        <v>714</v>
      </c>
      <c r="C290" s="77"/>
      <c r="D290" s="77"/>
      <c r="E290" s="77"/>
      <c r="F290" s="77"/>
      <c r="G290" s="77"/>
      <c r="H290" s="77"/>
      <c r="I290" s="77"/>
      <c r="J290" s="85"/>
      <c r="K290" s="85"/>
      <c r="L290" s="85"/>
      <c r="M290" s="85"/>
      <c r="N290" s="85"/>
      <c r="O290" s="77"/>
      <c r="P290" s="77"/>
      <c r="Q290" s="77"/>
      <c r="R290" s="77"/>
      <c r="S290" s="77"/>
      <c r="T290" s="77"/>
      <c r="U290" s="77"/>
      <c r="V290" s="77"/>
    </row>
  </sheetData>
  <phoneticPr fontId="13" type="noConversion"/>
  <dataValidations count="1">
    <dataValidation type="list" allowBlank="1" showInputMessage="1" showErrorMessage="1" sqref="AB6" xr:uid="{B323F49D-57EC-482A-B2EA-99FAD792C6C3}">
      <formula1>$AJ$2:$AN$2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SOC">
                <anchor>
                  <from>
                    <xdr:col>33</xdr:col>
                    <xdr:colOff>438150</xdr:colOff>
                    <xdr:row>1</xdr:row>
                    <xdr:rowOff>0</xdr:rowOff>
                  </from>
                  <to>
                    <xdr:col>34</xdr:col>
                    <xdr:colOff>647700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70"/>
  <sheetViews>
    <sheetView workbookViewId="0">
      <pane ySplit="1" topLeftCell="A22" activePane="bottomLeft" state="frozen"/>
      <selection pane="bottomLeft" activeCell="E49" sqref="E49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98</v>
      </c>
      <c r="C1" t="s">
        <v>729</v>
      </c>
      <c r="E1" t="s">
        <v>58</v>
      </c>
      <c r="F1" s="49" t="s">
        <v>100</v>
      </c>
      <c r="I1" t="s">
        <v>37</v>
      </c>
      <c r="J1" s="49" t="s">
        <v>225</v>
      </c>
    </row>
    <row r="2" spans="1:10">
      <c r="A2">
        <v>0</v>
      </c>
      <c r="B2" s="34">
        <v>0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101</v>
      </c>
      <c r="H2" t="s">
        <v>730</v>
      </c>
      <c r="I2" s="90">
        <f>SUM(B2:B97)</f>
        <v>0</v>
      </c>
    </row>
    <row r="3" spans="1:10">
      <c r="A3">
        <v>1</v>
      </c>
      <c r="B3" s="34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101</v>
      </c>
    </row>
    <row r="4" spans="1:10">
      <c r="A4">
        <v>2</v>
      </c>
      <c r="B4" s="34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102</v>
      </c>
    </row>
    <row r="5" spans="1:10">
      <c r="A5">
        <v>3</v>
      </c>
      <c r="B5" s="34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739</v>
      </c>
    </row>
    <row r="6" spans="1:10">
      <c r="A6">
        <v>4</v>
      </c>
      <c r="B6" s="34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103</v>
      </c>
    </row>
    <row r="7" spans="1:10">
      <c r="A7">
        <v>5</v>
      </c>
      <c r="B7" s="34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104</v>
      </c>
    </row>
    <row r="8" spans="1:10">
      <c r="A8">
        <v>6</v>
      </c>
      <c r="B8" s="34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105</v>
      </c>
    </row>
    <row r="9" spans="1:10">
      <c r="A9">
        <v>7</v>
      </c>
      <c r="B9" s="34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721</v>
      </c>
    </row>
    <row r="10" spans="1:10">
      <c r="A10">
        <v>8</v>
      </c>
      <c r="B10" s="34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106</v>
      </c>
    </row>
    <row r="11" spans="1:10">
      <c r="A11">
        <v>9</v>
      </c>
      <c r="B11" s="34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107</v>
      </c>
    </row>
    <row r="12" spans="1:10">
      <c r="A12">
        <v>10</v>
      </c>
      <c r="B12" s="34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108</v>
      </c>
    </row>
    <row r="13" spans="1:10">
      <c r="A13">
        <v>11</v>
      </c>
      <c r="B13" s="34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109</v>
      </c>
    </row>
    <row r="14" spans="1:10">
      <c r="A14">
        <v>12</v>
      </c>
      <c r="B14" s="34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110</v>
      </c>
    </row>
    <row r="15" spans="1:10">
      <c r="A15">
        <v>13</v>
      </c>
      <c r="B15" s="34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111</v>
      </c>
    </row>
    <row r="16" spans="1:10">
      <c r="A16">
        <v>14</v>
      </c>
      <c r="B16" s="34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116</v>
      </c>
    </row>
    <row r="17" spans="1:10">
      <c r="A17">
        <v>15</v>
      </c>
      <c r="B17" s="34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112</v>
      </c>
    </row>
    <row r="18" spans="1:10">
      <c r="A18">
        <f t="shared" ref="A18:A33" si="0">A2+1024</f>
        <v>1024</v>
      </c>
      <c r="B18" s="34">
        <v>0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113</v>
      </c>
      <c r="H18" t="s">
        <v>746</v>
      </c>
      <c r="J18" t="s">
        <v>747</v>
      </c>
    </row>
    <row r="19" spans="1:10">
      <c r="A19">
        <f t="shared" si="0"/>
        <v>1025</v>
      </c>
      <c r="B19" s="34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114</v>
      </c>
    </row>
    <row r="20" spans="1:10">
      <c r="A20">
        <f t="shared" si="0"/>
        <v>1026</v>
      </c>
      <c r="B20" s="34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115</v>
      </c>
    </row>
    <row r="21" spans="1:10">
      <c r="A21">
        <f t="shared" si="0"/>
        <v>1027</v>
      </c>
      <c r="B21" s="34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118</v>
      </c>
    </row>
    <row r="22" spans="1:10">
      <c r="A22">
        <f t="shared" si="0"/>
        <v>1028</v>
      </c>
      <c r="B22" s="34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119</v>
      </c>
    </row>
    <row r="23" spans="1:10">
      <c r="A23">
        <f t="shared" si="0"/>
        <v>1029</v>
      </c>
      <c r="B23" s="34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120</v>
      </c>
    </row>
    <row r="24" spans="1:10">
      <c r="A24">
        <f t="shared" si="0"/>
        <v>1030</v>
      </c>
      <c r="B24" s="34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121</v>
      </c>
    </row>
    <row r="25" spans="1:10">
      <c r="A25">
        <f t="shared" si="0"/>
        <v>1031</v>
      </c>
      <c r="B25" s="34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122</v>
      </c>
    </row>
    <row r="26" spans="1:10">
      <c r="A26">
        <f t="shared" si="0"/>
        <v>1032</v>
      </c>
      <c r="B26" s="34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123</v>
      </c>
    </row>
    <row r="27" spans="1:10">
      <c r="A27">
        <f t="shared" si="0"/>
        <v>1033</v>
      </c>
      <c r="B27" s="34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124</v>
      </c>
    </row>
    <row r="28" spans="1:10">
      <c r="A28">
        <f t="shared" si="0"/>
        <v>1034</v>
      </c>
      <c r="B28" s="34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125</v>
      </c>
    </row>
    <row r="29" spans="1:10">
      <c r="A29">
        <f t="shared" si="0"/>
        <v>1035</v>
      </c>
      <c r="B29" s="34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126</v>
      </c>
    </row>
    <row r="30" spans="1:10">
      <c r="A30">
        <f t="shared" si="0"/>
        <v>1036</v>
      </c>
      <c r="B30" s="34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127</v>
      </c>
    </row>
    <row r="31" spans="1:10">
      <c r="A31">
        <f t="shared" si="0"/>
        <v>1037</v>
      </c>
      <c r="B31" s="34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128</v>
      </c>
    </row>
    <row r="32" spans="1:10">
      <c r="A32">
        <f t="shared" si="0"/>
        <v>1038</v>
      </c>
      <c r="B32" s="34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129</v>
      </c>
    </row>
    <row r="33" spans="1:10">
      <c r="A33">
        <f t="shared" si="0"/>
        <v>1039</v>
      </c>
      <c r="B33" s="34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130</v>
      </c>
    </row>
    <row r="34" spans="1:10">
      <c r="A34">
        <f>A18+1024</f>
        <v>2048</v>
      </c>
      <c r="B34" s="34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131</v>
      </c>
    </row>
    <row r="35" spans="1:10">
      <c r="A35">
        <f t="shared" ref="A35:A97" si="2">A19+1024</f>
        <v>2049</v>
      </c>
      <c r="B35" s="34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132</v>
      </c>
    </row>
    <row r="36" spans="1:10">
      <c r="A36">
        <f t="shared" si="2"/>
        <v>2050</v>
      </c>
      <c r="B36" s="34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133</v>
      </c>
    </row>
    <row r="37" spans="1:10">
      <c r="A37">
        <f t="shared" si="2"/>
        <v>2051</v>
      </c>
      <c r="B37" s="34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134</v>
      </c>
    </row>
    <row r="38" spans="1:10">
      <c r="A38">
        <f t="shared" si="2"/>
        <v>2052</v>
      </c>
      <c r="B38" s="34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135</v>
      </c>
    </row>
    <row r="39" spans="1:10">
      <c r="A39">
        <f t="shared" si="2"/>
        <v>2053</v>
      </c>
      <c r="B39" s="34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136</v>
      </c>
    </row>
    <row r="40" spans="1:10">
      <c r="A40">
        <f t="shared" si="2"/>
        <v>2054</v>
      </c>
      <c r="B40" s="34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137</v>
      </c>
    </row>
    <row r="41" spans="1:10">
      <c r="A41">
        <f t="shared" si="2"/>
        <v>2055</v>
      </c>
      <c r="B41" s="34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117</v>
      </c>
      <c r="G41" t="str">
        <f>DEC2HEX(Table14[[#This Row],[Value]]*10)</f>
        <v>0</v>
      </c>
    </row>
    <row r="42" spans="1:10">
      <c r="A42">
        <f t="shared" si="2"/>
        <v>2056</v>
      </c>
      <c r="B42" s="34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418</v>
      </c>
    </row>
    <row r="43" spans="1:10">
      <c r="A43">
        <f t="shared" si="2"/>
        <v>2057</v>
      </c>
      <c r="B43" s="34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715</v>
      </c>
      <c r="G43">
        <f>E43+1024</f>
        <v>2102</v>
      </c>
      <c r="H43">
        <f>G43+1024</f>
        <v>3126</v>
      </c>
      <c r="I43">
        <f t="shared" ref="I43:J43" si="3">H43+1024</f>
        <v>4150</v>
      </c>
      <c r="J43">
        <f t="shared" si="3"/>
        <v>5174</v>
      </c>
    </row>
    <row r="44" spans="1:10">
      <c r="A44">
        <f t="shared" si="2"/>
        <v>2058</v>
      </c>
      <c r="B44" s="34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716</v>
      </c>
      <c r="G44">
        <f t="shared" ref="G44:G48" si="4">E44+1024</f>
        <v>2103</v>
      </c>
      <c r="H44">
        <f t="shared" ref="H44:J44" si="5">G44+1024</f>
        <v>3127</v>
      </c>
      <c r="I44">
        <f t="shared" si="5"/>
        <v>4151</v>
      </c>
      <c r="J44">
        <f t="shared" si="5"/>
        <v>5175</v>
      </c>
    </row>
    <row r="45" spans="1:10">
      <c r="A45">
        <f t="shared" si="2"/>
        <v>2059</v>
      </c>
      <c r="B45" s="34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717</v>
      </c>
      <c r="G45">
        <f t="shared" si="4"/>
        <v>2132</v>
      </c>
      <c r="H45">
        <f t="shared" ref="H45:J45" si="6">G45+1024</f>
        <v>3156</v>
      </c>
      <c r="I45">
        <f t="shared" si="6"/>
        <v>4180</v>
      </c>
      <c r="J45">
        <f t="shared" si="6"/>
        <v>5204</v>
      </c>
    </row>
    <row r="46" spans="1:10">
      <c r="A46">
        <f t="shared" si="2"/>
        <v>2060</v>
      </c>
      <c r="B46" s="34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718</v>
      </c>
      <c r="G46">
        <f t="shared" si="4"/>
        <v>2133</v>
      </c>
      <c r="H46">
        <f t="shared" ref="H46:J46" si="7">G46+1024</f>
        <v>3157</v>
      </c>
      <c r="I46">
        <f t="shared" si="7"/>
        <v>4181</v>
      </c>
      <c r="J46">
        <f t="shared" si="7"/>
        <v>5205</v>
      </c>
    </row>
    <row r="47" spans="1:10">
      <c r="A47">
        <f t="shared" si="2"/>
        <v>2061</v>
      </c>
      <c r="B47" s="34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719</v>
      </c>
      <c r="G47">
        <f t="shared" si="4"/>
        <v>2134</v>
      </c>
      <c r="H47">
        <f t="shared" ref="H47:J47" si="8">G47+1024</f>
        <v>3158</v>
      </c>
      <c r="I47">
        <f t="shared" si="8"/>
        <v>4182</v>
      </c>
      <c r="J47">
        <f t="shared" si="8"/>
        <v>5206</v>
      </c>
    </row>
    <row r="48" spans="1:10">
      <c r="A48">
        <f t="shared" si="2"/>
        <v>2062</v>
      </c>
      <c r="B48" s="34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720</v>
      </c>
      <c r="G48">
        <f t="shared" si="4"/>
        <v>2135</v>
      </c>
      <c r="H48">
        <f t="shared" ref="H48:J48" si="9">G48+1024</f>
        <v>3159</v>
      </c>
      <c r="I48">
        <f t="shared" si="9"/>
        <v>4183</v>
      </c>
      <c r="J48">
        <f t="shared" si="9"/>
        <v>5207</v>
      </c>
    </row>
    <row r="49" spans="1:6">
      <c r="A49">
        <f t="shared" si="2"/>
        <v>2063</v>
      </c>
      <c r="B49" s="34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740</v>
      </c>
    </row>
    <row r="50" spans="1:6">
      <c r="A50">
        <f t="shared" si="2"/>
        <v>3072</v>
      </c>
      <c r="B50" s="34">
        <v>0</v>
      </c>
      <c r="C50" t="str">
        <f>"0x"&amp;REPT("0",4-LEN(DEC2HEX(Table14[[#This Row],[Register]])))&amp;DEC2HEX(Table14[[#This Row],[Register]])</f>
        <v>0x0C00</v>
      </c>
      <c r="F50" t="s">
        <v>748</v>
      </c>
    </row>
    <row r="51" spans="1:6">
      <c r="A51">
        <f t="shared" si="2"/>
        <v>3073</v>
      </c>
      <c r="B51" s="34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4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4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4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4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4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4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4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4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4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4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4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4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4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4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4">
        <v>0</v>
      </c>
      <c r="C66" t="str">
        <f>"0x"&amp;REPT("0",4-LEN(DEC2HEX(Table14[[#This Row],[Register]])))&amp;DEC2HEX(Table14[[#This Row],[Register]])</f>
        <v>0x1000</v>
      </c>
      <c r="F66" t="s">
        <v>749</v>
      </c>
    </row>
    <row r="67" spans="1:6">
      <c r="A67">
        <f t="shared" si="2"/>
        <v>4097</v>
      </c>
      <c r="B67" s="34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4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4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4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4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4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4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4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4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4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4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4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4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4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4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4">
        <v>0</v>
      </c>
      <c r="C82" t="str">
        <f>"0x"&amp;REPT("0",4-LEN(DEC2HEX(Table14[[#This Row],[Register]])))&amp;DEC2HEX(Table14[[#This Row],[Register]])</f>
        <v>0x1400</v>
      </c>
      <c r="F82" t="s">
        <v>750</v>
      </c>
    </row>
    <row r="83" spans="1:6">
      <c r="A83">
        <f t="shared" si="2"/>
        <v>5121</v>
      </c>
      <c r="B83" s="34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4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4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4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4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4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4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4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4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4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4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4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4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4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4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4">
        <v>0</v>
      </c>
      <c r="C98" t="str">
        <f>"0x"&amp;REPT("0",4-LEN(DEC2HEX(Table14[[#This Row],[Register]])))&amp;DEC2HEX(Table14[[#This Row],[Register]])</f>
        <v>0x0304</v>
      </c>
      <c r="F98" t="s">
        <v>740</v>
      </c>
    </row>
    <row r="99" spans="1:8">
      <c r="A99">
        <v>256</v>
      </c>
      <c r="B99" s="34">
        <v>16717</v>
      </c>
      <c r="C99" t="str">
        <f>"0x"&amp;REPT("0",4-LEN(DEC2HEX(Table14[[#This Row],[Register]])))&amp;DEC2HEX(Table14[[#This Row],[Register]])</f>
        <v>0x0100</v>
      </c>
      <c r="F99" t="str">
        <f>DEC2HEX(Table14[[#This Row],[Value]])</f>
        <v>414D</v>
      </c>
      <c r="G99" t="str">
        <f>CHAR(HEX2DEC(LEFT(F99,2)))&amp;CHAR(HEX2DEC(RIGHT(F99,2)))</f>
        <v>AM</v>
      </c>
    </row>
    <row r="100" spans="1:8">
      <c r="A100">
        <v>257</v>
      </c>
      <c r="B100" s="34">
        <v>16973</v>
      </c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424D</v>
      </c>
      <c r="G100" t="str">
        <f t="shared" ref="G100:G105" si="10">CHAR(HEX2DEC(LEFT(F100,2)))&amp;CHAR(HEX2DEC(RIGHT(F100,2)))</f>
        <v>BM</v>
      </c>
    </row>
    <row r="101" spans="1:8">
      <c r="A101">
        <v>258</v>
      </c>
      <c r="B101" s="34">
        <v>21830</v>
      </c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5546</v>
      </c>
      <c r="G101" t="str">
        <f t="shared" si="10"/>
        <v>UF</v>
      </c>
    </row>
    <row r="102" spans="1:8">
      <c r="A102">
        <v>259</v>
      </c>
      <c r="B102" s="34">
        <v>13109</v>
      </c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3335</v>
      </c>
      <c r="G102" t="str">
        <f t="shared" si="10"/>
        <v>35</v>
      </c>
    </row>
    <row r="103" spans="1:8">
      <c r="A103">
        <v>260</v>
      </c>
      <c r="B103" s="34">
        <v>14675</v>
      </c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3953</v>
      </c>
      <c r="G103" t="str">
        <f t="shared" si="10"/>
        <v>9S</v>
      </c>
    </row>
    <row r="104" spans="1:8">
      <c r="A104">
        <v>261</v>
      </c>
      <c r="B104" s="34">
        <v>13617</v>
      </c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3531</v>
      </c>
      <c r="G104" t="str">
        <f t="shared" si="10"/>
        <v>51</v>
      </c>
    </row>
    <row r="105" spans="1:8">
      <c r="A105">
        <v>262</v>
      </c>
      <c r="B105" s="34">
        <v>16982</v>
      </c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4256</v>
      </c>
      <c r="G105" t="str">
        <f t="shared" si="10"/>
        <v>BV</v>
      </c>
    </row>
    <row r="106" spans="1:8">
      <c r="A106">
        <v>263</v>
      </c>
      <c r="B106" s="34">
        <v>12341</v>
      </c>
      <c r="C106" t="str">
        <f>"0x"&amp;REPT("0",4-LEN(DEC2HEX(Table14[[#This Row],[Register]])))&amp;DEC2HEX(Table14[[#This Row],[Register]])</f>
        <v>0x0107</v>
      </c>
      <c r="E106" t="s">
        <v>733</v>
      </c>
      <c r="F106" t="str">
        <f>DEC2HEX(Table14[[#This Row],[Value]])</f>
        <v>3035</v>
      </c>
      <c r="G106" t="str">
        <f>CHAR(HEX2DEC(LEFT(F106,2)))&amp;CHAR(HEX2DEC(RIGHT(F106,2)))</f>
        <v>05</v>
      </c>
      <c r="H106" t="str">
        <f>_xlfn.CONCAT(G99:G106)</f>
        <v>AMBMUF359S51BV05</v>
      </c>
    </row>
    <row r="107" spans="1:8">
      <c r="A107">
        <v>272</v>
      </c>
      <c r="B107" s="34">
        <v>16689</v>
      </c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4131</v>
      </c>
      <c r="G107" t="str">
        <f t="shared" ref="G107:G170" si="11">CHAR(HEX2DEC(LEFT(F107,2)))&amp;CHAR(HEX2DEC(RIGHT(F107,2)))</f>
        <v>A1</v>
      </c>
    </row>
    <row r="108" spans="1:8">
      <c r="A108">
        <v>273</v>
      </c>
      <c r="B108" s="34">
        <v>17748</v>
      </c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4554</v>
      </c>
      <c r="G108" t="str">
        <f t="shared" si="11"/>
        <v>ET</v>
      </c>
    </row>
    <row r="109" spans="1:8">
      <c r="A109">
        <v>274</v>
      </c>
      <c r="B109" s="34">
        <v>18502</v>
      </c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4846</v>
      </c>
      <c r="G109" t="str">
        <f t="shared" si="11"/>
        <v>HF</v>
      </c>
    </row>
    <row r="110" spans="1:8">
      <c r="A110">
        <v>275</v>
      </c>
      <c r="B110" s="34">
        <v>12613</v>
      </c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3145</v>
      </c>
      <c r="G110" t="str">
        <f t="shared" si="11"/>
        <v>1E</v>
      </c>
    </row>
    <row r="111" spans="1:8">
      <c r="A111">
        <v>276</v>
      </c>
      <c r="B111" s="34">
        <v>12371</v>
      </c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3053</v>
      </c>
      <c r="G111" t="str">
        <f t="shared" si="11"/>
        <v>0S</v>
      </c>
    </row>
    <row r="112" spans="1:8">
      <c r="A112">
        <v>277</v>
      </c>
      <c r="B112" s="34">
        <v>13104</v>
      </c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3330</v>
      </c>
      <c r="G112" t="str">
        <f t="shared" si="11"/>
        <v>30</v>
      </c>
    </row>
    <row r="113" spans="1:8">
      <c r="A113">
        <v>278</v>
      </c>
      <c r="B113" s="34">
        <v>16982</v>
      </c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4256</v>
      </c>
      <c r="G113" t="str">
        <f t="shared" si="11"/>
        <v>BV</v>
      </c>
    </row>
    <row r="114" spans="1:8">
      <c r="A114">
        <v>279</v>
      </c>
      <c r="B114" s="34">
        <v>12345</v>
      </c>
      <c r="C114" t="str">
        <f>"0x"&amp;REPT("0",4-LEN(DEC2HEX(Table14[[#This Row],[Register]])))&amp;DEC2HEX(Table14[[#This Row],[Register]])</f>
        <v>0x0117</v>
      </c>
      <c r="E114" t="s">
        <v>734</v>
      </c>
      <c r="F114" t="str">
        <f>DEC2HEX(Table14[[#This Row],[Value]])</f>
        <v>3039</v>
      </c>
      <c r="G114" t="str">
        <f t="shared" si="11"/>
        <v>09</v>
      </c>
      <c r="H114" t="str">
        <f>_xlfn.CONCAT(G107:G114)</f>
        <v>A1ETHF1E0S30BV09</v>
      </c>
    </row>
    <row r="115" spans="1:8">
      <c r="A115">
        <v>1984</v>
      </c>
      <c r="B115" s="34">
        <v>16723</v>
      </c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4153</v>
      </c>
      <c r="G115" t="str">
        <f t="shared" si="11"/>
        <v>AS</v>
      </c>
    </row>
    <row r="116" spans="1:8">
      <c r="A116">
        <v>1985</v>
      </c>
      <c r="B116" s="34">
        <v>16973</v>
      </c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424D</v>
      </c>
      <c r="G116" t="str">
        <f t="shared" si="11"/>
        <v>BM</v>
      </c>
    </row>
    <row r="117" spans="1:8">
      <c r="A117">
        <v>1986</v>
      </c>
      <c r="B117" s="34">
        <v>21830</v>
      </c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5546</v>
      </c>
      <c r="G117" t="str">
        <f t="shared" si="11"/>
        <v>UF</v>
      </c>
    </row>
    <row r="118" spans="1:8">
      <c r="A118">
        <v>1987</v>
      </c>
      <c r="B118" s="34">
        <v>13109</v>
      </c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3335</v>
      </c>
      <c r="G118" t="str">
        <f t="shared" si="11"/>
        <v>35</v>
      </c>
    </row>
    <row r="119" spans="1:8">
      <c r="A119">
        <v>1988</v>
      </c>
      <c r="B119" s="34">
        <v>14675</v>
      </c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3953</v>
      </c>
      <c r="G119" t="str">
        <f t="shared" si="11"/>
        <v>9S</v>
      </c>
    </row>
    <row r="120" spans="1:8">
      <c r="A120">
        <v>1989</v>
      </c>
      <c r="B120" s="34">
        <v>13617</v>
      </c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3531</v>
      </c>
      <c r="G120" t="str">
        <f t="shared" si="11"/>
        <v>51</v>
      </c>
    </row>
    <row r="121" spans="1:8">
      <c r="A121">
        <v>1990</v>
      </c>
      <c r="B121" s="34">
        <v>16982</v>
      </c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4256</v>
      </c>
      <c r="G121" t="str">
        <f t="shared" si="11"/>
        <v>BV</v>
      </c>
    </row>
    <row r="122" spans="1:8">
      <c r="A122">
        <v>1991</v>
      </c>
      <c r="B122" s="34">
        <v>12342</v>
      </c>
      <c r="C122" t="str">
        <f>"0x"&amp;REPT("0",4-LEN(DEC2HEX(Table14[[#This Row],[Register]])))&amp;DEC2HEX(Table14[[#This Row],[Register]])</f>
        <v>0x07C7</v>
      </c>
      <c r="E122" t="s">
        <v>741</v>
      </c>
      <c r="F122" t="str">
        <f>DEC2HEX(Table14[[#This Row],[Value]])</f>
        <v>3036</v>
      </c>
      <c r="G122" t="str">
        <f t="shared" si="11"/>
        <v>06</v>
      </c>
      <c r="H122" t="str">
        <f>_xlfn.CONCAT(G115:G122)</f>
        <v>ASBMUF359S51BV06</v>
      </c>
    </row>
    <row r="123" spans="1:8">
      <c r="A123">
        <f>A115+1024</f>
        <v>3008</v>
      </c>
      <c r="B123" s="34">
        <v>16723</v>
      </c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4153</v>
      </c>
      <c r="G123" t="str">
        <f t="shared" si="11"/>
        <v>AS</v>
      </c>
    </row>
    <row r="124" spans="1:8">
      <c r="A124">
        <f t="shared" ref="A124:A129" si="12">A116+1024</f>
        <v>3009</v>
      </c>
      <c r="B124" s="34">
        <v>16973</v>
      </c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424D</v>
      </c>
      <c r="G124" t="str">
        <f t="shared" si="11"/>
        <v>BM</v>
      </c>
    </row>
    <row r="125" spans="1:8">
      <c r="A125">
        <f t="shared" si="12"/>
        <v>3010</v>
      </c>
      <c r="B125" s="34">
        <v>21830</v>
      </c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5546</v>
      </c>
      <c r="G125" t="str">
        <f t="shared" si="11"/>
        <v>UF</v>
      </c>
    </row>
    <row r="126" spans="1:8">
      <c r="A126">
        <f t="shared" si="12"/>
        <v>3011</v>
      </c>
      <c r="B126" s="34">
        <v>13109</v>
      </c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3335</v>
      </c>
      <c r="G126" t="str">
        <f t="shared" si="11"/>
        <v>35</v>
      </c>
    </row>
    <row r="127" spans="1:8">
      <c r="A127">
        <f t="shared" si="12"/>
        <v>3012</v>
      </c>
      <c r="B127" s="34">
        <v>14675</v>
      </c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3953</v>
      </c>
      <c r="G127" t="str">
        <f t="shared" si="11"/>
        <v>9S</v>
      </c>
    </row>
    <row r="128" spans="1:8">
      <c r="A128">
        <f t="shared" si="12"/>
        <v>3013</v>
      </c>
      <c r="B128" s="34">
        <v>13617</v>
      </c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3531</v>
      </c>
      <c r="G128" t="str">
        <f t="shared" si="11"/>
        <v>51</v>
      </c>
    </row>
    <row r="129" spans="1:8">
      <c r="A129">
        <f t="shared" si="12"/>
        <v>3014</v>
      </c>
      <c r="B129" s="34">
        <v>16982</v>
      </c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4256</v>
      </c>
      <c r="G129" t="str">
        <f t="shared" si="11"/>
        <v>BV</v>
      </c>
    </row>
    <row r="130" spans="1:8">
      <c r="A130">
        <f>A122+1024</f>
        <v>3015</v>
      </c>
      <c r="B130" s="34">
        <v>12342</v>
      </c>
      <c r="C130" t="str">
        <f>"0x"&amp;REPT("0",4-LEN(DEC2HEX(Table14[[#This Row],[Register]])))&amp;DEC2HEX(Table14[[#This Row],[Register]])</f>
        <v>0x0BC7</v>
      </c>
      <c r="E130" t="s">
        <v>745</v>
      </c>
      <c r="F130" t="str">
        <f>DEC2HEX(Table14[[#This Row],[Value]])</f>
        <v>3036</v>
      </c>
      <c r="G130" t="str">
        <f t="shared" si="11"/>
        <v>06</v>
      </c>
      <c r="H130" t="str">
        <f>_xlfn.CONCAT(G123:G130)</f>
        <v>ASBMUF359S51BV06</v>
      </c>
    </row>
    <row r="131" spans="1:8">
      <c r="A131">
        <f t="shared" ref="A131:A154" si="13">A123+1024</f>
        <v>4032</v>
      </c>
      <c r="B131" s="34">
        <v>16723</v>
      </c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4153</v>
      </c>
      <c r="G131" t="str">
        <f t="shared" si="11"/>
        <v>AS</v>
      </c>
    </row>
    <row r="132" spans="1:8">
      <c r="A132">
        <f t="shared" si="13"/>
        <v>4033</v>
      </c>
      <c r="B132" s="34">
        <v>16973</v>
      </c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424D</v>
      </c>
      <c r="G132" t="str">
        <f t="shared" si="11"/>
        <v>BM</v>
      </c>
    </row>
    <row r="133" spans="1:8">
      <c r="A133">
        <f t="shared" si="13"/>
        <v>4034</v>
      </c>
      <c r="B133" s="34">
        <v>21830</v>
      </c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5546</v>
      </c>
      <c r="G133" t="str">
        <f t="shared" si="11"/>
        <v>UF</v>
      </c>
    </row>
    <row r="134" spans="1:8">
      <c r="A134">
        <f t="shared" si="13"/>
        <v>4035</v>
      </c>
      <c r="B134" s="34">
        <v>13109</v>
      </c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3335</v>
      </c>
      <c r="G134" t="str">
        <f t="shared" si="11"/>
        <v>35</v>
      </c>
    </row>
    <row r="135" spans="1:8">
      <c r="A135">
        <f t="shared" si="13"/>
        <v>4036</v>
      </c>
      <c r="B135" s="34">
        <v>14675</v>
      </c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3953</v>
      </c>
      <c r="G135" t="str">
        <f t="shared" si="11"/>
        <v>9S</v>
      </c>
    </row>
    <row r="136" spans="1:8">
      <c r="A136">
        <f t="shared" si="13"/>
        <v>4037</v>
      </c>
      <c r="B136" s="34">
        <v>13617</v>
      </c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3531</v>
      </c>
      <c r="G136" t="str">
        <f t="shared" si="11"/>
        <v>51</v>
      </c>
    </row>
    <row r="137" spans="1:8">
      <c r="A137">
        <f t="shared" si="13"/>
        <v>4038</v>
      </c>
      <c r="B137" s="34">
        <v>16982</v>
      </c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4256</v>
      </c>
      <c r="G137" t="str">
        <f t="shared" si="11"/>
        <v>BV</v>
      </c>
    </row>
    <row r="138" spans="1:8">
      <c r="A138">
        <f t="shared" si="13"/>
        <v>4039</v>
      </c>
      <c r="B138" s="34">
        <v>12342</v>
      </c>
      <c r="C138" t="str">
        <f>"0x"&amp;REPT("0",4-LEN(DEC2HEX(Table14[[#This Row],[Register]])))&amp;DEC2HEX(Table14[[#This Row],[Register]])</f>
        <v>0x0FC7</v>
      </c>
      <c r="E138" t="s">
        <v>744</v>
      </c>
      <c r="F138" t="str">
        <f>DEC2HEX(Table14[[#This Row],[Value]])</f>
        <v>3036</v>
      </c>
      <c r="G138" t="str">
        <f t="shared" si="11"/>
        <v>06</v>
      </c>
      <c r="H138" t="str">
        <f>_xlfn.CONCAT(G131:G138)</f>
        <v>ASBMUF359S51BV06</v>
      </c>
    </row>
    <row r="139" spans="1:8">
      <c r="A139">
        <f>A131+1024</f>
        <v>5056</v>
      </c>
      <c r="B139" s="34">
        <v>16723</v>
      </c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4153</v>
      </c>
      <c r="G139" t="str">
        <f t="shared" si="11"/>
        <v>AS</v>
      </c>
    </row>
    <row r="140" spans="1:8">
      <c r="A140">
        <f t="shared" si="13"/>
        <v>5057</v>
      </c>
      <c r="B140" s="34">
        <v>16973</v>
      </c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424D</v>
      </c>
      <c r="G140" t="str">
        <f t="shared" si="11"/>
        <v>BM</v>
      </c>
    </row>
    <row r="141" spans="1:8">
      <c r="A141">
        <f t="shared" si="13"/>
        <v>5058</v>
      </c>
      <c r="B141" s="34">
        <v>21830</v>
      </c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5546</v>
      </c>
      <c r="G141" t="str">
        <f t="shared" si="11"/>
        <v>UF</v>
      </c>
    </row>
    <row r="142" spans="1:8">
      <c r="A142">
        <f t="shared" si="13"/>
        <v>5059</v>
      </c>
      <c r="B142" s="34">
        <v>13109</v>
      </c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3335</v>
      </c>
      <c r="G142" t="str">
        <f t="shared" si="11"/>
        <v>35</v>
      </c>
    </row>
    <row r="143" spans="1:8">
      <c r="A143">
        <f t="shared" si="13"/>
        <v>5060</v>
      </c>
      <c r="B143" s="34">
        <v>14675</v>
      </c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3953</v>
      </c>
      <c r="G143" t="str">
        <f t="shared" si="11"/>
        <v>9S</v>
      </c>
    </row>
    <row r="144" spans="1:8">
      <c r="A144">
        <f t="shared" si="13"/>
        <v>5061</v>
      </c>
      <c r="B144" s="34">
        <v>13617</v>
      </c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3531</v>
      </c>
      <c r="G144" t="str">
        <f t="shared" si="11"/>
        <v>51</v>
      </c>
    </row>
    <row r="145" spans="1:8">
      <c r="A145">
        <f t="shared" si="13"/>
        <v>5062</v>
      </c>
      <c r="B145" s="34">
        <v>16982</v>
      </c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4256</v>
      </c>
      <c r="G145" t="str">
        <f t="shared" si="11"/>
        <v>BV</v>
      </c>
    </row>
    <row r="146" spans="1:8">
      <c r="A146">
        <f t="shared" si="13"/>
        <v>5063</v>
      </c>
      <c r="B146" s="34">
        <v>12342</v>
      </c>
      <c r="C146" t="str">
        <f>"0x"&amp;REPT("0",4-LEN(DEC2HEX(Table14[[#This Row],[Register]])))&amp;DEC2HEX(Table14[[#This Row],[Register]])</f>
        <v>0x13C7</v>
      </c>
      <c r="E146" t="s">
        <v>743</v>
      </c>
      <c r="F146" t="str">
        <f>DEC2HEX(Table14[[#This Row],[Value]])</f>
        <v>3036</v>
      </c>
      <c r="G146" t="str">
        <f t="shared" si="11"/>
        <v>06</v>
      </c>
      <c r="H146" t="str">
        <f>_xlfn.CONCAT(G139:G146)</f>
        <v>ASBMUF359S51BV06</v>
      </c>
    </row>
    <row r="147" spans="1:8">
      <c r="A147">
        <f t="shared" si="13"/>
        <v>6080</v>
      </c>
      <c r="B147" s="34">
        <v>16723</v>
      </c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4153</v>
      </c>
      <c r="G147" t="str">
        <f t="shared" si="11"/>
        <v>AS</v>
      </c>
    </row>
    <row r="148" spans="1:8">
      <c r="A148">
        <f t="shared" si="13"/>
        <v>6081</v>
      </c>
      <c r="B148" s="34">
        <v>16973</v>
      </c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424D</v>
      </c>
      <c r="G148" t="str">
        <f t="shared" si="11"/>
        <v>BM</v>
      </c>
    </row>
    <row r="149" spans="1:8">
      <c r="A149">
        <f t="shared" si="13"/>
        <v>6082</v>
      </c>
      <c r="B149" s="34">
        <v>21830</v>
      </c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5546</v>
      </c>
      <c r="G149" t="str">
        <f t="shared" si="11"/>
        <v>UF</v>
      </c>
    </row>
    <row r="150" spans="1:8">
      <c r="A150">
        <f t="shared" si="13"/>
        <v>6083</v>
      </c>
      <c r="B150" s="34">
        <v>13109</v>
      </c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3335</v>
      </c>
      <c r="G150" t="str">
        <f t="shared" si="11"/>
        <v>35</v>
      </c>
    </row>
    <row r="151" spans="1:8">
      <c r="A151">
        <f t="shared" si="13"/>
        <v>6084</v>
      </c>
      <c r="B151" s="34">
        <v>14675</v>
      </c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3953</v>
      </c>
      <c r="G151" t="str">
        <f t="shared" si="11"/>
        <v>9S</v>
      </c>
    </row>
    <row r="152" spans="1:8">
      <c r="A152">
        <f t="shared" si="13"/>
        <v>6085</v>
      </c>
      <c r="B152" s="34">
        <v>13617</v>
      </c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3531</v>
      </c>
      <c r="G152" t="str">
        <f t="shared" si="11"/>
        <v>51</v>
      </c>
    </row>
    <row r="153" spans="1:8">
      <c r="A153">
        <f t="shared" si="13"/>
        <v>6086</v>
      </c>
      <c r="B153" s="34">
        <v>16982</v>
      </c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4256</v>
      </c>
      <c r="G153" t="str">
        <f t="shared" si="11"/>
        <v>BV</v>
      </c>
    </row>
    <row r="154" spans="1:8">
      <c r="A154">
        <f t="shared" si="13"/>
        <v>6087</v>
      </c>
      <c r="B154" s="34">
        <v>12342</v>
      </c>
      <c r="C154" t="str">
        <f>"0x"&amp;REPT("0",4-LEN(DEC2HEX(Table14[[#This Row],[Register]])))&amp;DEC2HEX(Table14[[#This Row],[Register]])</f>
        <v>0x17C7</v>
      </c>
      <c r="E154" s="95" t="s">
        <v>742</v>
      </c>
      <c r="F154" t="str">
        <f>DEC2HEX(Table14[[#This Row],[Value]])</f>
        <v>3036</v>
      </c>
      <c r="G154" t="str">
        <f t="shared" si="11"/>
        <v>06</v>
      </c>
      <c r="H154" t="str">
        <f>_xlfn.CONCAT(G147:G154)</f>
        <v>ASBMUF359S51BV06</v>
      </c>
    </row>
    <row r="155" spans="1:8">
      <c r="A155">
        <v>288</v>
      </c>
      <c r="B155" s="34">
        <v>16688</v>
      </c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4130</v>
      </c>
      <c r="G155" t="str">
        <f t="shared" si="11"/>
        <v>A0</v>
      </c>
    </row>
    <row r="156" spans="1:8">
      <c r="A156">
        <v>289</v>
      </c>
      <c r="B156" s="34">
        <v>18765</v>
      </c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494D</v>
      </c>
      <c r="G156" t="str">
        <f t="shared" si="11"/>
        <v>IM</v>
      </c>
    </row>
    <row r="157" spans="1:8">
      <c r="A157">
        <v>290</v>
      </c>
      <c r="B157" s="34">
        <v>19760</v>
      </c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4D30</v>
      </c>
      <c r="G157" t="str">
        <f t="shared" si="11"/>
        <v>M0</v>
      </c>
    </row>
    <row r="158" spans="1:8">
      <c r="A158">
        <v>291</v>
      </c>
      <c r="B158" s="34">
        <v>17747</v>
      </c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4553</v>
      </c>
      <c r="G158" t="str">
        <f t="shared" si="11"/>
        <v>ES</v>
      </c>
    </row>
    <row r="159" spans="1:8">
      <c r="A159">
        <v>292</v>
      </c>
      <c r="B159" s="34">
        <v>21331</v>
      </c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5353</v>
      </c>
      <c r="G159" t="str">
        <f t="shared" si="11"/>
        <v>SS</v>
      </c>
    </row>
    <row r="160" spans="1:8">
      <c r="A160">
        <v>293</v>
      </c>
      <c r="B160" s="34">
        <v>12336</v>
      </c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3030</v>
      </c>
      <c r="G160" t="str">
        <f t="shared" si="11"/>
        <v>00</v>
      </c>
    </row>
    <row r="161" spans="1:8">
      <c r="A161">
        <v>294</v>
      </c>
      <c r="B161" s="34">
        <v>17238</v>
      </c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4356</v>
      </c>
      <c r="G161" t="str">
        <f t="shared" si="11"/>
        <v>CV</v>
      </c>
    </row>
    <row r="162" spans="1:8">
      <c r="A162">
        <v>295</v>
      </c>
      <c r="B162" s="34">
        <v>12339</v>
      </c>
      <c r="C162" t="str">
        <f>"0x"&amp;REPT("0",4-LEN(DEC2HEX(Table14[[#This Row],[Register]])))&amp;DEC2HEX(Table14[[#This Row],[Register]])</f>
        <v>0x0127</v>
      </c>
      <c r="E162" t="s">
        <v>759</v>
      </c>
      <c r="F162" t="str">
        <f>DEC2HEX(Table14[[#This Row],[Value]])</f>
        <v>3033</v>
      </c>
      <c r="G162" t="str">
        <f t="shared" si="11"/>
        <v>03</v>
      </c>
      <c r="H162" t="str">
        <f>_xlfn.CONCAT(G155:G162)</f>
        <v>A0IMM0ESSS00CV03</v>
      </c>
    </row>
    <row r="163" spans="1:8">
      <c r="A163">
        <v>2000</v>
      </c>
      <c r="B163" s="34">
        <v>0</v>
      </c>
      <c r="C163" t="str">
        <f>"0x"&amp;REPT("0",4-LEN(DEC2HEX(Table14[[#This Row],[Register]])))&amp;DEC2HEX(Table14[[#This Row],[Register]])</f>
        <v>0x07D0</v>
      </c>
      <c r="F163" t="str">
        <f>DEC2HEX(Table14[[#This Row],[Value]])</f>
        <v>0</v>
      </c>
      <c r="G163" t="e">
        <f t="shared" si="11"/>
        <v>#VALUE!</v>
      </c>
    </row>
    <row r="164" spans="1:8">
      <c r="A164">
        <v>2001</v>
      </c>
      <c r="B164" s="34">
        <v>0</v>
      </c>
      <c r="C164" t="str">
        <f>"0x"&amp;REPT("0",4-LEN(DEC2HEX(Table14[[#This Row],[Register]])))&amp;DEC2HEX(Table14[[#This Row],[Register]])</f>
        <v>0x07D1</v>
      </c>
      <c r="F164" t="str">
        <f>DEC2HEX(Table14[[#This Row],[Value]])</f>
        <v>0</v>
      </c>
      <c r="G164" t="e">
        <f t="shared" si="11"/>
        <v>#VALUE!</v>
      </c>
    </row>
    <row r="165" spans="1:8">
      <c r="A165">
        <v>2002</v>
      </c>
      <c r="B165" s="34">
        <v>0</v>
      </c>
      <c r="C165" t="str">
        <f>"0x"&amp;REPT("0",4-LEN(DEC2HEX(Table14[[#This Row],[Register]])))&amp;DEC2HEX(Table14[[#This Row],[Register]])</f>
        <v>0x07D2</v>
      </c>
      <c r="F165" t="str">
        <f>DEC2HEX(Table14[[#This Row],[Value]])</f>
        <v>0</v>
      </c>
      <c r="G165" t="e">
        <f t="shared" si="11"/>
        <v>#VALUE!</v>
      </c>
    </row>
    <row r="166" spans="1:8">
      <c r="A166">
        <v>2003</v>
      </c>
      <c r="B166" s="34">
        <v>0</v>
      </c>
      <c r="C166" t="str">
        <f>"0x"&amp;REPT("0",4-LEN(DEC2HEX(Table14[[#This Row],[Register]])))&amp;DEC2HEX(Table14[[#This Row],[Register]])</f>
        <v>0x07D3</v>
      </c>
      <c r="F166" t="str">
        <f>DEC2HEX(Table14[[#This Row],[Value]])</f>
        <v>0</v>
      </c>
      <c r="G166" t="e">
        <f t="shared" si="11"/>
        <v>#VALUE!</v>
      </c>
    </row>
    <row r="167" spans="1:8">
      <c r="A167">
        <v>2004</v>
      </c>
      <c r="B167" s="34">
        <v>0</v>
      </c>
      <c r="C167" t="str">
        <f>"0x"&amp;REPT("0",4-LEN(DEC2HEX(Table14[[#This Row],[Register]])))&amp;DEC2HEX(Table14[[#This Row],[Register]])</f>
        <v>0x07D4</v>
      </c>
      <c r="F167" t="str">
        <f>DEC2HEX(Table14[[#This Row],[Value]])</f>
        <v>0</v>
      </c>
      <c r="G167" t="e">
        <f t="shared" si="11"/>
        <v>#VALUE!</v>
      </c>
    </row>
    <row r="168" spans="1:8">
      <c r="A168">
        <v>2005</v>
      </c>
      <c r="B168" s="34">
        <v>0</v>
      </c>
      <c r="C168" t="str">
        <f>"0x"&amp;REPT("0",4-LEN(DEC2HEX(Table14[[#This Row],[Register]])))&amp;DEC2HEX(Table14[[#This Row],[Register]])</f>
        <v>0x07D5</v>
      </c>
      <c r="F168" t="str">
        <f>DEC2HEX(Table14[[#This Row],[Value]])</f>
        <v>0</v>
      </c>
      <c r="G168" t="e">
        <f t="shared" si="11"/>
        <v>#VALUE!</v>
      </c>
    </row>
    <row r="169" spans="1:8">
      <c r="A169">
        <v>2006</v>
      </c>
      <c r="B169" s="34">
        <v>0</v>
      </c>
      <c r="C169" t="str">
        <f>"0x"&amp;REPT("0",4-LEN(DEC2HEX(Table14[[#This Row],[Register]])))&amp;DEC2HEX(Table14[[#This Row],[Register]])</f>
        <v>0x07D6</v>
      </c>
      <c r="F169" t="str">
        <f>DEC2HEX(Table14[[#This Row],[Value]])</f>
        <v>0</v>
      </c>
      <c r="G169" t="e">
        <f t="shared" si="11"/>
        <v>#VALUE!</v>
      </c>
    </row>
    <row r="170" spans="1:8">
      <c r="A170">
        <v>2007</v>
      </c>
      <c r="B170" s="34">
        <v>0</v>
      </c>
      <c r="C170" t="str">
        <f>"0x"&amp;REPT("0",4-LEN(DEC2HEX(Table14[[#This Row],[Register]])))&amp;DEC2HEX(Table14[[#This Row],[Register]])</f>
        <v>0x07D7</v>
      </c>
      <c r="E170" t="s">
        <v>760</v>
      </c>
      <c r="F170" t="str">
        <f>DEC2HEX(Table14[[#This Row],[Value]])</f>
        <v>0</v>
      </c>
      <c r="G170" t="e">
        <f t="shared" si="11"/>
        <v>#VALUE!</v>
      </c>
      <c r="H170" t="e">
        <f>_xlfn.CONCAT(G163:G170)</f>
        <v>#VALUE!</v>
      </c>
    </row>
  </sheetData>
  <phoneticPr fontId="13" type="noConversion"/>
  <conditionalFormatting sqref="B2:B170">
    <cfRule type="cellIs" dxfId="31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328B-54B4-4545-9C1D-FDED3DADB316}">
  <sheetPr codeName="Sheet7"/>
  <dimension ref="A1:R2"/>
  <sheetViews>
    <sheetView workbookViewId="0">
      <selection activeCell="C3" sqref="C3"/>
    </sheetView>
  </sheetViews>
  <sheetFormatPr defaultRowHeight="13.5"/>
  <cols>
    <col min="1" max="1" width="12.375" customWidth="1"/>
    <col min="8" max="12" width="7.875" bestFit="1" customWidth="1"/>
    <col min="13" max="13" width="6.75" bestFit="1" customWidth="1"/>
  </cols>
  <sheetData>
    <row r="1" spans="1:18">
      <c r="A1" s="96" t="s">
        <v>37</v>
      </c>
      <c r="B1" s="96" t="s">
        <v>761</v>
      </c>
      <c r="C1" s="96" t="s">
        <v>98</v>
      </c>
      <c r="D1" s="96" t="s">
        <v>770</v>
      </c>
      <c r="H1" s="96" t="s">
        <v>762</v>
      </c>
      <c r="I1" s="96" t="s">
        <v>763</v>
      </c>
      <c r="J1" s="96" t="s">
        <v>764</v>
      </c>
      <c r="K1" s="96" t="s">
        <v>765</v>
      </c>
      <c r="L1" s="96" t="s">
        <v>766</v>
      </c>
      <c r="M1" s="96" t="s">
        <v>98</v>
      </c>
      <c r="Q1">
        <v>0</v>
      </c>
      <c r="R1" t="s">
        <v>767</v>
      </c>
    </row>
    <row r="2" spans="1:18">
      <c r="A2" s="96" t="s">
        <v>227</v>
      </c>
      <c r="B2" s="96">
        <v>909</v>
      </c>
      <c r="C2" s="96">
        <v>31</v>
      </c>
      <c r="D2" s="96">
        <v>31</v>
      </c>
      <c r="H2" s="96">
        <v>0</v>
      </c>
      <c r="I2" s="96">
        <v>1</v>
      </c>
      <c r="J2" s="96">
        <v>1</v>
      </c>
      <c r="K2" s="96">
        <v>1</v>
      </c>
      <c r="L2" s="96">
        <v>1</v>
      </c>
      <c r="M2" s="96">
        <f>H2+2*I2+2^2*J2+2^3*K2+2^4*L2</f>
        <v>30</v>
      </c>
      <c r="Q2">
        <v>1</v>
      </c>
      <c r="R2" t="s">
        <v>768</v>
      </c>
    </row>
  </sheetData>
  <phoneticPr fontId="13" type="noConversion"/>
  <dataValidations count="1">
    <dataValidation type="list" allowBlank="1" showInputMessage="1" showErrorMessage="1" sqref="H2:L2" xr:uid="{BCC2048A-CF03-47A5-8A31-8C2D531332E0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WriteReg">
                <anchor moveWithCells="1" sizeWithCells="1">
                  <from>
                    <xdr:col>4</xdr:col>
                    <xdr:colOff>552450</xdr:colOff>
                    <xdr:row>0</xdr:row>
                    <xdr:rowOff>95250</xdr:rowOff>
                  </from>
                  <to>
                    <xdr:col>6</xdr:col>
                    <xdr:colOff>180975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Overview</vt:lpstr>
      <vt:lpstr>HotComm</vt:lpstr>
      <vt:lpstr>ReadETH</vt:lpstr>
      <vt:lpstr>CPG1</vt:lpstr>
      <vt:lpstr>CPG2</vt:lpstr>
      <vt:lpstr>CPG3</vt:lpstr>
      <vt:lpstr>CPG4</vt:lpstr>
      <vt:lpstr>CPG5</vt:lpstr>
      <vt:lpstr>CPG6</vt:lpstr>
      <vt:lpstr>CPG7</vt:lpstr>
      <vt:lpstr>CPG8</vt:lpstr>
      <vt:lpstr>ReadSOC</vt:lpstr>
      <vt:lpstr>ReadRegs</vt:lpstr>
      <vt:lpstr>ReadTest</vt:lpstr>
      <vt:lpstr>WriteReg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2025-01-20T00:48:49Z</dcterms:modified>
</cp:coreProperties>
</file>