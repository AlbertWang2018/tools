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9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8BB99954-20B1-49F5-9F8B-9F7142B3EBA4}" xr6:coauthVersionLast="47" xr6:coauthVersionMax="47" xr10:uidLastSave="{00000000-0000-0000-0000-000000000000}"/>
  <bookViews>
    <workbookView xWindow="-120" yWindow="-120" windowWidth="29040" windowHeight="15720" activeTab="6" xr2:uid="{69402E6D-338B-4842-BCA5-C578EAE77A3E}"/>
  </bookViews>
  <sheets>
    <sheet name="Overview" sheetId="3" r:id="rId1"/>
    <sheet name="HotComm" sheetId="1" r:id="rId2"/>
    <sheet name="ReadETH" sheetId="2" r:id="rId3"/>
    <sheet name="CalibrateH" sheetId="9" r:id="rId4"/>
    <sheet name="CalibrateL" sheetId="8" r:id="rId5"/>
    <sheet name="ReadSOC" sheetId="5" r:id="rId6"/>
    <sheet name="ReadCap" sheetId="6" r:id="rId7"/>
    <sheet name="ReadTest" sheetId="4" r:id="rId8"/>
    <sheet name="WriteReg" sheetId="7" r:id="rId9"/>
  </sheets>
  <functionGroups builtInGroupCount="19"/>
  <definedNames>
    <definedName name="_xlnm._FilterDatabase" localSheetId="6" hidden="1">ReadCap!$A$1:$S$289</definedName>
    <definedName name="_xlnm._FilterDatabase" localSheetId="5" hidden="1">ReadSOC!$A$1:$S$290</definedName>
    <definedName name="_xleta.MEDIAN" hidden="1" xlm="1">#NAME?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9" i="6" l="1"/>
  <c r="AD10" i="6"/>
  <c r="AD8" i="6"/>
  <c r="AD6" i="6"/>
  <c r="X43" i="6"/>
  <c r="Y43" i="6"/>
  <c r="Z43" i="6"/>
  <c r="AA43" i="6"/>
  <c r="AB43" i="6"/>
  <c r="X44" i="6"/>
  <c r="Y44" i="6"/>
  <c r="Z44" i="6"/>
  <c r="AA44" i="6"/>
  <c r="AB44" i="6"/>
  <c r="X45" i="6"/>
  <c r="Y45" i="6"/>
  <c r="Z45" i="6"/>
  <c r="AA45" i="6"/>
  <c r="AB45" i="6"/>
  <c r="X46" i="6"/>
  <c r="Y46" i="6"/>
  <c r="Z46" i="6"/>
  <c r="AA46" i="6"/>
  <c r="AB46" i="6"/>
  <c r="X47" i="6"/>
  <c r="Y47" i="6"/>
  <c r="Z47" i="6"/>
  <c r="AA47" i="6"/>
  <c r="AB47" i="6"/>
  <c r="X48" i="6"/>
  <c r="Y48" i="6"/>
  <c r="Z48" i="6"/>
  <c r="AA48" i="6"/>
  <c r="AB48" i="6"/>
  <c r="X49" i="6"/>
  <c r="Y49" i="6"/>
  <c r="Z49" i="6"/>
  <c r="AA49" i="6"/>
  <c r="AB49" i="6"/>
  <c r="X50" i="6"/>
  <c r="Y50" i="6"/>
  <c r="Z50" i="6"/>
  <c r="AA50" i="6"/>
  <c r="AB50" i="6"/>
  <c r="X51" i="6"/>
  <c r="Y51" i="6"/>
  <c r="Z51" i="6"/>
  <c r="AA51" i="6"/>
  <c r="AB51" i="6"/>
  <c r="X52" i="6"/>
  <c r="Y52" i="6"/>
  <c r="Z52" i="6"/>
  <c r="AA52" i="6"/>
  <c r="AB52" i="6"/>
  <c r="X53" i="6"/>
  <c r="Y53" i="6"/>
  <c r="Z53" i="6"/>
  <c r="AA53" i="6"/>
  <c r="AB53" i="6"/>
  <c r="X54" i="6"/>
  <c r="Y54" i="6"/>
  <c r="Z54" i="6"/>
  <c r="AA54" i="6"/>
  <c r="AB54" i="6"/>
  <c r="X55" i="6"/>
  <c r="Y55" i="6"/>
  <c r="Z55" i="6"/>
  <c r="AA55" i="6"/>
  <c r="AB55" i="6"/>
  <c r="X56" i="6"/>
  <c r="Y56" i="6"/>
  <c r="Z56" i="6"/>
  <c r="AA56" i="6"/>
  <c r="AB56" i="6"/>
  <c r="X57" i="6"/>
  <c r="Y57" i="6"/>
  <c r="Z57" i="6"/>
  <c r="AA57" i="6"/>
  <c r="AB57" i="6"/>
  <c r="X58" i="6"/>
  <c r="Y58" i="6"/>
  <c r="Z58" i="6"/>
  <c r="AA58" i="6"/>
  <c r="AB58" i="6"/>
  <c r="X59" i="6"/>
  <c r="Y59" i="6"/>
  <c r="Z59" i="6"/>
  <c r="AA59" i="6"/>
  <c r="AB59" i="6"/>
  <c r="X60" i="6"/>
  <c r="Y60" i="6"/>
  <c r="Z60" i="6"/>
  <c r="AA60" i="6"/>
  <c r="AB60" i="6"/>
  <c r="X61" i="6"/>
  <c r="Y61" i="6"/>
  <c r="Z61" i="6"/>
  <c r="AA61" i="6"/>
  <c r="AB61" i="6"/>
  <c r="X62" i="6"/>
  <c r="Y62" i="6"/>
  <c r="Z62" i="6"/>
  <c r="AA62" i="6"/>
  <c r="AB62" i="6"/>
  <c r="X63" i="6"/>
  <c r="Y63" i="6"/>
  <c r="Z63" i="6"/>
  <c r="AA63" i="6"/>
  <c r="AB63" i="6"/>
  <c r="X64" i="6"/>
  <c r="Y64" i="6"/>
  <c r="Z64" i="6"/>
  <c r="AA64" i="6"/>
  <c r="AB64" i="6"/>
  <c r="X65" i="6"/>
  <c r="Y65" i="6"/>
  <c r="Z65" i="6"/>
  <c r="AA65" i="6"/>
  <c r="AB65" i="6"/>
  <c r="X66" i="6"/>
  <c r="Y66" i="6"/>
  <c r="Z66" i="6"/>
  <c r="AA66" i="6"/>
  <c r="AB66" i="6"/>
  <c r="X67" i="6"/>
  <c r="Y67" i="6"/>
  <c r="Z67" i="6"/>
  <c r="AA67" i="6"/>
  <c r="AB67" i="6"/>
  <c r="X68" i="6"/>
  <c r="Y68" i="6"/>
  <c r="Z68" i="6"/>
  <c r="AA68" i="6"/>
  <c r="AB68" i="6"/>
  <c r="X69" i="6"/>
  <c r="Y69" i="6"/>
  <c r="Z69" i="6"/>
  <c r="AA69" i="6"/>
  <c r="AB69" i="6"/>
  <c r="X70" i="6"/>
  <c r="Y70" i="6"/>
  <c r="Z70" i="6"/>
  <c r="AA70" i="6"/>
  <c r="AB70" i="6"/>
  <c r="X71" i="6"/>
  <c r="Y71" i="6"/>
  <c r="Z71" i="6"/>
  <c r="AA71" i="6"/>
  <c r="AB71" i="6"/>
  <c r="X72" i="6"/>
  <c r="Y72" i="6"/>
  <c r="Z72" i="6"/>
  <c r="AA72" i="6"/>
  <c r="AB72" i="6"/>
  <c r="X73" i="6"/>
  <c r="Y73" i="6"/>
  <c r="Z73" i="6"/>
  <c r="AA73" i="6"/>
  <c r="AB73" i="6"/>
  <c r="X74" i="6"/>
  <c r="Y74" i="6"/>
  <c r="Z74" i="6"/>
  <c r="AA74" i="6"/>
  <c r="AB74" i="6"/>
  <c r="X75" i="6"/>
  <c r="Y75" i="6"/>
  <c r="Z75" i="6"/>
  <c r="AA75" i="6"/>
  <c r="AB75" i="6"/>
  <c r="X76" i="6"/>
  <c r="Y76" i="6"/>
  <c r="Z76" i="6"/>
  <c r="AA76" i="6"/>
  <c r="AB76" i="6"/>
  <c r="X77" i="6"/>
  <c r="Y77" i="6"/>
  <c r="Z77" i="6"/>
  <c r="AA77" i="6"/>
  <c r="AB77" i="6"/>
  <c r="X78" i="6"/>
  <c r="Y78" i="6"/>
  <c r="Z78" i="6"/>
  <c r="AA78" i="6"/>
  <c r="AB78" i="6"/>
  <c r="X79" i="6"/>
  <c r="Y79" i="6"/>
  <c r="Z79" i="6"/>
  <c r="AA79" i="6"/>
  <c r="AB79" i="6"/>
  <c r="X80" i="6"/>
  <c r="Y80" i="6"/>
  <c r="Z80" i="6"/>
  <c r="AA80" i="6"/>
  <c r="AB80" i="6"/>
  <c r="X81" i="6"/>
  <c r="Y81" i="6"/>
  <c r="Z81" i="6"/>
  <c r="AA81" i="6"/>
  <c r="AB81" i="6"/>
  <c r="X82" i="6"/>
  <c r="Y82" i="6"/>
  <c r="Z82" i="6"/>
  <c r="AA82" i="6"/>
  <c r="AB82" i="6"/>
  <c r="X83" i="6"/>
  <c r="Y83" i="6"/>
  <c r="Z83" i="6"/>
  <c r="AA83" i="6"/>
  <c r="AB83" i="6"/>
  <c r="X84" i="6"/>
  <c r="Y84" i="6"/>
  <c r="Z84" i="6"/>
  <c r="AA84" i="6"/>
  <c r="AB84" i="6"/>
  <c r="X85" i="6"/>
  <c r="Y85" i="6"/>
  <c r="Z85" i="6"/>
  <c r="AA85" i="6"/>
  <c r="AB85" i="6"/>
  <c r="X86" i="6"/>
  <c r="Y86" i="6"/>
  <c r="Z86" i="6"/>
  <c r="AA86" i="6"/>
  <c r="AB86" i="6"/>
  <c r="X87" i="6"/>
  <c r="Y87" i="6"/>
  <c r="Z87" i="6"/>
  <c r="AA87" i="6"/>
  <c r="AB87" i="6"/>
  <c r="X88" i="6"/>
  <c r="Y88" i="6"/>
  <c r="Z88" i="6"/>
  <c r="AA88" i="6"/>
  <c r="AB88" i="6"/>
  <c r="X89" i="6"/>
  <c r="Y89" i="6"/>
  <c r="Z89" i="6"/>
  <c r="AA89" i="6"/>
  <c r="AB89" i="6"/>
  <c r="X90" i="6"/>
  <c r="Y90" i="6"/>
  <c r="Z90" i="6"/>
  <c r="AA90" i="6"/>
  <c r="AB90" i="6"/>
  <c r="X91" i="6"/>
  <c r="Y91" i="6"/>
  <c r="Z91" i="6"/>
  <c r="AA91" i="6"/>
  <c r="AB91" i="6"/>
  <c r="X92" i="6"/>
  <c r="Y92" i="6"/>
  <c r="Z92" i="6"/>
  <c r="AA92" i="6"/>
  <c r="AB92" i="6"/>
  <c r="X93" i="6"/>
  <c r="Y93" i="6"/>
  <c r="Z93" i="6"/>
  <c r="AA93" i="6"/>
  <c r="AB93" i="6"/>
  <c r="X94" i="6"/>
  <c r="Y94" i="6"/>
  <c r="Z94" i="6"/>
  <c r="AA94" i="6"/>
  <c r="AB94" i="6"/>
  <c r="X95" i="6"/>
  <c r="Y95" i="6"/>
  <c r="Z95" i="6"/>
  <c r="AA95" i="6"/>
  <c r="AB95" i="6"/>
  <c r="X96" i="6"/>
  <c r="Y96" i="6"/>
  <c r="Z96" i="6"/>
  <c r="AA96" i="6"/>
  <c r="AB96" i="6"/>
  <c r="X97" i="6"/>
  <c r="Y97" i="6"/>
  <c r="Z97" i="6"/>
  <c r="AA97" i="6"/>
  <c r="AB97" i="6"/>
  <c r="X98" i="6"/>
  <c r="Y98" i="6"/>
  <c r="Z98" i="6"/>
  <c r="AA98" i="6"/>
  <c r="AB98" i="6"/>
  <c r="X99" i="6"/>
  <c r="Y99" i="6"/>
  <c r="Z99" i="6"/>
  <c r="AA99" i="6"/>
  <c r="AB99" i="6"/>
  <c r="X100" i="6"/>
  <c r="Y100" i="6"/>
  <c r="Z100" i="6"/>
  <c r="AA100" i="6"/>
  <c r="AB100" i="6"/>
  <c r="X101" i="6"/>
  <c r="Y101" i="6"/>
  <c r="Z101" i="6"/>
  <c r="AA101" i="6"/>
  <c r="AB101" i="6"/>
  <c r="X102" i="6"/>
  <c r="Y102" i="6"/>
  <c r="Z102" i="6"/>
  <c r="AA102" i="6"/>
  <c r="AB102" i="6"/>
  <c r="X103" i="6"/>
  <c r="Y103" i="6"/>
  <c r="Z103" i="6"/>
  <c r="AA103" i="6"/>
  <c r="AB103" i="6"/>
  <c r="X104" i="6"/>
  <c r="Y104" i="6"/>
  <c r="Z104" i="6"/>
  <c r="AA104" i="6"/>
  <c r="AB104" i="6"/>
  <c r="X105" i="6"/>
  <c r="Y105" i="6"/>
  <c r="Z105" i="6"/>
  <c r="AA105" i="6"/>
  <c r="AB105" i="6"/>
  <c r="X106" i="6"/>
  <c r="Y106" i="6"/>
  <c r="Z106" i="6"/>
  <c r="AA106" i="6"/>
  <c r="AB106" i="6"/>
  <c r="X107" i="6"/>
  <c r="Y107" i="6"/>
  <c r="Z107" i="6"/>
  <c r="AA107" i="6"/>
  <c r="AB107" i="6"/>
  <c r="X108" i="6"/>
  <c r="Y108" i="6"/>
  <c r="Z108" i="6"/>
  <c r="AA108" i="6"/>
  <c r="AB108" i="6"/>
  <c r="X109" i="6"/>
  <c r="Y109" i="6"/>
  <c r="Z109" i="6"/>
  <c r="AA109" i="6"/>
  <c r="AB109" i="6"/>
  <c r="X110" i="6"/>
  <c r="Y110" i="6"/>
  <c r="Z110" i="6"/>
  <c r="AA110" i="6"/>
  <c r="AB110" i="6"/>
  <c r="X111" i="6"/>
  <c r="Y111" i="6"/>
  <c r="Z111" i="6"/>
  <c r="AA111" i="6"/>
  <c r="AB111" i="6"/>
  <c r="X112" i="6"/>
  <c r="Y112" i="6"/>
  <c r="Z112" i="6"/>
  <c r="AA112" i="6"/>
  <c r="AB112" i="6"/>
  <c r="X113" i="6"/>
  <c r="Y113" i="6"/>
  <c r="Z113" i="6"/>
  <c r="AA113" i="6"/>
  <c r="AB113" i="6"/>
  <c r="X114" i="6"/>
  <c r="Y114" i="6"/>
  <c r="Z114" i="6"/>
  <c r="AA114" i="6"/>
  <c r="AB114" i="6"/>
  <c r="X115" i="6"/>
  <c r="Y115" i="6"/>
  <c r="Z115" i="6"/>
  <c r="AA115" i="6"/>
  <c r="AB115" i="6"/>
  <c r="X116" i="6"/>
  <c r="Y116" i="6"/>
  <c r="Z116" i="6"/>
  <c r="AA116" i="6"/>
  <c r="AB116" i="6"/>
  <c r="X117" i="6"/>
  <c r="Y117" i="6"/>
  <c r="Z117" i="6"/>
  <c r="AA117" i="6"/>
  <c r="AB117" i="6"/>
  <c r="X118" i="6"/>
  <c r="Y118" i="6"/>
  <c r="Z118" i="6"/>
  <c r="AA118" i="6"/>
  <c r="AB118" i="6"/>
  <c r="X119" i="6"/>
  <c r="Y119" i="6"/>
  <c r="Z119" i="6"/>
  <c r="AA119" i="6"/>
  <c r="AB119" i="6"/>
  <c r="X120" i="6"/>
  <c r="Y120" i="6"/>
  <c r="Z120" i="6"/>
  <c r="AA120" i="6"/>
  <c r="AB120" i="6"/>
  <c r="X121" i="6"/>
  <c r="Y121" i="6"/>
  <c r="Z121" i="6"/>
  <c r="AA121" i="6"/>
  <c r="AB121" i="6"/>
  <c r="X122" i="6"/>
  <c r="Y122" i="6"/>
  <c r="Z122" i="6"/>
  <c r="AA122" i="6"/>
  <c r="AB122" i="6"/>
  <c r="X123" i="6"/>
  <c r="Y123" i="6"/>
  <c r="Z123" i="6"/>
  <c r="AA123" i="6"/>
  <c r="AB123" i="6"/>
  <c r="X124" i="6"/>
  <c r="Y124" i="6"/>
  <c r="Z124" i="6"/>
  <c r="AA124" i="6"/>
  <c r="AB124" i="6"/>
  <c r="X125" i="6"/>
  <c r="Y125" i="6"/>
  <c r="Z125" i="6"/>
  <c r="AA125" i="6"/>
  <c r="AB125" i="6"/>
  <c r="X126" i="6"/>
  <c r="Y126" i="6"/>
  <c r="Z126" i="6"/>
  <c r="AA126" i="6"/>
  <c r="AB126" i="6"/>
  <c r="X127" i="6"/>
  <c r="Y127" i="6"/>
  <c r="Z127" i="6"/>
  <c r="AA127" i="6"/>
  <c r="AB127" i="6"/>
  <c r="X128" i="6"/>
  <c r="Y128" i="6"/>
  <c r="Z128" i="6"/>
  <c r="AA128" i="6"/>
  <c r="AB128" i="6"/>
  <c r="X129" i="6"/>
  <c r="Y129" i="6"/>
  <c r="Z129" i="6"/>
  <c r="AA129" i="6"/>
  <c r="AB129" i="6"/>
  <c r="X130" i="6"/>
  <c r="Y130" i="6"/>
  <c r="Z130" i="6"/>
  <c r="AA130" i="6"/>
  <c r="AB130" i="6"/>
  <c r="X131" i="6"/>
  <c r="Y131" i="6"/>
  <c r="Z131" i="6"/>
  <c r="AA131" i="6"/>
  <c r="AB131" i="6"/>
  <c r="X132" i="6"/>
  <c r="Y132" i="6"/>
  <c r="Z132" i="6"/>
  <c r="AA132" i="6"/>
  <c r="AB132" i="6"/>
  <c r="X133" i="6"/>
  <c r="Y133" i="6"/>
  <c r="Z133" i="6"/>
  <c r="AA133" i="6"/>
  <c r="AB133" i="6"/>
  <c r="X134" i="6"/>
  <c r="Y134" i="6"/>
  <c r="Z134" i="6"/>
  <c r="AA134" i="6"/>
  <c r="AB134" i="6"/>
  <c r="X135" i="6"/>
  <c r="Y135" i="6"/>
  <c r="Z135" i="6"/>
  <c r="AA135" i="6"/>
  <c r="AB135" i="6"/>
  <c r="X136" i="6"/>
  <c r="Y136" i="6"/>
  <c r="Z136" i="6"/>
  <c r="AA136" i="6"/>
  <c r="AB136" i="6"/>
  <c r="X137" i="6"/>
  <c r="Y137" i="6"/>
  <c r="Z137" i="6"/>
  <c r="AA137" i="6"/>
  <c r="AB137" i="6"/>
  <c r="X138" i="6"/>
  <c r="Y138" i="6"/>
  <c r="Z138" i="6"/>
  <c r="AA138" i="6"/>
  <c r="AB138" i="6"/>
  <c r="X139" i="6"/>
  <c r="Y139" i="6"/>
  <c r="Z139" i="6"/>
  <c r="AA139" i="6"/>
  <c r="AB139" i="6"/>
  <c r="X140" i="6"/>
  <c r="Y140" i="6"/>
  <c r="Z140" i="6"/>
  <c r="AA140" i="6"/>
  <c r="AB140" i="6"/>
  <c r="X141" i="6"/>
  <c r="Y141" i="6"/>
  <c r="Z141" i="6"/>
  <c r="AA141" i="6"/>
  <c r="AB141" i="6"/>
  <c r="X142" i="6"/>
  <c r="Y142" i="6"/>
  <c r="Z142" i="6"/>
  <c r="AA142" i="6"/>
  <c r="AB142" i="6"/>
  <c r="X143" i="6"/>
  <c r="Y143" i="6"/>
  <c r="Z143" i="6"/>
  <c r="AA143" i="6"/>
  <c r="AB143" i="6"/>
  <c r="X144" i="6"/>
  <c r="Y144" i="6"/>
  <c r="Z144" i="6"/>
  <c r="AA144" i="6"/>
  <c r="AB144" i="6"/>
  <c r="X145" i="6"/>
  <c r="Y145" i="6"/>
  <c r="Z145" i="6"/>
  <c r="AA145" i="6"/>
  <c r="AB145" i="6"/>
  <c r="X146" i="6"/>
  <c r="Y146" i="6"/>
  <c r="Z146" i="6"/>
  <c r="AA146" i="6"/>
  <c r="AB146" i="6"/>
  <c r="X147" i="6"/>
  <c r="Y147" i="6"/>
  <c r="Z147" i="6"/>
  <c r="AA147" i="6"/>
  <c r="AB147" i="6"/>
  <c r="X148" i="6"/>
  <c r="Y148" i="6"/>
  <c r="Z148" i="6"/>
  <c r="AA148" i="6"/>
  <c r="AB148" i="6"/>
  <c r="X149" i="6"/>
  <c r="Y149" i="6"/>
  <c r="Z149" i="6"/>
  <c r="AA149" i="6"/>
  <c r="AB149" i="6"/>
  <c r="X150" i="6"/>
  <c r="Y150" i="6"/>
  <c r="Z150" i="6"/>
  <c r="AA150" i="6"/>
  <c r="AB150" i="6"/>
  <c r="X151" i="6"/>
  <c r="Y151" i="6"/>
  <c r="Z151" i="6"/>
  <c r="AA151" i="6"/>
  <c r="AB151" i="6"/>
  <c r="X152" i="6"/>
  <c r="Y152" i="6"/>
  <c r="Z152" i="6"/>
  <c r="AA152" i="6"/>
  <c r="AB152" i="6"/>
  <c r="X153" i="6"/>
  <c r="Y153" i="6"/>
  <c r="Z153" i="6"/>
  <c r="AA153" i="6"/>
  <c r="AB153" i="6"/>
  <c r="X154" i="6"/>
  <c r="Y154" i="6"/>
  <c r="Z154" i="6"/>
  <c r="AA154" i="6"/>
  <c r="AB154" i="6"/>
  <c r="X155" i="6"/>
  <c r="Y155" i="6"/>
  <c r="Z155" i="6"/>
  <c r="AA155" i="6"/>
  <c r="AB155" i="6"/>
  <c r="X156" i="6"/>
  <c r="Y156" i="6"/>
  <c r="Z156" i="6"/>
  <c r="AA156" i="6"/>
  <c r="AB156" i="6"/>
  <c r="X157" i="6"/>
  <c r="Y157" i="6"/>
  <c r="Z157" i="6"/>
  <c r="AA157" i="6"/>
  <c r="AB157" i="6"/>
  <c r="X158" i="6"/>
  <c r="Y158" i="6"/>
  <c r="Z158" i="6"/>
  <c r="AA158" i="6"/>
  <c r="AB158" i="6"/>
  <c r="X159" i="6"/>
  <c r="Y159" i="6"/>
  <c r="Z159" i="6"/>
  <c r="AA159" i="6"/>
  <c r="AB159" i="6"/>
  <c r="X160" i="6"/>
  <c r="Y160" i="6"/>
  <c r="Z160" i="6"/>
  <c r="AA160" i="6"/>
  <c r="AB160" i="6"/>
  <c r="X161" i="6"/>
  <c r="Y161" i="6"/>
  <c r="Z161" i="6"/>
  <c r="AA161" i="6"/>
  <c r="AB161" i="6"/>
  <c r="X162" i="6"/>
  <c r="Y162" i="6"/>
  <c r="Z162" i="6"/>
  <c r="AA162" i="6"/>
  <c r="AB162" i="6"/>
  <c r="X163" i="6"/>
  <c r="Y163" i="6"/>
  <c r="Z163" i="6"/>
  <c r="AA163" i="6"/>
  <c r="AB163" i="6"/>
  <c r="X164" i="6"/>
  <c r="Y164" i="6"/>
  <c r="Z164" i="6"/>
  <c r="AA164" i="6"/>
  <c r="AB164" i="6"/>
  <c r="X165" i="6"/>
  <c r="Y165" i="6"/>
  <c r="Z165" i="6"/>
  <c r="AA165" i="6"/>
  <c r="AB165" i="6"/>
  <c r="X166" i="6"/>
  <c r="Y166" i="6"/>
  <c r="Z166" i="6"/>
  <c r="AA166" i="6"/>
  <c r="AB166" i="6"/>
  <c r="X167" i="6"/>
  <c r="Y167" i="6"/>
  <c r="Z167" i="6"/>
  <c r="AA167" i="6"/>
  <c r="AB167" i="6"/>
  <c r="X168" i="6"/>
  <c r="Y168" i="6"/>
  <c r="Z168" i="6"/>
  <c r="AA168" i="6"/>
  <c r="AB168" i="6"/>
  <c r="X169" i="6"/>
  <c r="Y169" i="6"/>
  <c r="Z169" i="6"/>
  <c r="AA169" i="6"/>
  <c r="AB169" i="6"/>
  <c r="X170" i="6"/>
  <c r="Y170" i="6"/>
  <c r="Z170" i="6"/>
  <c r="AA170" i="6"/>
  <c r="AB170" i="6"/>
  <c r="X171" i="6"/>
  <c r="Y171" i="6"/>
  <c r="Z171" i="6"/>
  <c r="AA171" i="6"/>
  <c r="AB171" i="6"/>
  <c r="X172" i="6"/>
  <c r="Y172" i="6"/>
  <c r="Z172" i="6"/>
  <c r="AA172" i="6"/>
  <c r="AB172" i="6"/>
  <c r="X173" i="6"/>
  <c r="Y173" i="6"/>
  <c r="Z173" i="6"/>
  <c r="AA173" i="6"/>
  <c r="AB173" i="6"/>
  <c r="X174" i="6"/>
  <c r="Y174" i="6"/>
  <c r="Z174" i="6"/>
  <c r="AA174" i="6"/>
  <c r="AB174" i="6"/>
  <c r="X175" i="6"/>
  <c r="Y175" i="6"/>
  <c r="Z175" i="6"/>
  <c r="AA175" i="6"/>
  <c r="AB175" i="6"/>
  <c r="X176" i="6"/>
  <c r="Y176" i="6"/>
  <c r="Z176" i="6"/>
  <c r="AA176" i="6"/>
  <c r="AB176" i="6"/>
  <c r="X177" i="6"/>
  <c r="Y177" i="6"/>
  <c r="Z177" i="6"/>
  <c r="AA177" i="6"/>
  <c r="AB177" i="6"/>
  <c r="X178" i="6"/>
  <c r="Y178" i="6"/>
  <c r="Z178" i="6"/>
  <c r="AA178" i="6"/>
  <c r="AB178" i="6"/>
  <c r="X179" i="6"/>
  <c r="Y179" i="6"/>
  <c r="Z179" i="6"/>
  <c r="AA179" i="6"/>
  <c r="AB179" i="6"/>
  <c r="X180" i="6"/>
  <c r="Y180" i="6"/>
  <c r="Z180" i="6"/>
  <c r="AA180" i="6"/>
  <c r="AB180" i="6"/>
  <c r="X181" i="6"/>
  <c r="Y181" i="6"/>
  <c r="Z181" i="6"/>
  <c r="AA181" i="6"/>
  <c r="AB181" i="6"/>
  <c r="X182" i="6"/>
  <c r="Y182" i="6"/>
  <c r="Z182" i="6"/>
  <c r="AA182" i="6"/>
  <c r="AB182" i="6"/>
  <c r="X183" i="6"/>
  <c r="Y183" i="6"/>
  <c r="Z183" i="6"/>
  <c r="AA183" i="6"/>
  <c r="AB183" i="6"/>
  <c r="X184" i="6"/>
  <c r="Y184" i="6"/>
  <c r="Z184" i="6"/>
  <c r="AA184" i="6"/>
  <c r="AB184" i="6"/>
  <c r="X185" i="6"/>
  <c r="Y185" i="6"/>
  <c r="Z185" i="6"/>
  <c r="AA185" i="6"/>
  <c r="AB185" i="6"/>
  <c r="X186" i="6"/>
  <c r="Y186" i="6"/>
  <c r="Z186" i="6"/>
  <c r="AA186" i="6"/>
  <c r="AB186" i="6"/>
  <c r="X187" i="6"/>
  <c r="Y187" i="6"/>
  <c r="Z187" i="6"/>
  <c r="AA187" i="6"/>
  <c r="AB187" i="6"/>
  <c r="X188" i="6"/>
  <c r="Y188" i="6"/>
  <c r="Z188" i="6"/>
  <c r="AA188" i="6"/>
  <c r="AB188" i="6"/>
  <c r="X189" i="6"/>
  <c r="Y189" i="6"/>
  <c r="Z189" i="6"/>
  <c r="AA189" i="6"/>
  <c r="AB189" i="6"/>
  <c r="X190" i="6"/>
  <c r="Y190" i="6"/>
  <c r="Z190" i="6"/>
  <c r="AA190" i="6"/>
  <c r="AB190" i="6"/>
  <c r="X191" i="6"/>
  <c r="Y191" i="6"/>
  <c r="Z191" i="6"/>
  <c r="AA191" i="6"/>
  <c r="AB191" i="6"/>
  <c r="X192" i="6"/>
  <c r="Y192" i="6"/>
  <c r="Z192" i="6"/>
  <c r="AA192" i="6"/>
  <c r="AB192" i="6"/>
  <c r="X193" i="6"/>
  <c r="Y193" i="6"/>
  <c r="Z193" i="6"/>
  <c r="AA193" i="6"/>
  <c r="AB193" i="6"/>
  <c r="X194" i="6"/>
  <c r="Y194" i="6"/>
  <c r="Z194" i="6"/>
  <c r="AA194" i="6"/>
  <c r="AB194" i="6"/>
  <c r="X195" i="6"/>
  <c r="Y195" i="6"/>
  <c r="Z195" i="6"/>
  <c r="AA195" i="6"/>
  <c r="AB195" i="6"/>
  <c r="X196" i="6"/>
  <c r="Y196" i="6"/>
  <c r="Z196" i="6"/>
  <c r="AA196" i="6"/>
  <c r="AB196" i="6"/>
  <c r="X197" i="6"/>
  <c r="Y197" i="6"/>
  <c r="Z197" i="6"/>
  <c r="AA197" i="6"/>
  <c r="AB197" i="6"/>
  <c r="X198" i="6"/>
  <c r="Y198" i="6"/>
  <c r="Z198" i="6"/>
  <c r="AA198" i="6"/>
  <c r="AB198" i="6"/>
  <c r="X199" i="6"/>
  <c r="Y199" i="6"/>
  <c r="Z199" i="6"/>
  <c r="AA199" i="6"/>
  <c r="AB199" i="6"/>
  <c r="X200" i="6"/>
  <c r="Y200" i="6"/>
  <c r="Z200" i="6"/>
  <c r="AA200" i="6"/>
  <c r="AB200" i="6"/>
  <c r="X201" i="6"/>
  <c r="Y201" i="6"/>
  <c r="Z201" i="6"/>
  <c r="AA201" i="6"/>
  <c r="AB201" i="6"/>
  <c r="X202" i="6"/>
  <c r="Y202" i="6"/>
  <c r="Z202" i="6"/>
  <c r="AA202" i="6"/>
  <c r="AB202" i="6"/>
  <c r="X203" i="6"/>
  <c r="Y203" i="6"/>
  <c r="Z203" i="6"/>
  <c r="AA203" i="6"/>
  <c r="AB203" i="6"/>
  <c r="X204" i="6"/>
  <c r="Y204" i="6"/>
  <c r="Z204" i="6"/>
  <c r="AA204" i="6"/>
  <c r="AB204" i="6"/>
  <c r="X205" i="6"/>
  <c r="Y205" i="6"/>
  <c r="Z205" i="6"/>
  <c r="AA205" i="6"/>
  <c r="AB205" i="6"/>
  <c r="X206" i="6"/>
  <c r="Y206" i="6"/>
  <c r="Z206" i="6"/>
  <c r="AA206" i="6"/>
  <c r="AB206" i="6"/>
  <c r="X207" i="6"/>
  <c r="Y207" i="6"/>
  <c r="Z207" i="6"/>
  <c r="AA207" i="6"/>
  <c r="AB207" i="6"/>
  <c r="X208" i="6"/>
  <c r="Y208" i="6"/>
  <c r="Z208" i="6"/>
  <c r="AA208" i="6"/>
  <c r="AB208" i="6"/>
  <c r="X209" i="6"/>
  <c r="Y209" i="6"/>
  <c r="Z209" i="6"/>
  <c r="AA209" i="6"/>
  <c r="AB209" i="6"/>
  <c r="X210" i="6"/>
  <c r="Y210" i="6"/>
  <c r="Z210" i="6"/>
  <c r="AA210" i="6"/>
  <c r="AB210" i="6"/>
  <c r="X211" i="6"/>
  <c r="Y211" i="6"/>
  <c r="Z211" i="6"/>
  <c r="AA211" i="6"/>
  <c r="AB211" i="6"/>
  <c r="X212" i="6"/>
  <c r="Y212" i="6"/>
  <c r="Z212" i="6"/>
  <c r="AA212" i="6"/>
  <c r="AB212" i="6"/>
  <c r="X213" i="6"/>
  <c r="Y213" i="6"/>
  <c r="Z213" i="6"/>
  <c r="AA213" i="6"/>
  <c r="AB213" i="6"/>
  <c r="X214" i="6"/>
  <c r="Y214" i="6"/>
  <c r="Z214" i="6"/>
  <c r="AA214" i="6"/>
  <c r="AB214" i="6"/>
  <c r="X215" i="6"/>
  <c r="Y215" i="6"/>
  <c r="Z215" i="6"/>
  <c r="AA215" i="6"/>
  <c r="AB215" i="6"/>
  <c r="X216" i="6"/>
  <c r="Y216" i="6"/>
  <c r="Z216" i="6"/>
  <c r="AA216" i="6"/>
  <c r="AB216" i="6"/>
  <c r="X217" i="6"/>
  <c r="Y217" i="6"/>
  <c r="Z217" i="6"/>
  <c r="AA217" i="6"/>
  <c r="AB217" i="6"/>
  <c r="X218" i="6"/>
  <c r="Y218" i="6"/>
  <c r="Z218" i="6"/>
  <c r="AA218" i="6"/>
  <c r="AB218" i="6"/>
  <c r="X219" i="6"/>
  <c r="Y219" i="6"/>
  <c r="Z219" i="6"/>
  <c r="AA219" i="6"/>
  <c r="AB219" i="6"/>
  <c r="X220" i="6"/>
  <c r="Y220" i="6"/>
  <c r="Z220" i="6"/>
  <c r="AA220" i="6"/>
  <c r="AB220" i="6"/>
  <c r="X221" i="6"/>
  <c r="Y221" i="6"/>
  <c r="Z221" i="6"/>
  <c r="AA221" i="6"/>
  <c r="AB221" i="6"/>
  <c r="X222" i="6"/>
  <c r="Y222" i="6"/>
  <c r="Z222" i="6"/>
  <c r="AA222" i="6"/>
  <c r="AB222" i="6"/>
  <c r="X223" i="6"/>
  <c r="Y223" i="6"/>
  <c r="Z223" i="6"/>
  <c r="AA223" i="6"/>
  <c r="AB223" i="6"/>
  <c r="X224" i="6"/>
  <c r="Y224" i="6"/>
  <c r="Z224" i="6"/>
  <c r="AA224" i="6"/>
  <c r="AB224" i="6"/>
  <c r="X225" i="6"/>
  <c r="Y225" i="6"/>
  <c r="Z225" i="6"/>
  <c r="AA225" i="6"/>
  <c r="AB225" i="6"/>
  <c r="X226" i="6"/>
  <c r="Y226" i="6"/>
  <c r="Z226" i="6"/>
  <c r="AA226" i="6"/>
  <c r="AB226" i="6"/>
  <c r="X227" i="6"/>
  <c r="Y227" i="6"/>
  <c r="Z227" i="6"/>
  <c r="AA227" i="6"/>
  <c r="AB227" i="6"/>
  <c r="X228" i="6"/>
  <c r="Y228" i="6"/>
  <c r="Z228" i="6"/>
  <c r="AA228" i="6"/>
  <c r="AB228" i="6"/>
  <c r="X229" i="6"/>
  <c r="Y229" i="6"/>
  <c r="Z229" i="6"/>
  <c r="AA229" i="6"/>
  <c r="AB229" i="6"/>
  <c r="X230" i="6"/>
  <c r="Y230" i="6"/>
  <c r="Z230" i="6"/>
  <c r="AA230" i="6"/>
  <c r="AB230" i="6"/>
  <c r="X231" i="6"/>
  <c r="Y231" i="6"/>
  <c r="Z231" i="6"/>
  <c r="AA231" i="6"/>
  <c r="AB231" i="6"/>
  <c r="X232" i="6"/>
  <c r="Y232" i="6"/>
  <c r="Z232" i="6"/>
  <c r="AA232" i="6"/>
  <c r="AB232" i="6"/>
  <c r="X233" i="6"/>
  <c r="Y233" i="6"/>
  <c r="Z233" i="6"/>
  <c r="AA233" i="6"/>
  <c r="AB233" i="6"/>
  <c r="X234" i="6"/>
  <c r="Y234" i="6"/>
  <c r="Z234" i="6"/>
  <c r="AA234" i="6"/>
  <c r="AB234" i="6"/>
  <c r="X235" i="6"/>
  <c r="Y235" i="6"/>
  <c r="Z235" i="6"/>
  <c r="AA235" i="6"/>
  <c r="AB235" i="6"/>
  <c r="X236" i="6"/>
  <c r="Y236" i="6"/>
  <c r="Z236" i="6"/>
  <c r="AA236" i="6"/>
  <c r="AB236" i="6"/>
  <c r="X237" i="6"/>
  <c r="Y237" i="6"/>
  <c r="Z237" i="6"/>
  <c r="AA237" i="6"/>
  <c r="AB237" i="6"/>
  <c r="X238" i="6"/>
  <c r="Y238" i="6"/>
  <c r="Z238" i="6"/>
  <c r="AA238" i="6"/>
  <c r="AB238" i="6"/>
  <c r="X239" i="6"/>
  <c r="Y239" i="6"/>
  <c r="Z239" i="6"/>
  <c r="AA239" i="6"/>
  <c r="AB239" i="6"/>
  <c r="X240" i="6"/>
  <c r="Y240" i="6"/>
  <c r="Z240" i="6"/>
  <c r="AA240" i="6"/>
  <c r="AB240" i="6"/>
  <c r="X241" i="6"/>
  <c r="Y241" i="6"/>
  <c r="Z241" i="6"/>
  <c r="AA241" i="6"/>
  <c r="AB241" i="6"/>
  <c r="X242" i="6"/>
  <c r="Y242" i="6"/>
  <c r="Z242" i="6"/>
  <c r="AA242" i="6"/>
  <c r="AB242" i="6"/>
  <c r="X243" i="6"/>
  <c r="Y243" i="6"/>
  <c r="Z243" i="6"/>
  <c r="AA243" i="6"/>
  <c r="AB243" i="6"/>
  <c r="X244" i="6"/>
  <c r="Y244" i="6"/>
  <c r="Z244" i="6"/>
  <c r="AA244" i="6"/>
  <c r="AB244" i="6"/>
  <c r="X245" i="6"/>
  <c r="Y245" i="6"/>
  <c r="Z245" i="6"/>
  <c r="AA245" i="6"/>
  <c r="AB245" i="6"/>
  <c r="X246" i="6"/>
  <c r="Y246" i="6"/>
  <c r="Z246" i="6"/>
  <c r="AA246" i="6"/>
  <c r="AB246" i="6"/>
  <c r="X247" i="6"/>
  <c r="Y247" i="6"/>
  <c r="Z247" i="6"/>
  <c r="AA247" i="6"/>
  <c r="AB247" i="6"/>
  <c r="X248" i="6"/>
  <c r="Y248" i="6"/>
  <c r="Z248" i="6"/>
  <c r="AA248" i="6"/>
  <c r="AB248" i="6"/>
  <c r="X249" i="6"/>
  <c r="Y249" i="6"/>
  <c r="Z249" i="6"/>
  <c r="AA249" i="6"/>
  <c r="AB249" i="6"/>
  <c r="X250" i="6"/>
  <c r="Y250" i="6"/>
  <c r="Z250" i="6"/>
  <c r="AA250" i="6"/>
  <c r="AB250" i="6"/>
  <c r="X251" i="6"/>
  <c r="Y251" i="6"/>
  <c r="Z251" i="6"/>
  <c r="AA251" i="6"/>
  <c r="AB251" i="6"/>
  <c r="X252" i="6"/>
  <c r="Y252" i="6"/>
  <c r="Z252" i="6"/>
  <c r="AA252" i="6"/>
  <c r="AB252" i="6"/>
  <c r="X253" i="6"/>
  <c r="Y253" i="6"/>
  <c r="Z253" i="6"/>
  <c r="AA253" i="6"/>
  <c r="AB253" i="6"/>
  <c r="X254" i="6"/>
  <c r="Y254" i="6"/>
  <c r="Z254" i="6"/>
  <c r="AA254" i="6"/>
  <c r="AB254" i="6"/>
  <c r="X255" i="6"/>
  <c r="Y255" i="6"/>
  <c r="Z255" i="6"/>
  <c r="AA255" i="6"/>
  <c r="AB255" i="6"/>
  <c r="X256" i="6"/>
  <c r="Y256" i="6"/>
  <c r="Z256" i="6"/>
  <c r="AA256" i="6"/>
  <c r="AB256" i="6"/>
  <c r="X257" i="6"/>
  <c r="Y257" i="6"/>
  <c r="Z257" i="6"/>
  <c r="AA257" i="6"/>
  <c r="AB257" i="6"/>
  <c r="X258" i="6"/>
  <c r="Y258" i="6"/>
  <c r="Z258" i="6"/>
  <c r="AA258" i="6"/>
  <c r="AB258" i="6"/>
  <c r="X259" i="6"/>
  <c r="Y259" i="6"/>
  <c r="Z259" i="6"/>
  <c r="AA259" i="6"/>
  <c r="AB259" i="6"/>
  <c r="X260" i="6"/>
  <c r="Y260" i="6"/>
  <c r="Z260" i="6"/>
  <c r="AA260" i="6"/>
  <c r="AB260" i="6"/>
  <c r="X261" i="6"/>
  <c r="Y261" i="6"/>
  <c r="Z261" i="6"/>
  <c r="AA261" i="6"/>
  <c r="AB261" i="6"/>
  <c r="X262" i="6"/>
  <c r="Y262" i="6"/>
  <c r="Z262" i="6"/>
  <c r="AA262" i="6"/>
  <c r="AB262" i="6"/>
  <c r="X263" i="6"/>
  <c r="Y263" i="6"/>
  <c r="Z263" i="6"/>
  <c r="AA263" i="6"/>
  <c r="AB263" i="6"/>
  <c r="X264" i="6"/>
  <c r="Y264" i="6"/>
  <c r="Z264" i="6"/>
  <c r="AA264" i="6"/>
  <c r="AB264" i="6"/>
  <c r="X265" i="6"/>
  <c r="Y265" i="6"/>
  <c r="Z265" i="6"/>
  <c r="AA265" i="6"/>
  <c r="AB265" i="6"/>
  <c r="X266" i="6"/>
  <c r="Y266" i="6"/>
  <c r="Z266" i="6"/>
  <c r="AA266" i="6"/>
  <c r="AB266" i="6"/>
  <c r="X267" i="6"/>
  <c r="Y267" i="6"/>
  <c r="Z267" i="6"/>
  <c r="AA267" i="6"/>
  <c r="AB267" i="6"/>
  <c r="X268" i="6"/>
  <c r="Y268" i="6"/>
  <c r="Z268" i="6"/>
  <c r="AA268" i="6"/>
  <c r="AB268" i="6"/>
  <c r="X269" i="6"/>
  <c r="Y269" i="6"/>
  <c r="Z269" i="6"/>
  <c r="AA269" i="6"/>
  <c r="AB269" i="6"/>
  <c r="X270" i="6"/>
  <c r="Y270" i="6"/>
  <c r="Z270" i="6"/>
  <c r="AA270" i="6"/>
  <c r="AB270" i="6"/>
  <c r="X271" i="6"/>
  <c r="Y271" i="6"/>
  <c r="Z271" i="6"/>
  <c r="AA271" i="6"/>
  <c r="AB271" i="6"/>
  <c r="X272" i="6"/>
  <c r="Y272" i="6"/>
  <c r="Z272" i="6"/>
  <c r="AA272" i="6"/>
  <c r="AB272" i="6"/>
  <c r="X273" i="6"/>
  <c r="Y273" i="6"/>
  <c r="Z273" i="6"/>
  <c r="AA273" i="6"/>
  <c r="AB273" i="6"/>
  <c r="X274" i="6"/>
  <c r="Y274" i="6"/>
  <c r="Z274" i="6"/>
  <c r="AA274" i="6"/>
  <c r="AB274" i="6"/>
  <c r="X275" i="6"/>
  <c r="Y275" i="6"/>
  <c r="Z275" i="6"/>
  <c r="AA275" i="6"/>
  <c r="AB275" i="6"/>
  <c r="X276" i="6"/>
  <c r="Y276" i="6"/>
  <c r="Z276" i="6"/>
  <c r="AA276" i="6"/>
  <c r="AB276" i="6"/>
  <c r="X277" i="6"/>
  <c r="Y277" i="6"/>
  <c r="Z277" i="6"/>
  <c r="AA277" i="6"/>
  <c r="AB277" i="6"/>
  <c r="X278" i="6"/>
  <c r="Y278" i="6"/>
  <c r="Z278" i="6"/>
  <c r="AA278" i="6"/>
  <c r="AB278" i="6"/>
  <c r="X279" i="6"/>
  <c r="Y279" i="6"/>
  <c r="Z279" i="6"/>
  <c r="AA279" i="6"/>
  <c r="AB279" i="6"/>
  <c r="X280" i="6"/>
  <c r="Y280" i="6"/>
  <c r="Z280" i="6"/>
  <c r="AA280" i="6"/>
  <c r="AB280" i="6"/>
  <c r="X281" i="6"/>
  <c r="Y281" i="6"/>
  <c r="Z281" i="6"/>
  <c r="AA281" i="6"/>
  <c r="AB281" i="6"/>
  <c r="X282" i="6"/>
  <c r="Y282" i="6"/>
  <c r="Z282" i="6"/>
  <c r="AA282" i="6"/>
  <c r="AB282" i="6"/>
  <c r="X283" i="6"/>
  <c r="Y283" i="6"/>
  <c r="Z283" i="6"/>
  <c r="AA283" i="6"/>
  <c r="AB283" i="6"/>
  <c r="X284" i="6"/>
  <c r="Y284" i="6"/>
  <c r="Z284" i="6"/>
  <c r="AA284" i="6"/>
  <c r="AB284" i="6"/>
  <c r="X285" i="6"/>
  <c r="Y285" i="6"/>
  <c r="Z285" i="6"/>
  <c r="AA285" i="6"/>
  <c r="AB285" i="6"/>
  <c r="X286" i="6"/>
  <c r="Y286" i="6"/>
  <c r="Z286" i="6"/>
  <c r="AA286" i="6"/>
  <c r="AB286" i="6"/>
  <c r="X287" i="6"/>
  <c r="Y287" i="6"/>
  <c r="Z287" i="6"/>
  <c r="AA287" i="6"/>
  <c r="AB287" i="6"/>
  <c r="X288" i="6"/>
  <c r="Y288" i="6"/>
  <c r="Z288" i="6"/>
  <c r="AA288" i="6"/>
  <c r="AB288" i="6"/>
  <c r="X289" i="6"/>
  <c r="Y289" i="6"/>
  <c r="Z289" i="6"/>
  <c r="AA289" i="6"/>
  <c r="AB289" i="6"/>
  <c r="X6" i="6"/>
  <c r="Y6" i="6"/>
  <c r="Z6" i="6"/>
  <c r="AA6" i="6"/>
  <c r="AB6" i="6"/>
  <c r="X7" i="6"/>
  <c r="Y7" i="6"/>
  <c r="Z7" i="6"/>
  <c r="AA7" i="6"/>
  <c r="AB7" i="6"/>
  <c r="X8" i="6"/>
  <c r="Y8" i="6"/>
  <c r="Z8" i="6"/>
  <c r="AA8" i="6"/>
  <c r="AB8" i="6"/>
  <c r="X9" i="6"/>
  <c r="Y9" i="6"/>
  <c r="Z9" i="6"/>
  <c r="AA9" i="6"/>
  <c r="AB9" i="6"/>
  <c r="X10" i="6"/>
  <c r="Y10" i="6"/>
  <c r="Z10" i="6"/>
  <c r="AA10" i="6"/>
  <c r="AB10" i="6"/>
  <c r="X11" i="6"/>
  <c r="Y11" i="6"/>
  <c r="Z11" i="6"/>
  <c r="AA11" i="6"/>
  <c r="AB11" i="6"/>
  <c r="X12" i="6"/>
  <c r="Y12" i="6"/>
  <c r="Z12" i="6"/>
  <c r="AA12" i="6"/>
  <c r="AB12" i="6"/>
  <c r="X13" i="6"/>
  <c r="Y13" i="6"/>
  <c r="Z13" i="6"/>
  <c r="AA13" i="6"/>
  <c r="AB13" i="6"/>
  <c r="X14" i="6"/>
  <c r="Y14" i="6"/>
  <c r="Z14" i="6"/>
  <c r="AA14" i="6"/>
  <c r="AB14" i="6"/>
  <c r="X15" i="6"/>
  <c r="Y15" i="6"/>
  <c r="Z15" i="6"/>
  <c r="AA15" i="6"/>
  <c r="AB15" i="6"/>
  <c r="X16" i="6"/>
  <c r="Y16" i="6"/>
  <c r="Z16" i="6"/>
  <c r="AA16" i="6"/>
  <c r="AB16" i="6"/>
  <c r="X17" i="6"/>
  <c r="Y17" i="6"/>
  <c r="Z17" i="6"/>
  <c r="AA17" i="6"/>
  <c r="AB17" i="6"/>
  <c r="X18" i="6"/>
  <c r="Y18" i="6"/>
  <c r="Z18" i="6"/>
  <c r="AA18" i="6"/>
  <c r="AB18" i="6"/>
  <c r="X19" i="6"/>
  <c r="Y19" i="6"/>
  <c r="Z19" i="6"/>
  <c r="AA19" i="6"/>
  <c r="AB19" i="6"/>
  <c r="X20" i="6"/>
  <c r="Y20" i="6"/>
  <c r="Z20" i="6"/>
  <c r="AA20" i="6"/>
  <c r="AB20" i="6"/>
  <c r="X21" i="6"/>
  <c r="Y21" i="6"/>
  <c r="Z21" i="6"/>
  <c r="AA21" i="6"/>
  <c r="AB21" i="6"/>
  <c r="X22" i="6"/>
  <c r="Y22" i="6"/>
  <c r="Z22" i="6"/>
  <c r="AA22" i="6"/>
  <c r="AB22" i="6"/>
  <c r="X23" i="6"/>
  <c r="Y23" i="6"/>
  <c r="Z23" i="6"/>
  <c r="AA23" i="6"/>
  <c r="AB23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X27" i="6"/>
  <c r="Y27" i="6"/>
  <c r="Z27" i="6"/>
  <c r="AA27" i="6"/>
  <c r="AB27" i="6"/>
  <c r="X28" i="6"/>
  <c r="Y28" i="6"/>
  <c r="Z28" i="6"/>
  <c r="AA28" i="6"/>
  <c r="AB28" i="6"/>
  <c r="X29" i="6"/>
  <c r="Y29" i="6"/>
  <c r="Z29" i="6"/>
  <c r="AA29" i="6"/>
  <c r="AB29" i="6"/>
  <c r="X30" i="6"/>
  <c r="Y30" i="6"/>
  <c r="Z30" i="6"/>
  <c r="AA30" i="6"/>
  <c r="AB30" i="6"/>
  <c r="X31" i="6"/>
  <c r="Y31" i="6"/>
  <c r="Z31" i="6"/>
  <c r="AA31" i="6"/>
  <c r="AB31" i="6"/>
  <c r="X32" i="6"/>
  <c r="Y32" i="6"/>
  <c r="Z32" i="6"/>
  <c r="AA32" i="6"/>
  <c r="AB32" i="6"/>
  <c r="X33" i="6"/>
  <c r="Y33" i="6"/>
  <c r="Z33" i="6"/>
  <c r="AA33" i="6"/>
  <c r="AB33" i="6"/>
  <c r="X34" i="6"/>
  <c r="Y34" i="6"/>
  <c r="Z34" i="6"/>
  <c r="AA34" i="6"/>
  <c r="AB34" i="6"/>
  <c r="X35" i="6"/>
  <c r="Y35" i="6"/>
  <c r="Z35" i="6"/>
  <c r="AA35" i="6"/>
  <c r="AB35" i="6"/>
  <c r="X36" i="6"/>
  <c r="Y36" i="6"/>
  <c r="Z36" i="6"/>
  <c r="AA36" i="6"/>
  <c r="AB36" i="6"/>
  <c r="X37" i="6"/>
  <c r="Y37" i="6"/>
  <c r="Z37" i="6"/>
  <c r="AA37" i="6"/>
  <c r="AB37" i="6"/>
  <c r="X38" i="6"/>
  <c r="Y38" i="6"/>
  <c r="Z38" i="6"/>
  <c r="AA38" i="6"/>
  <c r="AB38" i="6"/>
  <c r="X39" i="6"/>
  <c r="Y39" i="6"/>
  <c r="Z39" i="6"/>
  <c r="AA39" i="6"/>
  <c r="AB39" i="6"/>
  <c r="X40" i="6"/>
  <c r="Y40" i="6"/>
  <c r="Z40" i="6"/>
  <c r="AA40" i="6"/>
  <c r="AB40" i="6"/>
  <c r="X41" i="6"/>
  <c r="Y41" i="6"/>
  <c r="Z41" i="6"/>
  <c r="AA41" i="6"/>
  <c r="AB41" i="6"/>
  <c r="X42" i="6"/>
  <c r="Y42" i="6"/>
  <c r="Z42" i="6"/>
  <c r="AA42" i="6"/>
  <c r="AB42" i="6"/>
  <c r="AF4" i="6"/>
  <c r="AC4" i="6"/>
  <c r="AB1" i="6"/>
  <c r="AF4" i="5" a="1"/>
  <c r="AF4" i="5" s="1"/>
  <c r="AL3" i="8"/>
  <c r="AM3" i="8"/>
  <c r="AN3" i="8"/>
  <c r="AO3" i="8"/>
  <c r="AP3" i="8"/>
  <c r="AL4" i="8"/>
  <c r="AM4" i="8"/>
  <c r="AN4" i="8"/>
  <c r="AO4" i="8"/>
  <c r="AP4" i="8"/>
  <c r="AL5" i="8"/>
  <c r="AM5" i="8"/>
  <c r="AN5" i="8"/>
  <c r="AO5" i="8"/>
  <c r="AP5" i="8"/>
  <c r="AL6" i="8"/>
  <c r="AM6" i="8"/>
  <c r="AN6" i="8"/>
  <c r="AO6" i="8"/>
  <c r="AP6" i="8"/>
  <c r="AL7" i="8"/>
  <c r="AM7" i="8"/>
  <c r="AN7" i="8"/>
  <c r="AO7" i="8"/>
  <c r="AP7" i="8"/>
  <c r="AL8" i="8"/>
  <c r="AM8" i="8"/>
  <c r="AN8" i="8"/>
  <c r="AO8" i="8"/>
  <c r="AP8" i="8"/>
  <c r="AL9" i="8"/>
  <c r="AM9" i="8"/>
  <c r="AN9" i="8"/>
  <c r="AO9" i="8"/>
  <c r="AP9" i="8"/>
  <c r="AL10" i="8"/>
  <c r="AM10" i="8"/>
  <c r="AN10" i="8"/>
  <c r="AO10" i="8"/>
  <c r="AP10" i="8"/>
  <c r="AL11" i="8"/>
  <c r="AM11" i="8"/>
  <c r="AN11" i="8"/>
  <c r="AO11" i="8"/>
  <c r="AP11" i="8"/>
  <c r="AL12" i="8"/>
  <c r="AM12" i="8"/>
  <c r="AN12" i="8"/>
  <c r="AO12" i="8"/>
  <c r="AP12" i="8"/>
  <c r="AL13" i="8"/>
  <c r="AM13" i="8"/>
  <c r="AN13" i="8"/>
  <c r="AO13" i="8"/>
  <c r="AP13" i="8"/>
  <c r="AL14" i="8"/>
  <c r="AM14" i="8"/>
  <c r="AN14" i="8"/>
  <c r="AO14" i="8"/>
  <c r="AP14" i="8"/>
  <c r="AL15" i="8"/>
  <c r="AM15" i="8"/>
  <c r="AN15" i="8"/>
  <c r="AO15" i="8"/>
  <c r="AP15" i="8"/>
  <c r="AL16" i="8"/>
  <c r="AM16" i="8"/>
  <c r="AN16" i="8"/>
  <c r="AO16" i="8"/>
  <c r="AP16" i="8"/>
  <c r="AL17" i="8"/>
  <c r="AM17" i="8"/>
  <c r="AN17" i="8"/>
  <c r="AO17" i="8"/>
  <c r="AP17" i="8"/>
  <c r="AL18" i="8"/>
  <c r="AM18" i="8"/>
  <c r="AN18" i="8"/>
  <c r="AO18" i="8"/>
  <c r="AP18" i="8"/>
  <c r="AL19" i="8"/>
  <c r="AM19" i="8"/>
  <c r="AN19" i="8"/>
  <c r="AO19" i="8"/>
  <c r="AP19" i="8"/>
  <c r="AL20" i="8"/>
  <c r="AM20" i="8"/>
  <c r="AN20" i="8"/>
  <c r="AO20" i="8"/>
  <c r="AP20" i="8"/>
  <c r="AL21" i="8"/>
  <c r="AM21" i="8"/>
  <c r="AN21" i="8"/>
  <c r="AO21" i="8"/>
  <c r="AP21" i="8"/>
  <c r="AL22" i="8"/>
  <c r="AM22" i="8"/>
  <c r="AN22" i="8"/>
  <c r="AO22" i="8"/>
  <c r="AP22" i="8"/>
  <c r="AL23" i="8"/>
  <c r="AM23" i="8"/>
  <c r="AN23" i="8"/>
  <c r="AO23" i="8"/>
  <c r="AP23" i="8"/>
  <c r="AL24" i="8"/>
  <c r="AM24" i="8"/>
  <c r="AN24" i="8"/>
  <c r="AO24" i="8"/>
  <c r="AP24" i="8"/>
  <c r="AL25" i="8"/>
  <c r="AM25" i="8"/>
  <c r="AN25" i="8"/>
  <c r="AO25" i="8"/>
  <c r="AP25" i="8"/>
  <c r="AL26" i="8"/>
  <c r="AM26" i="8"/>
  <c r="AN26" i="8"/>
  <c r="AO26" i="8"/>
  <c r="AP26" i="8"/>
  <c r="AL27" i="8"/>
  <c r="AM27" i="8"/>
  <c r="AN27" i="8"/>
  <c r="AO27" i="8"/>
  <c r="AP27" i="8"/>
  <c r="AL28" i="8"/>
  <c r="AM28" i="8"/>
  <c r="AN28" i="8"/>
  <c r="AO28" i="8"/>
  <c r="AP28" i="8"/>
  <c r="AL29" i="8"/>
  <c r="AM29" i="8"/>
  <c r="AN29" i="8"/>
  <c r="AO29" i="8"/>
  <c r="AP29" i="8"/>
  <c r="AL30" i="8"/>
  <c r="AM30" i="8"/>
  <c r="AN30" i="8"/>
  <c r="AO30" i="8"/>
  <c r="AP30" i="8"/>
  <c r="AL31" i="8"/>
  <c r="AM31" i="8"/>
  <c r="AN31" i="8"/>
  <c r="AO31" i="8"/>
  <c r="AP31" i="8"/>
  <c r="AL32" i="8"/>
  <c r="AM32" i="8"/>
  <c r="AN32" i="8"/>
  <c r="AO32" i="8"/>
  <c r="AP32" i="8"/>
  <c r="AL33" i="8"/>
  <c r="AM33" i="8"/>
  <c r="AN33" i="8"/>
  <c r="AO33" i="8"/>
  <c r="AP33" i="8"/>
  <c r="AL34" i="8"/>
  <c r="AM34" i="8"/>
  <c r="AN34" i="8"/>
  <c r="AO34" i="8"/>
  <c r="AP34" i="8"/>
  <c r="AL35" i="8"/>
  <c r="AM35" i="8"/>
  <c r="AN35" i="8"/>
  <c r="AO35" i="8"/>
  <c r="AP35" i="8"/>
  <c r="AL36" i="8"/>
  <c r="AM36" i="8"/>
  <c r="AN36" i="8"/>
  <c r="AO36" i="8"/>
  <c r="AP36" i="8"/>
  <c r="AL37" i="8"/>
  <c r="AM37" i="8"/>
  <c r="AN37" i="8"/>
  <c r="AO37" i="8"/>
  <c r="AP37" i="8"/>
  <c r="AM2" i="8"/>
  <c r="AN2" i="8"/>
  <c r="AO2" i="8"/>
  <c r="AP2" i="8"/>
  <c r="AL2" i="8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6" i="5"/>
  <c r="T36" i="5"/>
  <c r="S37" i="5"/>
  <c r="T37" i="5"/>
  <c r="S38" i="5"/>
  <c r="T38" i="5"/>
  <c r="S39" i="5"/>
  <c r="T39" i="5"/>
  <c r="S40" i="5"/>
  <c r="T40" i="5"/>
  <c r="S41" i="5"/>
  <c r="T41" i="5"/>
  <c r="S42" i="5"/>
  <c r="T42" i="5"/>
  <c r="S43" i="5"/>
  <c r="T43" i="5"/>
  <c r="S44" i="5"/>
  <c r="T44" i="5"/>
  <c r="S45" i="5"/>
  <c r="T45" i="5"/>
  <c r="S46" i="5"/>
  <c r="T46" i="5"/>
  <c r="S47" i="5"/>
  <c r="T47" i="5"/>
  <c r="S48" i="5"/>
  <c r="T48" i="5"/>
  <c r="S49" i="5"/>
  <c r="T49" i="5"/>
  <c r="S50" i="5"/>
  <c r="T50" i="5"/>
  <c r="S51" i="5"/>
  <c r="T51" i="5"/>
  <c r="S52" i="5"/>
  <c r="T52" i="5"/>
  <c r="S53" i="5"/>
  <c r="T53" i="5"/>
  <c r="S54" i="5"/>
  <c r="T54" i="5"/>
  <c r="S55" i="5"/>
  <c r="T55" i="5"/>
  <c r="S56" i="5"/>
  <c r="T56" i="5"/>
  <c r="S57" i="5"/>
  <c r="T57" i="5"/>
  <c r="S58" i="5"/>
  <c r="T58" i="5"/>
  <c r="S59" i="5"/>
  <c r="T59" i="5"/>
  <c r="S60" i="5"/>
  <c r="T60" i="5"/>
  <c r="S61" i="5"/>
  <c r="T61" i="5"/>
  <c r="S62" i="5"/>
  <c r="T62" i="5"/>
  <c r="S63" i="5"/>
  <c r="T63" i="5"/>
  <c r="S64" i="5"/>
  <c r="T64" i="5"/>
  <c r="S65" i="5"/>
  <c r="T65" i="5"/>
  <c r="S66" i="5"/>
  <c r="T66" i="5"/>
  <c r="S67" i="5"/>
  <c r="T67" i="5"/>
  <c r="S68" i="5"/>
  <c r="T68" i="5"/>
  <c r="S69" i="5"/>
  <c r="T69" i="5"/>
  <c r="S70" i="5"/>
  <c r="T70" i="5"/>
  <c r="S71" i="5"/>
  <c r="T71" i="5"/>
  <c r="S72" i="5"/>
  <c r="T72" i="5"/>
  <c r="S73" i="5"/>
  <c r="T73" i="5"/>
  <c r="S74" i="5"/>
  <c r="T74" i="5"/>
  <c r="S75" i="5"/>
  <c r="T75" i="5"/>
  <c r="S76" i="5"/>
  <c r="T76" i="5"/>
  <c r="S77" i="5"/>
  <c r="T77" i="5"/>
  <c r="S78" i="5"/>
  <c r="T78" i="5"/>
  <c r="S79" i="5"/>
  <c r="T79" i="5"/>
  <c r="S80" i="5"/>
  <c r="T80" i="5"/>
  <c r="S81" i="5"/>
  <c r="T81" i="5"/>
  <c r="S82" i="5"/>
  <c r="T82" i="5"/>
  <c r="S83" i="5"/>
  <c r="T83" i="5"/>
  <c r="S84" i="5"/>
  <c r="T84" i="5"/>
  <c r="S85" i="5"/>
  <c r="T85" i="5"/>
  <c r="S86" i="5"/>
  <c r="T86" i="5"/>
  <c r="S87" i="5"/>
  <c r="T87" i="5"/>
  <c r="S88" i="5"/>
  <c r="T88" i="5"/>
  <c r="S89" i="5"/>
  <c r="T89" i="5"/>
  <c r="S90" i="5"/>
  <c r="T90" i="5"/>
  <c r="S91" i="5"/>
  <c r="T91" i="5"/>
  <c r="S92" i="5"/>
  <c r="T92" i="5"/>
  <c r="S93" i="5"/>
  <c r="T93" i="5"/>
  <c r="S94" i="5"/>
  <c r="T94" i="5"/>
  <c r="S95" i="5"/>
  <c r="T95" i="5"/>
  <c r="S96" i="5"/>
  <c r="T96" i="5"/>
  <c r="S97" i="5"/>
  <c r="T97" i="5"/>
  <c r="S98" i="5"/>
  <c r="T98" i="5"/>
  <c r="S99" i="5"/>
  <c r="T99" i="5"/>
  <c r="S100" i="5"/>
  <c r="T100" i="5"/>
  <c r="S101" i="5"/>
  <c r="T101" i="5"/>
  <c r="S102" i="5"/>
  <c r="T102" i="5"/>
  <c r="S103" i="5"/>
  <c r="T103" i="5"/>
  <c r="S104" i="5"/>
  <c r="T104" i="5"/>
  <c r="S105" i="5"/>
  <c r="T105" i="5"/>
  <c r="S106" i="5"/>
  <c r="T106" i="5"/>
  <c r="S107" i="5"/>
  <c r="T107" i="5"/>
  <c r="S108" i="5"/>
  <c r="T108" i="5"/>
  <c r="S109" i="5"/>
  <c r="T109" i="5"/>
  <c r="S110" i="5"/>
  <c r="T110" i="5"/>
  <c r="S111" i="5"/>
  <c r="T111" i="5"/>
  <c r="S112" i="5"/>
  <c r="T112" i="5"/>
  <c r="S113" i="5"/>
  <c r="T113" i="5"/>
  <c r="S114" i="5"/>
  <c r="T114" i="5"/>
  <c r="S115" i="5"/>
  <c r="T115" i="5"/>
  <c r="S116" i="5"/>
  <c r="T116" i="5"/>
  <c r="S117" i="5"/>
  <c r="T117" i="5"/>
  <c r="S118" i="5"/>
  <c r="T118" i="5"/>
  <c r="S119" i="5"/>
  <c r="T119" i="5"/>
  <c r="S120" i="5"/>
  <c r="T120" i="5"/>
  <c r="S121" i="5"/>
  <c r="T121" i="5"/>
  <c r="S122" i="5"/>
  <c r="T122" i="5"/>
  <c r="S123" i="5"/>
  <c r="T123" i="5"/>
  <c r="S124" i="5"/>
  <c r="T124" i="5"/>
  <c r="S125" i="5"/>
  <c r="T125" i="5"/>
  <c r="S126" i="5"/>
  <c r="T126" i="5"/>
  <c r="S127" i="5"/>
  <c r="T127" i="5"/>
  <c r="S128" i="5"/>
  <c r="T128" i="5"/>
  <c r="S129" i="5"/>
  <c r="T129" i="5"/>
  <c r="S130" i="5"/>
  <c r="T130" i="5"/>
  <c r="S131" i="5"/>
  <c r="T131" i="5"/>
  <c r="S132" i="5"/>
  <c r="T132" i="5"/>
  <c r="S133" i="5"/>
  <c r="T133" i="5"/>
  <c r="S134" i="5"/>
  <c r="T134" i="5"/>
  <c r="S135" i="5"/>
  <c r="T135" i="5"/>
  <c r="S136" i="5"/>
  <c r="T136" i="5"/>
  <c r="S137" i="5"/>
  <c r="T137" i="5"/>
  <c r="S138" i="5"/>
  <c r="T138" i="5"/>
  <c r="S139" i="5"/>
  <c r="T139" i="5"/>
  <c r="S140" i="5"/>
  <c r="T140" i="5"/>
  <c r="S141" i="5"/>
  <c r="T141" i="5"/>
  <c r="S142" i="5"/>
  <c r="T142" i="5"/>
  <c r="S143" i="5"/>
  <c r="T143" i="5"/>
  <c r="S144" i="5"/>
  <c r="T144" i="5"/>
  <c r="S145" i="5"/>
  <c r="T145" i="5"/>
  <c r="S146" i="5"/>
  <c r="T146" i="5"/>
  <c r="S147" i="5"/>
  <c r="T147" i="5"/>
  <c r="S148" i="5"/>
  <c r="T148" i="5"/>
  <c r="S149" i="5"/>
  <c r="T149" i="5"/>
  <c r="S150" i="5"/>
  <c r="T150" i="5"/>
  <c r="S151" i="5"/>
  <c r="T151" i="5"/>
  <c r="S152" i="5"/>
  <c r="T152" i="5"/>
  <c r="S153" i="5"/>
  <c r="T153" i="5"/>
  <c r="S154" i="5"/>
  <c r="T154" i="5"/>
  <c r="S155" i="5"/>
  <c r="T155" i="5"/>
  <c r="S156" i="5"/>
  <c r="T156" i="5"/>
  <c r="S157" i="5"/>
  <c r="T157" i="5"/>
  <c r="S158" i="5"/>
  <c r="T158" i="5"/>
  <c r="S159" i="5"/>
  <c r="T159" i="5"/>
  <c r="S160" i="5"/>
  <c r="T160" i="5"/>
  <c r="S161" i="5"/>
  <c r="T161" i="5"/>
  <c r="S162" i="5"/>
  <c r="T162" i="5"/>
  <c r="S163" i="5"/>
  <c r="T163" i="5"/>
  <c r="S164" i="5"/>
  <c r="T164" i="5"/>
  <c r="S165" i="5"/>
  <c r="T165" i="5"/>
  <c r="S166" i="5"/>
  <c r="T166" i="5"/>
  <c r="S167" i="5"/>
  <c r="T167" i="5"/>
  <c r="S168" i="5"/>
  <c r="T168" i="5"/>
  <c r="S169" i="5"/>
  <c r="T169" i="5"/>
  <c r="S170" i="5"/>
  <c r="T170" i="5"/>
  <c r="S171" i="5"/>
  <c r="T171" i="5"/>
  <c r="S172" i="5"/>
  <c r="T172" i="5"/>
  <c r="S173" i="5"/>
  <c r="T173" i="5"/>
  <c r="S174" i="5"/>
  <c r="T174" i="5"/>
  <c r="S175" i="5"/>
  <c r="T175" i="5"/>
  <c r="S176" i="5"/>
  <c r="T176" i="5"/>
  <c r="S177" i="5"/>
  <c r="T177" i="5"/>
  <c r="S178" i="5"/>
  <c r="T178" i="5"/>
  <c r="S179" i="5"/>
  <c r="T179" i="5"/>
  <c r="S180" i="5"/>
  <c r="T180" i="5"/>
  <c r="S181" i="5"/>
  <c r="T181" i="5"/>
  <c r="S182" i="5"/>
  <c r="T182" i="5"/>
  <c r="S183" i="5"/>
  <c r="T183" i="5"/>
  <c r="S184" i="5"/>
  <c r="T184" i="5"/>
  <c r="S185" i="5"/>
  <c r="T185" i="5"/>
  <c r="S186" i="5"/>
  <c r="T186" i="5"/>
  <c r="S187" i="5"/>
  <c r="T187" i="5"/>
  <c r="S188" i="5"/>
  <c r="T188" i="5"/>
  <c r="S189" i="5"/>
  <c r="T189" i="5"/>
  <c r="S190" i="5"/>
  <c r="T190" i="5"/>
  <c r="S191" i="5"/>
  <c r="T191" i="5"/>
  <c r="S192" i="5"/>
  <c r="T192" i="5"/>
  <c r="S193" i="5"/>
  <c r="T193" i="5"/>
  <c r="S194" i="5"/>
  <c r="T194" i="5"/>
  <c r="S195" i="5"/>
  <c r="T195" i="5"/>
  <c r="S196" i="5"/>
  <c r="T196" i="5"/>
  <c r="S197" i="5"/>
  <c r="T197" i="5"/>
  <c r="S198" i="5"/>
  <c r="T198" i="5"/>
  <c r="S199" i="5"/>
  <c r="T199" i="5"/>
  <c r="S200" i="5"/>
  <c r="T200" i="5"/>
  <c r="S201" i="5"/>
  <c r="T201" i="5"/>
  <c r="S202" i="5"/>
  <c r="T202" i="5"/>
  <c r="S203" i="5"/>
  <c r="T203" i="5"/>
  <c r="S204" i="5"/>
  <c r="T204" i="5"/>
  <c r="S205" i="5"/>
  <c r="T205" i="5"/>
  <c r="S206" i="5"/>
  <c r="T206" i="5"/>
  <c r="S207" i="5"/>
  <c r="T207" i="5"/>
  <c r="S208" i="5"/>
  <c r="T208" i="5"/>
  <c r="S209" i="5"/>
  <c r="T209" i="5"/>
  <c r="S210" i="5"/>
  <c r="T210" i="5"/>
  <c r="S211" i="5"/>
  <c r="T211" i="5"/>
  <c r="S212" i="5"/>
  <c r="T212" i="5"/>
  <c r="S213" i="5"/>
  <c r="T213" i="5"/>
  <c r="S214" i="5"/>
  <c r="T214" i="5"/>
  <c r="S215" i="5"/>
  <c r="T215" i="5"/>
  <c r="S216" i="5"/>
  <c r="T216" i="5"/>
  <c r="S217" i="5"/>
  <c r="T217" i="5"/>
  <c r="S218" i="5"/>
  <c r="T218" i="5"/>
  <c r="S219" i="5"/>
  <c r="T219" i="5"/>
  <c r="S220" i="5"/>
  <c r="T220" i="5"/>
  <c r="S221" i="5"/>
  <c r="T221" i="5"/>
  <c r="S222" i="5"/>
  <c r="T222" i="5"/>
  <c r="S223" i="5"/>
  <c r="T223" i="5"/>
  <c r="S224" i="5"/>
  <c r="T224" i="5"/>
  <c r="S225" i="5"/>
  <c r="T225" i="5"/>
  <c r="S226" i="5"/>
  <c r="T226" i="5"/>
  <c r="S227" i="5"/>
  <c r="T227" i="5"/>
  <c r="S228" i="5"/>
  <c r="T228" i="5"/>
  <c r="S229" i="5"/>
  <c r="T229" i="5"/>
  <c r="S230" i="5"/>
  <c r="T230" i="5"/>
  <c r="S231" i="5"/>
  <c r="T231" i="5"/>
  <c r="S232" i="5"/>
  <c r="T232" i="5"/>
  <c r="S233" i="5"/>
  <c r="T233" i="5"/>
  <c r="S234" i="5"/>
  <c r="T234" i="5"/>
  <c r="S235" i="5"/>
  <c r="T235" i="5"/>
  <c r="S236" i="5"/>
  <c r="T236" i="5"/>
  <c r="S237" i="5"/>
  <c r="T237" i="5"/>
  <c r="S238" i="5"/>
  <c r="T238" i="5"/>
  <c r="S239" i="5"/>
  <c r="T239" i="5"/>
  <c r="S240" i="5"/>
  <c r="T240" i="5"/>
  <c r="S241" i="5"/>
  <c r="T241" i="5"/>
  <c r="S242" i="5"/>
  <c r="T242" i="5"/>
  <c r="S243" i="5"/>
  <c r="T243" i="5"/>
  <c r="S244" i="5"/>
  <c r="T244" i="5"/>
  <c r="S245" i="5"/>
  <c r="T245" i="5"/>
  <c r="S246" i="5"/>
  <c r="T246" i="5"/>
  <c r="S247" i="5"/>
  <c r="T247" i="5"/>
  <c r="S248" i="5"/>
  <c r="T248" i="5"/>
  <c r="S249" i="5"/>
  <c r="T249" i="5"/>
  <c r="S250" i="5"/>
  <c r="T250" i="5"/>
  <c r="S251" i="5"/>
  <c r="T251" i="5"/>
  <c r="S252" i="5"/>
  <c r="T252" i="5"/>
  <c r="S253" i="5"/>
  <c r="T253" i="5"/>
  <c r="S254" i="5"/>
  <c r="T254" i="5"/>
  <c r="S255" i="5"/>
  <c r="T255" i="5"/>
  <c r="S256" i="5"/>
  <c r="T256" i="5"/>
  <c r="S257" i="5"/>
  <c r="T257" i="5"/>
  <c r="S258" i="5"/>
  <c r="T258" i="5"/>
  <c r="S259" i="5"/>
  <c r="T259" i="5"/>
  <c r="S260" i="5"/>
  <c r="T260" i="5"/>
  <c r="S261" i="5"/>
  <c r="T261" i="5"/>
  <c r="S262" i="5"/>
  <c r="T262" i="5"/>
  <c r="S263" i="5"/>
  <c r="T263" i="5"/>
  <c r="S264" i="5"/>
  <c r="T264" i="5"/>
  <c r="S265" i="5"/>
  <c r="T265" i="5"/>
  <c r="S266" i="5"/>
  <c r="T266" i="5"/>
  <c r="S267" i="5"/>
  <c r="T267" i="5"/>
  <c r="S268" i="5"/>
  <c r="T268" i="5"/>
  <c r="S269" i="5"/>
  <c r="T269" i="5"/>
  <c r="S270" i="5"/>
  <c r="T270" i="5"/>
  <c r="S271" i="5"/>
  <c r="T271" i="5"/>
  <c r="S272" i="5"/>
  <c r="T272" i="5"/>
  <c r="S273" i="5"/>
  <c r="T273" i="5"/>
  <c r="S274" i="5"/>
  <c r="T274" i="5"/>
  <c r="S275" i="5"/>
  <c r="T275" i="5"/>
  <c r="S276" i="5"/>
  <c r="T276" i="5"/>
  <c r="S277" i="5"/>
  <c r="T277" i="5"/>
  <c r="S278" i="5"/>
  <c r="T278" i="5"/>
  <c r="S279" i="5"/>
  <c r="T279" i="5"/>
  <c r="S280" i="5"/>
  <c r="T280" i="5"/>
  <c r="S281" i="5"/>
  <c r="T281" i="5"/>
  <c r="S282" i="5"/>
  <c r="T282" i="5"/>
  <c r="S283" i="5"/>
  <c r="T283" i="5"/>
  <c r="S284" i="5"/>
  <c r="T284" i="5"/>
  <c r="S285" i="5"/>
  <c r="T285" i="5"/>
  <c r="S286" i="5"/>
  <c r="T286" i="5"/>
  <c r="S287" i="5"/>
  <c r="T287" i="5"/>
  <c r="S288" i="5"/>
  <c r="T288" i="5"/>
  <c r="S289" i="5"/>
  <c r="T289" i="5"/>
  <c r="S290" i="5"/>
  <c r="T290" i="5"/>
  <c r="T3" i="5"/>
  <c r="S3" i="5"/>
  <c r="I14" i="9" a="1"/>
  <c r="I14" i="9" s="1"/>
  <c r="I15" i="9" a="1"/>
  <c r="I15" i="9" s="1"/>
  <c r="AL3" i="9"/>
  <c r="AM3" i="9"/>
  <c r="AN3" i="9"/>
  <c r="AO3" i="9"/>
  <c r="AP3" i="9"/>
  <c r="AL4" i="9"/>
  <c r="AM4" i="9"/>
  <c r="AN4" i="9"/>
  <c r="AO4" i="9"/>
  <c r="AP4" i="9"/>
  <c r="AL5" i="9"/>
  <c r="AM5" i="9"/>
  <c r="AN5" i="9"/>
  <c r="AO5" i="9"/>
  <c r="AP5" i="9"/>
  <c r="AL6" i="9"/>
  <c r="AM6" i="9"/>
  <c r="AN6" i="9"/>
  <c r="AO6" i="9"/>
  <c r="AP6" i="9"/>
  <c r="AL7" i="9"/>
  <c r="AM7" i="9"/>
  <c r="AN7" i="9"/>
  <c r="AO7" i="9"/>
  <c r="AP7" i="9"/>
  <c r="AL8" i="9"/>
  <c r="AM8" i="9"/>
  <c r="AN8" i="9"/>
  <c r="AO8" i="9"/>
  <c r="AP8" i="9"/>
  <c r="AL9" i="9"/>
  <c r="AM9" i="9"/>
  <c r="AN9" i="9"/>
  <c r="AO9" i="9"/>
  <c r="AP9" i="9"/>
  <c r="AL10" i="9"/>
  <c r="AM10" i="9"/>
  <c r="AN10" i="9"/>
  <c r="AO10" i="9"/>
  <c r="AP10" i="9"/>
  <c r="AL11" i="9"/>
  <c r="AM11" i="9"/>
  <c r="AN11" i="9"/>
  <c r="AO11" i="9"/>
  <c r="AP11" i="9"/>
  <c r="AL12" i="9"/>
  <c r="AM12" i="9"/>
  <c r="AN12" i="9"/>
  <c r="AO12" i="9"/>
  <c r="AP12" i="9"/>
  <c r="AL13" i="9"/>
  <c r="AM13" i="9"/>
  <c r="AN13" i="9"/>
  <c r="AO13" i="9"/>
  <c r="AP13" i="9"/>
  <c r="AL14" i="9"/>
  <c r="AM14" i="9"/>
  <c r="AN14" i="9"/>
  <c r="AO14" i="9"/>
  <c r="AP14" i="9"/>
  <c r="AL15" i="9"/>
  <c r="AM15" i="9"/>
  <c r="AN15" i="9"/>
  <c r="AO15" i="9"/>
  <c r="AP15" i="9"/>
  <c r="AL16" i="9"/>
  <c r="AM16" i="9"/>
  <c r="AN16" i="9"/>
  <c r="AO16" i="9"/>
  <c r="AP16" i="9"/>
  <c r="AL17" i="9"/>
  <c r="AM17" i="9"/>
  <c r="AN17" i="9"/>
  <c r="AO17" i="9"/>
  <c r="AP17" i="9"/>
  <c r="AL18" i="9"/>
  <c r="AM18" i="9"/>
  <c r="AN18" i="9"/>
  <c r="AO18" i="9"/>
  <c r="AP18" i="9"/>
  <c r="AL19" i="9"/>
  <c r="AM19" i="9"/>
  <c r="AN19" i="9"/>
  <c r="AO19" i="9"/>
  <c r="AP19" i="9"/>
  <c r="AL20" i="9"/>
  <c r="AM20" i="9"/>
  <c r="AN20" i="9"/>
  <c r="AO20" i="9"/>
  <c r="AP20" i="9"/>
  <c r="AL21" i="9"/>
  <c r="AM21" i="9"/>
  <c r="AN21" i="9"/>
  <c r="AO21" i="9"/>
  <c r="AP21" i="9"/>
  <c r="AL22" i="9"/>
  <c r="AM22" i="9"/>
  <c r="AN22" i="9"/>
  <c r="AO22" i="9"/>
  <c r="AP22" i="9"/>
  <c r="AL23" i="9"/>
  <c r="AM23" i="9"/>
  <c r="AN23" i="9"/>
  <c r="AO23" i="9"/>
  <c r="AP23" i="9"/>
  <c r="AL24" i="9"/>
  <c r="AM24" i="9"/>
  <c r="AN24" i="9"/>
  <c r="AO24" i="9"/>
  <c r="AP24" i="9"/>
  <c r="AL25" i="9"/>
  <c r="AM25" i="9"/>
  <c r="AN25" i="9"/>
  <c r="AO25" i="9"/>
  <c r="AP25" i="9"/>
  <c r="AL26" i="9"/>
  <c r="AM26" i="9"/>
  <c r="AN26" i="9"/>
  <c r="AO26" i="9"/>
  <c r="AP26" i="9"/>
  <c r="AL27" i="9"/>
  <c r="AM27" i="9"/>
  <c r="AN27" i="9"/>
  <c r="AO27" i="9"/>
  <c r="AP27" i="9"/>
  <c r="AL28" i="9"/>
  <c r="AM28" i="9"/>
  <c r="AN28" i="9"/>
  <c r="AO28" i="9"/>
  <c r="AP28" i="9"/>
  <c r="AL29" i="9"/>
  <c r="AM29" i="9"/>
  <c r="AN29" i="9"/>
  <c r="AO29" i="9"/>
  <c r="AP29" i="9"/>
  <c r="AL30" i="9"/>
  <c r="AM30" i="9"/>
  <c r="AN30" i="9"/>
  <c r="AO30" i="9"/>
  <c r="AP30" i="9"/>
  <c r="AL31" i="9"/>
  <c r="AM31" i="9"/>
  <c r="AN31" i="9"/>
  <c r="AO31" i="9"/>
  <c r="AP31" i="9"/>
  <c r="AL32" i="9"/>
  <c r="AM32" i="9"/>
  <c r="AN32" i="9"/>
  <c r="AO32" i="9"/>
  <c r="AP32" i="9"/>
  <c r="AL33" i="9"/>
  <c r="AM33" i="9"/>
  <c r="AN33" i="9"/>
  <c r="AO33" i="9"/>
  <c r="AP33" i="9"/>
  <c r="AL34" i="9"/>
  <c r="AM34" i="9"/>
  <c r="AN34" i="9"/>
  <c r="AO34" i="9"/>
  <c r="AP34" i="9"/>
  <c r="AL35" i="9"/>
  <c r="AM35" i="9"/>
  <c r="AN35" i="9"/>
  <c r="AO35" i="9"/>
  <c r="AP35" i="9"/>
  <c r="AL36" i="9"/>
  <c r="AM36" i="9"/>
  <c r="AN36" i="9"/>
  <c r="AO36" i="9"/>
  <c r="AP36" i="9"/>
  <c r="AL37" i="9"/>
  <c r="AM37" i="9"/>
  <c r="AN37" i="9"/>
  <c r="AO37" i="9"/>
  <c r="AP37" i="9"/>
  <c r="AM2" i="9"/>
  <c r="AN2" i="9"/>
  <c r="AO2" i="9"/>
  <c r="AP2" i="9"/>
  <c r="AL2" i="9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I2" i="9" a="1"/>
  <c r="I2" i="9" s="1"/>
  <c r="I3" i="9" a="1"/>
  <c r="I3" i="9" s="1"/>
  <c r="I4" i="9" a="1"/>
  <c r="I4" i="9" s="1"/>
  <c r="I5" i="9" a="1"/>
  <c r="I5" i="9" s="1"/>
  <c r="I6" i="9" a="1"/>
  <c r="I6" i="9" s="1"/>
  <c r="I7" i="9" a="1"/>
  <c r="I7" i="9" s="1"/>
  <c r="I8" i="9" a="1"/>
  <c r="I8" i="9" s="1"/>
  <c r="I9" i="9" a="1"/>
  <c r="I9" i="9" s="1"/>
  <c r="I10" i="9" a="1"/>
  <c r="I10" i="9" s="1"/>
  <c r="I11" i="9" a="1"/>
  <c r="I11" i="9" s="1"/>
  <c r="I12" i="9" a="1"/>
  <c r="I12" i="9" s="1"/>
  <c r="I13" i="9" a="1"/>
  <c r="I13" i="9" s="1"/>
  <c r="I16" i="9" a="1"/>
  <c r="I16" i="9" s="1"/>
  <c r="I17" i="9" a="1"/>
  <c r="I17" i="9" s="1"/>
  <c r="I18" i="9" a="1"/>
  <c r="I18" i="9" s="1"/>
  <c r="I19" i="9" a="1"/>
  <c r="I19" i="9" s="1"/>
  <c r="I20" i="9" a="1"/>
  <c r="I20" i="9" s="1"/>
  <c r="I21" i="9" a="1"/>
  <c r="I21" i="9" s="1"/>
  <c r="I22" i="9" a="1"/>
  <c r="I22" i="9" s="1"/>
  <c r="I23" i="9" a="1"/>
  <c r="I23" i="9" s="1"/>
  <c r="I24" i="9" a="1"/>
  <c r="I24" i="9" s="1"/>
  <c r="I25" i="9" a="1"/>
  <c r="I25" i="9" s="1"/>
  <c r="I26" i="9" a="1"/>
  <c r="I26" i="9" s="1"/>
  <c r="I27" i="9" a="1"/>
  <c r="I27" i="9" s="1"/>
  <c r="I28" i="9" a="1"/>
  <c r="I28" i="9" s="1"/>
  <c r="I29" i="9" a="1"/>
  <c r="I29" i="9" s="1"/>
  <c r="I30" i="9" a="1"/>
  <c r="I30" i="9" s="1"/>
  <c r="I31" i="9" a="1"/>
  <c r="I31" i="9" s="1"/>
  <c r="I32" i="9" a="1"/>
  <c r="I32" i="9" s="1"/>
  <c r="I33" i="9" a="1"/>
  <c r="I33" i="9" s="1"/>
  <c r="I34" i="9" a="1"/>
  <c r="I34" i="9" s="1"/>
  <c r="I35" i="9" a="1"/>
  <c r="I35" i="9" s="1"/>
  <c r="I36" i="9" a="1"/>
  <c r="I36" i="9" s="1"/>
  <c r="I37" i="9" a="1"/>
  <c r="I37" i="9" s="1"/>
  <c r="M37" i="9"/>
  <c r="A37" i="9"/>
  <c r="B37" i="9" s="1"/>
  <c r="M36" i="9"/>
  <c r="A36" i="9"/>
  <c r="B36" i="9" s="1"/>
  <c r="M35" i="9"/>
  <c r="A35" i="9"/>
  <c r="B35" i="9" s="1"/>
  <c r="M34" i="9"/>
  <c r="A34" i="9"/>
  <c r="B34" i="9" s="1"/>
  <c r="M33" i="9"/>
  <c r="A33" i="9"/>
  <c r="B33" i="9" s="1"/>
  <c r="M32" i="9"/>
  <c r="A32" i="9"/>
  <c r="B32" i="9" s="1"/>
  <c r="M31" i="9"/>
  <c r="A31" i="9"/>
  <c r="B31" i="9" s="1"/>
  <c r="M30" i="9"/>
  <c r="A30" i="9"/>
  <c r="B30" i="9" s="1"/>
  <c r="M29" i="9"/>
  <c r="A29" i="9"/>
  <c r="B29" i="9" s="1"/>
  <c r="M28" i="9"/>
  <c r="A28" i="9"/>
  <c r="B28" i="9" s="1"/>
  <c r="M27" i="9"/>
  <c r="A27" i="9"/>
  <c r="B27" i="9" s="1"/>
  <c r="M26" i="9"/>
  <c r="A26" i="9"/>
  <c r="B26" i="9" s="1"/>
  <c r="M25" i="9"/>
  <c r="A25" i="9"/>
  <c r="B25" i="9" s="1"/>
  <c r="M24" i="9"/>
  <c r="A24" i="9"/>
  <c r="B24" i="9" s="1"/>
  <c r="M23" i="9"/>
  <c r="A23" i="9"/>
  <c r="B23" i="9" s="1"/>
  <c r="M22" i="9"/>
  <c r="A22" i="9"/>
  <c r="B22" i="9" s="1"/>
  <c r="M21" i="9"/>
  <c r="A21" i="9"/>
  <c r="B21" i="9" s="1"/>
  <c r="M20" i="9"/>
  <c r="A20" i="9"/>
  <c r="B20" i="9" s="1"/>
  <c r="M19" i="9"/>
  <c r="A19" i="9"/>
  <c r="B19" i="9" s="1"/>
  <c r="M18" i="9"/>
  <c r="A18" i="9"/>
  <c r="B18" i="9" s="1"/>
  <c r="M17" i="9"/>
  <c r="A17" i="9"/>
  <c r="B17" i="9" s="1"/>
  <c r="M16" i="9"/>
  <c r="A16" i="9"/>
  <c r="B16" i="9" s="1"/>
  <c r="M15" i="9"/>
  <c r="A15" i="9"/>
  <c r="B15" i="9" s="1"/>
  <c r="M14" i="9"/>
  <c r="A14" i="9"/>
  <c r="B14" i="9" s="1"/>
  <c r="M13" i="9"/>
  <c r="A13" i="9"/>
  <c r="B13" i="9" s="1"/>
  <c r="M12" i="9"/>
  <c r="A12" i="9"/>
  <c r="B12" i="9" s="1"/>
  <c r="M11" i="9"/>
  <c r="A11" i="9"/>
  <c r="B11" i="9" s="1"/>
  <c r="M10" i="9"/>
  <c r="A10" i="9"/>
  <c r="B10" i="9" s="1"/>
  <c r="M9" i="9"/>
  <c r="A9" i="9"/>
  <c r="B9" i="9" s="1"/>
  <c r="M8" i="9"/>
  <c r="A8" i="9"/>
  <c r="B8" i="9" s="1"/>
  <c r="M7" i="9"/>
  <c r="A7" i="9"/>
  <c r="B7" i="9" s="1"/>
  <c r="M6" i="9"/>
  <c r="A6" i="9"/>
  <c r="B6" i="9" s="1"/>
  <c r="M5" i="9"/>
  <c r="A5" i="9"/>
  <c r="B5" i="9" s="1"/>
  <c r="M4" i="9"/>
  <c r="A4" i="9"/>
  <c r="B4" i="9" s="1"/>
  <c r="M3" i="9"/>
  <c r="A3" i="9"/>
  <c r="B3" i="9" s="1"/>
  <c r="AD2" i="9"/>
  <c r="AD3" i="9" s="1"/>
  <c r="AD4" i="9" s="1"/>
  <c r="AD5" i="9" s="1"/>
  <c r="AD6" i="9" s="1"/>
  <c r="AC2" i="9"/>
  <c r="AC3" i="9" s="1"/>
  <c r="AC4" i="9" s="1"/>
  <c r="AC5" i="9" s="1"/>
  <c r="AC6" i="9" s="1"/>
  <c r="M2" i="9"/>
  <c r="A2" i="9"/>
  <c r="B2" i="9" s="1"/>
  <c r="Z30" i="5"/>
  <c r="A37" i="1"/>
  <c r="A38" i="1"/>
  <c r="A39" i="1"/>
  <c r="A40" i="1"/>
  <c r="A36" i="1"/>
  <c r="A32" i="1"/>
  <c r="A33" i="1"/>
  <c r="A34" i="1"/>
  <c r="A35" i="1"/>
  <c r="A31" i="1"/>
  <c r="A27" i="1"/>
  <c r="A28" i="1"/>
  <c r="A29" i="1"/>
  <c r="A30" i="1"/>
  <c r="A26" i="1"/>
  <c r="A22" i="1"/>
  <c r="A23" i="1"/>
  <c r="A24" i="1"/>
  <c r="A25" i="1"/>
  <c r="A21" i="1"/>
  <c r="AC2" i="8"/>
  <c r="AC3" i="8" s="1"/>
  <c r="AC4" i="8" s="1"/>
  <c r="AC5" i="8" s="1"/>
  <c r="AC6" i="8" s="1"/>
  <c r="I2" i="8" a="1"/>
  <c r="I2" i="8" s="1"/>
  <c r="I3" i="8" a="1"/>
  <c r="I3" i="8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H1" i="1"/>
  <c r="G1" i="1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AD2" i="8"/>
  <c r="AD3" i="8" s="1"/>
  <c r="AD4" i="8" s="1"/>
  <c r="AD5" i="8" s="1"/>
  <c r="AD6" i="8" s="1"/>
  <c r="A37" i="8"/>
  <c r="B37" i="8" s="1"/>
  <c r="AE37" i="8" s="1"/>
  <c r="A36" i="8"/>
  <c r="B36" i="8" s="1"/>
  <c r="AE36" i="8" s="1"/>
  <c r="A35" i="8"/>
  <c r="B35" i="8" s="1"/>
  <c r="AE35" i="8" s="1"/>
  <c r="A34" i="8"/>
  <c r="B34" i="8" s="1"/>
  <c r="AE34" i="8" s="1"/>
  <c r="A33" i="8"/>
  <c r="B33" i="8" s="1"/>
  <c r="AE33" i="8" s="1"/>
  <c r="A32" i="8"/>
  <c r="B32" i="8" s="1"/>
  <c r="AE32" i="8" s="1"/>
  <c r="A31" i="8"/>
  <c r="B31" i="8" s="1"/>
  <c r="AE31" i="8" s="1"/>
  <c r="A30" i="8"/>
  <c r="B30" i="8" s="1"/>
  <c r="AE30" i="8" s="1"/>
  <c r="A29" i="8"/>
  <c r="B29" i="8" s="1"/>
  <c r="AE29" i="8" s="1"/>
  <c r="A28" i="8"/>
  <c r="B28" i="8" s="1"/>
  <c r="AE28" i="8" s="1"/>
  <c r="A27" i="8"/>
  <c r="B27" i="8" s="1"/>
  <c r="AE27" i="8" s="1"/>
  <c r="A26" i="8"/>
  <c r="B26" i="8" s="1"/>
  <c r="AE26" i="8" s="1"/>
  <c r="A25" i="8"/>
  <c r="B25" i="8" s="1"/>
  <c r="AE25" i="8" s="1"/>
  <c r="A24" i="8"/>
  <c r="B24" i="8" s="1"/>
  <c r="AE24" i="8" s="1"/>
  <c r="A23" i="8"/>
  <c r="B23" i="8" s="1"/>
  <c r="AE23" i="8" s="1"/>
  <c r="A22" i="8"/>
  <c r="B22" i="8" s="1"/>
  <c r="AE22" i="8" s="1"/>
  <c r="A21" i="8"/>
  <c r="B21" i="8" s="1"/>
  <c r="AE21" i="8" s="1"/>
  <c r="A20" i="8"/>
  <c r="B20" i="8" s="1"/>
  <c r="AE20" i="8" s="1"/>
  <c r="A19" i="8"/>
  <c r="B19" i="8" s="1"/>
  <c r="AE19" i="8" s="1"/>
  <c r="A18" i="8"/>
  <c r="B18" i="8" s="1"/>
  <c r="AE18" i="8" s="1"/>
  <c r="A17" i="8"/>
  <c r="B17" i="8" s="1"/>
  <c r="AE17" i="8" s="1"/>
  <c r="A16" i="8"/>
  <c r="B16" i="8" s="1"/>
  <c r="AE16" i="8" s="1"/>
  <c r="A15" i="8"/>
  <c r="B15" i="8" s="1"/>
  <c r="AE15" i="8" s="1"/>
  <c r="A14" i="8"/>
  <c r="B14" i="8" s="1"/>
  <c r="AE14" i="8" s="1"/>
  <c r="A13" i="8"/>
  <c r="B13" i="8" s="1"/>
  <c r="AE13" i="8" s="1"/>
  <c r="A12" i="8"/>
  <c r="B12" i="8" s="1"/>
  <c r="AE12" i="8" s="1"/>
  <c r="A11" i="8"/>
  <c r="B11" i="8" s="1"/>
  <c r="AE11" i="8" s="1"/>
  <c r="A10" i="8"/>
  <c r="B10" i="8" s="1"/>
  <c r="AE10" i="8" s="1"/>
  <c r="A9" i="8"/>
  <c r="B9" i="8" s="1"/>
  <c r="AE9" i="8" s="1"/>
  <c r="A8" i="8"/>
  <c r="A7" i="8"/>
  <c r="B7" i="8" s="1"/>
  <c r="AE7" i="8" s="1"/>
  <c r="A6" i="8"/>
  <c r="A5" i="8"/>
  <c r="B5" i="8" s="1"/>
  <c r="AE5" i="8" s="1"/>
  <c r="A4" i="8"/>
  <c r="B4" i="8" s="1"/>
  <c r="AE4" i="8" s="1"/>
  <c r="A3" i="8"/>
  <c r="B3" i="8" s="1"/>
  <c r="AE3" i="8" s="1"/>
  <c r="A2" i="8"/>
  <c r="B2" i="8" s="1"/>
  <c r="AE2" i="8" s="1"/>
  <c r="AB1" i="5"/>
  <c r="M2" i="7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C156" i="4"/>
  <c r="C157" i="4"/>
  <c r="C158" i="4"/>
  <c r="C159" i="4"/>
  <c r="C160" i="4"/>
  <c r="C161" i="4"/>
  <c r="C162" i="4"/>
  <c r="C155" i="4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98" i="4"/>
  <c r="C99" i="4"/>
  <c r="C114" i="4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C18" i="4" s="1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X2" i="5" a="1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Q4" i="2" s="1"/>
  <c r="A5" i="2"/>
  <c r="Q5" i="2" s="1"/>
  <c r="A6" i="2"/>
  <c r="Q6" i="2" s="1"/>
  <c r="A7" i="2"/>
  <c r="Q7" i="2" s="1"/>
  <c r="A8" i="2"/>
  <c r="Q8" i="2" s="1"/>
  <c r="A9" i="2"/>
  <c r="Q9" i="2" s="1"/>
  <c r="A10" i="2"/>
  <c r="Q10" i="2" s="1"/>
  <c r="A11" i="2"/>
  <c r="Q11" i="2" s="1"/>
  <c r="A12" i="2"/>
  <c r="Q12" i="2" s="1"/>
  <c r="A13" i="2"/>
  <c r="Q13" i="2" s="1"/>
  <c r="A14" i="2"/>
  <c r="Q14" i="2" s="1"/>
  <c r="A15" i="2"/>
  <c r="Q15" i="2" s="1"/>
  <c r="A16" i="2"/>
  <c r="Q16" i="2" s="1"/>
  <c r="A17" i="2"/>
  <c r="Q17" i="2" s="1"/>
  <c r="A18" i="2"/>
  <c r="Q18" i="2" s="1"/>
  <c r="A19" i="2"/>
  <c r="Q19" i="2" s="1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C18" i="2"/>
  <c r="C19" i="2"/>
  <c r="C21" i="2"/>
  <c r="C26" i="2"/>
  <c r="K1" i="1"/>
  <c r="V10" i="1"/>
  <c r="V11" i="1"/>
  <c r="V12" i="1"/>
  <c r="V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B1" i="1" l="1"/>
  <c r="X18" i="9"/>
  <c r="AE18" i="9"/>
  <c r="AE37" i="9"/>
  <c r="X37" i="9"/>
  <c r="X36" i="9"/>
  <c r="AE36" i="9"/>
  <c r="AE35" i="9"/>
  <c r="X35" i="9"/>
  <c r="AE34" i="9"/>
  <c r="X34" i="9"/>
  <c r="AE33" i="9"/>
  <c r="X33" i="9"/>
  <c r="X32" i="9"/>
  <c r="AE32" i="9"/>
  <c r="AE31" i="9"/>
  <c r="X31" i="9"/>
  <c r="X30" i="9"/>
  <c r="AE30" i="9"/>
  <c r="AE29" i="9"/>
  <c r="X29" i="9"/>
  <c r="AE28" i="9"/>
  <c r="X28" i="9"/>
  <c r="AE27" i="9"/>
  <c r="X27" i="9"/>
  <c r="X26" i="9"/>
  <c r="AE26" i="9"/>
  <c r="X25" i="9"/>
  <c r="AE25" i="9"/>
  <c r="AE24" i="9"/>
  <c r="X24" i="9"/>
  <c r="X23" i="9"/>
  <c r="AE23" i="9"/>
  <c r="X22" i="9"/>
  <c r="AE22" i="9"/>
  <c r="X21" i="9"/>
  <c r="AE21" i="9"/>
  <c r="AE20" i="9"/>
  <c r="X20" i="9"/>
  <c r="X19" i="9"/>
  <c r="AE19" i="9"/>
  <c r="AE17" i="9"/>
  <c r="X17" i="9"/>
  <c r="X16" i="9"/>
  <c r="AE16" i="9"/>
  <c r="X15" i="9"/>
  <c r="AE15" i="9"/>
  <c r="AE14" i="9"/>
  <c r="X14" i="9"/>
  <c r="AE13" i="9"/>
  <c r="X13" i="9"/>
  <c r="X12" i="9"/>
  <c r="AE12" i="9"/>
  <c r="AE11" i="9"/>
  <c r="X11" i="9"/>
  <c r="AE10" i="9"/>
  <c r="X10" i="9"/>
  <c r="AE9" i="9"/>
  <c r="X9" i="9"/>
  <c r="AE8" i="9"/>
  <c r="X8" i="9"/>
  <c r="X7" i="9"/>
  <c r="AE7" i="9"/>
  <c r="AE6" i="9"/>
  <c r="X6" i="9"/>
  <c r="X5" i="9"/>
  <c r="AE5" i="9"/>
  <c r="X4" i="9"/>
  <c r="AE4" i="9"/>
  <c r="AE3" i="9"/>
  <c r="X3" i="9"/>
  <c r="AE2" i="9"/>
  <c r="X2" i="9"/>
  <c r="H162" i="4"/>
  <c r="A35" i="4"/>
  <c r="C19" i="4"/>
  <c r="A36" i="4"/>
  <c r="C20" i="4"/>
  <c r="A37" i="4"/>
  <c r="C21" i="4"/>
  <c r="A38" i="4"/>
  <c r="C22" i="4"/>
  <c r="A39" i="4"/>
  <c r="C23" i="4"/>
  <c r="A40" i="4"/>
  <c r="C24" i="4"/>
  <c r="A41" i="4"/>
  <c r="C25" i="4"/>
  <c r="A42" i="4"/>
  <c r="C26" i="4"/>
  <c r="A43" i="4"/>
  <c r="C27" i="4"/>
  <c r="A44" i="4"/>
  <c r="C28" i="4"/>
  <c r="A45" i="4"/>
  <c r="C29" i="4"/>
  <c r="A46" i="4"/>
  <c r="C30" i="4"/>
  <c r="A47" i="4"/>
  <c r="C31" i="4"/>
  <c r="A48" i="4"/>
  <c r="C32" i="4"/>
  <c r="A49" i="4"/>
  <c r="C33" i="4"/>
  <c r="A50" i="4"/>
  <c r="C34" i="4"/>
  <c r="X8" i="8"/>
  <c r="B8" i="8"/>
  <c r="AE8" i="8" s="1"/>
  <c r="B6" i="8"/>
  <c r="AE6" i="8" s="1"/>
  <c r="X6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7" i="8"/>
  <c r="X5" i="8"/>
  <c r="X4" i="8"/>
  <c r="X3" i="8"/>
  <c r="X2" i="8"/>
  <c r="T4" i="1"/>
  <c r="T3" i="1"/>
  <c r="T2" i="1"/>
  <c r="T1" i="1"/>
  <c r="H106" i="4"/>
  <c r="H154" i="4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L2" i="5"/>
  <c r="M2" i="5" s="1"/>
  <c r="N2" i="5" s="1"/>
  <c r="Y4" i="5"/>
  <c r="Y3" i="5"/>
  <c r="AA4" i="5"/>
  <c r="AA3" i="5"/>
  <c r="X2" i="5"/>
  <c r="Z2" i="5"/>
  <c r="Q20" i="2"/>
  <c r="Q21" i="2"/>
  <c r="Q26" i="2"/>
  <c r="E40" i="4"/>
  <c r="E39" i="4"/>
  <c r="E38" i="4"/>
  <c r="E37" i="4"/>
  <c r="E36" i="4"/>
  <c r="C4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C16" i="2"/>
  <c r="C13" i="2"/>
  <c r="C14" i="2"/>
  <c r="C15" i="2"/>
  <c r="C5" i="2"/>
  <c r="C6" i="2"/>
  <c r="C7" i="2"/>
  <c r="C8" i="2"/>
  <c r="C9" i="2"/>
  <c r="C10" i="2"/>
  <c r="C11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E18" i="1"/>
  <c r="P3" i="1"/>
  <c r="B2" i="1" l="1"/>
  <c r="A2" i="1"/>
  <c r="A3" i="1"/>
  <c r="A4" i="1"/>
  <c r="R1" i="1"/>
  <c r="S1" i="1"/>
  <c r="D1" i="1"/>
  <c r="E1" i="1"/>
  <c r="B4" i="1"/>
  <c r="B3" i="1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C44" i="4"/>
  <c r="A60" i="4"/>
  <c r="C45" i="4"/>
  <c r="A61" i="4"/>
  <c r="C46" i="4"/>
  <c r="A62" i="4"/>
  <c r="C47" i="4"/>
  <c r="A63" i="4"/>
  <c r="C48" i="4"/>
  <c r="A64" i="4"/>
  <c r="C49" i="4"/>
  <c r="A65" i="4"/>
  <c r="C50" i="4"/>
  <c r="A66" i="4"/>
  <c r="C138" i="4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5" i="4"/>
  <c r="A71" i="4"/>
  <c r="C56" i="4"/>
  <c r="A72" i="4"/>
  <c r="C57" i="4"/>
  <c r="A73" i="4"/>
  <c r="C58" i="4"/>
  <c r="A74" i="4"/>
  <c r="C59" i="4"/>
  <c r="A75" i="4"/>
  <c r="D2" i="1" l="1"/>
  <c r="R2" i="1"/>
  <c r="S2" i="1"/>
  <c r="E2" i="1"/>
  <c r="E4" i="1"/>
  <c r="R4" i="1"/>
  <c r="S4" i="1"/>
  <c r="D4" i="1"/>
  <c r="E3" i="1"/>
  <c r="D3" i="1"/>
  <c r="R3" i="1"/>
  <c r="S3" i="1"/>
  <c r="C51" i="4"/>
  <c r="A67" i="4"/>
  <c r="C52" i="4"/>
  <c r="A68" i="4"/>
  <c r="C53" i="4"/>
  <c r="A69" i="4"/>
  <c r="C54" i="4"/>
  <c r="A70" i="4"/>
  <c r="C60" i="4"/>
  <c r="A76" i="4"/>
  <c r="C61" i="4"/>
  <c r="A77" i="4"/>
  <c r="C62" i="4"/>
  <c r="A78" i="4"/>
  <c r="C63" i="4"/>
  <c r="A79" i="4"/>
  <c r="C64" i="4"/>
  <c r="A80" i="4"/>
  <c r="C65" i="4"/>
  <c r="A81" i="4"/>
  <c r="C66" i="4"/>
  <c r="A82" i="4"/>
  <c r="C82" i="4" s="1"/>
  <c r="C146" i="4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  <c r="C70" i="4" l="1"/>
  <c r="A86" i="4"/>
  <c r="C86" i="4" s="1"/>
  <c r="A96" i="4"/>
  <c r="C96" i="4" s="1"/>
  <c r="C80" i="4"/>
  <c r="A97" i="4"/>
  <c r="C97" i="4" s="1"/>
  <c r="C81" i="4"/>
  <c r="C76" i="4"/>
  <c r="A92" i="4"/>
  <c r="C92" i="4" s="1"/>
  <c r="C77" i="4"/>
  <c r="A93" i="4"/>
  <c r="C93" i="4" s="1"/>
  <c r="C78" i="4"/>
  <c r="A94" i="4"/>
  <c r="C94" i="4" s="1"/>
  <c r="C79" i="4"/>
  <c r="A95" i="4"/>
  <c r="C9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AD6" authorId="0" shapeId="0" xr:uid="{98B1F933-9AB5-4F95-AD8F-CB3EF0873A98}">
      <text>
        <r>
          <rPr>
            <b/>
            <sz val="9"/>
            <color indexed="81"/>
            <rFont val="Tahoma"/>
            <charset val="1"/>
          </rPr>
          <t>Albert:</t>
        </r>
        <r>
          <rPr>
            <sz val="9"/>
            <color indexed="81"/>
            <rFont val="Tahoma"/>
            <charset val="1"/>
          </rPr>
          <t xml:space="preserve">
储能效率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<sst xmlns="http://schemas.openxmlformats.org/spreadsheetml/2006/main" count="1803" uniqueCount="801">
  <si>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</si>
  <si>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</si>
  <si>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</si>
  <si>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</si>
  <si>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</si>
  <si>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</si>
  <si>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</si>
  <si>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</si>
  <si>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</si>
  <si>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</si>
  <si>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</si>
  <si>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</si>
  <si>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</si>
  <si>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</si>
  <si>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</si>
  <si>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</si>
  <si>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</si>
  <si>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</si>
  <si>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</si>
  <si>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</si>
  <si>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</si>
  <si>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</si>
  <si>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</si>
  <si>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</si>
  <si>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</si>
  <si>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</si>
  <si>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</si>
  <si>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</si>
  <si>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</si>
  <si>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</si>
  <si>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</si>
  <si>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</si>
  <si>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</si>
  <si>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</si>
  <si>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</si>
  <si>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</si>
  <si>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</si>
  <si>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</si>
  <si>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</si>
  <si>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</si>
  <si>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</si>
  <si>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</si>
  <si>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</si>
  <si>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</si>
  <si>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</si>
  <si>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</si>
  <si>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</si>
  <si>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</si>
  <si>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</si>
  <si>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</si>
  <si>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</si>
  <si>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</si>
  <si>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</si>
  <si>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</si>
  <si>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</si>
  <si>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</si>
  <si>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</si>
  <si>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</si>
  <si>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</si>
  <si>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</si>
  <si>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</si>
  <si>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</si>
  <si>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</si>
  <si>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</si>
  <si>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</si>
  <si>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</si>
  <si>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</si>
  <si>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</si>
  <si>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</si>
  <si>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</si>
  <si>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</si>
  <si>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</si>
  <si>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</si>
  <si>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</si>
  <si>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</si>
  <si>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</si>
  <si>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</si>
  <si>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</si>
  <si>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</si>
  <si>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</si>
  <si>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</si>
  <si>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</si>
  <si>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</si>
  <si>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</si>
  <si>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</si>
  <si>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</si>
  <si>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</si>
  <si>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</si>
  <si>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</si>
  <si>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</si>
  <si>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</si>
  <si>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</si>
  <si>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</si>
  <si>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</si>
  <si>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</si>
  <si>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</si>
  <si>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</si>
  <si>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</si>
  <si>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</si>
  <si>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</si>
  <si>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</si>
  <si>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</si>
  <si>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</si>
  <si>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</si>
  <si>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</si>
  <si>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</si>
  <si>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</si>
  <si>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</si>
  <si>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</si>
  <si>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</si>
  <si>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</si>
  <si>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</si>
  <si>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</si>
  <si>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</si>
  <si>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</si>
  <si>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</si>
  <si>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</si>
  <si>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</si>
  <si>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</si>
  <si>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</si>
  <si>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</si>
  <si>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</si>
  <si>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</si>
  <si>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</si>
  <si>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</si>
  <si>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</si>
  <si>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</si>
  <si>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</si>
  <si>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</si>
  <si>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</si>
  <si>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</si>
  <si>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</si>
  <si>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</si>
  <si>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</si>
  <si>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</si>
  <si>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</si>
  <si>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</si>
  <si>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</si>
  <si>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</si>
  <si>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</si>
  <si>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</si>
  <si>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</si>
  <si>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</si>
  <si>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</si>
  <si>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</si>
  <si>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</si>
  <si>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</si>
  <si>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</si>
  <si>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</si>
  <si>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</si>
  <si>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</si>
  <si>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</si>
  <si>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</si>
  <si>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</si>
  <si>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</si>
  <si>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</si>
  <si>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</si>
  <si>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</si>
  <si>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</si>
  <si>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</si>
  <si>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</si>
  <si>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</si>
  <si>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</si>
  <si>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</si>
  <si>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</si>
  <si>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</si>
  <si>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</si>
  <si>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</si>
  <si>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</si>
  <si>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</si>
  <si>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</si>
  <si>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</si>
  <si>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</si>
  <si>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</si>
  <si>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</si>
  <si>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</si>
  <si>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</si>
  <si>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</si>
  <si>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</si>
  <si>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</si>
  <si>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</si>
  <si>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</si>
  <si>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</si>
  <si>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</si>
  <si>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</si>
  <si>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</si>
  <si>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</si>
  <si>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</si>
  <si>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</si>
  <si>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</si>
  <si>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</si>
  <si>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</si>
  <si>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</si>
  <si>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</si>
  <si>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</si>
  <si>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</si>
  <si>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</si>
  <si>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</si>
  <si>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</si>
  <si>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</si>
  <si>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</si>
  <si>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</si>
  <si>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</si>
  <si>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</si>
  <si>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</si>
  <si>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</si>
  <si>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</si>
  <si>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</si>
  <si>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</si>
  <si>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</si>
  <si>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</si>
  <si>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</si>
  <si>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</si>
  <si>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</si>
  <si>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</si>
  <si>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</si>
  <si>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</si>
  <si>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</si>
  <si>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</si>
  <si>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</si>
  <si>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</si>
  <si>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</si>
  <si>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</si>
  <si>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</si>
  <si>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</si>
  <si>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</si>
  <si>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</si>
  <si>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</si>
  <si>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</si>
  <si>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</si>
  <si>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</si>
  <si>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</si>
  <si>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</si>
  <si>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</si>
  <si>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</si>
  <si>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</si>
  <si>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</si>
  <si>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</si>
  <si>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</si>
  <si>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</si>
  <si>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</si>
  <si>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</si>
  <si>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</si>
  <si>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</si>
  <si>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</si>
  <si>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</si>
  <si>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</si>
  <si>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</si>
  <si>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</si>
  <si>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</si>
  <si>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</si>
  <si>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</si>
  <si>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</si>
  <si>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</si>
  <si>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</si>
  <si>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</si>
  <si>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</si>
  <si>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</si>
  <si>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</si>
  <si>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</si>
  <si>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</si>
  <si>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</si>
  <si>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</si>
  <si>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</si>
  <si>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</si>
  <si>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</si>
  <si>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</si>
  <si>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</si>
  <si>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</si>
  <si>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</si>
  <si>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</si>
  <si>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</si>
  <si>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</si>
  <si>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</si>
  <si>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</si>
  <si>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</si>
  <si>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</si>
  <si>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</si>
  <si>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</si>
  <si>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</si>
  <si>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</si>
  <si>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</si>
  <si>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</si>
  <si>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</si>
  <si>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</si>
  <si>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</si>
  <si>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</si>
  <si>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</si>
  <si>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</si>
  <si>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</si>
  <si>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</si>
  <si>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</si>
  <si>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</si>
  <si>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</si>
  <si>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</si>
  <si>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</si>
  <si>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</si>
  <si>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</si>
  <si>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</si>
  <si>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</si>
  <si>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</si>
  <si>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</si>
  <si>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</si>
  <si>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</si>
  <si>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</si>
  <si>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</si>
  <si>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</si>
  <si>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</si>
  <si>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</si>
  <si>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</si>
  <si>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</si>
  <si>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</si>
  <si>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</si>
  <si>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</si>
  <si>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</si>
  <si>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</si>
  <si>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</si>
  <si>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</si>
  <si>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</si>
  <si>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</si>
  <si>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</si>
  <si>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</si>
  <si>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</si>
  <si>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</si>
  <si>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</si>
  <si>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</si>
  <si>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</si>
  <si>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</si>
  <si>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</si>
  <si>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</si>
  <si>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</si>
  <si>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</si>
  <si>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</si>
  <si>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</si>
  <si>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</si>
  <si>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</si>
  <si>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</si>
  <si>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</si>
  <si>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</si>
  <si>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</si>
  <si>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</si>
  <si>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</si>
  <si>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</si>
  <si>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</si>
  <si>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</si>
  <si>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</si>
  <si>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</si>
  <si>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</si>
  <si>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</si>
  <si>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</si>
  <si>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</si>
  <si>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</si>
  <si>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</si>
  <si>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</si>
  <si>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</si>
  <si>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</si>
  <si>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</si>
  <si>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</si>
  <si>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</si>
  <si>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</si>
  <si>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</si>
  <si>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</si>
  <si>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</si>
  <si>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</si>
  <si>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</si>
  <si>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</si>
  <si>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</si>
  <si>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</si>
  <si>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</si>
  <si>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</si>
  <si>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</si>
  <si>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</si>
  <si>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</si>
  <si>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</si>
  <si>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</si>
  <si>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</si>
  <si>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</si>
  <si>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</si>
  <si>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</si>
  <si>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</si>
  <si>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</si>
  <si>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</si>
  <si>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</si>
  <si>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</si>
  <si>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</si>
  <si>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</si>
  <si>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</si>
  <si>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</si>
  <si>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</si>
  <si>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</si>
  <si>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</si>
  <si>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</si>
  <si>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</si>
  <si>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</si>
  <si>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</si>
  <si>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</si>
  <si>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</si>
  <si>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</si>
  <si>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</si>
  <si>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</si>
  <si>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</si>
  <si>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</si>
  <si>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</si>
  <si>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</si>
  <si>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</si>
  <si>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</si>
  <si>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</si>
  <si>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</si>
  <si>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</si>
  <si>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</si>
  <si>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</si>
  <si>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</si>
  <si>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</si>
  <si>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</si>
  <si>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</si>
  <si>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</si>
  <si>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</si>
  <si>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</si>
  <si>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</si>
  <si>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</si>
  <si>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</si>
  <si>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</si>
  <si>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</si>
  <si>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</si>
  <si>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</si>
  <si>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</si>
  <si>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</si>
  <si>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</si>
  <si>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</si>
  <si>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</si>
  <si>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</si>
  <si>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</si>
  <si>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</si>
  <si>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</si>
  <si>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</si>
  <si>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</si>
  <si>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</si>
  <si>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</si>
  <si>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</si>
  <si>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</si>
  <si>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</si>
  <si>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</si>
  <si>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</si>
  <si>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</si>
  <si>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</si>
  <si>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</si>
  <si>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</si>
  <si>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</si>
  <si>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</si>
  <si>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</si>
  <si>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</si>
  <si>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</si>
  <si>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</si>
  <si>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</si>
  <si>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</si>
  <si>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</si>
  <si>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</si>
  <si>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</si>
  <si>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</si>
  <si>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</si>
  <si>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</si>
  <si>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</si>
  <si>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</si>
  <si>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</si>
  <si>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</si>
  <si>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</si>
  <si>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</si>
  <si>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</si>
  <si>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</si>
  <si>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</si>
  <si>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</si>
  <si>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</si>
  <si>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</si>
  <si>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</si>
  <si>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</si>
  <si>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</si>
  <si>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</si>
  <si>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</si>
  <si>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</si>
  <si>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</si>
  <si>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</si>
  <si>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</si>
  <si>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</si>
  <si>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</si>
  <si>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</si>
  <si>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</si>
  <si>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</si>
  <si>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</si>
  <si>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</si>
  <si>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</si>
  <si>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</si>
  <si>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</si>
  <si>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</si>
  <si>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</si>
  <si>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</si>
  <si>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</si>
  <si>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</si>
  <si>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</si>
  <si>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</si>
  <si>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</si>
  <si>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</si>
  <si>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</si>
  <si>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</si>
  <si>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</si>
  <si>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</si>
  <si>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</si>
  <si>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</si>
  <si>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</si>
  <si>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</si>
  <si>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</si>
  <si>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</si>
  <si>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</si>
  <si>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</si>
  <si>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</si>
  <si>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</si>
  <si>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</si>
  <si>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</si>
  <si>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</si>
  <si>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</si>
  <si>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</si>
  <si>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</si>
  <si>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</si>
  <si>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</si>
  <si>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</si>
  <si>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</si>
  <si>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</si>
  <si>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</si>
  <si>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</si>
  <si>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</si>
  <si>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</si>
  <si>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</si>
  <si>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</si>
  <si>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</si>
  <si>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</si>
  <si>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</si>
  <si>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</si>
  <si>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</si>
  <si>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</si>
  <si>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</si>
  <si>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</si>
  <si>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</si>
  <si>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</si>
  <si>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</si>
  <si>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</si>
  <si>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</si>
  <si>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</si>
  <si>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</si>
  <si>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</si>
  <si>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</si>
  <si>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</si>
  <si>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</si>
  <si>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</si>
  <si>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</si>
  <si>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</si>
  <si>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</si>
  <si>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</si>
  <si>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</si>
  <si>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</si>
  <si>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</si>
  <si>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</si>
  <si>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</si>
  <si>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</si>
  <si>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</si>
  <si>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</si>
  <si>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</si>
  <si>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</si>
  <si>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</si>
  <si>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</si>
  <si>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</si>
  <si>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</si>
  <si>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</si>
  <si>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</si>
  <si>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</si>
  <si>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</si>
  <si>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</si>
  <si>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</si>
  <si>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</si>
  <si>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</si>
  <si>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</si>
  <si>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</si>
  <si>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</si>
  <si>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</si>
  <si>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</si>
  <si>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</si>
  <si>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</si>
  <si>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</si>
  <si>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</si>
  <si>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</si>
  <si>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</si>
  <si>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</si>
  <si>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</si>
  <si>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</si>
  <si>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</si>
  <si>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</si>
  <si>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</si>
  <si>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</si>
  <si>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</si>
  <si>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</si>
  <si>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</si>
  <si>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</si>
  <si>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</si>
  <si>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</si>
  <si>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</si>
  <si>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</si>
  <si>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</si>
  <si>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</si>
  <si>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</si>
  <si>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</si>
  <si>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</si>
  <si>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</si>
  <si>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</si>
  <si>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</si>
  <si>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</si>
  <si>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</si>
  <si>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</si>
  <si>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</si>
  <si>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</si>
  <si>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</si>
  <si>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</si>
  <si>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</si>
  <si>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</si>
  <si>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</si>
  <si>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</si>
  <si>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</si>
  <si>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</si>
  <si>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</si>
  <si>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</si>
  <si>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</si>
  <si>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</si>
  <si>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</si>
  <si>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</si>
  <si>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</si>
  <si>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</si>
  <si>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</si>
  <si>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</si>
  <si>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</si>
  <si>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</si>
  <si>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</si>
  <si>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</si>
  <si>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</si>
  <si>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</si>
  <si>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</si>
  <si>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</si>
  <si>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</si>
  <si>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</si>
  <si>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</si>
  <si>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</si>
  <si>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</si>
  <si>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</si>
  <si>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</si>
  <si>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</si>
  <si>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</si>
  <si>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</si>
  <si>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</si>
  <si>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</si>
  <si>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</si>
  <si>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</si>
  <si>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</si>
  <si>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</si>
  <si>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</si>
  <si>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</si>
  <si>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</si>
  <si>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</si>
  <si>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</si>
  <si>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</si>
  <si>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</si>
  <si>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</si>
  <si>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</si>
  <si>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</si>
  <si>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</si>
  <si>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</si>
  <si>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</si>
  <si>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</si>
  <si>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</si>
  <si>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</si>
  <si>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</si>
  <si>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</si>
  <si>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</si>
  <si>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</si>
  <si>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</si>
  <si>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</si>
  <si>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</si>
  <si>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</si>
  <si>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</si>
  <si>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</si>
  <si>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</si>
  <si>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</si>
  <si>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</si>
  <si>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</si>
  <si>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</si>
  <si>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</si>
  <si>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</si>
  <si>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</si>
  <si>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</si>
  <si>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</si>
  <si>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</si>
  <si>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</si>
  <si>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</si>
  <si>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</si>
  <si>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</si>
  <si>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</si>
  <si>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</si>
  <si>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</si>
  <si>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</si>
  <si>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</si>
  <si>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</si>
  <si>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</si>
  <si>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</si>
  <si>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</si>
  <si>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</si>
  <si>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</si>
  <si>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</si>
  <si>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</si>
  <si>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</si>
  <si>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</si>
  <si>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</si>
  <si>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</si>
  <si>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</si>
  <si>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</si>
  <si>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</si>
  <si>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</si>
  <si>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</si>
  <si>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</si>
  <si>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</si>
  <si>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</si>
  <si>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</si>
  <si>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</si>
  <si>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</si>
  <si>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</si>
  <si>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</si>
  <si>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</si>
  <si>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IMM ver</t>
  </si>
  <si>
    <t>Reg</t>
  </si>
  <si>
    <t>SBMU01</t>
  </si>
  <si>
    <t>SBMU02</t>
  </si>
  <si>
    <t>SBMU03</t>
  </si>
  <si>
    <t>SBMU04</t>
  </si>
  <si>
    <t>SBMU05</t>
  </si>
  <si>
    <t>Enable</t>
  </si>
  <si>
    <t>Disable</t>
  </si>
  <si>
    <t xml:space="preserve"> Connect fail</t>
  </si>
  <si>
    <t>read</t>
  </si>
  <si>
    <t>RackEn</t>
  </si>
  <si>
    <t>No</t>
  </si>
  <si>
    <t>Max allowed charge current</t>
  </si>
  <si>
    <t>Max allowed discharge current</t>
  </si>
  <si>
    <t>Charge SOE</t>
  </si>
  <si>
    <t>Discharge SOE</t>
  </si>
  <si>
    <t>subsystem remain charge energy</t>
  </si>
  <si>
    <t>subsystem remain discharge energy</t>
  </si>
  <si>
    <t>Sum of cell voltage</t>
  </si>
  <si>
    <t>SBMU enable</t>
  </si>
  <si>
    <t>Max Vcell</t>
  </si>
  <si>
    <t>Min Vcell</t>
  </si>
  <si>
    <t>Max Tcell</t>
  </si>
  <si>
    <t>Comment</t>
  </si>
  <si>
    <t>W-Val</t>
  </si>
  <si>
    <t>REG1</t>
  </si>
  <si>
    <t>REG2</t>
  </si>
  <si>
    <t>Y</t>
  </si>
  <si>
    <t>W-Val2</t>
  </si>
  <si>
    <t>Connect fail</t>
  </si>
  <si>
    <t>Write successful</t>
  </si>
  <si>
    <t>ReadVal</t>
  </si>
  <si>
    <t>Value1</t>
  </si>
  <si>
    <t>SocVolt-20250201-055733.csv</t>
  </si>
  <si>
    <t>04abcd</t>
  </si>
  <si>
    <t>09abcd</t>
  </si>
  <si>
    <t>18c</t>
  </si>
  <si>
    <t>62abcd</t>
  </si>
  <si>
    <t>66abcd</t>
  </si>
  <si>
    <t>72a</t>
  </si>
  <si>
    <t>68c</t>
  </si>
  <si>
    <t>2b</t>
  </si>
  <si>
    <t>SF6维修被隔离</t>
  </si>
  <si>
    <t>消防告警</t>
  </si>
  <si>
    <t>soc1% PE soft charge issue</t>
  </si>
  <si>
    <t>目前可充放电容量之和770，已经ok</t>
  </si>
  <si>
    <t>目前可充放电容量之和仍在680-690之间</t>
  </si>
  <si>
    <t>CC1</t>
  </si>
  <si>
    <t>DC1</t>
  </si>
  <si>
    <t>CC2</t>
  </si>
  <si>
    <t>DC2</t>
  </si>
  <si>
    <t>CC3</t>
  </si>
  <si>
    <t>DC3</t>
  </si>
  <si>
    <t>CC4</t>
  </si>
  <si>
    <t>DC4</t>
  </si>
  <si>
    <t>CC5</t>
  </si>
  <si>
    <t>DC5</t>
  </si>
  <si>
    <t>HCC1</t>
  </si>
  <si>
    <t>HDC1</t>
  </si>
  <si>
    <t>HCC2</t>
  </si>
  <si>
    <t>HDC2</t>
  </si>
  <si>
    <t>HCC3</t>
  </si>
  <si>
    <t>HDC3</t>
  </si>
  <si>
    <t>HCC4</t>
  </si>
  <si>
    <t>HDC4</t>
  </si>
  <si>
    <t>HCC5</t>
  </si>
  <si>
    <t>HDC5</t>
  </si>
  <si>
    <t>MEDIAN</t>
  </si>
  <si>
    <t>HdisChrg/Hchrg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</si>
</sst>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8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rgb="FF000000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0" applyNumberFormat="0" applyBorder="0" applyAlignment="0" applyProtection="0"/>
  </cellStyleXfs>
  <cellXfs count="137">
    <xf numFmtId="0" fontId="0" fillId="0" borderId="0" xfId="0">
      <alignment vertical="center"/>
    </xf>
    <xf numFmtId="0" fontId="6" fillId="6" borderId="10" xfId="0" applyFont="1" applyFill="1" applyBorder="1">
      <alignment vertical="center"/>
    </xf>
    <xf numFmtId="0" fontId="6" fillId="6" borderId="11" xfId="0" applyFont="1" applyFill="1" applyBorder="1" applyAlignment="1">
      <alignment vertical="center" wrapText="1"/>
    </xf>
    <xf numFmtId="0" fontId="6" fillId="6" borderId="12" xfId="0" applyFont="1" applyFill="1" applyBorder="1">
      <alignment vertical="center"/>
    </xf>
    <xf numFmtId="0" fontId="7" fillId="7" borderId="10" xfId="0" applyFont="1" applyFill="1" applyBorder="1">
      <alignment vertical="center"/>
    </xf>
    <xf numFmtId="164" fontId="7" fillId="7" borderId="11" xfId="0" applyNumberFormat="1" applyFont="1" applyFill="1" applyBorder="1">
      <alignment vertical="center"/>
    </xf>
    <xf numFmtId="0" fontId="7" fillId="7" borderId="12" xfId="0" applyFont="1" applyFill="1" applyBorder="1">
      <alignment vertical="center"/>
    </xf>
    <xf numFmtId="164" fontId="7" fillId="0" borderId="11" xfId="0" applyNumberFormat="1" applyFont="1" applyBorder="1">
      <alignment vertical="center"/>
    </xf>
    <xf numFmtId="0" fontId="7" fillId="0" borderId="12" xfId="0" applyFont="1" applyBorder="1">
      <alignment vertical="center"/>
    </xf>
    <xf numFmtId="164" fontId="7" fillId="0" borderId="2" xfId="0" applyNumberFormat="1" applyFont="1" applyBorder="1">
      <alignment vertical="center"/>
    </xf>
    <xf numFmtId="0" fontId="7" fillId="0" borderId="3" xfId="0" applyFont="1" applyBorder="1">
      <alignment vertical="center"/>
    </xf>
    <xf numFmtId="0" fontId="6" fillId="8" borderId="4" xfId="0" applyFont="1" applyFill="1" applyBorder="1">
      <alignment vertical="center"/>
    </xf>
    <xf numFmtId="0" fontId="6" fillId="8" borderId="5" xfId="0" applyFont="1" applyFill="1" applyBorder="1">
      <alignment vertical="center"/>
    </xf>
    <xf numFmtId="0" fontId="6" fillId="8" borderId="6" xfId="0" applyFont="1" applyFill="1" applyBorder="1">
      <alignment vertical="center"/>
    </xf>
    <xf numFmtId="0" fontId="8" fillId="0" borderId="6" xfId="0" applyFont="1" applyBorder="1">
      <alignment vertical="center"/>
    </xf>
    <xf numFmtId="0" fontId="8" fillId="0" borderId="9" xfId="0" applyFont="1" applyBorder="1">
      <alignment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6" fillId="6" borderId="11" xfId="0" applyFont="1" applyFill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0" fillId="5" borderId="0" xfId="2" applyFont="1" applyFill="1" applyBorder="1" applyAlignment="1">
      <alignment horizontal="right" vertical="center"/>
    </xf>
    <xf numFmtId="0" fontId="9" fillId="5" borderId="0" xfId="2" applyFont="1" applyFill="1" applyBorder="1" applyAlignment="1">
      <alignment vertical="center"/>
    </xf>
    <xf numFmtId="0" fontId="6" fillId="6" borderId="0" xfId="0" applyFont="1" applyFill="1">
      <alignment vertical="center"/>
    </xf>
    <xf numFmtId="165" fontId="0" fillId="0" borderId="0" xfId="0" applyNumberFormat="1">
      <alignment vertical="center"/>
    </xf>
    <xf numFmtId="0" fontId="7" fillId="10" borderId="11" xfId="0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center" vertical="center" wrapText="1"/>
    </xf>
    <xf numFmtId="0" fontId="3" fillId="9" borderId="0" xfId="1" applyFill="1" applyAlignment="1" applyProtection="1">
      <alignment vertical="center"/>
      <protection locked="0"/>
    </xf>
    <xf numFmtId="0" fontId="5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7" fillId="2" borderId="12" xfId="0" applyNumberFormat="1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 wrapText="1"/>
    </xf>
    <xf numFmtId="1" fontId="7" fillId="7" borderId="12" xfId="0" applyNumberFormat="1" applyFont="1" applyFill="1" applyBorder="1">
      <alignment vertical="center"/>
    </xf>
    <xf numFmtId="1" fontId="7" fillId="0" borderId="12" xfId="0" applyNumberFormat="1" applyFont="1" applyBorder="1">
      <alignment vertical="center"/>
    </xf>
    <xf numFmtId="1" fontId="7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1" fillId="6" borderId="10" xfId="0" applyFont="1" applyFill="1" applyBorder="1">
      <alignment vertical="center"/>
    </xf>
    <xf numFmtId="0" fontId="11" fillId="6" borderId="11" xfId="0" applyFont="1" applyFill="1" applyBorder="1">
      <alignment vertical="center"/>
    </xf>
    <xf numFmtId="0" fontId="11" fillId="6" borderId="12" xfId="0" applyFont="1" applyFill="1" applyBorder="1">
      <alignment vertical="center"/>
    </xf>
    <xf numFmtId="0" fontId="11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3" fillId="0" borderId="0" xfId="0" applyFont="1">
      <alignment vertical="center"/>
    </xf>
    <xf numFmtId="0" fontId="7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5" fillId="0" borderId="0" xfId="0" applyFont="1" applyAlignment="1"/>
    <xf numFmtId="0" fontId="14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17" borderId="17" xfId="0" applyFont="1" applyFill="1" applyBorder="1" applyAlignment="1">
      <alignment horizontal="center" vertical="center"/>
    </xf>
    <xf numFmtId="0" fontId="7" fillId="17" borderId="18" xfId="0" applyFont="1" applyFill="1" applyBorder="1" applyAlignment="1">
      <alignment horizontal="center" vertical="center"/>
    </xf>
    <xf numFmtId="0" fontId="7" fillId="17" borderId="19" xfId="0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22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7" fillId="17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7" fillId="9" borderId="19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0" fillId="19" borderId="0" xfId="0" applyFill="1">
      <alignment vertical="center"/>
    </xf>
    <xf numFmtId="0" fontId="7" fillId="9" borderId="2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7" fillId="9" borderId="22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1" fillId="8" borderId="14" xfId="0" applyFont="1" applyFill="1" applyBorder="1">
      <alignment vertical="center"/>
    </xf>
    <xf numFmtId="0" fontId="21" fillId="13" borderId="0" xfId="0" applyFont="1" applyFill="1" applyAlignment="1">
      <alignment horizontal="center" vertical="center"/>
    </xf>
    <xf numFmtId="0" fontId="0" fillId="12" borderId="14" xfId="0" quotePrefix="1" applyFill="1" applyBorder="1">
      <alignment vertical="center"/>
    </xf>
    <xf numFmtId="0" fontId="0" fillId="0" borderId="14" xfId="0" quotePrefix="1" applyBorder="1">
      <alignment vertical="center"/>
    </xf>
    <xf numFmtId="0" fontId="11" fillId="8" borderId="14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22" fillId="0" borderId="14" xfId="0" quotePrefix="1" applyFont="1" applyBorder="1" applyAlignment="1">
      <alignment horizontal="center" vertical="center"/>
    </xf>
    <xf numFmtId="0" fontId="22" fillId="12" borderId="14" xfId="0" quotePrefix="1" applyFont="1" applyFill="1" applyBorder="1" applyAlignment="1">
      <alignment horizontal="center" vertical="center"/>
    </xf>
    <xf numFmtId="0" fontId="0" fillId="0" borderId="16" xfId="0" quotePrefix="1" applyBorder="1">
      <alignment vertical="center"/>
    </xf>
    <xf numFmtId="0" fontId="0" fillId="0" borderId="17" xfId="0" quotePrefix="1" applyBorder="1">
      <alignment vertical="center"/>
    </xf>
    <xf numFmtId="0" fontId="0" fillId="0" borderId="18" xfId="0" quotePrefix="1" applyBorder="1">
      <alignment vertical="center"/>
    </xf>
    <xf numFmtId="0" fontId="0" fillId="0" borderId="19" xfId="0" quotePrefix="1" applyBorder="1">
      <alignment vertical="center"/>
    </xf>
    <xf numFmtId="0" fontId="0" fillId="0" borderId="20" xfId="0" quotePrefix="1" applyBorder="1">
      <alignment vertical="center"/>
    </xf>
    <xf numFmtId="0" fontId="0" fillId="0" borderId="21" xfId="0" quotePrefix="1" applyBorder="1">
      <alignment vertical="center"/>
    </xf>
    <xf numFmtId="0" fontId="0" fillId="0" borderId="22" xfId="0" quotePrefix="1" applyBorder="1">
      <alignment vertical="center"/>
    </xf>
    <xf numFmtId="0" fontId="0" fillId="0" borderId="23" xfId="0" quotePrefix="1" applyBorder="1">
      <alignment vertical="center"/>
    </xf>
    <xf numFmtId="0" fontId="22" fillId="22" borderId="0" xfId="0" applyFont="1" applyFill="1">
      <alignment vertical="center"/>
    </xf>
    <xf numFmtId="0" fontId="7" fillId="9" borderId="21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7" fillId="14" borderId="19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7" fillId="0" borderId="16" xfId="0" applyFont="1" applyBorder="1" applyAlignment="1"/>
    <xf numFmtId="0" fontId="17" fillId="0" borderId="17" xfId="0" applyFont="1" applyBorder="1" applyAlignment="1"/>
    <xf numFmtId="0" fontId="17" fillId="0" borderId="18" xfId="0" applyFont="1" applyBorder="1" applyAlignment="1"/>
    <xf numFmtId="0" fontId="0" fillId="0" borderId="19" xfId="0" applyBorder="1" applyAlignment="1"/>
    <xf numFmtId="164" fontId="0" fillId="0" borderId="20" xfId="0" applyNumberFormat="1" applyBorder="1" applyAlignment="1"/>
    <xf numFmtId="0" fontId="0" fillId="0" borderId="21" xfId="0" applyBorder="1" applyAlignment="1"/>
    <xf numFmtId="0" fontId="0" fillId="0" borderId="22" xfId="0" applyBorder="1" applyAlignment="1"/>
    <xf numFmtId="164" fontId="0" fillId="0" borderId="22" xfId="0" applyNumberFormat="1" applyBorder="1" applyAlignment="1"/>
    <xf numFmtId="164" fontId="0" fillId="0" borderId="23" xfId="0" applyNumberFormat="1" applyBorder="1" applyAlignment="1"/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105"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78.099999999999994</c:v>
                </c:pt>
                <c:pt idx="1">
                  <c:v>78</c:v>
                </c:pt>
                <c:pt idx="2">
                  <c:v>76.3</c:v>
                </c:pt>
                <c:pt idx="3">
                  <c:v>79</c:v>
                </c:pt>
                <c:pt idx="4">
                  <c:v>78.099999999999994</c:v>
                </c:pt>
                <c:pt idx="5">
                  <c:v>77.2</c:v>
                </c:pt>
                <c:pt idx="6">
                  <c:v>77</c:v>
                </c:pt>
                <c:pt idx="7">
                  <c:v>76.7</c:v>
                </c:pt>
                <c:pt idx="8">
                  <c:v>78.8</c:v>
                </c:pt>
                <c:pt idx="9">
                  <c:v>78.2</c:v>
                </c:pt>
                <c:pt idx="10">
                  <c:v>78.599999999999994</c:v>
                </c:pt>
                <c:pt idx="11">
                  <c:v>77.5</c:v>
                </c:pt>
                <c:pt idx="12">
                  <c:v>78.099999999999994</c:v>
                </c:pt>
                <c:pt idx="13">
                  <c:v>78.099999999999994</c:v>
                </c:pt>
                <c:pt idx="14">
                  <c:v>78.400000000000006</c:v>
                </c:pt>
                <c:pt idx="15">
                  <c:v>77.099999999999994</c:v>
                </c:pt>
                <c:pt idx="16">
                  <c:v>77</c:v>
                </c:pt>
                <c:pt idx="17">
                  <c:v>79</c:v>
                </c:pt>
                <c:pt idx="18">
                  <c:v>77</c:v>
                </c:pt>
                <c:pt idx="19">
                  <c:v>79.3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0.7</c:v>
                </c:pt>
                <c:pt idx="1">
                  <c:v>0.7</c:v>
                </c:pt>
                <c:pt idx="2">
                  <c:v>0.9</c:v>
                </c:pt>
                <c:pt idx="3">
                  <c:v>0.8</c:v>
                </c:pt>
                <c:pt idx="4">
                  <c:v>0.9</c:v>
                </c:pt>
                <c:pt idx="5">
                  <c:v>0.8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</c:v>
                </c:pt>
                <c:pt idx="16">
                  <c:v>0</c:v>
                </c:pt>
                <c:pt idx="17">
                  <c:v>1.5</c:v>
                </c:pt>
                <c:pt idx="18">
                  <c:v>1</c:v>
                </c:pt>
                <c:pt idx="1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4</c:v>
                </c:pt>
                <c:pt idx="1">
                  <c:v>14</c:v>
                </c:pt>
                <c:pt idx="2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4</xdr:row>
          <xdr:rowOff>0</xdr:rowOff>
        </xdr:from>
        <xdr:to>
          <xdr:col>5</xdr:col>
          <xdr:colOff>304800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6</xdr:row>
          <xdr:rowOff>66675</xdr:rowOff>
        </xdr:from>
        <xdr:to>
          <xdr:col>5</xdr:col>
          <xdr:colOff>304800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133350</xdr:rowOff>
        </xdr:from>
        <xdr:to>
          <xdr:col>5</xdr:col>
          <xdr:colOff>304800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11</xdr:row>
          <xdr:rowOff>9525</xdr:rowOff>
        </xdr:from>
        <xdr:to>
          <xdr:col>5</xdr:col>
          <xdr:colOff>304800</xdr:colOff>
          <xdr:row>12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523875</xdr:colOff>
          <xdr:row>1</xdr:row>
          <xdr:rowOff>104775</xdr:rowOff>
        </xdr:from>
        <xdr:to>
          <xdr:col>18</xdr:col>
          <xdr:colOff>47625</xdr:colOff>
          <xdr:row>3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16</xdr:row>
          <xdr:rowOff>38100</xdr:rowOff>
        </xdr:from>
        <xdr:to>
          <xdr:col>3</xdr:col>
          <xdr:colOff>352425</xdr:colOff>
          <xdr:row>17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47625</xdr:rowOff>
    </xdr:from>
    <xdr:to>
      <xdr:col>18</xdr:col>
      <xdr:colOff>676275</xdr:colOff>
      <xdr:row>36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0</xdr:rowOff>
        </xdr:from>
        <xdr:to>
          <xdr:col>19</xdr:col>
          <xdr:colOff>228600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3</xdr:row>
          <xdr:rowOff>9525</xdr:rowOff>
        </xdr:from>
        <xdr:to>
          <xdr:col>8</xdr:col>
          <xdr:colOff>19050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7</xdr:row>
          <xdr:rowOff>38100</xdr:rowOff>
        </xdr:from>
        <xdr:to>
          <xdr:col>8</xdr:col>
          <xdr:colOff>19050</xdr:colOff>
          <xdr:row>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209550</xdr:colOff>
          <xdr:row>1</xdr:row>
          <xdr:rowOff>0</xdr:rowOff>
        </xdr:from>
        <xdr:to>
          <xdr:col>30</xdr:col>
          <xdr:colOff>419100</xdr:colOff>
          <xdr:row>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255270</xdr:colOff>
          <xdr:row>43</xdr:row>
          <xdr:rowOff>146685</xdr:rowOff>
        </xdr:from>
        <xdr:to>
          <xdr:col>35</xdr:col>
          <xdr:colOff>150495</xdr:colOff>
          <xdr:row>68</xdr:row>
          <xdr:rowOff>156210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6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570845" y="7576185"/>
              <a:ext cx="8915400" cy="42957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609600</xdr:colOff>
          <xdr:row>1</xdr:row>
          <xdr:rowOff>0</xdr:rowOff>
        </xdr:from>
        <xdr:to>
          <xdr:col>31</xdr:col>
          <xdr:colOff>133350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Cap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95250</xdr:rowOff>
        </xdr:from>
        <xdr:to>
          <xdr:col>6</xdr:col>
          <xdr:colOff>180975</xdr:colOff>
          <xdr:row>2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E37" totalsRowShown="0">
  <autoFilter ref="A1:E37" xr:uid="{6BF01A80-F4C1-4B54-9E66-CB02343A45E2}"/>
  <tableColumns count="5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104"/>
    <tableColumn id="4" xr3:uid="{A2B1FA6A-B545-420E-A549-FC37C36A5448}" name="PI" dataDxfId="103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102"/>
    <tableColumn id="3" xr3:uid="{FC677937-891D-4EE9-BA15-5F80166A410E}" name="Value1" dataDxfId="101">
      <calculatedColumnFormula>Table1[[#This Row],[Value]]-50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0298B9-4166-4440-87AD-98DA76F2334D}" name="Table189" displayName="Table189" ref="A1:M37" totalsRowShown="0">
  <tableColumns count="13">
    <tableColumn id="1" xr3:uid="{949E7BDE-EE17-4BE4-86C2-D8131E65C28D}" name="IP">
      <calculatedColumnFormula>SUBSTITUTE(V2,".8.","."&amp;$R$1&amp;".")</calculatedColumnFormula>
    </tableColumn>
    <tableColumn id="4" xr3:uid="{A5712228-1AE7-48E2-9EE7-A2C76AD2FC21}" name="PI" dataDxfId="100">
      <calculatedColumnFormula>TEXT(MID(Table189[[#This Row],[IP]],LEN(Table189[[#This Row],[IP]])-1,1)+(--MID(Table189[[#This Row],[IP]],8,1)-1)*9,"00")</calculatedColumnFormula>
    </tableColumn>
    <tableColumn id="5" xr3:uid="{14B82461-0517-4EB9-A5E8-5A1D37762C4A}" name="No" dataDxfId="99"/>
    <tableColumn id="2" xr3:uid="{23CCBE8E-EC8B-426D-89F4-EC023AFCA0FF}" name="SBMU01" dataDxfId="98"/>
    <tableColumn id="3" xr3:uid="{D22C8EBA-DDE9-4B7C-B0CF-7A7C5CF620B3}" name="SBMU02" dataDxfId="97"/>
    <tableColumn id="6" xr3:uid="{57114C91-5DE2-4E72-B9D8-951AED0A7A55}" name="SBMU03" dataDxfId="96"/>
    <tableColumn id="7" xr3:uid="{9CAC7DF8-CC8E-46F3-896C-4AF3088C4E52}" name="SBMU04" dataDxfId="95"/>
    <tableColumn id="8" xr3:uid="{8CF5B5E6-E000-4C9F-AE97-C6D71DF8900A}" name="SBMU05" dataDxfId="94"/>
    <tableColumn id="9" xr3:uid="{1F8096D0-3D2B-48B9-84FE-04DF27E324AA}" name="W-Val" dataDxfId="93">
      <calculatedColumnFormula array="1">IF(SUM(Table189[[#This Row],[SBMU01]:[SBMU05]])=0,0,SUMPRODUCT(IF(Table189[[#This Row],[SBMU01]:[SBMU05]]=0,1,0),{1,2,4,8,16}))</calculatedColumnFormula>
    </tableColumn>
    <tableColumn id="10" xr3:uid="{5A4CBD6B-F625-4AD0-9004-71391C214426}" name="ReadVal"/>
    <tableColumn id="11" xr3:uid="{EA8E0F7C-8169-46FD-BD5B-1BE7B3484AD9}" name="W-Val2"/>
    <tableColumn id="12" xr3:uid="{599ADD7A-80AE-4C4A-AB8A-152DE123A753}" name="Comment"/>
    <tableColumn id="13" xr3:uid="{783F1EED-FF33-4D53-B8D1-4CAF69E5C9B2}" name="Flag" dataDxfId="92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C08855-BEC7-43CF-8A53-FE5F99CF3610}" name="Table18" displayName="Table18" ref="A1:M37" totalsRowShown="0">
  <tableColumns count="13">
    <tableColumn id="1" xr3:uid="{39FFCFBA-A0E1-4CC2-992B-D5D36640D660}" name="IP">
      <calculatedColumnFormula>SUBSTITUTE(V2,".8.","."&amp;$R$1&amp;".")</calculatedColumnFormula>
    </tableColumn>
    <tableColumn id="4" xr3:uid="{576EFA27-CDCF-4195-B6EF-D86AC718F657}" name="PI" dataDxfId="91">
      <calculatedColumnFormula>MID(Table18[[#This Row],[IP]],LEN(Table18[[#This Row],[IP]])-1,1)+(--MID(Table18[[#This Row],[IP]],8,1)-1)*9</calculatedColumnFormula>
    </tableColumn>
    <tableColumn id="5" xr3:uid="{1E5E3C45-B8A6-475B-9BA1-1207E1F1E029}" name="No" dataDxfId="90"/>
    <tableColumn id="2" xr3:uid="{4D830C53-96D4-4064-9F8E-FD143E2BD378}" name="SBMU01" dataDxfId="89"/>
    <tableColumn id="3" xr3:uid="{77C00579-1858-43E6-81A6-F7D88017D042}" name="SBMU02" dataDxfId="88"/>
    <tableColumn id="6" xr3:uid="{D14FA460-C871-43F6-BFD4-44137C3900CC}" name="SBMU03" dataDxfId="87"/>
    <tableColumn id="7" xr3:uid="{EABF08BC-BE37-484F-95EA-57CE24C3977E}" name="SBMU04" dataDxfId="86"/>
    <tableColumn id="8" xr3:uid="{3E2DC931-5BB6-4CE9-A92D-91E2B370EA7F}" name="SBMU05" dataDxfId="85"/>
    <tableColumn id="9" xr3:uid="{E4D3E3B5-5B20-4C72-8B25-30F661AD138E}" name="W-Val" dataDxfId="84">
      <calculatedColumnFormula array="1">IF(SUM((Table18[[#This Row],[SBMU01]:[SBMU05]]&lt;3)*1)=5,0,SUMPRODUCT(IF(Table18[[#This Row],[SBMU01]:[SBMU05]]&lt;3,1,0),{1,2,4,8,16}))</calculatedColumnFormula>
    </tableColumn>
    <tableColumn id="10" xr3:uid="{C51BD675-D564-4D02-993E-7B6BEA172E38}" name=" Connect fail"/>
    <tableColumn id="11" xr3:uid="{834459DC-7591-4A7E-A83E-75918FB4524E}" name="W-Val2"/>
    <tableColumn id="12" xr3:uid="{4E03E88F-9FD5-4AA8-9B34-3B5683FBA350}" name="Comment"/>
    <tableColumn id="13" xr3:uid="{515A2160-17CD-4FFC-BCF2-B8B0A90E19C5}" name="Flag" dataDxfId="83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T290" totalsRowShown="0" headerRowDxfId="82" dataDxfId="81">
  <tableColumns count="20">
    <tableColumn id="1" xr3:uid="{F3DBCFFA-E7E4-4BAA-B00B-D02CB9A0BB3A}" name="IP"/>
    <tableColumn id="2" xr3:uid="{58A779C5-2473-40A2-A8F3-F8860947CE1D}" name="PI"/>
    <tableColumn id="3" xr3:uid="{CA941A5E-61B8-4A56-BB03-7220F958D439}" name="soc" dataDxfId="80"/>
    <tableColumn id="4" xr3:uid="{0934FFEF-AEA4-4AFA-84A9-03971CB51DCD}" name="volt" dataDxfId="79"/>
    <tableColumn id="5" xr3:uid="{97CC8103-0533-4DFE-8FDC-C9D655A38AE2}" name="soc-sbmu1" dataDxfId="78"/>
    <tableColumn id="6" xr3:uid="{B35101E3-E05E-436A-AA4B-ACC7B3E1657D}" name="soc-sbmu2" dataDxfId="77"/>
    <tableColumn id="7" xr3:uid="{E5161365-7F69-468C-9136-D274F404B8D0}" name="soc-sbmu3" dataDxfId="76"/>
    <tableColumn id="8" xr3:uid="{F636EADD-9846-4BCE-B8F7-B95773DD7A55}" name="soc-sbmu4" dataDxfId="75"/>
    <tableColumn id="9" xr3:uid="{7F9457CF-55AF-440E-8B34-2EA455A25D6A}" name="soc-sbmu5" dataDxfId="74"/>
    <tableColumn id="10" xr3:uid="{C4B4BDDD-6A70-4832-B519-1578833F4F00}" name="volt-sbmu1" dataDxfId="73"/>
    <tableColumn id="11" xr3:uid="{8E5CC521-3908-4F8B-9A75-32E462A58E77}" name="volt-sbmu2" dataDxfId="72"/>
    <tableColumn id="12" xr3:uid="{BBABF8EA-DEED-46DA-A0AE-01285656C7D5}" name="volt-sbmu3" dataDxfId="71"/>
    <tableColumn id="13" xr3:uid="{4C12796D-17F3-48CC-BD9D-C0714EE6772E}" name="volt-sbmu4" dataDxfId="70"/>
    <tableColumn id="14" xr3:uid="{73F3D9ED-096A-4BEE-8DDA-26FE3E417E22}" name="volt-sbmu5" dataDxfId="69"/>
    <tableColumn id="15" xr3:uid="{27093570-A5A7-449C-AD8D-65A525575503}" name="MBMU-w1" dataDxfId="68"/>
    <tableColumn id="16" xr3:uid="{669FE3B6-FB06-4893-AC5B-2494821F77EC}" name="MBMU-w2" dataDxfId="67"/>
    <tableColumn id="17" xr3:uid="{F8FAD4FD-300B-47A9-B5C7-135217218542}" name="SysSta" dataDxfId="66"/>
    <tableColumn id="18" xr3:uid="{0E7845DD-6EE1-4990-8BC3-CC23539C2002}" name="EnvTemp" dataDxfId="65"/>
    <tableColumn id="19" xr3:uid="{A05774A1-7577-44B8-958E-E4D37836E4FB}" name="VoltDif" dataDxfId="64">
      <calculatedColumnFormula>_xlfn.STDEV.P(Table2[[#This Row],[volt-sbmu1]:[volt-sbmu5]])</calculatedColumnFormula>
    </tableColumn>
    <tableColumn id="20" xr3:uid="{F92E5734-D65F-4A22-86EE-030264255FB2}" name="SocDif" dataDxfId="63">
      <calculatedColumnFormula>MAX(Table2[[#This Row],[soc-sbmu1]:[soc-sbmu5]])-MIN(Table2[[#This Row],[soc-sbmu1]:[soc-sbmu5]])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V289" totalsRowShown="0" headerRowDxfId="62" dataDxfId="61">
  <tableColumns count="22">
    <tableColumn id="1" xr3:uid="{34D02EE5-3B82-452D-B270-83BA0F38CB4B}" name="IP"/>
    <tableColumn id="2" xr3:uid="{12557C64-D24F-46A4-8589-E3ADAB212A98}" name="PI"/>
    <tableColumn id="3" xr3:uid="{84994ABA-7B75-4D8B-8AB4-02D8E6ACA53A}" name="CC1" dataDxfId="60"/>
    <tableColumn id="4" xr3:uid="{B3B7D8BE-9D1F-4A19-B003-A4FAEFAB3F58}" name="DC1" dataDxfId="59"/>
    <tableColumn id="5" xr3:uid="{386C01C2-4978-4918-8374-E86C84158063}" name="CC2" dataDxfId="58"/>
    <tableColumn id="6" xr3:uid="{1D2C7DFF-5E32-4DFE-8773-E14E2E051C90}" name="DC2" dataDxfId="57"/>
    <tableColumn id="7" xr3:uid="{B0BF21DE-6253-4E4F-A638-A1CA6EA6E556}" name="CC3" dataDxfId="56"/>
    <tableColumn id="8" xr3:uid="{AB948932-6A17-4511-B3A6-C14F8640159F}" name="DC3" dataDxfId="55"/>
    <tableColumn id="9" xr3:uid="{D7FF23A6-5568-49F4-997D-51A88B78C0CA}" name="CC4" dataDxfId="54"/>
    <tableColumn id="10" xr3:uid="{F6F6B019-6255-4C5E-9161-59797D0B1F74}" name="DC4" dataDxfId="53"/>
    <tableColumn id="11" xr3:uid="{8553F600-1944-401F-922C-47A11E2C7651}" name="CC5" dataDxfId="52"/>
    <tableColumn id="12" xr3:uid="{44CC7D7E-17D8-4623-BA27-06CD3FAA3D37}" name="DC5" dataDxfId="51"/>
    <tableColumn id="13" xr3:uid="{694DE6A5-90D6-4F37-ADED-DCBFC8421E12}" name="HCC1" dataDxfId="50"/>
    <tableColumn id="14" xr3:uid="{BB5E69D5-8881-4139-B93A-A1B79F4F0B09}" name="HDC1" dataDxfId="49"/>
    <tableColumn id="15" xr3:uid="{03571738-541D-4A0C-B686-20C3EFD99D5E}" name="HCC2" dataDxfId="48"/>
    <tableColumn id="16" xr3:uid="{B05A3A33-104D-4276-83C1-92D1746E2A5A}" name="HDC2" dataDxfId="47"/>
    <tableColumn id="17" xr3:uid="{E9CC9C51-5919-46CB-88B9-D807A3602B61}" name="HCC3" dataDxfId="46"/>
    <tableColumn id="18" xr3:uid="{EEC03120-96F9-4E86-AF82-B19E7AA5466C}" name="HDC3" dataDxfId="45"/>
    <tableColumn id="19" xr3:uid="{3FB67C26-4CD5-4F3E-A382-B79484F1B984}" name="HCC4" dataDxfId="44"/>
    <tableColumn id="20" xr3:uid="{C3E20C3A-3E95-4350-9B4C-56058FBE54E0}" name="HDC4" dataDxfId="43"/>
    <tableColumn id="21" xr3:uid="{7E1F61D9-0A72-402A-AB20-58FCAB843140}" name="HCC5" dataDxfId="42"/>
    <tableColumn id="22" xr3:uid="{FC8661CA-286E-4D41-B846-5812F6943E90}" name="HDC5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62" totalsRowShown="0">
  <autoFilter ref="A1:C162" xr:uid="{6BF01A80-F4C1-4B54-9E66-CB02343A45E2}"/>
  <tableColumns count="3">
    <tableColumn id="1" xr3:uid="{FCD3BE6D-E329-4356-9875-78E237BAA940}" name="Register"/>
    <tableColumn id="2" xr3:uid="{518E3209-C8C1-4828-A9B2-E04B105710F3}" name="Value" dataDxfId="40"/>
    <tableColumn id="3" xr3:uid="{881F40ED-3DA4-4E62-893B-D8DAA9B5F037}" name="RegHex" dataDxfId="39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9583E8-C05B-45D5-91F9-AE0A5329E71E}" name="Table5" displayName="Table5" ref="H1:M2" totalsRowShown="0" headerRowDxfId="38" dataDxfId="37">
  <tableColumns count="6">
    <tableColumn id="1" xr3:uid="{8A9FFF26-61DC-48BC-AC68-DE69D2DE492C}" name="SBMU01" dataDxfId="36"/>
    <tableColumn id="2" xr3:uid="{3E23E6FA-3F68-45BD-BA88-6BCC672BE4EA}" name="SBMU02" dataDxfId="35"/>
    <tableColumn id="3" xr3:uid="{E2FFCF14-DB6F-410D-9C21-E7799594DB8B}" name="SBMU03" dataDxfId="34"/>
    <tableColumn id="4" xr3:uid="{9744C8F1-3572-4407-ADF8-D5D7CD469A0D}" name="SBMU04" dataDxfId="33"/>
    <tableColumn id="5" xr3:uid="{AC145B2C-BDD9-41DC-9EB8-1ABEC211C71C}" name="SBMU05" dataDxfId="32"/>
    <tableColumn id="6" xr3:uid="{F3ABFCE8-13E4-4C39-A5D6-CA8A4F33E055}" name="Value" dataDxfId="31">
      <calculatedColumnFormula>H2+2*I2+2^2*J2+2^3*K2+2^4*L2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2F274E-2018-4214-902B-B978E7EAE582}" name="Table6" displayName="Table6" ref="A1:D2" totalsRowShown="0" headerRowDxfId="30" dataDxfId="29">
  <tableColumns count="4">
    <tableColumn id="1" xr3:uid="{0F7C5574-1266-4CF5-B0AC-78D85E1A09BD}" name="IP" dataDxfId="28"/>
    <tableColumn id="2" xr3:uid="{2CC5E4DF-5CA7-4828-89CB-CB16544FC611}" name="Reg" dataDxfId="27"/>
    <tableColumn id="3" xr3:uid="{F0F53577-4DDB-4FF6-ACDC-7B7265FD413B}" name="Value" dataDxfId="26"/>
    <tableColumn id="4" xr3:uid="{8C56727A-F1CB-4862-AED5-9145C589D4BC}" name="read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workbookViewId="0">
      <selection activeCell="Y15" sqref="Y15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0" t="s">
        <v>417</v>
      </c>
      <c r="H1" s="90" t="s">
        <v>716</v>
      </c>
      <c r="K1" t="s">
        <v>416</v>
      </c>
      <c r="M1" s="90" t="s">
        <v>715</v>
      </c>
      <c r="R1" s="90" t="s">
        <v>419</v>
      </c>
    </row>
    <row r="2" spans="2:25" ht="14.25">
      <c r="B2" s="67" t="s">
        <v>407</v>
      </c>
      <c r="C2" s="68" t="s">
        <v>406</v>
      </c>
      <c r="D2" s="68" t="s">
        <v>405</v>
      </c>
      <c r="E2" s="69" t="s">
        <v>404</v>
      </c>
      <c r="F2" s="80"/>
      <c r="G2" s="67" t="s">
        <v>403</v>
      </c>
      <c r="H2" s="68" t="s">
        <v>402</v>
      </c>
      <c r="I2" s="68" t="s">
        <v>401</v>
      </c>
      <c r="J2" s="69" t="s">
        <v>400</v>
      </c>
      <c r="K2" s="80"/>
      <c r="L2" s="67" t="s">
        <v>415</v>
      </c>
      <c r="M2" s="68" t="s">
        <v>414</v>
      </c>
      <c r="N2" s="68" t="s">
        <v>413</v>
      </c>
      <c r="O2" s="69" t="s">
        <v>412</v>
      </c>
      <c r="P2" s="80"/>
      <c r="Q2" s="67" t="s">
        <v>411</v>
      </c>
      <c r="R2" s="68" t="s">
        <v>410</v>
      </c>
      <c r="S2" s="68" t="s">
        <v>409</v>
      </c>
      <c r="T2" s="69" t="s">
        <v>408</v>
      </c>
    </row>
    <row r="3" spans="2:25" ht="14.25">
      <c r="B3" s="70" t="str">
        <f>TEXT(LEFT(B2,2)+1,"00")&amp;RIGHT(B2,1)</f>
        <v>56D</v>
      </c>
      <c r="C3" s="76" t="str">
        <f t="shared" ref="C3:E18" si="0">TEXT(LEFT(C2,2)+1,"00")&amp;RIGHT(C2,1)</f>
        <v>56C</v>
      </c>
      <c r="D3" s="76" t="str">
        <f t="shared" si="0"/>
        <v>56B</v>
      </c>
      <c r="E3" s="71" t="str">
        <f t="shared" si="0"/>
        <v>56A</v>
      </c>
      <c r="F3" s="80"/>
      <c r="G3" s="70" t="str">
        <f>TEXT(LEFT(G2,2)+1,"00")&amp;RIGHT(G2,1)</f>
        <v>38A</v>
      </c>
      <c r="H3" s="76" t="str">
        <f t="shared" ref="H3:J18" si="1">TEXT(LEFT(H2,2)+1,"00")&amp;RIGHT(H2,1)</f>
        <v>38B</v>
      </c>
      <c r="I3" s="76" t="str">
        <f t="shared" si="1"/>
        <v>38C</v>
      </c>
      <c r="J3" s="71" t="str">
        <f t="shared" si="1"/>
        <v>38D</v>
      </c>
      <c r="K3" s="80"/>
      <c r="L3" s="70" t="str">
        <f>TEXT(LEFT(L2,2)+1,"00")&amp;RIGHT(L2,1)</f>
        <v>20D</v>
      </c>
      <c r="M3" s="76" t="str">
        <f>TEXT(LEFT(M2,2)+1,"00")&amp;RIGHT(M2,1)</f>
        <v>20C</v>
      </c>
      <c r="N3" s="76" t="str">
        <f>TEXT(LEFT(N2,2)+1,"00")&amp;RIGHT(N2,1)</f>
        <v>20B</v>
      </c>
      <c r="O3" s="71" t="str">
        <f>TEXT(LEFT(O2,2)+1,"00")&amp;RIGHT(O2,1)</f>
        <v>20A</v>
      </c>
      <c r="P3" s="80"/>
      <c r="Q3" s="70" t="str">
        <f>TEXT(LEFT(Q2,2)+1,"00")&amp;RIGHT(Q2,1)</f>
        <v>02A</v>
      </c>
      <c r="R3" s="76" t="str">
        <f t="shared" ref="R3:T18" si="2">TEXT(LEFT(R2,2)+1,"00")&amp;RIGHT(R2,1)</f>
        <v>02B</v>
      </c>
      <c r="S3" s="76" t="str">
        <f t="shared" si="2"/>
        <v>02C</v>
      </c>
      <c r="T3" s="71" t="str">
        <f t="shared" si="2"/>
        <v>02D</v>
      </c>
    </row>
    <row r="4" spans="2:25" ht="14.25">
      <c r="B4" s="70" t="str">
        <f t="shared" ref="B4:B19" si="3">TEXT(LEFT(B3,2)+1,"00")&amp;RIGHT(B3,1)</f>
        <v>57D</v>
      </c>
      <c r="C4" s="76" t="str">
        <f t="shared" si="0"/>
        <v>57C</v>
      </c>
      <c r="D4" s="76" t="str">
        <f t="shared" si="0"/>
        <v>57B</v>
      </c>
      <c r="E4" s="71" t="str">
        <f t="shared" si="0"/>
        <v>57A</v>
      </c>
      <c r="F4" s="80"/>
      <c r="G4" s="70" t="str">
        <f t="shared" ref="G4:G19" si="4">TEXT(LEFT(G3,2)+1,"00")&amp;RIGHT(G3,1)</f>
        <v>39A</v>
      </c>
      <c r="H4" s="76" t="str">
        <f t="shared" si="1"/>
        <v>39B</v>
      </c>
      <c r="I4" s="76" t="str">
        <f t="shared" si="1"/>
        <v>39C</v>
      </c>
      <c r="J4" s="71" t="str">
        <f t="shared" si="1"/>
        <v>39D</v>
      </c>
      <c r="K4" s="80"/>
      <c r="L4" s="70" t="str">
        <f t="shared" ref="L4:L19" si="5">TEXT(LEFT(L3,2)+1,"00")&amp;RIGHT(L3,1)</f>
        <v>21D</v>
      </c>
      <c r="M4" s="76" t="str">
        <f t="shared" ref="M4:M19" si="6">TEXT(LEFT(M3,2)+1,"00")&amp;RIGHT(M3,1)</f>
        <v>21C</v>
      </c>
      <c r="N4" s="76" t="str">
        <f t="shared" ref="N4:N19" si="7">TEXT(LEFT(N3,2)+1,"00")&amp;RIGHT(N3,1)</f>
        <v>21B</v>
      </c>
      <c r="O4" s="71" t="str">
        <f t="shared" ref="O4:O19" si="8">TEXT(LEFT(O3,2)+1,"00")&amp;RIGHT(O3,1)</f>
        <v>21A</v>
      </c>
      <c r="P4" s="80"/>
      <c r="Q4" s="70" t="str">
        <f t="shared" ref="Q4:Q19" si="9">TEXT(LEFT(Q3,2)+1,"00")&amp;RIGHT(Q3,1)</f>
        <v>03A</v>
      </c>
      <c r="R4" s="76" t="str">
        <f t="shared" si="2"/>
        <v>03B</v>
      </c>
      <c r="S4" s="76" t="str">
        <f t="shared" si="2"/>
        <v>03C</v>
      </c>
      <c r="T4" s="71" t="str">
        <f t="shared" si="2"/>
        <v>03D</v>
      </c>
    </row>
    <row r="5" spans="2:25" ht="14.25">
      <c r="B5" s="70" t="str">
        <f t="shared" si="3"/>
        <v>58D</v>
      </c>
      <c r="C5" s="76" t="str">
        <f t="shared" si="0"/>
        <v>58C</v>
      </c>
      <c r="D5" s="76" t="str">
        <f t="shared" si="0"/>
        <v>58B</v>
      </c>
      <c r="E5" s="71" t="str">
        <f t="shared" si="0"/>
        <v>58A</v>
      </c>
      <c r="F5" s="80"/>
      <c r="G5" s="70" t="str">
        <f t="shared" si="4"/>
        <v>40A</v>
      </c>
      <c r="H5" s="76" t="str">
        <f t="shared" si="1"/>
        <v>40B</v>
      </c>
      <c r="I5" s="76" t="str">
        <f t="shared" si="1"/>
        <v>40C</v>
      </c>
      <c r="J5" s="71" t="str">
        <f t="shared" si="1"/>
        <v>40D</v>
      </c>
      <c r="K5" s="80"/>
      <c r="L5" s="70" t="str">
        <f t="shared" si="5"/>
        <v>22D</v>
      </c>
      <c r="M5" s="76" t="str">
        <f t="shared" si="6"/>
        <v>22C</v>
      </c>
      <c r="N5" s="76" t="str">
        <f t="shared" si="7"/>
        <v>22B</v>
      </c>
      <c r="O5" s="71" t="str">
        <f t="shared" si="8"/>
        <v>22A</v>
      </c>
      <c r="P5" s="80"/>
      <c r="Q5" s="84" t="str">
        <f t="shared" si="9"/>
        <v>04A</v>
      </c>
      <c r="R5" s="77" t="str">
        <f t="shared" si="2"/>
        <v>04B</v>
      </c>
      <c r="S5" s="77" t="str">
        <f t="shared" si="2"/>
        <v>04C</v>
      </c>
      <c r="T5" s="89" t="str">
        <f t="shared" si="2"/>
        <v>04D</v>
      </c>
      <c r="X5" s="76"/>
      <c r="Y5" t="s">
        <v>384</v>
      </c>
    </row>
    <row r="6" spans="2:25" ht="14.25">
      <c r="B6" s="70" t="str">
        <f t="shared" si="3"/>
        <v>59D</v>
      </c>
      <c r="C6" s="76" t="str">
        <f t="shared" si="0"/>
        <v>59C</v>
      </c>
      <c r="D6" s="76" t="str">
        <f t="shared" si="0"/>
        <v>59B</v>
      </c>
      <c r="E6" s="71" t="str">
        <f t="shared" si="0"/>
        <v>59A</v>
      </c>
      <c r="F6" s="80"/>
      <c r="G6" s="70" t="str">
        <f t="shared" si="4"/>
        <v>41A</v>
      </c>
      <c r="H6" s="76" t="str">
        <f t="shared" si="1"/>
        <v>41B</v>
      </c>
      <c r="I6" s="76" t="str">
        <f t="shared" si="1"/>
        <v>41C</v>
      </c>
      <c r="J6" s="71" t="str">
        <f t="shared" si="1"/>
        <v>41D</v>
      </c>
      <c r="K6" s="80"/>
      <c r="L6" s="70" t="str">
        <f t="shared" si="5"/>
        <v>23D</v>
      </c>
      <c r="M6" s="76" t="str">
        <f t="shared" si="6"/>
        <v>23C</v>
      </c>
      <c r="N6" s="76" t="str">
        <f t="shared" si="7"/>
        <v>23B</v>
      </c>
      <c r="O6" s="71" t="str">
        <f t="shared" si="8"/>
        <v>23A</v>
      </c>
      <c r="P6" s="80"/>
      <c r="Q6" s="70" t="str">
        <f t="shared" si="9"/>
        <v>05A</v>
      </c>
      <c r="R6" s="76" t="str">
        <f t="shared" si="2"/>
        <v>05B</v>
      </c>
      <c r="S6" s="76" t="str">
        <f t="shared" si="2"/>
        <v>05C</v>
      </c>
      <c r="T6" s="71" t="str">
        <f t="shared" si="2"/>
        <v>05D</v>
      </c>
      <c r="X6" s="77"/>
      <c r="Y6" t="s">
        <v>383</v>
      </c>
    </row>
    <row r="7" spans="2:25" ht="14.25">
      <c r="B7" s="70" t="str">
        <f t="shared" si="3"/>
        <v>60D</v>
      </c>
      <c r="C7" s="76" t="str">
        <f t="shared" si="0"/>
        <v>60C</v>
      </c>
      <c r="D7" s="76" t="str">
        <f t="shared" si="0"/>
        <v>60B</v>
      </c>
      <c r="E7" s="71" t="str">
        <f t="shared" si="0"/>
        <v>60A</v>
      </c>
      <c r="F7" s="80"/>
      <c r="G7" s="70" t="str">
        <f t="shared" si="4"/>
        <v>42A</v>
      </c>
      <c r="H7" s="76" t="str">
        <f t="shared" si="1"/>
        <v>42B</v>
      </c>
      <c r="I7" s="76" t="str">
        <f t="shared" si="1"/>
        <v>42C</v>
      </c>
      <c r="J7" s="71" t="str">
        <f t="shared" si="1"/>
        <v>42D</v>
      </c>
      <c r="K7" s="80"/>
      <c r="L7" s="70" t="str">
        <f t="shared" si="5"/>
        <v>24D</v>
      </c>
      <c r="M7" s="76" t="str">
        <f t="shared" si="6"/>
        <v>24C</v>
      </c>
      <c r="N7" s="76" t="str">
        <f t="shared" si="7"/>
        <v>24B</v>
      </c>
      <c r="O7" s="71" t="str">
        <f t="shared" si="8"/>
        <v>24A</v>
      </c>
      <c r="P7" s="80"/>
      <c r="Q7" s="70" t="str">
        <f t="shared" si="9"/>
        <v>06A</v>
      </c>
      <c r="R7" s="76" t="str">
        <f t="shared" si="2"/>
        <v>06B</v>
      </c>
      <c r="S7" s="76" t="str">
        <f t="shared" si="2"/>
        <v>06C</v>
      </c>
      <c r="T7" s="71" t="str">
        <f t="shared" si="2"/>
        <v>06D</v>
      </c>
      <c r="X7" s="78"/>
      <c r="Y7" t="s">
        <v>382</v>
      </c>
    </row>
    <row r="8" spans="2:25" ht="14.25">
      <c r="B8" s="70" t="str">
        <f t="shared" si="3"/>
        <v>61D</v>
      </c>
      <c r="C8" s="76" t="str">
        <f t="shared" si="0"/>
        <v>61C</v>
      </c>
      <c r="D8" s="76" t="str">
        <f t="shared" si="0"/>
        <v>61B</v>
      </c>
      <c r="E8" s="71" t="str">
        <f t="shared" si="0"/>
        <v>61A</v>
      </c>
      <c r="F8" s="80"/>
      <c r="G8" s="70" t="str">
        <f t="shared" si="4"/>
        <v>43A</v>
      </c>
      <c r="H8" s="76" t="str">
        <f t="shared" si="1"/>
        <v>43B</v>
      </c>
      <c r="I8" s="76" t="str">
        <f t="shared" si="1"/>
        <v>43C</v>
      </c>
      <c r="J8" s="71" t="str">
        <f t="shared" si="1"/>
        <v>43D</v>
      </c>
      <c r="K8" s="80"/>
      <c r="L8" s="70" t="str">
        <f t="shared" si="5"/>
        <v>25D</v>
      </c>
      <c r="M8" s="76" t="str">
        <f t="shared" si="6"/>
        <v>25C</v>
      </c>
      <c r="N8" s="76" t="str">
        <f t="shared" si="7"/>
        <v>25B</v>
      </c>
      <c r="O8" s="71" t="str">
        <f t="shared" si="8"/>
        <v>25A</v>
      </c>
      <c r="P8" s="80"/>
      <c r="Q8" s="70" t="str">
        <f t="shared" si="9"/>
        <v>07A</v>
      </c>
      <c r="R8" s="76" t="str">
        <f t="shared" si="2"/>
        <v>07B</v>
      </c>
      <c r="S8" s="76" t="str">
        <f t="shared" si="2"/>
        <v>07C</v>
      </c>
      <c r="T8" s="71" t="str">
        <f t="shared" si="2"/>
        <v>07D</v>
      </c>
      <c r="X8" s="79"/>
      <c r="Y8" t="s">
        <v>399</v>
      </c>
    </row>
    <row r="9" spans="2:25" ht="14.25">
      <c r="B9" s="125" t="str">
        <f t="shared" si="3"/>
        <v>62D</v>
      </c>
      <c r="C9" s="78" t="str">
        <f t="shared" si="0"/>
        <v>62C</v>
      </c>
      <c r="D9" s="78" t="str">
        <f t="shared" si="0"/>
        <v>62B</v>
      </c>
      <c r="E9" s="126" t="str">
        <f t="shared" si="0"/>
        <v>62A</v>
      </c>
      <c r="F9" s="80"/>
      <c r="G9" s="70" t="str">
        <f t="shared" si="4"/>
        <v>44A</v>
      </c>
      <c r="H9" s="76" t="str">
        <f t="shared" si="1"/>
        <v>44B</v>
      </c>
      <c r="I9" s="76" t="str">
        <f t="shared" si="1"/>
        <v>44C</v>
      </c>
      <c r="J9" s="71" t="str">
        <f t="shared" si="1"/>
        <v>44D</v>
      </c>
      <c r="K9" s="80"/>
      <c r="L9" s="70" t="str">
        <f t="shared" si="5"/>
        <v>26D</v>
      </c>
      <c r="M9" s="76" t="str">
        <f t="shared" si="6"/>
        <v>26C</v>
      </c>
      <c r="N9" s="76" t="str">
        <f t="shared" si="7"/>
        <v>26B</v>
      </c>
      <c r="O9" s="71" t="str">
        <f t="shared" si="8"/>
        <v>26A</v>
      </c>
      <c r="P9" s="80"/>
      <c r="Q9" s="70" t="str">
        <f t="shared" si="9"/>
        <v>08A</v>
      </c>
      <c r="R9" s="76" t="str">
        <f t="shared" si="2"/>
        <v>08B</v>
      </c>
      <c r="S9" s="76" t="str">
        <f t="shared" si="2"/>
        <v>08C</v>
      </c>
      <c r="T9" s="71" t="str">
        <f t="shared" si="2"/>
        <v>08D</v>
      </c>
    </row>
    <row r="10" spans="2:25" ht="15" thickBot="1">
      <c r="B10" s="72" t="str">
        <f t="shared" si="3"/>
        <v>63D</v>
      </c>
      <c r="C10" s="73" t="str">
        <f t="shared" si="0"/>
        <v>63C</v>
      </c>
      <c r="D10" s="73" t="str">
        <f t="shared" si="0"/>
        <v>63B</v>
      </c>
      <c r="E10" s="74" t="str">
        <f t="shared" si="0"/>
        <v>63A</v>
      </c>
      <c r="F10" s="80"/>
      <c r="G10" s="72" t="str">
        <f t="shared" si="4"/>
        <v>45A</v>
      </c>
      <c r="H10" s="73" t="str">
        <f t="shared" si="1"/>
        <v>45B</v>
      </c>
      <c r="I10" s="73" t="str">
        <f t="shared" si="1"/>
        <v>45C</v>
      </c>
      <c r="J10" s="74" t="str">
        <f t="shared" si="1"/>
        <v>45D</v>
      </c>
      <c r="K10" s="80"/>
      <c r="L10" s="72" t="str">
        <f t="shared" si="5"/>
        <v>27D</v>
      </c>
      <c r="M10" s="73" t="str">
        <f t="shared" si="6"/>
        <v>27C</v>
      </c>
      <c r="N10" s="73" t="str">
        <f t="shared" si="7"/>
        <v>27B</v>
      </c>
      <c r="O10" s="74" t="str">
        <f t="shared" si="8"/>
        <v>27A</v>
      </c>
      <c r="P10" s="80"/>
      <c r="Q10" s="114" t="str">
        <f t="shared" si="9"/>
        <v>09A</v>
      </c>
      <c r="R10" s="91" t="str">
        <f t="shared" si="2"/>
        <v>09B</v>
      </c>
      <c r="S10" s="91" t="str">
        <f t="shared" si="2"/>
        <v>09C</v>
      </c>
      <c r="T10" s="115" t="str">
        <f t="shared" si="2"/>
        <v>09D</v>
      </c>
    </row>
    <row r="11" spans="2:25" ht="14.25">
      <c r="B11" s="67" t="str">
        <f t="shared" si="3"/>
        <v>64D</v>
      </c>
      <c r="C11" s="68" t="str">
        <f t="shared" si="0"/>
        <v>64C</v>
      </c>
      <c r="D11" s="68" t="str">
        <f t="shared" si="0"/>
        <v>64B</v>
      </c>
      <c r="E11" s="69" t="str">
        <f t="shared" si="0"/>
        <v>64A</v>
      </c>
      <c r="F11" s="80"/>
      <c r="G11" s="67" t="str">
        <f t="shared" si="4"/>
        <v>46A</v>
      </c>
      <c r="H11" s="68" t="str">
        <f t="shared" si="1"/>
        <v>46B</v>
      </c>
      <c r="I11" s="68" t="str">
        <f t="shared" si="1"/>
        <v>46C</v>
      </c>
      <c r="J11" s="69" t="str">
        <f t="shared" si="1"/>
        <v>46D</v>
      </c>
      <c r="K11" s="80"/>
      <c r="L11" s="67" t="str">
        <f t="shared" si="5"/>
        <v>28D</v>
      </c>
      <c r="M11" s="68" t="str">
        <f t="shared" si="6"/>
        <v>28C</v>
      </c>
      <c r="N11" s="68" t="str">
        <f t="shared" si="7"/>
        <v>28B</v>
      </c>
      <c r="O11" s="69" t="str">
        <f t="shared" si="8"/>
        <v>28A</v>
      </c>
      <c r="P11" s="80"/>
      <c r="Q11" s="67" t="str">
        <f t="shared" si="9"/>
        <v>10A</v>
      </c>
      <c r="R11" s="68" t="str">
        <f t="shared" si="2"/>
        <v>10B</v>
      </c>
      <c r="S11" s="68" t="str">
        <f t="shared" si="2"/>
        <v>10C</v>
      </c>
      <c r="T11" s="69" t="str">
        <f t="shared" si="2"/>
        <v>10D</v>
      </c>
    </row>
    <row r="12" spans="2:25" ht="14.25">
      <c r="B12" s="70" t="str">
        <f t="shared" si="3"/>
        <v>65D</v>
      </c>
      <c r="C12" s="76" t="str">
        <f t="shared" si="0"/>
        <v>65C</v>
      </c>
      <c r="D12" s="76" t="str">
        <f t="shared" si="0"/>
        <v>65B</v>
      </c>
      <c r="E12" s="71" t="str">
        <f t="shared" si="0"/>
        <v>65A</v>
      </c>
      <c r="F12" s="80"/>
      <c r="G12" s="70" t="str">
        <f t="shared" si="4"/>
        <v>47A</v>
      </c>
      <c r="H12" s="76" t="str">
        <f t="shared" si="1"/>
        <v>47B</v>
      </c>
      <c r="I12" s="76" t="str">
        <f t="shared" si="1"/>
        <v>47C</v>
      </c>
      <c r="J12" s="71" t="str">
        <f t="shared" si="1"/>
        <v>47D</v>
      </c>
      <c r="K12" s="80"/>
      <c r="L12" s="70" t="str">
        <f t="shared" si="5"/>
        <v>29D</v>
      </c>
      <c r="M12" s="76" t="str">
        <f t="shared" si="6"/>
        <v>29C</v>
      </c>
      <c r="N12" s="76" t="str">
        <f t="shared" si="7"/>
        <v>29B</v>
      </c>
      <c r="O12" s="71" t="str">
        <f t="shared" si="8"/>
        <v>29A</v>
      </c>
      <c r="P12" s="80"/>
      <c r="Q12" s="70" t="str">
        <f t="shared" si="9"/>
        <v>11A</v>
      </c>
      <c r="R12" s="76" t="str">
        <f t="shared" si="2"/>
        <v>11B</v>
      </c>
      <c r="S12" s="76" t="str">
        <f t="shared" si="2"/>
        <v>11C</v>
      </c>
      <c r="T12" s="71" t="str">
        <f t="shared" si="2"/>
        <v>11D</v>
      </c>
    </row>
    <row r="13" spans="2:25" ht="14.25">
      <c r="B13" s="84" t="str">
        <f t="shared" si="3"/>
        <v>66D</v>
      </c>
      <c r="C13" s="77" t="str">
        <f t="shared" si="0"/>
        <v>66C</v>
      </c>
      <c r="D13" s="77" t="str">
        <f t="shared" si="0"/>
        <v>66B</v>
      </c>
      <c r="E13" s="89" t="str">
        <f t="shared" si="0"/>
        <v>66A</v>
      </c>
      <c r="F13" s="80"/>
      <c r="G13" s="70" t="str">
        <f t="shared" si="4"/>
        <v>48A</v>
      </c>
      <c r="H13" s="76" t="str">
        <f t="shared" si="1"/>
        <v>48B</v>
      </c>
      <c r="I13" s="76" t="str">
        <f t="shared" si="1"/>
        <v>48C</v>
      </c>
      <c r="J13" s="71" t="str">
        <f t="shared" si="1"/>
        <v>48D</v>
      </c>
      <c r="K13" s="80"/>
      <c r="L13" s="70" t="str">
        <f t="shared" si="5"/>
        <v>30D</v>
      </c>
      <c r="M13" s="76" t="str">
        <f t="shared" si="6"/>
        <v>30C</v>
      </c>
      <c r="N13" s="76" t="str">
        <f t="shared" si="7"/>
        <v>30B</v>
      </c>
      <c r="O13" s="71" t="str">
        <f t="shared" si="8"/>
        <v>30A</v>
      </c>
      <c r="P13" s="80"/>
      <c r="Q13" s="70" t="str">
        <f t="shared" si="9"/>
        <v>12A</v>
      </c>
      <c r="R13" s="76" t="str">
        <f t="shared" si="2"/>
        <v>12B</v>
      </c>
      <c r="S13" s="76" t="str">
        <f t="shared" si="2"/>
        <v>12C</v>
      </c>
      <c r="T13" s="71" t="str">
        <f t="shared" si="2"/>
        <v>12D</v>
      </c>
    </row>
    <row r="14" spans="2:25" ht="14.25">
      <c r="B14" s="70" t="str">
        <f t="shared" si="3"/>
        <v>67D</v>
      </c>
      <c r="C14" s="76" t="str">
        <f t="shared" si="0"/>
        <v>67C</v>
      </c>
      <c r="D14" s="76" t="str">
        <f t="shared" si="0"/>
        <v>67B</v>
      </c>
      <c r="E14" s="71" t="str">
        <f t="shared" si="0"/>
        <v>67A</v>
      </c>
      <c r="F14" s="80"/>
      <c r="G14" s="70" t="str">
        <f t="shared" si="4"/>
        <v>49A</v>
      </c>
      <c r="H14" s="76" t="str">
        <f t="shared" si="1"/>
        <v>49B</v>
      </c>
      <c r="I14" s="76" t="str">
        <f t="shared" si="1"/>
        <v>49C</v>
      </c>
      <c r="J14" s="71" t="str">
        <f t="shared" si="1"/>
        <v>49D</v>
      </c>
      <c r="K14" s="80"/>
      <c r="L14" s="70" t="str">
        <f t="shared" si="5"/>
        <v>31D</v>
      </c>
      <c r="M14" s="76" t="str">
        <f t="shared" si="6"/>
        <v>31C</v>
      </c>
      <c r="N14" s="76" t="str">
        <f t="shared" si="7"/>
        <v>31B</v>
      </c>
      <c r="O14" s="71" t="str">
        <f t="shared" si="8"/>
        <v>31A</v>
      </c>
      <c r="P14" s="80"/>
      <c r="Q14" s="70" t="str">
        <f t="shared" si="9"/>
        <v>13A</v>
      </c>
      <c r="R14" s="76" t="str">
        <f t="shared" si="2"/>
        <v>13B</v>
      </c>
      <c r="S14" s="76" t="str">
        <f t="shared" si="2"/>
        <v>13C</v>
      </c>
      <c r="T14" s="71" t="str">
        <f t="shared" si="2"/>
        <v>13D</v>
      </c>
    </row>
    <row r="15" spans="2:25" ht="14.25">
      <c r="B15" s="70" t="str">
        <f t="shared" si="3"/>
        <v>68D</v>
      </c>
      <c r="C15" s="76" t="str">
        <f t="shared" si="0"/>
        <v>68C</v>
      </c>
      <c r="D15" s="76" t="str">
        <f t="shared" si="0"/>
        <v>68B</v>
      </c>
      <c r="E15" s="71" t="str">
        <f t="shared" si="0"/>
        <v>68A</v>
      </c>
      <c r="F15" s="80"/>
      <c r="G15" s="70" t="str">
        <f t="shared" si="4"/>
        <v>50A</v>
      </c>
      <c r="H15" s="76" t="str">
        <f t="shared" si="1"/>
        <v>50B</v>
      </c>
      <c r="I15" s="76" t="str">
        <f t="shared" si="1"/>
        <v>50C</v>
      </c>
      <c r="J15" s="71" t="str">
        <f t="shared" si="1"/>
        <v>50D</v>
      </c>
      <c r="K15" s="80"/>
      <c r="L15" s="70" t="str">
        <f t="shared" si="5"/>
        <v>32D</v>
      </c>
      <c r="M15" s="76" t="str">
        <f t="shared" si="6"/>
        <v>32C</v>
      </c>
      <c r="N15" s="76" t="str">
        <f t="shared" si="7"/>
        <v>32B</v>
      </c>
      <c r="O15" s="71" t="str">
        <f t="shared" si="8"/>
        <v>32A</v>
      </c>
      <c r="P15" s="80"/>
      <c r="Q15" s="70" t="str">
        <f t="shared" si="9"/>
        <v>14A</v>
      </c>
      <c r="R15" s="76" t="str">
        <f t="shared" si="2"/>
        <v>14B</v>
      </c>
      <c r="S15" s="76" t="str">
        <f t="shared" si="2"/>
        <v>14C</v>
      </c>
      <c r="T15" s="71" t="str">
        <f t="shared" si="2"/>
        <v>14D</v>
      </c>
    </row>
    <row r="16" spans="2:25" ht="14.25">
      <c r="B16" s="70" t="str">
        <f t="shared" si="3"/>
        <v>69D</v>
      </c>
      <c r="C16" s="76" t="str">
        <f t="shared" si="0"/>
        <v>69C</v>
      </c>
      <c r="D16" s="76" t="str">
        <f t="shared" si="0"/>
        <v>69B</v>
      </c>
      <c r="E16" s="71" t="str">
        <f t="shared" si="0"/>
        <v>69A</v>
      </c>
      <c r="F16" s="80"/>
      <c r="G16" s="70" t="str">
        <f t="shared" si="4"/>
        <v>51A</v>
      </c>
      <c r="H16" s="76" t="str">
        <f t="shared" si="1"/>
        <v>51B</v>
      </c>
      <c r="I16" s="76" t="str">
        <f t="shared" si="1"/>
        <v>51C</v>
      </c>
      <c r="J16" s="71" t="str">
        <f t="shared" si="1"/>
        <v>51D</v>
      </c>
      <c r="K16" s="80"/>
      <c r="L16" s="70" t="str">
        <f t="shared" si="5"/>
        <v>33D</v>
      </c>
      <c r="M16" s="76" t="str">
        <f t="shared" si="6"/>
        <v>33C</v>
      </c>
      <c r="N16" s="76" t="str">
        <f t="shared" si="7"/>
        <v>33B</v>
      </c>
      <c r="O16" s="71" t="str">
        <f t="shared" si="8"/>
        <v>33A</v>
      </c>
      <c r="P16" s="80"/>
      <c r="Q16" s="70" t="str">
        <f t="shared" si="9"/>
        <v>15A</v>
      </c>
      <c r="R16" s="76" t="str">
        <f t="shared" si="2"/>
        <v>15B</v>
      </c>
      <c r="S16" s="76" t="str">
        <f t="shared" si="2"/>
        <v>15C</v>
      </c>
      <c r="T16" s="71" t="str">
        <f t="shared" si="2"/>
        <v>15D</v>
      </c>
    </row>
    <row r="17" spans="2:20" ht="14.25">
      <c r="B17" s="70" t="str">
        <f t="shared" si="3"/>
        <v>70D</v>
      </c>
      <c r="C17" s="76" t="str">
        <f t="shared" si="0"/>
        <v>70C</v>
      </c>
      <c r="D17" s="76" t="str">
        <f t="shared" si="0"/>
        <v>70B</v>
      </c>
      <c r="E17" s="71" t="str">
        <f t="shared" si="0"/>
        <v>70A</v>
      </c>
      <c r="F17" s="80"/>
      <c r="G17" s="70" t="str">
        <f t="shared" si="4"/>
        <v>52A</v>
      </c>
      <c r="H17" s="76" t="str">
        <f t="shared" si="1"/>
        <v>52B</v>
      </c>
      <c r="I17" s="76" t="str">
        <f t="shared" si="1"/>
        <v>52C</v>
      </c>
      <c r="J17" s="71" t="str">
        <f t="shared" si="1"/>
        <v>52D</v>
      </c>
      <c r="K17" s="80"/>
      <c r="L17" s="70" t="str">
        <f t="shared" si="5"/>
        <v>34D</v>
      </c>
      <c r="M17" s="76" t="str">
        <f t="shared" si="6"/>
        <v>34C</v>
      </c>
      <c r="N17" s="76" t="str">
        <f t="shared" si="7"/>
        <v>34B</v>
      </c>
      <c r="O17" s="71" t="str">
        <f t="shared" si="8"/>
        <v>34A</v>
      </c>
      <c r="P17" s="80"/>
      <c r="Q17" s="70" t="str">
        <f t="shared" si="9"/>
        <v>16A</v>
      </c>
      <c r="R17" s="76" t="str">
        <f t="shared" si="2"/>
        <v>16B</v>
      </c>
      <c r="S17" s="76" t="str">
        <f t="shared" si="2"/>
        <v>16C</v>
      </c>
      <c r="T17" s="71" t="str">
        <f t="shared" si="2"/>
        <v>16D</v>
      </c>
    </row>
    <row r="18" spans="2:20" ht="14.25">
      <c r="B18" s="70" t="str">
        <f t="shared" si="3"/>
        <v>71D</v>
      </c>
      <c r="C18" s="76" t="str">
        <f t="shared" si="0"/>
        <v>71C</v>
      </c>
      <c r="D18" s="76" t="str">
        <f t="shared" si="0"/>
        <v>71B</v>
      </c>
      <c r="E18" s="71" t="str">
        <f t="shared" si="0"/>
        <v>71A</v>
      </c>
      <c r="F18" s="80"/>
      <c r="G18" s="70" t="str">
        <f t="shared" si="4"/>
        <v>53A</v>
      </c>
      <c r="H18" s="76" t="str">
        <f t="shared" si="1"/>
        <v>53B</v>
      </c>
      <c r="I18" s="76" t="str">
        <f t="shared" si="1"/>
        <v>53C</v>
      </c>
      <c r="J18" s="71" t="str">
        <f t="shared" si="1"/>
        <v>53D</v>
      </c>
      <c r="K18" s="80"/>
      <c r="L18" s="70" t="str">
        <f t="shared" si="5"/>
        <v>35D</v>
      </c>
      <c r="M18" s="76" t="str">
        <f t="shared" si="6"/>
        <v>35C</v>
      </c>
      <c r="N18" s="76" t="str">
        <f t="shared" si="7"/>
        <v>35B</v>
      </c>
      <c r="O18" s="71" t="str">
        <f t="shared" si="8"/>
        <v>35A</v>
      </c>
      <c r="P18" s="80"/>
      <c r="Q18" s="70" t="str">
        <f t="shared" si="9"/>
        <v>17A</v>
      </c>
      <c r="R18" s="76" t="str">
        <f t="shared" si="2"/>
        <v>17B</v>
      </c>
      <c r="S18" s="76" t="str">
        <f t="shared" si="2"/>
        <v>17C</v>
      </c>
      <c r="T18" s="71" t="str">
        <f t="shared" si="2"/>
        <v>17D</v>
      </c>
    </row>
    <row r="19" spans="2:20" ht="15" thickBot="1">
      <c r="B19" s="72" t="str">
        <f t="shared" si="3"/>
        <v>72D</v>
      </c>
      <c r="C19" s="73" t="str">
        <f>TEXT(LEFT(C18,2)+1,"00")&amp;RIGHT(C18,1)</f>
        <v>72C</v>
      </c>
      <c r="D19" s="73" t="str">
        <f>TEXT(LEFT(D18,2)+1,"00")&amp;RIGHT(D18,1)</f>
        <v>72B</v>
      </c>
      <c r="E19" s="115" t="str">
        <f>TEXT(LEFT(E18,2)+1,"00")&amp;RIGHT(E18,1)</f>
        <v>72A</v>
      </c>
      <c r="F19" s="80"/>
      <c r="G19" s="72" t="str">
        <f t="shared" si="4"/>
        <v>54A</v>
      </c>
      <c r="H19" s="73" t="str">
        <f>TEXT(LEFT(H18,2)+1,"00")&amp;RIGHT(H18,1)</f>
        <v>54B</v>
      </c>
      <c r="I19" s="73" t="str">
        <f>TEXT(LEFT(I18,2)+1,"00")&amp;RIGHT(I18,1)</f>
        <v>54C</v>
      </c>
      <c r="J19" s="74" t="str">
        <f>TEXT(LEFT(J18,2)+1,"00")&amp;RIGHT(J18,1)</f>
        <v>54D</v>
      </c>
      <c r="K19" s="80"/>
      <c r="L19" s="72" t="str">
        <f t="shared" si="5"/>
        <v>36D</v>
      </c>
      <c r="M19" s="73" t="str">
        <f t="shared" si="6"/>
        <v>36C</v>
      </c>
      <c r="N19" s="73" t="str">
        <f t="shared" si="7"/>
        <v>36B</v>
      </c>
      <c r="O19" s="74" t="str">
        <f t="shared" si="8"/>
        <v>36A</v>
      </c>
      <c r="P19" s="80"/>
      <c r="Q19" s="72" t="str">
        <f t="shared" si="9"/>
        <v>18A</v>
      </c>
      <c r="R19" s="73" t="str">
        <f>TEXT(LEFT(R18,2)+1,"00")&amp;RIGHT(R18,1)</f>
        <v>18B</v>
      </c>
      <c r="S19" s="91" t="str">
        <f>TEXT(LEFT(S18,2)+1,"00")&amp;RIGHT(S18,1)</f>
        <v>18C</v>
      </c>
      <c r="T19" s="74" t="str">
        <f>TEXT(LEFT(T18,2)+1,"00")&amp;RIGHT(T18,1)</f>
        <v>18D</v>
      </c>
    </row>
    <row r="20" spans="2:20">
      <c r="C20" t="s">
        <v>418</v>
      </c>
      <c r="H20" t="s">
        <v>421</v>
      </c>
      <c r="M20" t="s">
        <v>422</v>
      </c>
      <c r="R20" t="s">
        <v>420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zoomScaleNormal="100" workbookViewId="0">
      <selection activeCell="J6" sqref="J6"/>
    </sheetView>
  </sheetViews>
  <sheetFormatPr defaultRowHeight="13.5"/>
  <cols>
    <col min="1" max="1" width="11.5" bestFit="1" customWidth="1"/>
    <col min="2" max="2" width="10.125" bestFit="1" customWidth="1"/>
    <col min="3" max="3" width="11.125" bestFit="1" customWidth="1"/>
    <col min="4" max="4" width="10.125" bestFit="1" customWidth="1"/>
    <col min="6" max="6" width="6" bestFit="1" customWidth="1"/>
    <col min="7" max="7" width="8.875" bestFit="1" customWidth="1"/>
    <col min="11" max="11" width="12.75" bestFit="1" customWidth="1"/>
    <col min="14" max="14" width="11.5" customWidth="1"/>
    <col min="15" max="15" width="12.375" customWidth="1"/>
    <col min="16" max="16" width="9.875" bestFit="1" customWidth="1"/>
  </cols>
  <sheetData>
    <row r="1" spans="1:22" ht="21">
      <c r="A1" s="25" t="s">
        <v>13</v>
      </c>
      <c r="B1" s="30" t="str">
        <f>"10.238."&amp;G1&amp;"."&amp;H1&amp;"6"</f>
        <v>10.238.1.46</v>
      </c>
      <c r="C1" s="24" t="s">
        <v>23</v>
      </c>
      <c r="D1" s="81">
        <f>(MID(B1,8,1)-1)*9+QUOTIENT(RIGHT(B1,2),10)</f>
        <v>4</v>
      </c>
      <c r="E1" t="str">
        <f>VLOOKUP(--RIGHT(B1,1),{9,"A";8,"B";7,"C";6,"D"},2,0)</f>
        <v>D</v>
      </c>
      <c r="F1" s="98">
        <v>4</v>
      </c>
      <c r="G1">
        <f>QUOTIENT(F1-1,9)+1</f>
        <v>1</v>
      </c>
      <c r="H1">
        <f>MOD(F1-1,9)+1</f>
        <v>4</v>
      </c>
      <c r="K1" s="82">
        <f ca="1">NOW()</f>
        <v>45689.542216666669</v>
      </c>
      <c r="M1">
        <v>32</v>
      </c>
      <c r="N1">
        <v>33</v>
      </c>
      <c r="R1">
        <f>(MID(B1,8,1)-1)*9+QUOTIENT(RIGHT(B1,2),10)</f>
        <v>4</v>
      </c>
      <c r="S1" t="str">
        <f>VLOOKUP(--RIGHT(B1,1),{9,"A";8,"B";7,"C";6,"D"},2,0)</f>
        <v>D</v>
      </c>
      <c r="T1">
        <f>J21</f>
        <v>0</v>
      </c>
      <c r="V1" t="s">
        <v>762</v>
      </c>
    </row>
    <row r="2" spans="1:22" ht="15">
      <c r="A2" s="48" t="str">
        <f>REPLACE($B$1,LEN($B$1),1,"7")</f>
        <v>10.238.1.47</v>
      </c>
      <c r="B2" s="48" t="str">
        <f>REPLACE($B$1,LEN($B$1),1,"7")</f>
        <v>10.238.1.47</v>
      </c>
      <c r="D2" s="81">
        <f>(MID(B2,8,1)-1)*9+QUOTIENT(RIGHT(B2,2),10)</f>
        <v>4</v>
      </c>
      <c r="E2" t="str">
        <f>VLOOKUP(--RIGHT(B2,1),{9,"A";8,"B";7,"C";6,"D"},2,0)</f>
        <v>C</v>
      </c>
      <c r="G2" s="16" t="s">
        <v>11</v>
      </c>
      <c r="H2" s="17" t="s">
        <v>14</v>
      </c>
      <c r="I2" s="18" t="s">
        <v>12</v>
      </c>
      <c r="M2" s="1" t="s">
        <v>6</v>
      </c>
      <c r="N2" s="21" t="s">
        <v>7</v>
      </c>
      <c r="O2" s="2" t="s">
        <v>8</v>
      </c>
      <c r="P2" s="3" t="s">
        <v>18</v>
      </c>
      <c r="R2">
        <f>(MID(B2,8,1)-1)*9+QUOTIENT(RIGHT(B2,2),10)</f>
        <v>4</v>
      </c>
      <c r="S2" t="str">
        <f>VLOOKUP(--RIGHT(B2,1),{9,"A";8,"B";7,"C";6,"D"},2,0)</f>
        <v>C</v>
      </c>
      <c r="T2">
        <f>J26</f>
        <v>0</v>
      </c>
      <c r="V2" t="s">
        <v>762</v>
      </c>
    </row>
    <row r="3" spans="1:22" ht="15">
      <c r="A3" s="48" t="str">
        <f>REPLACE($B$1,LEN($B$1),1,"8")</f>
        <v>10.238.1.48</v>
      </c>
      <c r="B3" s="48" t="str">
        <f>REPLACE($B$1,LEN($B$1),1,"8")</f>
        <v>10.238.1.48</v>
      </c>
      <c r="D3" s="81">
        <f>(MID(B3,8,1)-1)*9+QUOTIENT(RIGHT(B3,2),10)</f>
        <v>4</v>
      </c>
      <c r="E3" t="str">
        <f>VLOOKUP(--RIGHT(B3,1),{9,"A";8,"B";7,"C";6,"D"},2,0)</f>
        <v>B</v>
      </c>
      <c r="G3" s="31">
        <f>INT(ABS(MAX(D21:D24))-ABS(MIN(B21:B24)))</f>
        <v>292</v>
      </c>
      <c r="H3" s="19">
        <v>9</v>
      </c>
      <c r="I3" s="20">
        <f>G3*H3*1.4</f>
        <v>3679.2</v>
      </c>
      <c r="M3" s="34">
        <v>1397.8</v>
      </c>
      <c r="N3" s="28">
        <v>-93</v>
      </c>
      <c r="O3" s="22">
        <f>ABS(INT(M3*N3/1000))</f>
        <v>130</v>
      </c>
      <c r="P3" s="33">
        <f>SUM(O3:O6)/1000</f>
        <v>0.52600000000000002</v>
      </c>
      <c r="R3">
        <f>(MID(B3,8,1)-1)*9+QUOTIENT(RIGHT(B3,2),10)</f>
        <v>4</v>
      </c>
      <c r="S3" t="str">
        <f>VLOOKUP(--RIGHT(B3,1),{9,"A";8,"B";7,"C";6,"D"},2,0)</f>
        <v>B</v>
      </c>
      <c r="T3">
        <f>J31</f>
        <v>0</v>
      </c>
      <c r="V3" t="s">
        <v>762</v>
      </c>
    </row>
    <row r="4" spans="1:22" ht="15">
      <c r="A4" s="48" t="str">
        <f>REPLACE($B$1,LEN($B$1),1,"9")</f>
        <v>10.238.1.49</v>
      </c>
      <c r="B4" s="48" t="str">
        <f>REPLACE($B$1,LEN($B$1),1,"9")</f>
        <v>10.238.1.49</v>
      </c>
      <c r="D4" s="81">
        <f>(MID(B4,8,1)-1)*9+QUOTIENT(RIGHT(B4,2),10)</f>
        <v>4</v>
      </c>
      <c r="E4" t="str">
        <f>VLOOKUP(--RIGHT(B4,1),{9,"A";8,"B";7,"C";6,"D"},2,0)</f>
        <v>A</v>
      </c>
      <c r="M4" s="35">
        <v>1396.9</v>
      </c>
      <c r="N4" s="29">
        <v>-94</v>
      </c>
      <c r="O4" s="22">
        <f>ABS(INT(M4*N4/1000))</f>
        <v>132</v>
      </c>
      <c r="P4" s="23"/>
      <c r="R4">
        <f>(MID(B4,8,1)-1)*9+QUOTIENT(RIGHT(B4,2),10)</f>
        <v>4</v>
      </c>
      <c r="S4" t="str">
        <f>VLOOKUP(--RIGHT(B4,1),{9,"A";8,"B";7,"C";6,"D"},2,0)</f>
        <v>A</v>
      </c>
      <c r="T4">
        <f>J36</f>
        <v>0</v>
      </c>
      <c r="V4" t="s">
        <v>762</v>
      </c>
    </row>
    <row r="5" spans="1:22" ht="15">
      <c r="G5" s="16" t="s">
        <v>20</v>
      </c>
      <c r="H5" s="17" t="s">
        <v>7</v>
      </c>
      <c r="M5" s="34">
        <v>1397.7</v>
      </c>
      <c r="N5" s="28">
        <v>-94</v>
      </c>
      <c r="O5" s="22">
        <f>ABS(INT(M5*N5/1000))</f>
        <v>132</v>
      </c>
    </row>
    <row r="6" spans="1:22" ht="15">
      <c r="A6" s="11" t="s">
        <v>0</v>
      </c>
      <c r="B6" s="12" t="s">
        <v>1</v>
      </c>
      <c r="C6" s="13" t="s">
        <v>17</v>
      </c>
      <c r="G6" s="31">
        <v>18031</v>
      </c>
      <c r="H6" s="19">
        <f>(G6-20000)/10</f>
        <v>-196.9</v>
      </c>
      <c r="M6" s="35">
        <v>1397.8</v>
      </c>
      <c r="N6" s="29">
        <v>-94</v>
      </c>
      <c r="O6" s="22">
        <f>ABS(INT(M6*N6/1000))</f>
        <v>132</v>
      </c>
    </row>
    <row r="7" spans="1:22" ht="15">
      <c r="A7" s="65">
        <v>896</v>
      </c>
      <c r="B7" s="63" t="s">
        <v>5</v>
      </c>
      <c r="C7" s="14" t="s">
        <v>2</v>
      </c>
    </row>
    <row r="8" spans="1:22" ht="15">
      <c r="A8" s="65">
        <v>897</v>
      </c>
      <c r="B8" s="63" t="s">
        <v>16</v>
      </c>
      <c r="C8" s="14" t="s">
        <v>3</v>
      </c>
      <c r="G8" s="16" t="s">
        <v>21</v>
      </c>
      <c r="H8" s="17" t="s">
        <v>22</v>
      </c>
      <c r="L8" s="17">
        <v>36</v>
      </c>
      <c r="M8" s="17">
        <v>37</v>
      </c>
      <c r="N8" s="17">
        <v>770</v>
      </c>
      <c r="O8" s="17">
        <v>16</v>
      </c>
      <c r="P8" s="17">
        <v>17</v>
      </c>
      <c r="Q8" s="17">
        <v>909</v>
      </c>
      <c r="R8" s="17">
        <v>34</v>
      </c>
      <c r="S8" s="116">
        <v>5</v>
      </c>
      <c r="V8" t="s">
        <v>391</v>
      </c>
    </row>
    <row r="9" spans="1:22" ht="15">
      <c r="A9" s="65">
        <v>907</v>
      </c>
      <c r="B9" s="63" t="s">
        <v>397</v>
      </c>
      <c r="C9" s="14" t="s">
        <v>41</v>
      </c>
      <c r="G9" s="31">
        <v>421</v>
      </c>
      <c r="H9" s="19">
        <f>HEX2DEC(G9)</f>
        <v>1057</v>
      </c>
      <c r="L9" s="19">
        <v>3334</v>
      </c>
      <c r="M9" s="19">
        <v>3327</v>
      </c>
      <c r="N9" s="19">
        <v>4</v>
      </c>
      <c r="O9" s="19">
        <v>0</v>
      </c>
      <c r="P9">
        <v>0</v>
      </c>
      <c r="Q9">
        <v>0</v>
      </c>
      <c r="R9">
        <v>987</v>
      </c>
      <c r="S9">
        <v>1</v>
      </c>
      <c r="V9">
        <f>CLEAN(L9)*1-CLEAN(M9)*1</f>
        <v>7</v>
      </c>
    </row>
    <row r="10" spans="1:22" ht="15">
      <c r="A10" s="65">
        <v>908</v>
      </c>
      <c r="B10" s="63" t="s">
        <v>15</v>
      </c>
      <c r="C10" s="14" t="s">
        <v>4</v>
      </c>
      <c r="G10" s="17" t="s">
        <v>22</v>
      </c>
      <c r="H10" s="16" t="s">
        <v>21</v>
      </c>
      <c r="L10" s="19">
        <v>3333</v>
      </c>
      <c r="M10" s="19">
        <v>3328</v>
      </c>
      <c r="N10" s="19">
        <v>4</v>
      </c>
      <c r="O10" s="19">
        <v>0</v>
      </c>
      <c r="P10">
        <v>0</v>
      </c>
      <c r="Q10">
        <v>0</v>
      </c>
      <c r="R10">
        <v>989</v>
      </c>
      <c r="S10">
        <v>1</v>
      </c>
      <c r="V10">
        <f>CLEAN(L10)*1-CLEAN(M10)*1</f>
        <v>5</v>
      </c>
    </row>
    <row r="11" spans="1:22" ht="15">
      <c r="A11" s="66" t="s">
        <v>39</v>
      </c>
      <c r="B11" s="64"/>
      <c r="C11" s="15" t="s">
        <v>392</v>
      </c>
      <c r="G11" s="31">
        <v>1057</v>
      </c>
      <c r="H11" s="19" t="str">
        <f>DEC2HEX(G11)</f>
        <v>421</v>
      </c>
      <c r="L11" s="19">
        <v>3333</v>
      </c>
      <c r="M11" s="19">
        <v>3328</v>
      </c>
      <c r="N11" s="19">
        <v>4</v>
      </c>
      <c r="O11" s="19">
        <v>0</v>
      </c>
      <c r="P11">
        <v>0</v>
      </c>
      <c r="Q11">
        <v>0</v>
      </c>
      <c r="R11">
        <v>988</v>
      </c>
      <c r="S11">
        <v>1</v>
      </c>
      <c r="V11">
        <f>CLEAN(L11)*1-CLEAN(M11)*1</f>
        <v>5</v>
      </c>
    </row>
    <row r="12" spans="1:22" ht="15">
      <c r="A12" s="66" t="s">
        <v>40</v>
      </c>
      <c r="B12" s="64"/>
      <c r="C12" s="15" t="s">
        <v>393</v>
      </c>
      <c r="L12" s="19">
        <v>3333</v>
      </c>
      <c r="M12" s="19">
        <v>3327</v>
      </c>
      <c r="N12" s="19">
        <v>4</v>
      </c>
      <c r="O12" s="19">
        <v>0</v>
      </c>
      <c r="P12">
        <v>0</v>
      </c>
      <c r="Q12">
        <v>0</v>
      </c>
      <c r="R12">
        <v>988</v>
      </c>
      <c r="S12">
        <v>1</v>
      </c>
      <c r="V12">
        <f>CLEAN(L12)*1-CLEAN(M12)*1</f>
        <v>6</v>
      </c>
    </row>
    <row r="13" spans="1:22" ht="15">
      <c r="A13" s="66">
        <v>5</v>
      </c>
      <c r="B13" s="64"/>
      <c r="C13" s="15" t="s">
        <v>394</v>
      </c>
      <c r="L13" t="s">
        <v>35</v>
      </c>
      <c r="M13" t="s">
        <v>36</v>
      </c>
      <c r="N13" t="s">
        <v>388</v>
      </c>
      <c r="O13" t="s">
        <v>389</v>
      </c>
      <c r="P13" t="s">
        <v>390</v>
      </c>
      <c r="Q13" t="s">
        <v>742</v>
      </c>
      <c r="R13" t="s">
        <v>84</v>
      </c>
    </row>
    <row r="14" spans="1:22" ht="15">
      <c r="A14" s="66">
        <v>770</v>
      </c>
      <c r="B14" s="64" t="s">
        <v>395</v>
      </c>
      <c r="C14" s="15" t="s">
        <v>396</v>
      </c>
    </row>
    <row r="15" spans="1:22">
      <c r="G15" s="27"/>
    </row>
    <row r="16" spans="1:22">
      <c r="E16" s="42" t="s">
        <v>35</v>
      </c>
      <c r="F16" s="43" t="s">
        <v>36</v>
      </c>
      <c r="G16" s="44" t="s">
        <v>37</v>
      </c>
      <c r="H16" s="45" t="s">
        <v>34</v>
      </c>
    </row>
    <row r="17" spans="1:9">
      <c r="E17" s="39" cm="1">
        <f t="array" ref="E17">MAX(IF(ABS(B21:B40)&gt;1,B21:B40))</f>
        <v>1.5</v>
      </c>
      <c r="F17" s="40" cm="1">
        <f t="array" ref="F17">MIN(IF(ABS(B21:B40)&gt;1,B21:B40))</f>
        <v>1.5</v>
      </c>
      <c r="G17" s="41" cm="1">
        <f t="array" ref="G17">MEDIAN(IF(ABS(B21:B40)&gt;1,B21:B40,0))</f>
        <v>0</v>
      </c>
      <c r="H17" s="46" cm="1">
        <f t="array" ref="H17">_xlfn.STDEV.P(IF(ABS(B21:B40)&gt;1,B21:B40,0))</f>
        <v>0.32691742076555053</v>
      </c>
    </row>
    <row r="18" spans="1:9" ht="14.25">
      <c r="E18" s="49">
        <f>E17-F17</f>
        <v>0</v>
      </c>
    </row>
    <row r="20" spans="1:9" ht="15">
      <c r="A20" s="1" t="s">
        <v>26</v>
      </c>
      <c r="B20" s="2" t="s">
        <v>10</v>
      </c>
      <c r="C20" s="2" t="s">
        <v>9</v>
      </c>
      <c r="D20" s="3" t="s">
        <v>19</v>
      </c>
      <c r="E20" s="3" t="s">
        <v>6</v>
      </c>
      <c r="F20" s="26" t="s">
        <v>24</v>
      </c>
      <c r="G20" s="26" t="s">
        <v>25</v>
      </c>
    </row>
    <row r="21" spans="1:9" ht="14.25">
      <c r="A21" s="4" t="str">
        <f>"D-SBMU-0"&amp;MOD(ROW()-1,5)+1</f>
        <v>D-SBMU-01</v>
      </c>
      <c r="B21" s="5">
        <v>0.7</v>
      </c>
      <c r="C21" s="5">
        <v>78.099999999999994</v>
      </c>
      <c r="D21" s="36">
        <v>-293.5</v>
      </c>
      <c r="E21" s="36">
        <v>1387.4</v>
      </c>
      <c r="F21" s="6">
        <v>24</v>
      </c>
      <c r="G21" s="6">
        <f>IFERROR(INT(E21*B21/1000),0)</f>
        <v>0</v>
      </c>
      <c r="I21" s="58"/>
    </row>
    <row r="22" spans="1:9" ht="14.25">
      <c r="A22" s="4" t="str">
        <f>"D-SBMU-0"&amp;MOD(ROW()-1,5)+1</f>
        <v>D-SBMU-02</v>
      </c>
      <c r="B22" s="7">
        <v>0.7</v>
      </c>
      <c r="C22" s="7">
        <v>78</v>
      </c>
      <c r="D22" s="37">
        <v>-293.7</v>
      </c>
      <c r="E22" s="37">
        <v>1386.5</v>
      </c>
      <c r="F22" s="8">
        <v>24</v>
      </c>
      <c r="G22" s="6">
        <f t="shared" ref="G22:G40" si="0">IFERROR(INT(E22*B22/1000),0)</f>
        <v>0</v>
      </c>
      <c r="I22" s="58"/>
    </row>
    <row r="23" spans="1:9" ht="14.25">
      <c r="A23" s="4" t="str">
        <f>"D-SBMU-0"&amp;MOD(ROW()-1,5)+1</f>
        <v>D-SBMU-03</v>
      </c>
      <c r="B23" s="5">
        <v>0.9</v>
      </c>
      <c r="C23" s="5">
        <v>76.3</v>
      </c>
      <c r="D23" s="36">
        <v>-293.60000000000002</v>
      </c>
      <c r="E23" s="36">
        <v>1386.9</v>
      </c>
      <c r="F23" s="6">
        <v>23</v>
      </c>
      <c r="G23" s="6">
        <f t="shared" si="0"/>
        <v>1</v>
      </c>
      <c r="I23" s="58"/>
    </row>
    <row r="24" spans="1:9" ht="14.25">
      <c r="A24" s="4" t="str">
        <f>"D-SBMU-0"&amp;MOD(ROW()-1,5)+1</f>
        <v>D-SBMU-04</v>
      </c>
      <c r="B24" s="7">
        <v>0.8</v>
      </c>
      <c r="C24" s="7">
        <v>79</v>
      </c>
      <c r="D24" s="37">
        <v>-293.39999999999998</v>
      </c>
      <c r="E24" s="37">
        <v>1388</v>
      </c>
      <c r="F24" s="8">
        <v>24</v>
      </c>
      <c r="G24" s="6">
        <f t="shared" si="0"/>
        <v>1</v>
      </c>
      <c r="I24" s="58"/>
    </row>
    <row r="25" spans="1:9" ht="14.25">
      <c r="A25" s="4" t="str">
        <f>"D-SBMU-0"&amp;MOD(ROW()-1,5)+1</f>
        <v>D-SBMU-05</v>
      </c>
      <c r="B25" s="5">
        <v>0.9</v>
      </c>
      <c r="C25" s="5">
        <v>78.099999999999994</v>
      </c>
      <c r="D25" s="36">
        <v>-293.60000000000002</v>
      </c>
      <c r="E25" s="36">
        <v>1387.1</v>
      </c>
      <c r="F25" s="6">
        <v>24</v>
      </c>
      <c r="G25" s="6">
        <f t="shared" si="0"/>
        <v>1</v>
      </c>
      <c r="I25" s="58"/>
    </row>
    <row r="26" spans="1:9" ht="14.25">
      <c r="A26" s="4" t="str">
        <f>"C-SBMU-0"&amp;MOD(ROW()-1,5)+1</f>
        <v>C-SBMU-01</v>
      </c>
      <c r="B26" s="7">
        <v>0.8</v>
      </c>
      <c r="C26" s="7">
        <v>77.2</v>
      </c>
      <c r="D26" s="37">
        <v>-293.7</v>
      </c>
      <c r="E26" s="37">
        <v>1386.7</v>
      </c>
      <c r="F26" s="8">
        <v>23</v>
      </c>
      <c r="G26" s="6">
        <f t="shared" si="0"/>
        <v>1</v>
      </c>
      <c r="I26" s="58"/>
    </row>
    <row r="27" spans="1:9" ht="14.25">
      <c r="A27" s="4" t="str">
        <f>"C-SBMU-0"&amp;MOD(ROW()-1,5)+1</f>
        <v>C-SBMU-02</v>
      </c>
      <c r="B27" s="5">
        <v>0.9</v>
      </c>
      <c r="C27" s="5">
        <v>77</v>
      </c>
      <c r="D27" s="36">
        <v>-293.60000000000002</v>
      </c>
      <c r="E27" s="36">
        <v>1386.8</v>
      </c>
      <c r="F27" s="6">
        <v>22</v>
      </c>
      <c r="G27" s="6">
        <f t="shared" si="0"/>
        <v>1</v>
      </c>
      <c r="I27" s="58"/>
    </row>
    <row r="28" spans="1:9" ht="14.25">
      <c r="A28" s="4" t="str">
        <f>"C-SBMU-0"&amp;MOD(ROW()-1,5)+1</f>
        <v>C-SBMU-03</v>
      </c>
      <c r="B28" s="7">
        <v>0.8</v>
      </c>
      <c r="C28" s="7">
        <v>76.7</v>
      </c>
      <c r="D28" s="37">
        <v>-271.7</v>
      </c>
      <c r="E28" s="37">
        <v>1389.3</v>
      </c>
      <c r="F28" s="8">
        <v>23</v>
      </c>
      <c r="G28" s="6">
        <f t="shared" si="0"/>
        <v>1</v>
      </c>
      <c r="I28" s="58"/>
    </row>
    <row r="29" spans="1:9" ht="14.25">
      <c r="A29" s="4" t="str">
        <f>"C-SBMU-0"&amp;MOD(ROW()-1,5)+1</f>
        <v>C-SBMU-04</v>
      </c>
      <c r="B29" s="5">
        <v>0.7</v>
      </c>
      <c r="C29" s="5">
        <v>78.8</v>
      </c>
      <c r="D29" s="36">
        <v>-270.10000000000002</v>
      </c>
      <c r="E29" s="36">
        <v>1388.3</v>
      </c>
      <c r="F29" s="6">
        <v>23</v>
      </c>
      <c r="G29" s="6">
        <f t="shared" si="0"/>
        <v>0</v>
      </c>
      <c r="I29" s="58"/>
    </row>
    <row r="30" spans="1:9" ht="14.25">
      <c r="A30" s="4" t="str">
        <f>"C-SBMU-0"&amp;MOD(ROW()-1,5)+1</f>
        <v>C-SBMU-05</v>
      </c>
      <c r="B30" s="9">
        <v>0.7</v>
      </c>
      <c r="C30" s="9">
        <v>78.2</v>
      </c>
      <c r="D30" s="38">
        <v>-293.5</v>
      </c>
      <c r="E30" s="38">
        <v>1387.3</v>
      </c>
      <c r="F30" s="10">
        <v>23</v>
      </c>
      <c r="G30" s="6">
        <f t="shared" si="0"/>
        <v>0</v>
      </c>
      <c r="I30" s="58"/>
    </row>
    <row r="31" spans="1:9" ht="14.25">
      <c r="A31" s="4" t="str">
        <f>"B-SBMU-0"&amp;MOD(ROW()-1,5)+1</f>
        <v>B-SBMU-01</v>
      </c>
      <c r="B31" s="5">
        <v>0</v>
      </c>
      <c r="C31" s="5">
        <v>78.599999999999994</v>
      </c>
      <c r="D31" s="36">
        <v>-293.39999999999998</v>
      </c>
      <c r="E31" s="36">
        <v>1388</v>
      </c>
      <c r="F31" s="6">
        <v>24</v>
      </c>
      <c r="G31" s="6">
        <f t="shared" si="0"/>
        <v>0</v>
      </c>
      <c r="I31" s="58"/>
    </row>
    <row r="32" spans="1:9" ht="14.25">
      <c r="A32" s="4" t="str">
        <f>"B-SBMU-0"&amp;MOD(ROW()-1,5)+1</f>
        <v>B-SBMU-02</v>
      </c>
      <c r="B32" s="9">
        <v>0</v>
      </c>
      <c r="C32" s="9">
        <v>77.5</v>
      </c>
      <c r="D32" s="38">
        <v>-293.5</v>
      </c>
      <c r="E32" s="38">
        <v>1387.3</v>
      </c>
      <c r="F32" s="10">
        <v>24</v>
      </c>
      <c r="G32" s="6">
        <f t="shared" si="0"/>
        <v>0</v>
      </c>
      <c r="I32" s="58"/>
    </row>
    <row r="33" spans="1:9" ht="14.25">
      <c r="A33" s="4" t="str">
        <f>"B-SBMU-0"&amp;MOD(ROW()-1,5)+1</f>
        <v>B-SBMU-03</v>
      </c>
      <c r="B33" s="5">
        <v>0</v>
      </c>
      <c r="C33" s="5">
        <v>78.099999999999994</v>
      </c>
      <c r="D33" s="36">
        <v>-293.2</v>
      </c>
      <c r="E33" s="36">
        <v>1389</v>
      </c>
      <c r="F33" s="6">
        <v>24</v>
      </c>
      <c r="G33" s="6">
        <f t="shared" si="0"/>
        <v>0</v>
      </c>
      <c r="I33" s="58"/>
    </row>
    <row r="34" spans="1:9" ht="14.25">
      <c r="A34" s="4" t="str">
        <f>"B-SBMU-0"&amp;MOD(ROW()-1,5)+1</f>
        <v>B-SBMU-04</v>
      </c>
      <c r="B34" s="9">
        <v>0</v>
      </c>
      <c r="C34" s="9">
        <v>78.099999999999994</v>
      </c>
      <c r="D34" s="38">
        <v>0</v>
      </c>
      <c r="E34" s="38">
        <v>1388.4</v>
      </c>
      <c r="F34" s="10">
        <v>24</v>
      </c>
      <c r="G34" s="6">
        <f t="shared" si="0"/>
        <v>0</v>
      </c>
      <c r="I34" s="58"/>
    </row>
    <row r="35" spans="1:9" ht="14.25">
      <c r="A35" s="4" t="str">
        <f>"B-SBMU-0"&amp;MOD(ROW()-1,5)+1</f>
        <v>B-SBMU-05</v>
      </c>
      <c r="B35" s="5">
        <v>0</v>
      </c>
      <c r="C35" s="5">
        <v>78.400000000000006</v>
      </c>
      <c r="D35" s="36">
        <v>-293.3</v>
      </c>
      <c r="E35" s="36">
        <v>1388.4</v>
      </c>
      <c r="F35" s="6">
        <v>24</v>
      </c>
      <c r="G35" s="6">
        <f t="shared" si="0"/>
        <v>0</v>
      </c>
      <c r="I35" s="58"/>
    </row>
    <row r="36" spans="1:9" ht="14.25">
      <c r="A36" s="4" t="str">
        <f>"A-SBMU-0"&amp;MOD(ROW()-1,5)+1</f>
        <v>A-SBMU-01</v>
      </c>
      <c r="B36" s="9">
        <v>0.9</v>
      </c>
      <c r="C36" s="9">
        <v>77.099999999999994</v>
      </c>
      <c r="D36" s="38">
        <v>-293.8</v>
      </c>
      <c r="E36" s="38">
        <v>1386</v>
      </c>
      <c r="F36" s="10">
        <v>25</v>
      </c>
      <c r="G36" s="6">
        <f t="shared" si="0"/>
        <v>1</v>
      </c>
      <c r="I36" s="58"/>
    </row>
    <row r="37" spans="1:9" ht="14.25">
      <c r="A37" s="4" t="str">
        <f>"A-SBMU-0"&amp;MOD(ROW()-1,5)+1</f>
        <v>A-SBMU-02</v>
      </c>
      <c r="B37" s="5">
        <v>0</v>
      </c>
      <c r="C37" s="5">
        <v>77</v>
      </c>
      <c r="D37" s="36">
        <v>-293.39999999999998</v>
      </c>
      <c r="E37" s="36">
        <v>1388</v>
      </c>
      <c r="F37" s="6">
        <v>24</v>
      </c>
      <c r="G37" s="6">
        <f t="shared" si="0"/>
        <v>0</v>
      </c>
      <c r="I37" s="58"/>
    </row>
    <row r="38" spans="1:9" ht="14.25">
      <c r="A38" s="4" t="str">
        <f>"A-SBMU-0"&amp;MOD(ROW()-1,5)+1</f>
        <v>A-SBMU-03</v>
      </c>
      <c r="B38" s="9">
        <v>1.5</v>
      </c>
      <c r="C38" s="9">
        <v>79</v>
      </c>
      <c r="D38" s="38">
        <v>-291.10000000000002</v>
      </c>
      <c r="E38" s="38">
        <v>1387.6</v>
      </c>
      <c r="F38" s="10">
        <v>24</v>
      </c>
      <c r="G38" s="6">
        <f t="shared" si="0"/>
        <v>2</v>
      </c>
      <c r="I38" s="58"/>
    </row>
    <row r="39" spans="1:9" ht="14.25">
      <c r="A39" s="4" t="str">
        <f>"A-SBMU-0"&amp;MOD(ROW()-1,5)+1</f>
        <v>A-SBMU-04</v>
      </c>
      <c r="B39" s="5">
        <v>1</v>
      </c>
      <c r="C39" s="5">
        <v>77</v>
      </c>
      <c r="D39" s="36">
        <v>-293.5</v>
      </c>
      <c r="E39" s="36">
        <v>1387.3</v>
      </c>
      <c r="F39" s="6">
        <v>24</v>
      </c>
      <c r="G39" s="6">
        <f t="shared" si="0"/>
        <v>1</v>
      </c>
      <c r="I39" s="58"/>
    </row>
    <row r="40" spans="1:9" ht="14.25">
      <c r="A40" s="4" t="str">
        <f>"A-SBMU-0"&amp;MOD(ROW()-1,5)+1</f>
        <v>A-SBMU-05</v>
      </c>
      <c r="B40" s="9">
        <v>0.6</v>
      </c>
      <c r="C40" s="9">
        <v>79.3</v>
      </c>
      <c r="D40" s="38">
        <v>-290.2</v>
      </c>
      <c r="E40" s="38">
        <v>1387</v>
      </c>
      <c r="F40" s="10">
        <v>24</v>
      </c>
      <c r="G40" s="6">
        <f t="shared" si="0"/>
        <v>0</v>
      </c>
      <c r="I40" s="58"/>
    </row>
  </sheetData>
  <phoneticPr fontId="2" type="noConversion"/>
  <conditionalFormatting sqref="B21:B40">
    <cfRule type="expression" dxfId="24" priority="2">
      <formula>AND(ABS(B21)&gt;100,ABS(B21)&gt;ABS(D21*0.9))</formula>
    </cfRule>
    <cfRule type="expression" dxfId="23" priority="3">
      <formula>AND(ABS(B21)&gt;100,ABS(B21)&gt;ABS(D21*0.8))</formula>
    </cfRule>
  </conditionalFormatting>
  <conditionalFormatting sqref="E21:E40">
    <cfRule type="top10" dxfId="22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95250</xdr:colOff>
                    <xdr:row>4</xdr:row>
                    <xdr:rowOff>0</xdr:rowOff>
                  </from>
                  <to>
                    <xdr:col>5</xdr:col>
                    <xdr:colOff>304800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95250</xdr:colOff>
                    <xdr:row>6</xdr:row>
                    <xdr:rowOff>66675</xdr:rowOff>
                  </from>
                  <to>
                    <xdr:col>5</xdr:col>
                    <xdr:colOff>304800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95250</xdr:colOff>
                    <xdr:row>8</xdr:row>
                    <xdr:rowOff>133350</xdr:rowOff>
                  </from>
                  <to>
                    <xdr:col>5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95250</xdr:colOff>
                    <xdr:row>11</xdr:row>
                    <xdr:rowOff>9525</xdr:rowOff>
                  </from>
                  <to>
                    <xdr:col>5</xdr:col>
                    <xdr:colOff>304800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16</xdr:col>
                    <xdr:colOff>523875</xdr:colOff>
                    <xdr:row>1</xdr:row>
                    <xdr:rowOff>104775</xdr:rowOff>
                  </from>
                  <to>
                    <xdr:col>18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304800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18</xdr:col>
                    <xdr:colOff>19050</xdr:colOff>
                    <xdr:row>5</xdr:row>
                    <xdr:rowOff>0</xdr:rowOff>
                  </from>
                  <to>
                    <xdr:col>19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B4" sqref="B4"/>
    </sheetView>
  </sheetViews>
  <sheetFormatPr defaultRowHeight="13.5"/>
  <cols>
    <col min="1" max="1" width="13.5" customWidth="1"/>
    <col min="2" max="2" width="12.75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27</v>
      </c>
      <c r="B1" t="s">
        <v>78</v>
      </c>
      <c r="C1" t="s">
        <v>28</v>
      </c>
      <c r="D1" t="s">
        <v>33</v>
      </c>
      <c r="E1" t="s">
        <v>764</v>
      </c>
      <c r="G1" t="s">
        <v>38</v>
      </c>
      <c r="H1" s="47">
        <v>772</v>
      </c>
      <c r="J1" t="s">
        <v>79</v>
      </c>
      <c r="K1" s="57">
        <v>5</v>
      </c>
    </row>
    <row r="2" spans="1:20">
      <c r="A2" t="str">
        <f>SUBSTITUTE(O2,".8.","."&amp;$K$1&amp;".")</f>
        <v>10.238.5.16</v>
      </c>
      <c r="B2" s="94">
        <v>5</v>
      </c>
      <c r="C2">
        <f>MID(Table1[[#This Row],[IP]],LEN(Table1[[#This Row],[IP]])-1,1)+(--MID(Table1[[#This Row],[IP]],8,1)-1)*9</f>
        <v>37</v>
      </c>
      <c r="D2" t="s">
        <v>29</v>
      </c>
      <c r="E2">
        <f>Table1[[#This Row],[Value]]-50</f>
        <v>-45</v>
      </c>
      <c r="O2" s="50" t="s">
        <v>42</v>
      </c>
      <c r="P2" s="55">
        <v>33</v>
      </c>
      <c r="Q2" s="51">
        <f>MID(Table1[[#This Row],[IP]],LEN(Table1[[#This Row],[IP]])-1,1)+(--MID(O2,8,1)-1)*9</f>
        <v>64</v>
      </c>
      <c r="R2" s="52" t="s">
        <v>29</v>
      </c>
      <c r="T2">
        <v>1</v>
      </c>
    </row>
    <row r="3" spans="1:20">
      <c r="A3" t="str">
        <f t="shared" ref="A3:A37" si="0">SUBSTITUTE(O3,".8.","."&amp;$K$1&amp;".")</f>
        <v>10.238.5.17</v>
      </c>
      <c r="B3" s="94">
        <v>5</v>
      </c>
      <c r="C3">
        <f>MID(Table1[[#This Row],[IP]],LEN(Table1[[#This Row],[IP]])-1,1)+(--MID(Table1[[#This Row],[IP]],8,1)-1)*9</f>
        <v>37</v>
      </c>
      <c r="D3" t="s">
        <v>30</v>
      </c>
      <c r="E3">
        <f>Table1[[#This Row],[Value]]-50</f>
        <v>-45</v>
      </c>
      <c r="O3" s="53" t="s">
        <v>43</v>
      </c>
      <c r="P3" s="56">
        <v>32</v>
      </c>
      <c r="Q3" s="51">
        <f>MID(Table1[[#This Row],[IP]],LEN(Table1[[#This Row],[IP]])-1,1)+(--MID(O3,8,1)-1)*9</f>
        <v>64</v>
      </c>
      <c r="R3" s="54" t="s">
        <v>30</v>
      </c>
      <c r="T3">
        <v>2</v>
      </c>
    </row>
    <row r="4" spans="1:20">
      <c r="A4" t="str">
        <f t="shared" si="0"/>
        <v>10.238.5.18</v>
      </c>
      <c r="B4" s="94">
        <v>0</v>
      </c>
      <c r="C4">
        <f>MID(Table1[[#This Row],[IP]],LEN(Table1[[#This Row],[IP]])-1,1)+(--MID(Table1[[#This Row],[IP]],8,1)-1)*9</f>
        <v>37</v>
      </c>
      <c r="D4" t="s">
        <v>31</v>
      </c>
      <c r="E4">
        <f>Table1[[#This Row],[Value]]-50</f>
        <v>-50</v>
      </c>
      <c r="O4" s="50" t="s">
        <v>44</v>
      </c>
      <c r="P4" s="55">
        <v>32</v>
      </c>
      <c r="Q4" s="51">
        <f>MID(Table1[[#This Row],[IP]],LEN(Table1[[#This Row],[IP]])-1,1)+(--MID(O4,8,1)-1)*9</f>
        <v>64</v>
      </c>
      <c r="R4" s="52" t="s">
        <v>31</v>
      </c>
      <c r="T4">
        <v>3</v>
      </c>
    </row>
    <row r="5" spans="1:20">
      <c r="A5" t="str">
        <f t="shared" si="0"/>
        <v>10.238.5.19</v>
      </c>
      <c r="B5" s="94">
        <v>5</v>
      </c>
      <c r="C5">
        <f>MID(Table1[[#This Row],[IP]],LEN(Table1[[#This Row],[IP]])-1,1)+(--MID(Table1[[#This Row],[IP]],8,1)-1)*9</f>
        <v>37</v>
      </c>
      <c r="D5" t="s">
        <v>32</v>
      </c>
      <c r="E5">
        <f>Table1[[#This Row],[Value]]-50</f>
        <v>-45</v>
      </c>
      <c r="O5" s="53" t="s">
        <v>45</v>
      </c>
      <c r="P5" s="56">
        <v>32</v>
      </c>
      <c r="Q5" s="51">
        <f>MID(Table1[[#This Row],[IP]],LEN(Table1[[#This Row],[IP]])-1,1)+(--MID(O5,8,1)-1)*9</f>
        <v>64</v>
      </c>
      <c r="R5" s="54" t="s">
        <v>32</v>
      </c>
      <c r="T5">
        <v>4</v>
      </c>
    </row>
    <row r="6" spans="1:20">
      <c r="A6" t="str">
        <f t="shared" si="0"/>
        <v>10.238.5.26</v>
      </c>
      <c r="B6" s="94">
        <v>5</v>
      </c>
      <c r="C6">
        <f>MID(Table1[[#This Row],[IP]],LEN(Table1[[#This Row],[IP]])-1,1)+(--MID(Table1[[#This Row],[IP]],8,1)-1)*9</f>
        <v>38</v>
      </c>
      <c r="D6" t="s">
        <v>29</v>
      </c>
      <c r="E6">
        <f>Table1[[#This Row],[Value]]-50</f>
        <v>-45</v>
      </c>
      <c r="O6" s="50" t="s">
        <v>46</v>
      </c>
      <c r="P6" s="55">
        <v>17</v>
      </c>
      <c r="Q6" s="51">
        <f>MID(Table1[[#This Row],[IP]],LEN(Table1[[#This Row],[IP]])-1,1)+(--MID(O6,8,1)-1)*9</f>
        <v>65</v>
      </c>
      <c r="R6" s="52" t="s">
        <v>29</v>
      </c>
      <c r="T6">
        <v>5</v>
      </c>
    </row>
    <row r="7" spans="1:20">
      <c r="A7" t="str">
        <f t="shared" si="0"/>
        <v>10.238.5.27</v>
      </c>
      <c r="B7" s="94">
        <v>5</v>
      </c>
      <c r="C7">
        <f>MID(Table1[[#This Row],[IP]],LEN(Table1[[#This Row],[IP]])-1,1)+(--MID(Table1[[#This Row],[IP]],8,1)-1)*9</f>
        <v>38</v>
      </c>
      <c r="D7" t="s">
        <v>30</v>
      </c>
      <c r="E7">
        <f>Table1[[#This Row],[Value]]-50</f>
        <v>-45</v>
      </c>
      <c r="O7" s="53" t="s">
        <v>47</v>
      </c>
      <c r="P7" s="56">
        <v>18</v>
      </c>
      <c r="Q7" s="51">
        <f>MID(Table1[[#This Row],[IP]],LEN(Table1[[#This Row],[IP]])-1,1)+(--MID(O7,8,1)-1)*9</f>
        <v>65</v>
      </c>
      <c r="R7" s="54" t="s">
        <v>30</v>
      </c>
      <c r="T7">
        <v>6</v>
      </c>
    </row>
    <row r="8" spans="1:20">
      <c r="A8" t="str">
        <f t="shared" si="0"/>
        <v>10.238.5.28</v>
      </c>
      <c r="B8" s="94">
        <v>5</v>
      </c>
      <c r="C8">
        <f>MID(Table1[[#This Row],[IP]],LEN(Table1[[#This Row],[IP]])-1,1)+(--MID(Table1[[#This Row],[IP]],8,1)-1)*9</f>
        <v>38</v>
      </c>
      <c r="D8" t="s">
        <v>31</v>
      </c>
      <c r="E8">
        <f>Table1[[#This Row],[Value]]-50</f>
        <v>-45</v>
      </c>
      <c r="O8" s="50" t="s">
        <v>48</v>
      </c>
      <c r="P8" s="55">
        <v>13</v>
      </c>
      <c r="Q8" s="51">
        <f>MID(Table1[[#This Row],[IP]],LEN(Table1[[#This Row],[IP]])-1,1)+(--MID(O8,8,1)-1)*9</f>
        <v>65</v>
      </c>
      <c r="R8" s="52" t="s">
        <v>31</v>
      </c>
      <c r="T8">
        <v>7</v>
      </c>
    </row>
    <row r="9" spans="1:20">
      <c r="A9" t="str">
        <f t="shared" si="0"/>
        <v>10.238.5.29</v>
      </c>
      <c r="B9" s="94">
        <v>5</v>
      </c>
      <c r="C9">
        <f>MID(Table1[[#This Row],[IP]],LEN(Table1[[#This Row],[IP]])-1,1)+(--MID(Table1[[#This Row],[IP]],8,1)-1)*9</f>
        <v>38</v>
      </c>
      <c r="D9" t="s">
        <v>32</v>
      </c>
      <c r="E9">
        <f>Table1[[#This Row],[Value]]-50</f>
        <v>-45</v>
      </c>
      <c r="O9" s="53" t="s">
        <v>49</v>
      </c>
      <c r="P9" s="56">
        <v>17</v>
      </c>
      <c r="Q9" s="51">
        <f>MID(Table1[[#This Row],[IP]],LEN(Table1[[#This Row],[IP]])-1,1)+(--MID(O9,8,1)-1)*9</f>
        <v>65</v>
      </c>
      <c r="R9" s="54" t="s">
        <v>32</v>
      </c>
      <c r="T9">
        <v>8</v>
      </c>
    </row>
    <row r="10" spans="1:20">
      <c r="A10" t="str">
        <f t="shared" si="0"/>
        <v>10.238.5.36</v>
      </c>
      <c r="B10" s="94">
        <v>5</v>
      </c>
      <c r="C10">
        <f>MID(Table1[[#This Row],[IP]],LEN(Table1[[#This Row],[IP]])-1,1)+(--MID(Table1[[#This Row],[IP]],8,1)-1)*9</f>
        <v>39</v>
      </c>
      <c r="D10" t="s">
        <v>29</v>
      </c>
      <c r="E10">
        <f>Table1[[#This Row],[Value]]-50</f>
        <v>-45</v>
      </c>
      <c r="O10" s="50" t="s">
        <v>50</v>
      </c>
      <c r="P10" s="55">
        <v>20</v>
      </c>
      <c r="Q10" s="51">
        <f>MID(Table1[[#This Row],[IP]],LEN(Table1[[#This Row],[IP]])-1,1)+(--MID(O10,8,1)-1)*9</f>
        <v>66</v>
      </c>
      <c r="R10" s="52" t="s">
        <v>29</v>
      </c>
    </row>
    <row r="11" spans="1:20">
      <c r="A11" t="str">
        <f t="shared" si="0"/>
        <v>10.238.5.37</v>
      </c>
      <c r="B11" s="94">
        <v>5</v>
      </c>
      <c r="C11">
        <f>MID(Table1[[#This Row],[IP]],LEN(Table1[[#This Row],[IP]])-1,1)+(--MID(Table1[[#This Row],[IP]],8,1)-1)*9</f>
        <v>39</v>
      </c>
      <c r="D11" t="s">
        <v>30</v>
      </c>
      <c r="E11">
        <f>Table1[[#This Row],[Value]]-50</f>
        <v>-45</v>
      </c>
      <c r="O11" s="53" t="s">
        <v>51</v>
      </c>
      <c r="P11" s="56">
        <v>18</v>
      </c>
      <c r="Q11" s="51">
        <f>MID(Table1[[#This Row],[IP]],LEN(Table1[[#This Row],[IP]])-1,1)+(--MID(O11,8,1)-1)*9</f>
        <v>66</v>
      </c>
      <c r="R11" s="54" t="s">
        <v>30</v>
      </c>
    </row>
    <row r="12" spans="1:20">
      <c r="A12" t="str">
        <f t="shared" si="0"/>
        <v>10.238.5.38</v>
      </c>
      <c r="B12" s="94">
        <v>5</v>
      </c>
      <c r="C12">
        <f>MID(Table1[[#This Row],[IP]],LEN(Table1[[#This Row],[IP]])-1,1)+(--MID(Table1[[#This Row],[IP]],8,1)-1)*9</f>
        <v>39</v>
      </c>
      <c r="D12" t="s">
        <v>31</v>
      </c>
      <c r="E12">
        <f>Table1[[#This Row],[Value]]-50</f>
        <v>-45</v>
      </c>
      <c r="O12" s="50" t="s">
        <v>52</v>
      </c>
      <c r="P12" s="55">
        <v>18</v>
      </c>
      <c r="Q12" s="51">
        <f>MID(Table1[[#This Row],[IP]],LEN(Table1[[#This Row],[IP]])-1,1)+(--MID(O12,8,1)-1)*9</f>
        <v>66</v>
      </c>
      <c r="R12" s="52" t="s">
        <v>31</v>
      </c>
    </row>
    <row r="13" spans="1:20">
      <c r="A13" t="str">
        <f t="shared" si="0"/>
        <v>10.238.5.39</v>
      </c>
      <c r="B13" s="94">
        <v>5</v>
      </c>
      <c r="C13">
        <f>MID(Table1[[#This Row],[IP]],LEN(Table1[[#This Row],[IP]])-1,1)+(--MID(Table1[[#This Row],[IP]],8,1)-1)*9</f>
        <v>39</v>
      </c>
      <c r="D13" t="s">
        <v>32</v>
      </c>
      <c r="E13">
        <f>Table1[[#This Row],[Value]]-50</f>
        <v>-45</v>
      </c>
      <c r="O13" s="53" t="s">
        <v>53</v>
      </c>
      <c r="P13" s="56">
        <v>18</v>
      </c>
      <c r="Q13" s="51">
        <f>MID(Table1[[#This Row],[IP]],LEN(Table1[[#This Row],[IP]])-1,1)+(--MID(O13,8,1)-1)*9</f>
        <v>66</v>
      </c>
      <c r="R13" s="54" t="s">
        <v>32</v>
      </c>
    </row>
    <row r="14" spans="1:20">
      <c r="A14" t="str">
        <f t="shared" si="0"/>
        <v>10.238.5.46</v>
      </c>
      <c r="B14" s="94">
        <v>5</v>
      </c>
      <c r="C14">
        <f>MID(Table1[[#This Row],[IP]],LEN(Table1[[#This Row],[IP]])-1,1)+(--MID(Table1[[#This Row],[IP]],8,1)-1)*9</f>
        <v>40</v>
      </c>
      <c r="D14" t="s">
        <v>29</v>
      </c>
      <c r="E14">
        <f>Table1[[#This Row],[Value]]-50</f>
        <v>-45</v>
      </c>
      <c r="O14" s="50" t="s">
        <v>54</v>
      </c>
      <c r="P14" s="55">
        <v>30</v>
      </c>
      <c r="Q14" s="51">
        <f>MID(Table1[[#This Row],[IP]],LEN(Table1[[#This Row],[IP]])-1,1)+(--MID(O14,8,1)-1)*9</f>
        <v>67</v>
      </c>
      <c r="R14" s="52" t="s">
        <v>29</v>
      </c>
    </row>
    <row r="15" spans="1:20">
      <c r="A15" t="str">
        <f t="shared" si="0"/>
        <v>10.238.5.47</v>
      </c>
      <c r="B15" s="94">
        <v>5</v>
      </c>
      <c r="C15">
        <f>MID(Table1[[#This Row],[IP]],LEN(Table1[[#This Row],[IP]])-1,1)+(--MID(Table1[[#This Row],[IP]],8,1)-1)*9</f>
        <v>40</v>
      </c>
      <c r="D15" t="s">
        <v>30</v>
      </c>
      <c r="E15">
        <f>Table1[[#This Row],[Value]]-50</f>
        <v>-45</v>
      </c>
      <c r="O15" s="53" t="s">
        <v>55</v>
      </c>
      <c r="P15" s="56">
        <v>38</v>
      </c>
      <c r="Q15" s="51">
        <f>MID(Table1[[#This Row],[IP]],LEN(Table1[[#This Row],[IP]])-1,1)+(--MID(O15,8,1)-1)*9</f>
        <v>67</v>
      </c>
      <c r="R15" s="54" t="s">
        <v>30</v>
      </c>
    </row>
    <row r="16" spans="1:20">
      <c r="A16" t="str">
        <f t="shared" si="0"/>
        <v>10.238.5.48</v>
      </c>
      <c r="B16" s="94">
        <v>5</v>
      </c>
      <c r="C16">
        <f>MID(Table1[[#This Row],[IP]],LEN(Table1[[#This Row],[IP]])-1,1)+(--MID(Table1[[#This Row],[IP]],8,1)-1)*9</f>
        <v>40</v>
      </c>
      <c r="D16" t="s">
        <v>31</v>
      </c>
      <c r="E16">
        <f>Table1[[#This Row],[Value]]-50</f>
        <v>-45</v>
      </c>
      <c r="O16" s="50" t="s">
        <v>56</v>
      </c>
      <c r="P16" s="55">
        <v>38</v>
      </c>
      <c r="Q16" s="51">
        <f>MID(Table1[[#This Row],[IP]],LEN(Table1[[#This Row],[IP]])-1,1)+(--MID(O16,8,1)-1)*9</f>
        <v>67</v>
      </c>
      <c r="R16" s="52" t="s">
        <v>31</v>
      </c>
    </row>
    <row r="17" spans="1:18">
      <c r="A17" t="str">
        <f t="shared" si="0"/>
        <v>10.238.5.49</v>
      </c>
      <c r="B17" s="94">
        <v>5</v>
      </c>
      <c r="C17">
        <f>MID(Table1[[#This Row],[IP]],LEN(Table1[[#This Row],[IP]])-1,1)+(--MID(Table1[[#This Row],[IP]],8,1)-1)*9</f>
        <v>40</v>
      </c>
      <c r="D17" t="s">
        <v>32</v>
      </c>
      <c r="E17">
        <f>Table1[[#This Row],[Value]]-50</f>
        <v>-45</v>
      </c>
      <c r="O17" s="53" t="s">
        <v>57</v>
      </c>
      <c r="P17" s="56">
        <v>38</v>
      </c>
      <c r="Q17" s="51">
        <f>MID(Table1[[#This Row],[IP]],LEN(Table1[[#This Row],[IP]])-1,1)+(--MID(O17,8,1)-1)*9</f>
        <v>67</v>
      </c>
      <c r="R17" s="54" t="s">
        <v>32</v>
      </c>
    </row>
    <row r="18" spans="1:18">
      <c r="A18" t="str">
        <f t="shared" si="0"/>
        <v>10.238.5.56</v>
      </c>
      <c r="B18" s="94">
        <v>5</v>
      </c>
      <c r="C18">
        <f>MID(Table1[[#This Row],[IP]],LEN(Table1[[#This Row],[IP]])-1,1)+(--MID(Table1[[#This Row],[IP]],8,1)-1)*9</f>
        <v>41</v>
      </c>
      <c r="D18" t="s">
        <v>29</v>
      </c>
      <c r="E18">
        <f>Table1[[#This Row],[Value]]-50</f>
        <v>-45</v>
      </c>
      <c r="O18" s="50" t="s">
        <v>58</v>
      </c>
      <c r="P18" s="55">
        <v>26</v>
      </c>
      <c r="Q18" s="51">
        <f>MID(Table1[[#This Row],[IP]],LEN(Table1[[#This Row],[IP]])-1,1)+(--MID(O18,8,1)-1)*9</f>
        <v>68</v>
      </c>
      <c r="R18" s="52" t="s">
        <v>29</v>
      </c>
    </row>
    <row r="19" spans="1:18">
      <c r="A19" t="str">
        <f t="shared" si="0"/>
        <v>10.238.5.57</v>
      </c>
      <c r="B19" s="94">
        <v>5</v>
      </c>
      <c r="C19">
        <f>MID(Table1[[#This Row],[IP]],LEN(Table1[[#This Row],[IP]])-1,1)+(--MID(Table1[[#This Row],[IP]],8,1)-1)*9</f>
        <v>41</v>
      </c>
      <c r="D19" t="s">
        <v>30</v>
      </c>
      <c r="E19">
        <f>Table1[[#This Row],[Value]]-50</f>
        <v>-45</v>
      </c>
      <c r="O19" s="53" t="s">
        <v>59</v>
      </c>
      <c r="P19" s="56">
        <v>23</v>
      </c>
      <c r="Q19" s="51">
        <f>MID(Table1[[#This Row],[IP]],LEN(Table1[[#This Row],[IP]])-1,1)+(--MID(O19,8,1)-1)*9</f>
        <v>68</v>
      </c>
      <c r="R19" s="54" t="s">
        <v>30</v>
      </c>
    </row>
    <row r="20" spans="1:18">
      <c r="A20" t="str">
        <f t="shared" si="0"/>
        <v>10.238.5.58</v>
      </c>
      <c r="B20" s="94">
        <v>5</v>
      </c>
      <c r="C20">
        <f>MID(Table1[[#This Row],[IP]],LEN(Table1[[#This Row],[IP]])-1,1)+(--MID(Table1[[#This Row],[IP]],8,1)-1)*9</f>
        <v>41</v>
      </c>
      <c r="D20" t="s">
        <v>31</v>
      </c>
      <c r="E20">
        <f>Table1[[#This Row],[Value]]-50</f>
        <v>-45</v>
      </c>
      <c r="O20" s="50" t="s">
        <v>60</v>
      </c>
      <c r="P20" s="55">
        <v>22</v>
      </c>
      <c r="Q20" s="51">
        <f>MID(Table1[[#This Row],[IP]],LEN(Table1[[#This Row],[IP]])-1,1)+(--MID(O20,8,1)-1)*9</f>
        <v>68</v>
      </c>
      <c r="R20" s="52" t="s">
        <v>31</v>
      </c>
    </row>
    <row r="21" spans="1:18">
      <c r="A21" t="str">
        <f t="shared" si="0"/>
        <v>10.238.5.59</v>
      </c>
      <c r="B21" s="94">
        <v>5</v>
      </c>
      <c r="C21">
        <f>MID(Table1[[#This Row],[IP]],LEN(Table1[[#This Row],[IP]])-1,1)+(--MID(Table1[[#This Row],[IP]],8,1)-1)*9</f>
        <v>41</v>
      </c>
      <c r="D21" t="s">
        <v>32</v>
      </c>
      <c r="E21">
        <f>Table1[[#This Row],[Value]]-50</f>
        <v>-45</v>
      </c>
      <c r="O21" s="53" t="s">
        <v>61</v>
      </c>
      <c r="P21" s="56">
        <v>22</v>
      </c>
      <c r="Q21" s="51">
        <f>MID(Table1[[#This Row],[IP]],LEN(Table1[[#This Row],[IP]])-1,1)+(--MID(O21,8,1)-1)*9</f>
        <v>68</v>
      </c>
      <c r="R21" s="54" t="s">
        <v>32</v>
      </c>
    </row>
    <row r="22" spans="1:18">
      <c r="A22" t="str">
        <f t="shared" si="0"/>
        <v>10.238.5.66</v>
      </c>
      <c r="B22" s="94">
        <v>5</v>
      </c>
      <c r="C22">
        <f>MID(Table1[[#This Row],[IP]],LEN(Table1[[#This Row],[IP]])-1,1)+(--MID(Table1[[#This Row],[IP]],8,1)-1)*9</f>
        <v>42</v>
      </c>
      <c r="D22" t="s">
        <v>29</v>
      </c>
      <c r="E22">
        <f>Table1[[#This Row],[Value]]-50</f>
        <v>-45</v>
      </c>
      <c r="O22" s="50" t="s">
        <v>62</v>
      </c>
      <c r="P22" s="55">
        <v>22</v>
      </c>
      <c r="Q22" s="51">
        <f>MID(Table1[[#This Row],[IP]],LEN(Table1[[#This Row],[IP]])-1,1)+(--MID(O22,8,1)-1)*9</f>
        <v>69</v>
      </c>
      <c r="R22" s="52" t="s">
        <v>29</v>
      </c>
    </row>
    <row r="23" spans="1:18">
      <c r="A23" t="str">
        <f t="shared" si="0"/>
        <v>10.238.5.67</v>
      </c>
      <c r="B23" s="94">
        <v>5</v>
      </c>
      <c r="C23">
        <f>MID(Table1[[#This Row],[IP]],LEN(Table1[[#This Row],[IP]])-1,1)+(--MID(Table1[[#This Row],[IP]],8,1)-1)*9</f>
        <v>42</v>
      </c>
      <c r="D23" t="s">
        <v>30</v>
      </c>
      <c r="E23">
        <f>Table1[[#This Row],[Value]]-50</f>
        <v>-45</v>
      </c>
      <c r="O23" s="53" t="s">
        <v>63</v>
      </c>
      <c r="P23" s="56">
        <v>16</v>
      </c>
      <c r="Q23" s="51">
        <f>MID(Table1[[#This Row],[IP]],LEN(Table1[[#This Row],[IP]])-1,1)+(--MID(O23,8,1)-1)*9</f>
        <v>69</v>
      </c>
      <c r="R23" s="54" t="s">
        <v>30</v>
      </c>
    </row>
    <row r="24" spans="1:18">
      <c r="A24" t="str">
        <f t="shared" si="0"/>
        <v>10.238.5.68</v>
      </c>
      <c r="B24" s="94">
        <v>5</v>
      </c>
      <c r="C24">
        <f>MID(Table1[[#This Row],[IP]],LEN(Table1[[#This Row],[IP]])-1,1)+(--MID(Table1[[#This Row],[IP]],8,1)-1)*9</f>
        <v>42</v>
      </c>
      <c r="D24" t="s">
        <v>31</v>
      </c>
      <c r="E24">
        <f>Table1[[#This Row],[Value]]-50</f>
        <v>-45</v>
      </c>
      <c r="O24" s="50" t="s">
        <v>64</v>
      </c>
      <c r="P24" s="55">
        <v>16</v>
      </c>
      <c r="Q24" s="51">
        <f>MID(Table1[[#This Row],[IP]],LEN(Table1[[#This Row],[IP]])-1,1)+(--MID(O24,8,1)-1)*9</f>
        <v>69</v>
      </c>
      <c r="R24" s="52" t="s">
        <v>31</v>
      </c>
    </row>
    <row r="25" spans="1:18">
      <c r="A25" t="str">
        <f t="shared" si="0"/>
        <v>10.238.5.69</v>
      </c>
      <c r="B25" s="94">
        <v>5</v>
      </c>
      <c r="C25">
        <f>MID(Table1[[#This Row],[IP]],LEN(Table1[[#This Row],[IP]])-1,1)+(--MID(Table1[[#This Row],[IP]],8,1)-1)*9</f>
        <v>42</v>
      </c>
      <c r="D25" t="s">
        <v>32</v>
      </c>
      <c r="E25">
        <f>Table1[[#This Row],[Value]]-50</f>
        <v>-45</v>
      </c>
      <c r="O25" s="53" t="s">
        <v>65</v>
      </c>
      <c r="P25" s="56">
        <v>16</v>
      </c>
      <c r="Q25" s="51">
        <f>MID(Table1[[#This Row],[IP]],LEN(Table1[[#This Row],[IP]])-1,1)+(--MID(O25,8,1)-1)*9</f>
        <v>69</v>
      </c>
      <c r="R25" s="54" t="s">
        <v>32</v>
      </c>
    </row>
    <row r="26" spans="1:18">
      <c r="A26" t="str">
        <f t="shared" si="0"/>
        <v>10.238.5.76</v>
      </c>
      <c r="B26" s="94">
        <v>5</v>
      </c>
      <c r="C26">
        <f>MID(Table1[[#This Row],[IP]],LEN(Table1[[#This Row],[IP]])-1,1)+(--MID(Table1[[#This Row],[IP]],8,1)-1)*9</f>
        <v>43</v>
      </c>
      <c r="D26" t="s">
        <v>29</v>
      </c>
      <c r="E26">
        <f>Table1[[#This Row],[Value]]-50</f>
        <v>-45</v>
      </c>
      <c r="O26" s="50" t="s">
        <v>66</v>
      </c>
      <c r="P26" s="55">
        <v>34</v>
      </c>
      <c r="Q26" s="51">
        <f>MID(Table1[[#This Row],[IP]],LEN(Table1[[#This Row],[IP]])-1,1)+(--MID(O26,8,1)-1)*9</f>
        <v>70</v>
      </c>
      <c r="R26" s="52" t="s">
        <v>29</v>
      </c>
    </row>
    <row r="27" spans="1:18">
      <c r="A27" t="str">
        <f t="shared" si="0"/>
        <v>10.238.5.77</v>
      </c>
      <c r="B27" s="94">
        <v>5</v>
      </c>
      <c r="C27">
        <f>MID(Table1[[#This Row],[IP]],LEN(Table1[[#This Row],[IP]])-1,1)+(--MID(Table1[[#This Row],[IP]],8,1)-1)*9</f>
        <v>43</v>
      </c>
      <c r="D27" t="s">
        <v>30</v>
      </c>
      <c r="E27">
        <f>Table1[[#This Row],[Value]]-50</f>
        <v>-45</v>
      </c>
      <c r="O27" s="53" t="s">
        <v>67</v>
      </c>
      <c r="P27" s="56">
        <v>20</v>
      </c>
      <c r="Q27" s="51">
        <f>MID(Table1[[#This Row],[IP]],LEN(Table1[[#This Row],[IP]])-1,1)+(--MID(O27,8,1)-1)*9</f>
        <v>70</v>
      </c>
      <c r="R27" s="54" t="s">
        <v>30</v>
      </c>
    </row>
    <row r="28" spans="1:18">
      <c r="A28" t="str">
        <f t="shared" si="0"/>
        <v>10.238.5.78</v>
      </c>
      <c r="B28" s="94">
        <v>5</v>
      </c>
      <c r="C28">
        <f>MID(Table1[[#This Row],[IP]],LEN(Table1[[#This Row],[IP]])-1,1)+(--MID(Table1[[#This Row],[IP]],8,1)-1)*9</f>
        <v>43</v>
      </c>
      <c r="D28" t="s">
        <v>31</v>
      </c>
      <c r="E28">
        <f>Table1[[#This Row],[Value]]-50</f>
        <v>-45</v>
      </c>
      <c r="O28" s="50" t="s">
        <v>68</v>
      </c>
      <c r="P28" s="55">
        <v>34</v>
      </c>
      <c r="Q28" s="51">
        <f>MID(Table1[[#This Row],[IP]],LEN(Table1[[#This Row],[IP]])-1,1)+(--MID(O28,8,1)-1)*9</f>
        <v>70</v>
      </c>
      <c r="R28" s="52" t="s">
        <v>31</v>
      </c>
    </row>
    <row r="29" spans="1:18">
      <c r="A29" t="str">
        <f t="shared" si="0"/>
        <v>10.238.5.79</v>
      </c>
      <c r="B29" s="94">
        <v>5</v>
      </c>
      <c r="C29">
        <f>MID(Table1[[#This Row],[IP]],LEN(Table1[[#This Row],[IP]])-1,1)+(--MID(Table1[[#This Row],[IP]],8,1)-1)*9</f>
        <v>43</v>
      </c>
      <c r="D29" t="s">
        <v>32</v>
      </c>
      <c r="E29">
        <f>Table1[[#This Row],[Value]]-50</f>
        <v>-45</v>
      </c>
      <c r="O29" s="53" t="s">
        <v>69</v>
      </c>
      <c r="P29" s="56">
        <v>34</v>
      </c>
      <c r="Q29" s="51">
        <f>MID(Table1[[#This Row],[IP]],LEN(Table1[[#This Row],[IP]])-1,1)+(--MID(O29,8,1)-1)*9</f>
        <v>70</v>
      </c>
      <c r="R29" s="54" t="s">
        <v>32</v>
      </c>
    </row>
    <row r="30" spans="1:18">
      <c r="A30" t="str">
        <f t="shared" si="0"/>
        <v>10.238.5.86</v>
      </c>
      <c r="B30" s="94">
        <v>5</v>
      </c>
      <c r="C30">
        <f>MID(Table1[[#This Row],[IP]],LEN(Table1[[#This Row],[IP]])-1,1)+(--MID(Table1[[#This Row],[IP]],8,1)-1)*9</f>
        <v>44</v>
      </c>
      <c r="D30" t="s">
        <v>29</v>
      </c>
      <c r="E30">
        <f>Table1[[#This Row],[Value]]-50</f>
        <v>-45</v>
      </c>
      <c r="O30" s="50" t="s">
        <v>70</v>
      </c>
      <c r="P30" s="55">
        <v>30</v>
      </c>
      <c r="Q30" s="51">
        <f>MID(Table1[[#This Row],[IP]],LEN(Table1[[#This Row],[IP]])-1,1)+(--MID(O30,8,1)-1)*9</f>
        <v>71</v>
      </c>
      <c r="R30" s="52" t="s">
        <v>29</v>
      </c>
    </row>
    <row r="31" spans="1:18">
      <c r="A31" t="str">
        <f t="shared" si="0"/>
        <v>10.238.5.87</v>
      </c>
      <c r="B31" s="94">
        <v>5</v>
      </c>
      <c r="C31">
        <f>MID(Table1[[#This Row],[IP]],LEN(Table1[[#This Row],[IP]])-1,1)+(--MID(Table1[[#This Row],[IP]],8,1)-1)*9</f>
        <v>44</v>
      </c>
      <c r="D31" t="s">
        <v>30</v>
      </c>
      <c r="E31">
        <f>Table1[[#This Row],[Value]]-50</f>
        <v>-45</v>
      </c>
      <c r="O31" s="53" t="s">
        <v>71</v>
      </c>
      <c r="P31" s="56">
        <v>28</v>
      </c>
      <c r="Q31" s="51">
        <f>MID(Table1[[#This Row],[IP]],LEN(Table1[[#This Row],[IP]])-1,1)+(--MID(O31,8,1)-1)*9</f>
        <v>71</v>
      </c>
      <c r="R31" s="54" t="s">
        <v>30</v>
      </c>
    </row>
    <row r="32" spans="1:18">
      <c r="A32" t="str">
        <f t="shared" si="0"/>
        <v>10.238.5.88</v>
      </c>
      <c r="B32" s="94">
        <v>5</v>
      </c>
      <c r="C32">
        <f>MID(Table1[[#This Row],[IP]],LEN(Table1[[#This Row],[IP]])-1,1)+(--MID(Table1[[#This Row],[IP]],8,1)-1)*9</f>
        <v>44</v>
      </c>
      <c r="D32" t="s">
        <v>31</v>
      </c>
      <c r="E32">
        <f>Table1[[#This Row],[Value]]-50</f>
        <v>-45</v>
      </c>
      <c r="O32" s="50" t="s">
        <v>72</v>
      </c>
      <c r="P32" s="55">
        <v>31</v>
      </c>
      <c r="Q32" s="51">
        <f>MID(Table1[[#This Row],[IP]],LEN(Table1[[#This Row],[IP]])-1,1)+(--MID(O32,8,1)-1)*9</f>
        <v>71</v>
      </c>
      <c r="R32" s="52" t="s">
        <v>31</v>
      </c>
    </row>
    <row r="33" spans="1:18">
      <c r="A33" t="str">
        <f t="shared" si="0"/>
        <v>10.238.5.89</v>
      </c>
      <c r="B33" s="94">
        <v>5</v>
      </c>
      <c r="C33">
        <f>MID(Table1[[#This Row],[IP]],LEN(Table1[[#This Row],[IP]])-1,1)+(--MID(Table1[[#This Row],[IP]],8,1)-1)*9</f>
        <v>44</v>
      </c>
      <c r="D33" t="s">
        <v>32</v>
      </c>
      <c r="E33">
        <f>Table1[[#This Row],[Value]]-50</f>
        <v>-45</v>
      </c>
      <c r="O33" s="53" t="s">
        <v>73</v>
      </c>
      <c r="P33" s="56">
        <v>31</v>
      </c>
      <c r="Q33" s="51">
        <f>MID(Table1[[#This Row],[IP]],LEN(Table1[[#This Row],[IP]])-1,1)+(--MID(O33,8,1)-1)*9</f>
        <v>71</v>
      </c>
      <c r="R33" s="54" t="s">
        <v>32</v>
      </c>
    </row>
    <row r="34" spans="1:18">
      <c r="A34" t="str">
        <f t="shared" si="0"/>
        <v>10.238.5.96</v>
      </c>
      <c r="B34" s="94">
        <v>5</v>
      </c>
      <c r="C34">
        <f>MID(Table1[[#This Row],[IP]],LEN(Table1[[#This Row],[IP]])-1,1)+(--MID(Table1[[#This Row],[IP]],8,1)-1)*9</f>
        <v>45</v>
      </c>
      <c r="D34" t="s">
        <v>29</v>
      </c>
      <c r="E34">
        <f>Table1[[#This Row],[Value]]-50</f>
        <v>-45</v>
      </c>
      <c r="O34" s="50" t="s">
        <v>74</v>
      </c>
      <c r="P34" s="55">
        <v>23</v>
      </c>
      <c r="Q34" s="51">
        <f>MID(Table1[[#This Row],[IP]],LEN(Table1[[#This Row],[IP]])-1,1)+(--MID(O34,8,1)-1)*9</f>
        <v>72</v>
      </c>
      <c r="R34" s="52" t="s">
        <v>29</v>
      </c>
    </row>
    <row r="35" spans="1:18">
      <c r="A35" t="str">
        <f t="shared" si="0"/>
        <v>10.238.5.97</v>
      </c>
      <c r="B35" s="94">
        <v>5</v>
      </c>
      <c r="C35">
        <f>MID(Table1[[#This Row],[IP]],LEN(Table1[[#This Row],[IP]])-1,1)+(--MID(Table1[[#This Row],[IP]],8,1)-1)*9</f>
        <v>45</v>
      </c>
      <c r="D35" t="s">
        <v>30</v>
      </c>
      <c r="E35">
        <f>Table1[[#This Row],[Value]]-50</f>
        <v>-45</v>
      </c>
      <c r="O35" s="53" t="s">
        <v>75</v>
      </c>
      <c r="P35" s="56">
        <v>23</v>
      </c>
      <c r="Q35" s="51">
        <f>MID(Table1[[#This Row],[IP]],LEN(Table1[[#This Row],[IP]])-1,1)+(--MID(O35,8,1)-1)*9</f>
        <v>72</v>
      </c>
      <c r="R35" s="54" t="s">
        <v>30</v>
      </c>
    </row>
    <row r="36" spans="1:18">
      <c r="A36" t="str">
        <f t="shared" si="0"/>
        <v>10.238.5.98</v>
      </c>
      <c r="B36" s="94">
        <v>5</v>
      </c>
      <c r="C36">
        <f>MID(Table1[[#This Row],[IP]],LEN(Table1[[#This Row],[IP]])-1,1)+(--MID(Table1[[#This Row],[IP]],8,1)-1)*9</f>
        <v>45</v>
      </c>
      <c r="D36" t="s">
        <v>31</v>
      </c>
      <c r="E36">
        <f>Table1[[#This Row],[Value]]-50</f>
        <v>-45</v>
      </c>
      <c r="O36" s="50" t="s">
        <v>76</v>
      </c>
      <c r="P36" s="55">
        <v>24</v>
      </c>
      <c r="Q36" s="51">
        <f>MID(Table1[[#This Row],[IP]],LEN(Table1[[#This Row],[IP]])-1,1)+(--MID(O36,8,1)-1)*9</f>
        <v>72</v>
      </c>
      <c r="R36" s="52" t="s">
        <v>31</v>
      </c>
    </row>
    <row r="37" spans="1:18">
      <c r="A37" t="str">
        <f t="shared" si="0"/>
        <v>10.238.5.99</v>
      </c>
      <c r="B37" s="94">
        <v>5</v>
      </c>
      <c r="C37">
        <f>MID(Table1[[#This Row],[IP]],LEN(Table1[[#This Row],[IP]])-1,1)+(--MID(Table1[[#This Row],[IP]],8,1)-1)*9</f>
        <v>45</v>
      </c>
      <c r="D37" t="s">
        <v>32</v>
      </c>
      <c r="E37">
        <f>Table1[[#This Row],[Value]]-50</f>
        <v>-45</v>
      </c>
      <c r="O37" s="53" t="s">
        <v>77</v>
      </c>
      <c r="P37" s="56">
        <v>24</v>
      </c>
      <c r="Q37" s="51">
        <f>MID(Table1[[#This Row],[IP]],LEN(Table1[[#This Row],[IP]])-1,1)+(--MID(O37,8,1)-1)*9</f>
        <v>72</v>
      </c>
      <c r="R37" s="54" t="s">
        <v>32</v>
      </c>
    </row>
  </sheetData>
  <phoneticPr fontId="12" type="noConversion"/>
  <conditionalFormatting sqref="E2:E37">
    <cfRule type="top10" dxfId="21" priority="2" bottom="1" rank="1"/>
    <cfRule type="top10" dxfId="20" priority="3" rank="1"/>
  </conditionalFormatting>
  <conditionalFormatting sqref="B2:B37">
    <cfRule type="top10" dxfId="19" priority="1" bottom="1" rank="1"/>
  </conditionalFormatting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6</xdr:col>
                    <xdr:colOff>495300</xdr:colOff>
                    <xdr:row>3</xdr:row>
                    <xdr:rowOff>9525</xdr:rowOff>
                  </from>
                  <to>
                    <xdr:col>8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6</xdr:col>
                    <xdr:colOff>495300</xdr:colOff>
                    <xdr:row>7</xdr:row>
                    <xdr:rowOff>38100</xdr:rowOff>
                  </from>
                  <to>
                    <xdr:col>8</xdr:col>
                    <xdr:colOff>19050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DC3B-393C-4F8C-B6B4-5E0294FC3A06}">
  <sheetPr codeName="Sheet9"/>
  <dimension ref="A1:AP37"/>
  <sheetViews>
    <sheetView zoomScaleNormal="100" workbookViewId="0">
      <pane ySplit="1" topLeftCell="A2" activePane="bottomLeft" state="frozen"/>
      <selection activeCell="AH10" sqref="AH10"/>
      <selection pane="bottomLeft" activeCell="A8" sqref="A8:XFD8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9" max="21" width="3.7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42" width="5.25" customWidth="1"/>
  </cols>
  <sheetData>
    <row r="1" spans="1:42" ht="14.25" thickBot="1">
      <c r="A1" t="s">
        <v>27</v>
      </c>
      <c r="B1" t="s">
        <v>28</v>
      </c>
      <c r="C1" t="s">
        <v>743</v>
      </c>
      <c r="D1" t="s">
        <v>733</v>
      </c>
      <c r="E1" t="s">
        <v>734</v>
      </c>
      <c r="F1" t="s">
        <v>735</v>
      </c>
      <c r="G1" t="s">
        <v>736</v>
      </c>
      <c r="H1" t="s">
        <v>737</v>
      </c>
      <c r="I1" t="s">
        <v>756</v>
      </c>
      <c r="J1" t="s">
        <v>763</v>
      </c>
      <c r="K1" t="s">
        <v>760</v>
      </c>
      <c r="L1" t="s">
        <v>755</v>
      </c>
      <c r="M1" t="s">
        <v>33</v>
      </c>
      <c r="N1" t="s">
        <v>757</v>
      </c>
      <c r="O1" s="47">
        <v>1079</v>
      </c>
      <c r="Q1" t="s">
        <v>79</v>
      </c>
      <c r="R1" s="57">
        <v>1</v>
      </c>
      <c r="AE1" s="101" t="s">
        <v>28</v>
      </c>
      <c r="AF1" s="97" t="s">
        <v>733</v>
      </c>
      <c r="AG1" s="97" t="s">
        <v>734</v>
      </c>
      <c r="AH1" s="97" t="s">
        <v>735</v>
      </c>
      <c r="AI1" s="97" t="s">
        <v>736</v>
      </c>
      <c r="AJ1" s="97" t="s">
        <v>737</v>
      </c>
    </row>
    <row r="2" spans="1:42" ht="15">
      <c r="A2" t="str">
        <f>SUBSTITUTE(V2,".8.","."&amp;$R$1&amp;".")</f>
        <v>10.238.1.16</v>
      </c>
      <c r="B2" s="102" t="str">
        <f>TEXT(MID(Table189[[#This Row],[IP]],LEN(Table189[[#This Row],[IP]])-1,1)+(--MID(Table189[[#This Row],[IP]],8,1)-1)*9,"00")</f>
        <v>01</v>
      </c>
      <c r="C2" s="102" t="s">
        <v>29</v>
      </c>
      <c r="D2" s="105">
        <v>643</v>
      </c>
      <c r="E2" s="106">
        <v>631</v>
      </c>
      <c r="F2" s="106">
        <v>632</v>
      </c>
      <c r="G2" s="106">
        <v>646</v>
      </c>
      <c r="H2" s="107">
        <v>629</v>
      </c>
      <c r="I2" s="94" cm="1">
        <f t="array" ref="I2">IF(SUM(Table189[[#This Row],[SBMU01]:[SBMU05]])=0,0,SUMPRODUCT(IF(Table189[[#This Row],[SBMU01]:[SBMU05]]=0,1,0),{1,2,4,8,16}))</f>
        <v>0</v>
      </c>
      <c r="J2" s="94">
        <v>0</v>
      </c>
      <c r="K2" s="94">
        <v>0</v>
      </c>
      <c r="M2" t="b">
        <f t="shared" ref="M2:M37" si="0">MAX($D2:$H2)-MIN($D2:$H2)&lt;10</f>
        <v>0</v>
      </c>
      <c r="N2" t="s">
        <v>758</v>
      </c>
      <c r="O2" s="47">
        <v>1078</v>
      </c>
      <c r="P2" s="93" t="s">
        <v>759</v>
      </c>
      <c r="V2" s="50" t="s">
        <v>42</v>
      </c>
      <c r="W2" s="55">
        <v>33</v>
      </c>
      <c r="X2" s="51">
        <f>MID(Table189[[#This Row],[IP]],LEN(Table189[[#This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1079</v>
      </c>
      <c r="AE2" s="103" t="str">
        <f>B2&amp;C2</f>
        <v>01D</v>
      </c>
      <c r="AF2" s="99">
        <v>113</v>
      </c>
      <c r="AG2" s="99">
        <v>124</v>
      </c>
      <c r="AH2" s="99">
        <v>124</v>
      </c>
      <c r="AI2" s="99">
        <v>120</v>
      </c>
      <c r="AJ2" s="99">
        <v>127</v>
      </c>
      <c r="AL2" s="117">
        <f>Table189[[#This Row],[SBMU01]]+AF2</f>
        <v>756</v>
      </c>
      <c r="AM2" s="118">
        <f>Table189[[#This Row],[SBMU02]]+AG2</f>
        <v>755</v>
      </c>
      <c r="AN2" s="118">
        <f>Table189[[#This Row],[SBMU03]]+AH2</f>
        <v>756</v>
      </c>
      <c r="AO2" s="118">
        <f>Table189[[#This Row],[SBMU04]]+AI2</f>
        <v>766</v>
      </c>
      <c r="AP2" s="119">
        <f>Table189[[#This Row],[SBMU05]]+AJ2</f>
        <v>756</v>
      </c>
    </row>
    <row r="3" spans="1:42" ht="15">
      <c r="A3" t="str">
        <f t="shared" ref="A3:A37" si="1">SUBSTITUTE(V3,".8.","."&amp;$R$1&amp;".")</f>
        <v>10.238.1.17</v>
      </c>
      <c r="B3" s="102" t="str">
        <f>TEXT(MID(Table189[[#This Row],[IP]],LEN(Table189[[#This Row],[IP]])-1,1)+(--MID(Table189[[#This Row],[IP]],8,1)-1)*9,"00")</f>
        <v>01</v>
      </c>
      <c r="C3" s="102" t="s">
        <v>30</v>
      </c>
      <c r="D3" s="108">
        <v>632</v>
      </c>
      <c r="E3" s="94">
        <v>632</v>
      </c>
      <c r="F3" s="94">
        <v>633</v>
      </c>
      <c r="G3" s="94">
        <v>649</v>
      </c>
      <c r="H3" s="109">
        <v>629</v>
      </c>
      <c r="I3" s="94" cm="1">
        <f t="array" ref="I3">IF(SUM(Table189[[#This Row],[SBMU01]:[SBMU05]])=0,0,SUMPRODUCT(IF(Table189[[#This Row],[SBMU01]:[SBMU05]]=0,1,0),{1,2,4,8,16}))</f>
        <v>0</v>
      </c>
      <c r="J3" s="94">
        <v>0</v>
      </c>
      <c r="K3" s="94">
        <v>0</v>
      </c>
      <c r="M3" t="b">
        <f t="shared" si="0"/>
        <v>0</v>
      </c>
      <c r="Q3" s="95">
        <v>1067</v>
      </c>
      <c r="R3" t="s">
        <v>744</v>
      </c>
      <c r="V3" s="53" t="s">
        <v>43</v>
      </c>
      <c r="W3" s="56">
        <v>32</v>
      </c>
      <c r="X3" s="51">
        <f>MID(Table189[[#This Row],[IP]],LEN(Table189[[#This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2103</v>
      </c>
      <c r="AE3" s="103" t="str">
        <f t="shared" ref="AE3:AE37" si="3">B3&amp;C3</f>
        <v>01C</v>
      </c>
      <c r="AF3" s="100">
        <v>123</v>
      </c>
      <c r="AG3" s="100">
        <v>128</v>
      </c>
      <c r="AH3" s="100">
        <v>126</v>
      </c>
      <c r="AI3" s="100">
        <v>117</v>
      </c>
      <c r="AJ3" s="100">
        <v>129</v>
      </c>
      <c r="AL3" s="120">
        <f>Table189[[#This Row],[SBMU01]]+AF3</f>
        <v>755</v>
      </c>
      <c r="AM3">
        <f>Table189[[#This Row],[SBMU02]]+AG3</f>
        <v>760</v>
      </c>
      <c r="AN3">
        <f>Table189[[#This Row],[SBMU03]]+AH3</f>
        <v>759</v>
      </c>
      <c r="AO3">
        <f>Table189[[#This Row],[SBMU04]]+AI3</f>
        <v>766</v>
      </c>
      <c r="AP3" s="121">
        <f>Table189[[#This Row],[SBMU05]]+AJ3</f>
        <v>758</v>
      </c>
    </row>
    <row r="4" spans="1:42" ht="15">
      <c r="A4" t="str">
        <f t="shared" si="1"/>
        <v>10.238.1.18</v>
      </c>
      <c r="B4" s="102" t="str">
        <f>TEXT(MID(Table189[[#This Row],[IP]],LEN(Table189[[#This Row],[IP]])-1,1)+(--MID(Table189[[#This Row],[IP]],8,1)-1)*9,"00")</f>
        <v>01</v>
      </c>
      <c r="C4" s="102" t="s">
        <v>31</v>
      </c>
      <c r="D4" s="108">
        <v>642</v>
      </c>
      <c r="E4" s="94">
        <v>631</v>
      </c>
      <c r="F4" s="94">
        <v>647</v>
      </c>
      <c r="G4" s="94">
        <v>631</v>
      </c>
      <c r="H4" s="109">
        <v>645</v>
      </c>
      <c r="I4" s="94" cm="1">
        <f t="array" ref="I4">IF(SUM(Table189[[#This Row],[SBMU01]:[SBMU05]])=0,0,SUMPRODUCT(IF(Table189[[#This Row],[SBMU01]:[SBMU05]]=0,1,0),{1,2,4,8,16}))</f>
        <v>0</v>
      </c>
      <c r="J4" s="94">
        <v>0</v>
      </c>
      <c r="K4" s="94">
        <v>0</v>
      </c>
      <c r="M4" t="b">
        <f t="shared" si="0"/>
        <v>0</v>
      </c>
      <c r="Q4" s="96">
        <v>1068</v>
      </c>
      <c r="R4" t="s">
        <v>745</v>
      </c>
      <c r="V4" s="50" t="s">
        <v>44</v>
      </c>
      <c r="W4" s="55">
        <v>32</v>
      </c>
      <c r="X4" s="51">
        <f>MID(Table189[[#This Row],[IP]],LEN(Table189[[#This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3127</v>
      </c>
      <c r="AE4" s="103" t="str">
        <f t="shared" si="3"/>
        <v>01B</v>
      </c>
      <c r="AF4" s="99">
        <v>126</v>
      </c>
      <c r="AG4" s="99">
        <v>130</v>
      </c>
      <c r="AH4" s="99">
        <v>121</v>
      </c>
      <c r="AI4" s="99">
        <v>129</v>
      </c>
      <c r="AJ4" s="99">
        <v>112</v>
      </c>
      <c r="AL4" s="120">
        <f>Table189[[#This Row],[SBMU01]]+AF4</f>
        <v>768</v>
      </c>
      <c r="AM4">
        <f>Table189[[#This Row],[SBMU02]]+AG4</f>
        <v>761</v>
      </c>
      <c r="AN4">
        <f>Table189[[#This Row],[SBMU03]]+AH4</f>
        <v>768</v>
      </c>
      <c r="AO4">
        <f>Table189[[#This Row],[SBMU04]]+AI4</f>
        <v>760</v>
      </c>
      <c r="AP4" s="121">
        <f>Table189[[#This Row],[SBMU05]]+AJ4</f>
        <v>757</v>
      </c>
    </row>
    <row r="5" spans="1:42" ht="15">
      <c r="A5" t="str">
        <f t="shared" si="1"/>
        <v>10.238.1.19</v>
      </c>
      <c r="B5" s="102" t="str">
        <f>TEXT(MID(Table189[[#This Row],[IP]],LEN(Table189[[#This Row],[IP]])-1,1)+(--MID(Table189[[#This Row],[IP]],8,1)-1)*9,"00")</f>
        <v>01</v>
      </c>
      <c r="C5" s="102" t="s">
        <v>32</v>
      </c>
      <c r="D5" s="108">
        <v>637</v>
      </c>
      <c r="E5" s="94">
        <v>636</v>
      </c>
      <c r="F5" s="94">
        <v>633</v>
      </c>
      <c r="G5" s="94">
        <v>649</v>
      </c>
      <c r="H5" s="109">
        <v>630</v>
      </c>
      <c r="I5" s="94" cm="1">
        <f t="array" ref="I5">IF(SUM(Table189[[#This Row],[SBMU01]:[SBMU05]])=0,0,SUMPRODUCT(IF(Table189[[#This Row],[SBMU01]:[SBMU05]]=0,1,0),{1,2,4,8,16}))</f>
        <v>0</v>
      </c>
      <c r="J5" s="94">
        <v>0</v>
      </c>
      <c r="K5" s="94">
        <v>0</v>
      </c>
      <c r="M5" t="b">
        <f t="shared" si="0"/>
        <v>0</v>
      </c>
      <c r="Q5">
        <v>1078</v>
      </c>
      <c r="R5" t="s">
        <v>748</v>
      </c>
      <c r="V5" s="53" t="s">
        <v>45</v>
      </c>
      <c r="W5" s="56">
        <v>32</v>
      </c>
      <c r="X5" s="51">
        <f>MID(Table189[[#This Row],[IP]],LEN(Table189[[#This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4151</v>
      </c>
      <c r="AE5" s="103" t="str">
        <f t="shared" si="3"/>
        <v>01A</v>
      </c>
      <c r="AF5" s="100">
        <v>127</v>
      </c>
      <c r="AG5" s="100">
        <v>123</v>
      </c>
      <c r="AH5" s="100">
        <v>128</v>
      </c>
      <c r="AI5" s="100">
        <v>118</v>
      </c>
      <c r="AJ5" s="100">
        <v>127</v>
      </c>
      <c r="AL5" s="120">
        <f>Table189[[#This Row],[SBMU01]]+AF5</f>
        <v>764</v>
      </c>
      <c r="AM5">
        <f>Table189[[#This Row],[SBMU02]]+AG5</f>
        <v>759</v>
      </c>
      <c r="AN5">
        <f>Table189[[#This Row],[SBMU03]]+AH5</f>
        <v>761</v>
      </c>
      <c r="AO5">
        <f>Table189[[#This Row],[SBMU04]]+AI5</f>
        <v>767</v>
      </c>
      <c r="AP5" s="121">
        <f>Table189[[#This Row],[SBMU05]]+AJ5</f>
        <v>757</v>
      </c>
    </row>
    <row r="6" spans="1:42" ht="13.5" customHeight="1">
      <c r="A6" t="str">
        <f t="shared" si="1"/>
        <v>10.238.1.26</v>
      </c>
      <c r="B6" s="102" t="str">
        <f>TEXT(MID(Table189[[#This Row],[IP]],LEN(Table189[[#This Row],[IP]])-1,1)+(--MID(Table189[[#This Row],[IP]],8,1)-1)*9,"00")</f>
        <v>02</v>
      </c>
      <c r="C6" s="102" t="s">
        <v>29</v>
      </c>
      <c r="D6" s="108">
        <v>632</v>
      </c>
      <c r="E6" s="94">
        <v>634</v>
      </c>
      <c r="F6" s="94">
        <v>615</v>
      </c>
      <c r="G6" s="94">
        <v>625</v>
      </c>
      <c r="H6" s="109">
        <v>626</v>
      </c>
      <c r="I6" s="94" cm="1">
        <f t="array" ref="I6">IF(SUM(Table189[[#This Row],[SBMU01]:[SBMU05]])=0,0,SUMPRODUCT(IF(Table189[[#This Row],[SBMU01]:[SBMU05]]=0,1,0),{1,2,4,8,16}))</f>
        <v>0</v>
      </c>
      <c r="J6" s="94">
        <v>0</v>
      </c>
      <c r="K6" s="94">
        <v>0</v>
      </c>
      <c r="M6" t="b">
        <f t="shared" si="0"/>
        <v>0</v>
      </c>
      <c r="Q6">
        <v>1079</v>
      </c>
      <c r="R6" t="s">
        <v>749</v>
      </c>
      <c r="V6" s="50" t="s">
        <v>46</v>
      </c>
      <c r="W6" s="55" t="s">
        <v>740</v>
      </c>
      <c r="X6" s="51">
        <f>MID(Table189[[#This Row],[IP]],LEN(Table189[[#This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5175</v>
      </c>
      <c r="AE6" s="104" t="str">
        <f t="shared" si="3"/>
        <v>02D</v>
      </c>
      <c r="AF6" s="99">
        <v>124</v>
      </c>
      <c r="AG6" s="99">
        <v>135</v>
      </c>
      <c r="AH6" s="99">
        <v>143</v>
      </c>
      <c r="AI6" s="99">
        <v>136</v>
      </c>
      <c r="AJ6" s="99">
        <v>130</v>
      </c>
      <c r="AL6" s="120">
        <f>Table189[[#This Row],[SBMU01]]+AF6</f>
        <v>756</v>
      </c>
      <c r="AM6">
        <f>Table189[[#This Row],[SBMU02]]+AG6</f>
        <v>769</v>
      </c>
      <c r="AN6">
        <f>Table189[[#This Row],[SBMU03]]+AH6</f>
        <v>758</v>
      </c>
      <c r="AO6">
        <f>Table189[[#This Row],[SBMU04]]+AI6</f>
        <v>761</v>
      </c>
      <c r="AP6" s="121">
        <f>Table189[[#This Row],[SBMU05]]+AJ6</f>
        <v>756</v>
      </c>
    </row>
    <row r="7" spans="1:42" ht="15">
      <c r="A7" t="str">
        <f t="shared" si="1"/>
        <v>10.238.1.27</v>
      </c>
      <c r="B7" s="102" t="str">
        <f>TEXT(MID(Table189[[#This Row],[IP]],LEN(Table189[[#This Row],[IP]])-1,1)+(--MID(Table189[[#This Row],[IP]],8,1)-1)*9,"00")</f>
        <v>02</v>
      </c>
      <c r="C7" s="102" t="s">
        <v>30</v>
      </c>
      <c r="D7" s="108">
        <v>625</v>
      </c>
      <c r="E7" s="94">
        <v>632</v>
      </c>
      <c r="F7" s="94">
        <v>623</v>
      </c>
      <c r="G7" s="94">
        <v>615</v>
      </c>
      <c r="H7" s="109">
        <v>635</v>
      </c>
      <c r="I7" s="94" cm="1">
        <f t="array" ref="I7">IF(SUM(Table189[[#This Row],[SBMU01]:[SBMU05]])=0,0,SUMPRODUCT(IF(Table189[[#This Row],[SBMU01]:[SBMU05]]=0,1,0),{1,2,4,8,16}))</f>
        <v>0</v>
      </c>
      <c r="J7" s="94">
        <v>0</v>
      </c>
      <c r="K7" s="94">
        <v>0</v>
      </c>
      <c r="M7" t="b">
        <f t="shared" si="0"/>
        <v>0</v>
      </c>
      <c r="Q7">
        <v>909</v>
      </c>
      <c r="R7" t="s">
        <v>751</v>
      </c>
      <c r="V7" s="53" t="s">
        <v>47</v>
      </c>
      <c r="W7" s="56">
        <v>18</v>
      </c>
      <c r="X7" s="51">
        <f>MID(Table189[[#This Row],[IP]],LEN(Table189[[#This Row],[IP]])-1,1)+(--MID(V7,8,1)-1)*9</f>
        <v>65</v>
      </c>
      <c r="Y7" s="54" t="s">
        <v>30</v>
      </c>
      <c r="AA7">
        <v>6</v>
      </c>
      <c r="AE7" s="103" t="str">
        <f t="shared" si="3"/>
        <v>02C</v>
      </c>
      <c r="AF7" s="100">
        <v>132</v>
      </c>
      <c r="AG7" s="100">
        <v>130</v>
      </c>
      <c r="AH7" s="100">
        <v>129</v>
      </c>
      <c r="AI7" s="100">
        <v>137</v>
      </c>
      <c r="AJ7" s="100">
        <v>123</v>
      </c>
      <c r="AL7" s="120">
        <f>Table189[[#This Row],[SBMU01]]+AF7</f>
        <v>757</v>
      </c>
      <c r="AM7">
        <f>Table189[[#This Row],[SBMU02]]+AG7</f>
        <v>762</v>
      </c>
      <c r="AN7">
        <f>Table189[[#This Row],[SBMU03]]+AH7</f>
        <v>752</v>
      </c>
      <c r="AO7">
        <f>Table189[[#This Row],[SBMU04]]+AI7</f>
        <v>752</v>
      </c>
      <c r="AP7" s="121">
        <f>Table189[[#This Row],[SBMU05]]+AJ7</f>
        <v>758</v>
      </c>
    </row>
    <row r="8" spans="1:42" ht="15">
      <c r="A8" t="str">
        <f t="shared" si="1"/>
        <v>10.238.1.28</v>
      </c>
      <c r="B8" s="102" t="str">
        <f>TEXT(MID(Table189[[#This Row],[IP]],LEN(Table189[[#This Row],[IP]])-1,1)+(--MID(Table189[[#This Row],[IP]],8,1)-1)*9,"00")</f>
        <v>02</v>
      </c>
      <c r="C8" s="102" t="s">
        <v>31</v>
      </c>
      <c r="D8" s="108">
        <v>548</v>
      </c>
      <c r="E8" s="94">
        <v>546</v>
      </c>
      <c r="F8" s="94">
        <v>645</v>
      </c>
      <c r="G8" s="94">
        <v>542</v>
      </c>
      <c r="H8" s="109">
        <v>545</v>
      </c>
      <c r="I8" s="94" cm="1">
        <f t="array" ref="I8">IF(SUM(Table189[[#This Row],[SBMU01]:[SBMU05]])=0,0,SUMPRODUCT(IF(Table189[[#This Row],[SBMU01]:[SBMU05]]=0,1,0),{1,2,4,8,16}))</f>
        <v>0</v>
      </c>
      <c r="J8" s="94">
        <v>0</v>
      </c>
      <c r="K8" s="94">
        <v>0</v>
      </c>
      <c r="M8" t="b">
        <f t="shared" si="0"/>
        <v>0</v>
      </c>
      <c r="Q8">
        <v>1057</v>
      </c>
      <c r="R8" t="s">
        <v>6</v>
      </c>
      <c r="V8" s="50" t="s">
        <v>48</v>
      </c>
      <c r="W8" s="55">
        <v>13</v>
      </c>
      <c r="X8" s="51">
        <f>MID(Table189[[#This Row],[IP]],LEN(Table189[[#This Row],[IP]])-1,1)+(--MID(V8,8,1)-1)*9</f>
        <v>65</v>
      </c>
      <c r="Y8" s="52" t="s">
        <v>31</v>
      </c>
      <c r="AA8">
        <v>7</v>
      </c>
      <c r="AE8" s="104" t="str">
        <f t="shared" si="3"/>
        <v>02B</v>
      </c>
      <c r="AF8" s="99">
        <v>140</v>
      </c>
      <c r="AG8" s="99">
        <v>141</v>
      </c>
      <c r="AH8" s="99">
        <v>37</v>
      </c>
      <c r="AI8" s="99">
        <v>148</v>
      </c>
      <c r="AJ8" s="99">
        <v>141</v>
      </c>
      <c r="AL8" s="120">
        <f>Table189[[#This Row],[SBMU01]]+AF8</f>
        <v>688</v>
      </c>
      <c r="AM8">
        <f>Table189[[#This Row],[SBMU02]]+AG8</f>
        <v>687</v>
      </c>
      <c r="AN8">
        <f>Table189[[#This Row],[SBMU03]]+AH8</f>
        <v>682</v>
      </c>
      <c r="AO8">
        <f>Table189[[#This Row],[SBMU04]]+AI8</f>
        <v>690</v>
      </c>
      <c r="AP8" s="121">
        <f>Table189[[#This Row],[SBMU05]]+AJ8</f>
        <v>686</v>
      </c>
    </row>
    <row r="9" spans="1:42" ht="15">
      <c r="A9" t="str">
        <f t="shared" si="1"/>
        <v>10.238.1.29</v>
      </c>
      <c r="B9" s="102" t="str">
        <f>TEXT(MID(Table189[[#This Row],[IP]],LEN(Table189[[#This Row],[IP]])-1,1)+(--MID(Table189[[#This Row],[IP]],8,1)-1)*9,"00")</f>
        <v>02</v>
      </c>
      <c r="C9" s="102" t="s">
        <v>32</v>
      </c>
      <c r="D9" s="108">
        <v>633</v>
      </c>
      <c r="E9" s="94">
        <v>619</v>
      </c>
      <c r="F9" s="94">
        <v>622</v>
      </c>
      <c r="G9" s="94">
        <v>618</v>
      </c>
      <c r="H9" s="109">
        <v>623</v>
      </c>
      <c r="I9" s="94" cm="1">
        <f t="array" ref="I9">IF(SUM(Table189[[#This Row],[SBMU01]:[SBMU05]])=0,0,SUMPRODUCT(IF(Table189[[#This Row],[SBMU01]:[SBMU05]]=0,1,0),{1,2,4,8,16}))</f>
        <v>0</v>
      </c>
      <c r="J9" s="94">
        <v>0</v>
      </c>
      <c r="K9" s="94">
        <v>0</v>
      </c>
      <c r="M9" t="b">
        <f t="shared" si="0"/>
        <v>0</v>
      </c>
      <c r="Q9">
        <v>1058</v>
      </c>
      <c r="R9" t="s">
        <v>7</v>
      </c>
      <c r="V9" s="53" t="s">
        <v>49</v>
      </c>
      <c r="W9" s="56">
        <v>17</v>
      </c>
      <c r="X9" s="51">
        <f>MID(Table189[[#This Row],[IP]],LEN(Table189[[#This Row],[IP]])-1,1)+(--MID(V9,8,1)-1)*9</f>
        <v>65</v>
      </c>
      <c r="Y9" s="54" t="s">
        <v>32</v>
      </c>
      <c r="AA9">
        <v>8</v>
      </c>
      <c r="AE9" s="103" t="str">
        <f t="shared" si="3"/>
        <v>02A</v>
      </c>
      <c r="AF9" s="100">
        <v>126</v>
      </c>
      <c r="AG9" s="100">
        <v>135</v>
      </c>
      <c r="AH9" s="100">
        <v>137</v>
      </c>
      <c r="AI9" s="100">
        <v>134</v>
      </c>
      <c r="AJ9" s="100">
        <v>133</v>
      </c>
      <c r="AL9" s="120">
        <f>Table189[[#This Row],[SBMU01]]+AF9</f>
        <v>759</v>
      </c>
      <c r="AM9">
        <f>Table189[[#This Row],[SBMU02]]+AG9</f>
        <v>754</v>
      </c>
      <c r="AN9">
        <f>Table189[[#This Row],[SBMU03]]+AH9</f>
        <v>759</v>
      </c>
      <c r="AO9">
        <f>Table189[[#This Row],[SBMU04]]+AI9</f>
        <v>752</v>
      </c>
      <c r="AP9" s="121">
        <f>Table189[[#This Row],[SBMU05]]+AJ9</f>
        <v>756</v>
      </c>
    </row>
    <row r="10" spans="1:42" ht="12.75" customHeight="1">
      <c r="A10" t="str">
        <f t="shared" si="1"/>
        <v>10.238.1.36</v>
      </c>
      <c r="B10" s="102" t="str">
        <f>TEXT(MID(Table189[[#This Row],[IP]],LEN(Table189[[#This Row],[IP]])-1,1)+(--MID(Table189[[#This Row],[IP]],8,1)-1)*9,"00")</f>
        <v>03</v>
      </c>
      <c r="C10" s="102" t="s">
        <v>29</v>
      </c>
      <c r="D10" s="108">
        <v>633</v>
      </c>
      <c r="E10" s="94">
        <v>619</v>
      </c>
      <c r="F10" s="94">
        <v>614</v>
      </c>
      <c r="G10" s="94">
        <v>626</v>
      </c>
      <c r="H10" s="109">
        <v>620</v>
      </c>
      <c r="I10" s="94" cm="1">
        <f t="array" ref="I10">IF(SUM(Table189[[#This Row],[SBMU01]:[SBMU05]])=0,0,SUMPRODUCT(IF(Table189[[#This Row],[SBMU01]:[SBMU05]]=0,1,0),{1,2,4,8,16}))</f>
        <v>0</v>
      </c>
      <c r="J10" s="94">
        <v>0</v>
      </c>
      <c r="K10" s="94">
        <v>0</v>
      </c>
      <c r="M10" t="b">
        <f t="shared" si="0"/>
        <v>0</v>
      </c>
      <c r="Q10">
        <v>1059</v>
      </c>
      <c r="R10" t="s">
        <v>84</v>
      </c>
      <c r="V10" s="50" t="s">
        <v>50</v>
      </c>
      <c r="W10" s="55">
        <v>20</v>
      </c>
      <c r="X10" s="51">
        <f>MID(Table189[[#This Row],[IP]],LEN(Table189[[#This Row],[IP]])-1,1)+(--MID(V10,8,1)-1)*9</f>
        <v>66</v>
      </c>
      <c r="Y10" s="52" t="s">
        <v>29</v>
      </c>
      <c r="AE10" s="104" t="str">
        <f t="shared" si="3"/>
        <v>03D</v>
      </c>
      <c r="AF10" s="99">
        <v>107</v>
      </c>
      <c r="AG10" s="99">
        <v>122</v>
      </c>
      <c r="AH10" s="99">
        <v>123</v>
      </c>
      <c r="AI10" s="99">
        <v>120</v>
      </c>
      <c r="AJ10" s="99">
        <v>129</v>
      </c>
      <c r="AL10" s="120">
        <f>Table189[[#This Row],[SBMU01]]+AF10</f>
        <v>740</v>
      </c>
      <c r="AM10">
        <f>Table189[[#This Row],[SBMU02]]+AG10</f>
        <v>741</v>
      </c>
      <c r="AN10">
        <f>Table189[[#This Row],[SBMU03]]+AH10</f>
        <v>737</v>
      </c>
      <c r="AO10">
        <f>Table189[[#This Row],[SBMU04]]+AI10</f>
        <v>746</v>
      </c>
      <c r="AP10" s="121">
        <f>Table189[[#This Row],[SBMU05]]+AJ10</f>
        <v>749</v>
      </c>
    </row>
    <row r="11" spans="1:42" ht="15">
      <c r="A11" t="str">
        <f t="shared" si="1"/>
        <v>10.238.1.37</v>
      </c>
      <c r="B11" s="102" t="str">
        <f>TEXT(MID(Table189[[#This Row],[IP]],LEN(Table189[[#This Row],[IP]])-1,1)+(--MID(Table189[[#This Row],[IP]],8,1)-1)*9,"00")</f>
        <v>03</v>
      </c>
      <c r="C11" s="102" t="s">
        <v>30</v>
      </c>
      <c r="D11" s="108">
        <v>633</v>
      </c>
      <c r="E11" s="94">
        <v>623</v>
      </c>
      <c r="F11" s="94">
        <v>637</v>
      </c>
      <c r="G11" s="94">
        <v>628</v>
      </c>
      <c r="H11" s="109">
        <v>648</v>
      </c>
      <c r="I11" s="94" cm="1">
        <f t="array" ref="I11">IF(SUM(Table189[[#This Row],[SBMU01]:[SBMU05]])=0,0,SUMPRODUCT(IF(Table189[[#This Row],[SBMU01]:[SBMU05]]=0,1,0),{1,2,4,8,16}))</f>
        <v>0</v>
      </c>
      <c r="J11" s="94">
        <v>0</v>
      </c>
      <c r="K11" s="94">
        <v>0</v>
      </c>
      <c r="M11" t="b">
        <f t="shared" si="0"/>
        <v>0</v>
      </c>
      <c r="Q11">
        <v>1061</v>
      </c>
      <c r="R11" t="s">
        <v>752</v>
      </c>
      <c r="V11" s="53" t="s">
        <v>51</v>
      </c>
      <c r="W11" s="56">
        <v>18</v>
      </c>
      <c r="X11" s="51">
        <f>MID(Table189[[#This Row],[IP]],LEN(Table189[[#This Row],[IP]])-1,1)+(--MID(V11,8,1)-1)*9</f>
        <v>66</v>
      </c>
      <c r="Y11" s="54" t="s">
        <v>30</v>
      </c>
      <c r="AE11" s="103" t="str">
        <f t="shared" si="3"/>
        <v>03C</v>
      </c>
      <c r="AF11" s="100">
        <v>128</v>
      </c>
      <c r="AG11" s="100">
        <v>128</v>
      </c>
      <c r="AH11" s="100">
        <v>114</v>
      </c>
      <c r="AI11" s="100">
        <v>126</v>
      </c>
      <c r="AJ11" s="100">
        <v>125</v>
      </c>
      <c r="AL11" s="120">
        <f>Table189[[#This Row],[SBMU01]]+AF11</f>
        <v>761</v>
      </c>
      <c r="AM11">
        <f>Table189[[#This Row],[SBMU02]]+AG11</f>
        <v>751</v>
      </c>
      <c r="AN11">
        <f>Table189[[#This Row],[SBMU03]]+AH11</f>
        <v>751</v>
      </c>
      <c r="AO11">
        <f>Table189[[#This Row],[SBMU04]]+AI11</f>
        <v>754</v>
      </c>
      <c r="AP11" s="121">
        <f>Table189[[#This Row],[SBMU05]]+AJ11</f>
        <v>773</v>
      </c>
    </row>
    <row r="12" spans="1:42" ht="15">
      <c r="A12" t="str">
        <f t="shared" si="1"/>
        <v>10.238.1.38</v>
      </c>
      <c r="B12" s="102" t="str">
        <f>TEXT(MID(Table189[[#This Row],[IP]],LEN(Table189[[#This Row],[IP]])-1,1)+(--MID(Table189[[#This Row],[IP]],8,1)-1)*9,"00")</f>
        <v>03</v>
      </c>
      <c r="C12" s="102" t="s">
        <v>31</v>
      </c>
      <c r="D12" s="108">
        <v>624</v>
      </c>
      <c r="E12" s="94">
        <v>634</v>
      </c>
      <c r="F12" s="94">
        <v>634</v>
      </c>
      <c r="G12" s="94">
        <v>645</v>
      </c>
      <c r="H12" s="109">
        <v>630</v>
      </c>
      <c r="I12" s="94" cm="1">
        <f t="array" ref="I12">IF(SUM(Table189[[#This Row],[SBMU01]:[SBMU05]])=0,0,SUMPRODUCT(IF(Table189[[#This Row],[SBMU01]:[SBMU05]]=0,1,0),{1,2,4,8,16}))</f>
        <v>0</v>
      </c>
      <c r="J12" s="94">
        <v>0</v>
      </c>
      <c r="K12" s="94">
        <v>0</v>
      </c>
      <c r="M12" t="b">
        <f t="shared" si="0"/>
        <v>0</v>
      </c>
      <c r="Q12">
        <v>1062</v>
      </c>
      <c r="R12" t="s">
        <v>753</v>
      </c>
      <c r="V12" s="50" t="s">
        <v>52</v>
      </c>
      <c r="W12" s="55">
        <v>18</v>
      </c>
      <c r="X12" s="51">
        <f>MID(Table189[[#This Row],[IP]],LEN(Table189[[#This Row],[IP]])-1,1)+(--MID(V12,8,1)-1)*9</f>
        <v>66</v>
      </c>
      <c r="Y12" s="52" t="s">
        <v>31</v>
      </c>
      <c r="AE12" s="104" t="str">
        <f t="shared" si="3"/>
        <v>03B</v>
      </c>
      <c r="AF12" s="99">
        <v>132</v>
      </c>
      <c r="AG12" s="99">
        <v>132</v>
      </c>
      <c r="AH12" s="99">
        <v>132</v>
      </c>
      <c r="AI12" s="99">
        <v>118</v>
      </c>
      <c r="AJ12" s="99">
        <v>136</v>
      </c>
      <c r="AL12" s="120">
        <f>Table189[[#This Row],[SBMU01]]+AF12</f>
        <v>756</v>
      </c>
      <c r="AM12">
        <f>Table189[[#This Row],[SBMU02]]+AG12</f>
        <v>766</v>
      </c>
      <c r="AN12">
        <f>Table189[[#This Row],[SBMU03]]+AH12</f>
        <v>766</v>
      </c>
      <c r="AO12">
        <f>Table189[[#This Row],[SBMU04]]+AI12</f>
        <v>763</v>
      </c>
      <c r="AP12" s="121">
        <f>Table189[[#This Row],[SBMU05]]+AJ12</f>
        <v>766</v>
      </c>
    </row>
    <row r="13" spans="1:42" ht="15">
      <c r="A13" t="str">
        <f t="shared" si="1"/>
        <v>10.238.1.39</v>
      </c>
      <c r="B13" s="102" t="str">
        <f>TEXT(MID(Table189[[#This Row],[IP]],LEN(Table189[[#This Row],[IP]])-1,1)+(--MID(Table189[[#This Row],[IP]],8,1)-1)*9,"00")</f>
        <v>03</v>
      </c>
      <c r="C13" s="102" t="s">
        <v>32</v>
      </c>
      <c r="D13" s="108">
        <v>636</v>
      </c>
      <c r="E13" s="94">
        <v>631</v>
      </c>
      <c r="F13" s="94">
        <v>641</v>
      </c>
      <c r="G13" s="94">
        <v>631</v>
      </c>
      <c r="H13" s="109">
        <v>641</v>
      </c>
      <c r="I13" s="94" cm="1">
        <f t="array" ref="I13">IF(SUM(Table189[[#This Row],[SBMU01]:[SBMU05]])=0,0,SUMPRODUCT(IF(Table189[[#This Row],[SBMU01]:[SBMU05]]=0,1,0),{1,2,4,8,16}))</f>
        <v>0</v>
      </c>
      <c r="J13" s="94">
        <v>0</v>
      </c>
      <c r="K13" s="94">
        <v>0</v>
      </c>
      <c r="M13" t="b">
        <f t="shared" si="0"/>
        <v>0</v>
      </c>
      <c r="Q13">
        <v>1064</v>
      </c>
      <c r="R13" t="s">
        <v>754</v>
      </c>
      <c r="V13" s="53" t="s">
        <v>53</v>
      </c>
      <c r="W13" s="56">
        <v>18</v>
      </c>
      <c r="X13" s="51">
        <f>MID(Table189[[#This Row],[IP]],LEN(Table189[[#This Row],[IP]])-1,1)+(--MID(V13,8,1)-1)*9</f>
        <v>66</v>
      </c>
      <c r="Y13" s="54" t="s">
        <v>32</v>
      </c>
      <c r="AE13" s="103" t="str">
        <f t="shared" si="3"/>
        <v>03A</v>
      </c>
      <c r="AF13" s="100">
        <v>130</v>
      </c>
      <c r="AG13" s="100">
        <v>131</v>
      </c>
      <c r="AH13" s="100">
        <v>125</v>
      </c>
      <c r="AI13" s="100">
        <v>131</v>
      </c>
      <c r="AJ13" s="100">
        <v>122</v>
      </c>
      <c r="AL13" s="120">
        <f>Table189[[#This Row],[SBMU01]]+AF13</f>
        <v>766</v>
      </c>
      <c r="AM13">
        <f>Table189[[#This Row],[SBMU02]]+AG13</f>
        <v>762</v>
      </c>
      <c r="AN13">
        <f>Table189[[#This Row],[SBMU03]]+AH13</f>
        <v>766</v>
      </c>
      <c r="AO13">
        <f>Table189[[#This Row],[SBMU04]]+AI13</f>
        <v>762</v>
      </c>
      <c r="AP13" s="121">
        <f>Table189[[#This Row],[SBMU05]]+AJ13</f>
        <v>763</v>
      </c>
    </row>
    <row r="14" spans="1:42" ht="15">
      <c r="A14" t="str">
        <f t="shared" si="1"/>
        <v>10.238.1.46</v>
      </c>
      <c r="B14" s="102" t="str">
        <f>TEXT(MID(Table189[[#This Row],[IP]],LEN(Table189[[#This Row],[IP]])-1,1)+(--MID(Table189[[#This Row],[IP]],8,1)-1)*9,"00")</f>
        <v>04</v>
      </c>
      <c r="C14" s="102" t="s">
        <v>29</v>
      </c>
      <c r="D14" s="108">
        <v>737</v>
      </c>
      <c r="E14" s="94">
        <v>715</v>
      </c>
      <c r="F14" s="94">
        <v>733</v>
      </c>
      <c r="G14" s="94">
        <v>731</v>
      </c>
      <c r="H14" s="109">
        <v>739</v>
      </c>
      <c r="I14" s="94" cm="1">
        <f t="array" ref="I14">IF(SUM(Table189[[#This Row],[SBMU01]:[SBMU05]])=0,0,SUMPRODUCT(IF(Table189[[#This Row],[SBMU01]:[SBMU05]]=0,1,0),{1,2,4,8,16}))</f>
        <v>0</v>
      </c>
      <c r="J14" s="94">
        <v>0</v>
      </c>
      <c r="K14" s="94">
        <v>0</v>
      </c>
      <c r="M14" t="b">
        <f t="shared" si="0"/>
        <v>0</v>
      </c>
      <c r="Q14">
        <v>1076</v>
      </c>
      <c r="R14" t="s">
        <v>746</v>
      </c>
      <c r="V14" s="50" t="s">
        <v>54</v>
      </c>
      <c r="W14" s="55">
        <v>30</v>
      </c>
      <c r="X14" s="51">
        <f>MID(Table189[[#This Row],[IP]],LEN(Table189[[#This Row],[IP]])-1,1)+(--MID(V14,8,1)-1)*9</f>
        <v>67</v>
      </c>
      <c r="Y14" s="52" t="s">
        <v>29</v>
      </c>
      <c r="AE14" s="104" t="str">
        <f t="shared" si="3"/>
        <v>04D</v>
      </c>
      <c r="AF14" s="99">
        <v>0</v>
      </c>
      <c r="AG14" s="99">
        <v>8</v>
      </c>
      <c r="AH14" s="99">
        <v>0</v>
      </c>
      <c r="AI14" s="99">
        <v>0</v>
      </c>
      <c r="AJ14" s="99">
        <v>0</v>
      </c>
      <c r="AL14" s="120">
        <f>Table189[[#This Row],[SBMU01]]+AF14</f>
        <v>737</v>
      </c>
      <c r="AM14">
        <f>Table189[[#This Row],[SBMU02]]+AG14</f>
        <v>723</v>
      </c>
      <c r="AN14">
        <f>Table189[[#This Row],[SBMU03]]+AH14</f>
        <v>733</v>
      </c>
      <c r="AO14">
        <f>Table189[[#This Row],[SBMU04]]+AI14</f>
        <v>731</v>
      </c>
      <c r="AP14" s="121">
        <f>Table189[[#This Row],[SBMU05]]+AJ14</f>
        <v>739</v>
      </c>
    </row>
    <row r="15" spans="1:42" ht="15">
      <c r="A15" t="str">
        <f t="shared" si="1"/>
        <v>10.238.1.47</v>
      </c>
      <c r="B15" s="102" t="str">
        <f>TEXT(MID(Table189[[#This Row],[IP]],LEN(Table189[[#This Row],[IP]])-1,1)+(--MID(Table189[[#This Row],[IP]],8,1)-1)*9,"00")</f>
        <v>04</v>
      </c>
      <c r="C15" s="102" t="s">
        <v>30</v>
      </c>
      <c r="D15" s="108">
        <v>760</v>
      </c>
      <c r="E15" s="94">
        <v>752</v>
      </c>
      <c r="F15" s="94">
        <v>754</v>
      </c>
      <c r="G15" s="94">
        <v>756</v>
      </c>
      <c r="H15" s="109">
        <v>757</v>
      </c>
      <c r="I15" s="94" cm="1">
        <f t="array" ref="I15">IF(SUM(Table189[[#This Row],[SBMU01]:[SBMU05]])=0,0,SUMPRODUCT(IF(Table189[[#This Row],[SBMU01]:[SBMU05]]=0,1,0),{1,2,4,8,16}))</f>
        <v>0</v>
      </c>
      <c r="J15" s="94">
        <v>0</v>
      </c>
      <c r="K15" s="94">
        <v>0</v>
      </c>
      <c r="M15" t="b">
        <f t="shared" si="0"/>
        <v>1</v>
      </c>
      <c r="Q15">
        <v>1077</v>
      </c>
      <c r="R15" t="s">
        <v>747</v>
      </c>
      <c r="V15" s="53" t="s">
        <v>55</v>
      </c>
      <c r="W15" s="56">
        <v>38</v>
      </c>
      <c r="X15" s="51">
        <f>MID(Table189[[#This Row],[IP]],LEN(Table189[[#This Row],[IP]])-1,1)+(--MID(V15,8,1)-1)*9</f>
        <v>67</v>
      </c>
      <c r="Y15" s="54" t="s">
        <v>30</v>
      </c>
      <c r="AE15" s="103" t="str">
        <f t="shared" si="3"/>
        <v>04C</v>
      </c>
      <c r="AF15" s="100">
        <v>0</v>
      </c>
      <c r="AG15" s="100">
        <v>0</v>
      </c>
      <c r="AH15" s="100">
        <v>0</v>
      </c>
      <c r="AI15" s="100">
        <v>0</v>
      </c>
      <c r="AJ15" s="100">
        <v>1</v>
      </c>
      <c r="AL15" s="120">
        <f>Table189[[#This Row],[SBMU01]]+AF15</f>
        <v>760</v>
      </c>
      <c r="AM15">
        <f>Table189[[#This Row],[SBMU02]]+AG15</f>
        <v>752</v>
      </c>
      <c r="AN15">
        <f>Table189[[#This Row],[SBMU03]]+AH15</f>
        <v>754</v>
      </c>
      <c r="AO15">
        <f>Table189[[#This Row],[SBMU04]]+AI15</f>
        <v>756</v>
      </c>
      <c r="AP15" s="121">
        <f>Table189[[#This Row],[SBMU05]]+AJ15</f>
        <v>758</v>
      </c>
    </row>
    <row r="16" spans="1:42" ht="15">
      <c r="A16" t="str">
        <f t="shared" si="1"/>
        <v>10.238.1.48</v>
      </c>
      <c r="B16" s="102" t="str">
        <f>TEXT(MID(Table189[[#This Row],[IP]],LEN(Table189[[#This Row],[IP]])-1,1)+(--MID(Table189[[#This Row],[IP]],8,1)-1)*9,"00")</f>
        <v>04</v>
      </c>
      <c r="C16" s="102" t="s">
        <v>31</v>
      </c>
      <c r="D16" s="108">
        <v>756</v>
      </c>
      <c r="E16" s="94">
        <v>748</v>
      </c>
      <c r="F16" s="94">
        <v>750</v>
      </c>
      <c r="G16" s="94">
        <v>752</v>
      </c>
      <c r="H16" s="109">
        <v>754</v>
      </c>
      <c r="I16" s="94" cm="1">
        <f t="array" ref="I16">IF(SUM(Table189[[#This Row],[SBMU01]:[SBMU05]])=0,0,SUMPRODUCT(IF(Table189[[#This Row],[SBMU01]:[SBMU05]]=0,1,0),{1,2,4,8,16}))</f>
        <v>0</v>
      </c>
      <c r="J16" s="94">
        <v>0</v>
      </c>
      <c r="K16" s="94">
        <v>0</v>
      </c>
      <c r="M16" t="b">
        <f t="shared" si="0"/>
        <v>1</v>
      </c>
      <c r="Q16">
        <v>1080</v>
      </c>
      <c r="R16" t="s">
        <v>750</v>
      </c>
      <c r="V16" s="50" t="s">
        <v>56</v>
      </c>
      <c r="W16" s="55">
        <v>38</v>
      </c>
      <c r="X16" s="51">
        <f>MID(Table189[[#This Row],[IP]],LEN(Table189[[#This Row],[IP]])-1,1)+(--MID(V16,8,1)-1)*9</f>
        <v>67</v>
      </c>
      <c r="Y16" s="52" t="s">
        <v>31</v>
      </c>
      <c r="AE16" s="104" t="str">
        <f t="shared" si="3"/>
        <v>04B</v>
      </c>
      <c r="AF16" s="99">
        <v>0</v>
      </c>
      <c r="AG16" s="99">
        <v>0</v>
      </c>
      <c r="AH16" s="99">
        <v>1</v>
      </c>
      <c r="AI16" s="99">
        <v>0</v>
      </c>
      <c r="AJ16" s="99">
        <v>0</v>
      </c>
      <c r="AL16" s="120">
        <f>Table189[[#This Row],[SBMU01]]+AF16</f>
        <v>756</v>
      </c>
      <c r="AM16">
        <f>Table189[[#This Row],[SBMU02]]+AG16</f>
        <v>748</v>
      </c>
      <c r="AN16">
        <f>Table189[[#This Row],[SBMU03]]+AH16</f>
        <v>751</v>
      </c>
      <c r="AO16">
        <f>Table189[[#This Row],[SBMU04]]+AI16</f>
        <v>752</v>
      </c>
      <c r="AP16" s="121">
        <f>Table189[[#This Row],[SBMU05]]+AJ16</f>
        <v>754</v>
      </c>
    </row>
    <row r="17" spans="1:42" ht="15">
      <c r="A17" t="str">
        <f t="shared" si="1"/>
        <v>10.238.1.49</v>
      </c>
      <c r="B17" s="102" t="str">
        <f>TEXT(MID(Table189[[#This Row],[IP]],LEN(Table189[[#This Row],[IP]])-1,1)+(--MID(Table189[[#This Row],[IP]],8,1)-1)*9,"00")</f>
        <v>04</v>
      </c>
      <c r="C17" s="102" t="s">
        <v>32</v>
      </c>
      <c r="D17" s="108">
        <v>765</v>
      </c>
      <c r="E17" s="94">
        <v>755</v>
      </c>
      <c r="F17" s="94">
        <v>761</v>
      </c>
      <c r="G17" s="94">
        <v>751</v>
      </c>
      <c r="H17" s="109">
        <v>757</v>
      </c>
      <c r="I17" s="94" cm="1">
        <f t="array" ref="I17">IF(SUM(Table189[[#This Row],[SBMU01]:[SBMU05]])=0,0,SUMPRODUCT(IF(Table189[[#This Row],[SBMU01]:[SBMU05]]=0,1,0),{1,2,4,8,16}))</f>
        <v>0</v>
      </c>
      <c r="J17" s="94">
        <v>0</v>
      </c>
      <c r="K17" s="94">
        <v>0</v>
      </c>
      <c r="M17" t="b">
        <f t="shared" si="0"/>
        <v>0</v>
      </c>
      <c r="V17" s="53" t="s">
        <v>57</v>
      </c>
      <c r="W17" s="56">
        <v>38</v>
      </c>
      <c r="X17" s="51">
        <f>MID(Table189[[#This Row],[IP]],LEN(Table189[[#This Row],[IP]])-1,1)+(--MID(V17,8,1)-1)*9</f>
        <v>67</v>
      </c>
      <c r="Y17" s="54" t="s">
        <v>32</v>
      </c>
      <c r="AE17" s="103" t="str">
        <f t="shared" si="3"/>
        <v>04A</v>
      </c>
      <c r="AF17" s="100">
        <v>0</v>
      </c>
      <c r="AG17" s="100">
        <v>0</v>
      </c>
      <c r="AH17" s="100">
        <v>0</v>
      </c>
      <c r="AI17" s="100">
        <v>0</v>
      </c>
      <c r="AJ17" s="100">
        <v>1</v>
      </c>
      <c r="AL17" s="120">
        <f>Table189[[#This Row],[SBMU01]]+AF17</f>
        <v>765</v>
      </c>
      <c r="AM17">
        <f>Table189[[#This Row],[SBMU02]]+AG17</f>
        <v>755</v>
      </c>
      <c r="AN17">
        <f>Table189[[#This Row],[SBMU03]]+AH17</f>
        <v>761</v>
      </c>
      <c r="AO17">
        <f>Table189[[#This Row],[SBMU04]]+AI17</f>
        <v>751</v>
      </c>
      <c r="AP17" s="121">
        <f>Table189[[#This Row],[SBMU05]]+AJ17</f>
        <v>758</v>
      </c>
    </row>
    <row r="18" spans="1:42" ht="15">
      <c r="A18" t="str">
        <f t="shared" si="1"/>
        <v>10.238.1.56</v>
      </c>
      <c r="B18" s="102" t="str">
        <f>TEXT(MID(Table189[[#This Row],[IP]],LEN(Table189[[#This Row],[IP]])-1,1)+(--MID(Table189[[#This Row],[IP]],8,1)-1)*9,"00")</f>
        <v>05</v>
      </c>
      <c r="C18" s="102" t="s">
        <v>29</v>
      </c>
      <c r="D18" s="108">
        <v>634</v>
      </c>
      <c r="E18" s="94">
        <v>621</v>
      </c>
      <c r="F18" s="94">
        <v>651</v>
      </c>
      <c r="G18" s="94">
        <v>626</v>
      </c>
      <c r="H18" s="109">
        <v>621</v>
      </c>
      <c r="I18" s="94" cm="1">
        <f t="array" ref="I18">IF(SUM(Table189[[#This Row],[SBMU01]:[SBMU05]])=0,0,SUMPRODUCT(IF(Table189[[#This Row],[SBMU01]:[SBMU05]]=0,1,0),{1,2,4,8,16}))</f>
        <v>0</v>
      </c>
      <c r="J18" s="94">
        <v>0</v>
      </c>
      <c r="K18" s="94">
        <v>0</v>
      </c>
      <c r="M18" t="b">
        <f t="shared" si="0"/>
        <v>0</v>
      </c>
      <c r="V18" s="50" t="s">
        <v>58</v>
      </c>
      <c r="W18" s="55">
        <v>26</v>
      </c>
      <c r="X18" s="51">
        <f>MID(Table189[[#This Row],[IP]],LEN(Table189[[#This Row],[IP]])-1,1)+(--MID(V18,8,1)-1)*9</f>
        <v>68</v>
      </c>
      <c r="Y18" s="52" t="s">
        <v>29</v>
      </c>
      <c r="AE18" s="104" t="str">
        <f t="shared" si="3"/>
        <v>05D</v>
      </c>
      <c r="AF18" s="99">
        <v>112</v>
      </c>
      <c r="AG18" s="99">
        <v>118</v>
      </c>
      <c r="AH18" s="99">
        <v>117</v>
      </c>
      <c r="AI18" s="99">
        <v>117</v>
      </c>
      <c r="AJ18" s="99">
        <v>117</v>
      </c>
      <c r="AL18" s="120">
        <f>Table189[[#This Row],[SBMU01]]+AF18</f>
        <v>746</v>
      </c>
      <c r="AM18">
        <f>Table189[[#This Row],[SBMU02]]+AG18</f>
        <v>739</v>
      </c>
      <c r="AN18">
        <f>Table189[[#This Row],[SBMU03]]+AH18</f>
        <v>768</v>
      </c>
      <c r="AO18">
        <f>Table189[[#This Row],[SBMU04]]+AI18</f>
        <v>743</v>
      </c>
      <c r="AP18" s="121">
        <f>Table189[[#This Row],[SBMU05]]+AJ18</f>
        <v>738</v>
      </c>
    </row>
    <row r="19" spans="1:42" ht="15">
      <c r="A19" t="str">
        <f t="shared" si="1"/>
        <v>10.238.1.57</v>
      </c>
      <c r="B19" s="102" t="str">
        <f>TEXT(MID(Table189[[#This Row],[IP]],LEN(Table189[[#This Row],[IP]])-1,1)+(--MID(Table189[[#This Row],[IP]],8,1)-1)*9,"00")</f>
        <v>05</v>
      </c>
      <c r="C19" s="102" t="s">
        <v>30</v>
      </c>
      <c r="D19" s="108">
        <v>631</v>
      </c>
      <c r="E19" s="94">
        <v>623</v>
      </c>
      <c r="F19" s="94">
        <v>627</v>
      </c>
      <c r="G19" s="94">
        <v>629</v>
      </c>
      <c r="H19" s="109">
        <v>642</v>
      </c>
      <c r="I19" s="94" cm="1">
        <f t="array" ref="I19">IF(SUM(Table189[[#This Row],[SBMU01]:[SBMU05]])=0,0,SUMPRODUCT(IF(Table189[[#This Row],[SBMU01]:[SBMU05]]=0,1,0),{1,2,4,8,16}))</f>
        <v>0</v>
      </c>
      <c r="J19" s="94">
        <v>0</v>
      </c>
      <c r="K19" s="94">
        <v>0</v>
      </c>
      <c r="M19" t="b">
        <f t="shared" si="0"/>
        <v>0</v>
      </c>
      <c r="V19" s="53" t="s">
        <v>59</v>
      </c>
      <c r="W19" s="56">
        <v>23</v>
      </c>
      <c r="X19" s="51">
        <f>MID(Table189[[#This Row],[IP]],LEN(Table189[[#This Row],[IP]])-1,1)+(--MID(V19,8,1)-1)*9</f>
        <v>68</v>
      </c>
      <c r="Y19" s="54" t="s">
        <v>30</v>
      </c>
      <c r="AE19" s="103" t="str">
        <f t="shared" si="3"/>
        <v>05C</v>
      </c>
      <c r="AF19" s="100">
        <v>127</v>
      </c>
      <c r="AG19" s="100">
        <v>129</v>
      </c>
      <c r="AH19" s="100">
        <v>130</v>
      </c>
      <c r="AI19" s="100">
        <v>124</v>
      </c>
      <c r="AJ19" s="100">
        <v>112</v>
      </c>
      <c r="AL19" s="120">
        <f>Table189[[#This Row],[SBMU01]]+AF19</f>
        <v>758</v>
      </c>
      <c r="AM19">
        <f>Table189[[#This Row],[SBMU02]]+AG19</f>
        <v>752</v>
      </c>
      <c r="AN19">
        <f>Table189[[#This Row],[SBMU03]]+AH19</f>
        <v>757</v>
      </c>
      <c r="AO19">
        <f>Table189[[#This Row],[SBMU04]]+AI19</f>
        <v>753</v>
      </c>
      <c r="AP19" s="121">
        <f>Table189[[#This Row],[SBMU05]]+AJ19</f>
        <v>754</v>
      </c>
    </row>
    <row r="20" spans="1:42" ht="15">
      <c r="A20" t="str">
        <f t="shared" si="1"/>
        <v>10.238.1.58</v>
      </c>
      <c r="B20" s="102" t="str">
        <f>TEXT(MID(Table189[[#This Row],[IP]],LEN(Table189[[#This Row],[IP]])-1,1)+(--MID(Table189[[#This Row],[IP]],8,1)-1)*9,"00")</f>
        <v>05</v>
      </c>
      <c r="C20" s="102" t="s">
        <v>31</v>
      </c>
      <c r="D20" s="108">
        <v>617</v>
      </c>
      <c r="E20" s="94">
        <v>631</v>
      </c>
      <c r="F20" s="94">
        <v>625</v>
      </c>
      <c r="G20" s="94">
        <v>624</v>
      </c>
      <c r="H20" s="109">
        <v>644</v>
      </c>
      <c r="I20" s="94" cm="1">
        <f t="array" ref="I20">IF(SUM(Table189[[#This Row],[SBMU01]:[SBMU05]])=0,0,SUMPRODUCT(IF(Table189[[#This Row],[SBMU01]:[SBMU05]]=0,1,0),{1,2,4,8,16}))</f>
        <v>0</v>
      </c>
      <c r="J20" s="94">
        <v>0</v>
      </c>
      <c r="K20" s="94">
        <v>0</v>
      </c>
      <c r="M20" t="b">
        <f t="shared" si="0"/>
        <v>0</v>
      </c>
      <c r="V20" s="50" t="s">
        <v>60</v>
      </c>
      <c r="W20" s="55">
        <v>22</v>
      </c>
      <c r="X20" s="51">
        <f>MID(Table189[[#This Row],[IP]],LEN(Table189[[#This Row],[IP]])-1,1)+(--MID(V20,8,1)-1)*9</f>
        <v>68</v>
      </c>
      <c r="Y20" s="52" t="s">
        <v>31</v>
      </c>
      <c r="AE20" s="104" t="str">
        <f t="shared" si="3"/>
        <v>05B</v>
      </c>
      <c r="AF20" s="99">
        <v>131</v>
      </c>
      <c r="AG20" s="99">
        <v>121</v>
      </c>
      <c r="AH20" s="99">
        <v>131</v>
      </c>
      <c r="AI20" s="99">
        <v>130</v>
      </c>
      <c r="AJ20" s="99">
        <v>119</v>
      </c>
      <c r="AL20" s="120">
        <f>Table189[[#This Row],[SBMU01]]+AF20</f>
        <v>748</v>
      </c>
      <c r="AM20">
        <f>Table189[[#This Row],[SBMU02]]+AG20</f>
        <v>752</v>
      </c>
      <c r="AN20">
        <f>Table189[[#This Row],[SBMU03]]+AH20</f>
        <v>756</v>
      </c>
      <c r="AO20">
        <f>Table189[[#This Row],[SBMU04]]+AI20</f>
        <v>754</v>
      </c>
      <c r="AP20" s="121">
        <f>Table189[[#This Row],[SBMU05]]+AJ20</f>
        <v>763</v>
      </c>
    </row>
    <row r="21" spans="1:42" ht="15">
      <c r="A21" t="str">
        <f t="shared" si="1"/>
        <v>10.238.1.59</v>
      </c>
      <c r="B21" s="102" t="str">
        <f>TEXT(MID(Table189[[#This Row],[IP]],LEN(Table189[[#This Row],[IP]])-1,1)+(--MID(Table189[[#This Row],[IP]],8,1)-1)*9,"00")</f>
        <v>05</v>
      </c>
      <c r="C21" s="102" t="s">
        <v>32</v>
      </c>
      <c r="D21" s="108">
        <v>633</v>
      </c>
      <c r="E21" s="94">
        <v>637</v>
      </c>
      <c r="F21" s="94">
        <v>634</v>
      </c>
      <c r="G21" s="94">
        <v>638</v>
      </c>
      <c r="H21" s="109">
        <v>630</v>
      </c>
      <c r="I21" s="94" cm="1">
        <f t="array" ref="I21">IF(SUM(Table189[[#This Row],[SBMU01]:[SBMU05]])=0,0,SUMPRODUCT(IF(Table189[[#This Row],[SBMU01]:[SBMU05]]=0,1,0),{1,2,4,8,16}))</f>
        <v>0</v>
      </c>
      <c r="J21" s="94">
        <v>0</v>
      </c>
      <c r="K21" s="94">
        <v>0</v>
      </c>
      <c r="M21" t="b">
        <f t="shared" si="0"/>
        <v>1</v>
      </c>
      <c r="V21" s="53" t="s">
        <v>61</v>
      </c>
      <c r="W21" s="56">
        <v>22</v>
      </c>
      <c r="X21" s="51">
        <f>MID(Table189[[#This Row],[IP]],LEN(Table189[[#This Row],[IP]])-1,1)+(--MID(V21,8,1)-1)*9</f>
        <v>68</v>
      </c>
      <c r="Y21" s="54" t="s">
        <v>32</v>
      </c>
      <c r="AE21" s="103" t="str">
        <f t="shared" si="3"/>
        <v>05A</v>
      </c>
      <c r="AF21" s="100">
        <v>122</v>
      </c>
      <c r="AG21" s="100">
        <v>119</v>
      </c>
      <c r="AH21" s="100">
        <v>121</v>
      </c>
      <c r="AI21" s="100">
        <v>117</v>
      </c>
      <c r="AJ21" s="100">
        <v>124</v>
      </c>
      <c r="AL21" s="120">
        <f>Table189[[#This Row],[SBMU01]]+AF21</f>
        <v>755</v>
      </c>
      <c r="AM21">
        <f>Table189[[#This Row],[SBMU02]]+AG21</f>
        <v>756</v>
      </c>
      <c r="AN21">
        <f>Table189[[#This Row],[SBMU03]]+AH21</f>
        <v>755</v>
      </c>
      <c r="AO21">
        <f>Table189[[#This Row],[SBMU04]]+AI21</f>
        <v>755</v>
      </c>
      <c r="AP21" s="121">
        <f>Table189[[#This Row],[SBMU05]]+AJ21</f>
        <v>754</v>
      </c>
    </row>
    <row r="22" spans="1:42" ht="15">
      <c r="A22" t="str">
        <f t="shared" si="1"/>
        <v>10.238.1.66</v>
      </c>
      <c r="B22" s="102" t="str">
        <f>TEXT(MID(Table189[[#This Row],[IP]],LEN(Table189[[#This Row],[IP]])-1,1)+(--MID(Table189[[#This Row],[IP]],8,1)-1)*9,"00")</f>
        <v>06</v>
      </c>
      <c r="C22" s="102" t="s">
        <v>29</v>
      </c>
      <c r="D22" s="108">
        <v>641</v>
      </c>
      <c r="E22" s="94">
        <v>642</v>
      </c>
      <c r="F22" s="94">
        <v>643</v>
      </c>
      <c r="G22" s="94">
        <v>640</v>
      </c>
      <c r="H22" s="109">
        <v>648</v>
      </c>
      <c r="I22" s="94" cm="1">
        <f t="array" ref="I22">IF(SUM(Table189[[#This Row],[SBMU01]:[SBMU05]])=0,0,SUMPRODUCT(IF(Table189[[#This Row],[SBMU01]:[SBMU05]]=0,1,0),{1,2,4,8,16}))</f>
        <v>0</v>
      </c>
      <c r="J22" s="94">
        <v>0</v>
      </c>
      <c r="K22" s="94">
        <v>0</v>
      </c>
      <c r="M22" t="b">
        <f t="shared" si="0"/>
        <v>1</v>
      </c>
      <c r="V22" s="50" t="s">
        <v>62</v>
      </c>
      <c r="W22" s="55">
        <v>22</v>
      </c>
      <c r="X22" s="51">
        <f>MID(Table189[[#This Row],[IP]],LEN(Table189[[#This Row],[IP]])-1,1)+(--MID(V22,8,1)-1)*9</f>
        <v>69</v>
      </c>
      <c r="Y22" s="52" t="s">
        <v>29</v>
      </c>
      <c r="AE22" s="104" t="str">
        <f t="shared" si="3"/>
        <v>06D</v>
      </c>
      <c r="AF22" s="99">
        <v>133</v>
      </c>
      <c r="AG22" s="99">
        <v>132</v>
      </c>
      <c r="AH22" s="99">
        <v>131</v>
      </c>
      <c r="AI22" s="99">
        <v>134</v>
      </c>
      <c r="AJ22" s="99">
        <v>115</v>
      </c>
      <c r="AL22" s="120">
        <f>Table189[[#This Row],[SBMU01]]+AF22</f>
        <v>774</v>
      </c>
      <c r="AM22">
        <f>Table189[[#This Row],[SBMU02]]+AG22</f>
        <v>774</v>
      </c>
      <c r="AN22">
        <f>Table189[[#This Row],[SBMU03]]+AH22</f>
        <v>774</v>
      </c>
      <c r="AO22">
        <f>Table189[[#This Row],[SBMU04]]+AI22</f>
        <v>774</v>
      </c>
      <c r="AP22" s="121">
        <f>Table189[[#This Row],[SBMU05]]+AJ22</f>
        <v>763</v>
      </c>
    </row>
    <row r="23" spans="1:42" ht="15">
      <c r="A23" t="str">
        <f t="shared" si="1"/>
        <v>10.238.1.67</v>
      </c>
      <c r="B23" s="102" t="str">
        <f>TEXT(MID(Table189[[#This Row],[IP]],LEN(Table189[[#This Row],[IP]])-1,1)+(--MID(Table189[[#This Row],[IP]],8,1)-1)*9,"00")</f>
        <v>06</v>
      </c>
      <c r="C23" s="102" t="s">
        <v>30</v>
      </c>
      <c r="D23" s="108">
        <v>651</v>
      </c>
      <c r="E23" s="94">
        <v>645</v>
      </c>
      <c r="F23" s="94">
        <v>633</v>
      </c>
      <c r="G23" s="94">
        <v>646</v>
      </c>
      <c r="H23" s="109">
        <v>640</v>
      </c>
      <c r="I23" s="94" cm="1">
        <f t="array" ref="I23">IF(SUM(Table189[[#This Row],[SBMU01]:[SBMU05]])=0,0,SUMPRODUCT(IF(Table189[[#This Row],[SBMU01]:[SBMU05]]=0,1,0),{1,2,4,8,16}))</f>
        <v>0</v>
      </c>
      <c r="J23" s="94">
        <v>0</v>
      </c>
      <c r="K23" s="94">
        <v>0</v>
      </c>
      <c r="M23" t="b">
        <f t="shared" si="0"/>
        <v>0</v>
      </c>
      <c r="V23" s="53" t="s">
        <v>63</v>
      </c>
      <c r="W23" s="56">
        <v>16</v>
      </c>
      <c r="X23" s="51">
        <f>MID(Table189[[#This Row],[IP]],LEN(Table189[[#This Row],[IP]])-1,1)+(--MID(V23,8,1)-1)*9</f>
        <v>69</v>
      </c>
      <c r="Y23" s="54" t="s">
        <v>30</v>
      </c>
      <c r="AE23" s="103" t="str">
        <f t="shared" si="3"/>
        <v>06C</v>
      </c>
      <c r="AF23" s="100">
        <v>119</v>
      </c>
      <c r="AG23" s="100">
        <v>123</v>
      </c>
      <c r="AH23" s="100">
        <v>129</v>
      </c>
      <c r="AI23" s="100">
        <v>115</v>
      </c>
      <c r="AJ23" s="100">
        <v>123</v>
      </c>
      <c r="AL23" s="120">
        <f>Table189[[#This Row],[SBMU01]]+AF23</f>
        <v>770</v>
      </c>
      <c r="AM23">
        <f>Table189[[#This Row],[SBMU02]]+AG23</f>
        <v>768</v>
      </c>
      <c r="AN23">
        <f>Table189[[#This Row],[SBMU03]]+AH23</f>
        <v>762</v>
      </c>
      <c r="AO23">
        <f>Table189[[#This Row],[SBMU04]]+AI23</f>
        <v>761</v>
      </c>
      <c r="AP23" s="121">
        <f>Table189[[#This Row],[SBMU05]]+AJ23</f>
        <v>763</v>
      </c>
    </row>
    <row r="24" spans="1:42" ht="15">
      <c r="A24" t="str">
        <f t="shared" si="1"/>
        <v>10.238.1.68</v>
      </c>
      <c r="B24" s="102" t="str">
        <f>TEXT(MID(Table189[[#This Row],[IP]],LEN(Table189[[#This Row],[IP]])-1,1)+(--MID(Table189[[#This Row],[IP]],8,1)-1)*9,"00")</f>
        <v>06</v>
      </c>
      <c r="C24" s="102" t="s">
        <v>31</v>
      </c>
      <c r="D24" s="108">
        <v>630</v>
      </c>
      <c r="E24" s="94">
        <v>629</v>
      </c>
      <c r="F24" s="94">
        <v>646</v>
      </c>
      <c r="G24" s="94">
        <v>628</v>
      </c>
      <c r="H24" s="109">
        <v>624</v>
      </c>
      <c r="I24" s="94" cm="1">
        <f t="array" ref="I24">IF(SUM(Table189[[#This Row],[SBMU01]:[SBMU05]])=0,0,SUMPRODUCT(IF(Table189[[#This Row],[SBMU01]:[SBMU05]]=0,1,0),{1,2,4,8,16}))</f>
        <v>0</v>
      </c>
      <c r="J24" s="94">
        <v>0</v>
      </c>
      <c r="K24" s="94">
        <v>0</v>
      </c>
      <c r="M24" t="b">
        <f t="shared" si="0"/>
        <v>0</v>
      </c>
      <c r="V24" s="50" t="s">
        <v>64</v>
      </c>
      <c r="W24" s="55">
        <v>16</v>
      </c>
      <c r="X24" s="51">
        <f>MID(Table189[[#This Row],[IP]],LEN(Table189[[#This Row],[IP]])-1,1)+(--MID(V24,8,1)-1)*9</f>
        <v>69</v>
      </c>
      <c r="Y24" s="52" t="s">
        <v>31</v>
      </c>
      <c r="AE24" s="104" t="str">
        <f t="shared" si="3"/>
        <v>06B</v>
      </c>
      <c r="AF24" s="99">
        <v>127</v>
      </c>
      <c r="AG24" s="99">
        <v>126</v>
      </c>
      <c r="AH24" s="99">
        <v>109</v>
      </c>
      <c r="AI24" s="99">
        <v>127</v>
      </c>
      <c r="AJ24" s="99">
        <v>129</v>
      </c>
      <c r="AL24" s="120">
        <f>Table189[[#This Row],[SBMU01]]+AF24</f>
        <v>757</v>
      </c>
      <c r="AM24">
        <f>Table189[[#This Row],[SBMU02]]+AG24</f>
        <v>755</v>
      </c>
      <c r="AN24">
        <f>Table189[[#This Row],[SBMU03]]+AH24</f>
        <v>755</v>
      </c>
      <c r="AO24">
        <f>Table189[[#This Row],[SBMU04]]+AI24</f>
        <v>755</v>
      </c>
      <c r="AP24" s="121">
        <f>Table189[[#This Row],[SBMU05]]+AJ24</f>
        <v>753</v>
      </c>
    </row>
    <row r="25" spans="1:42" ht="15">
      <c r="A25" t="str">
        <f t="shared" si="1"/>
        <v>10.238.1.69</v>
      </c>
      <c r="B25" s="102" t="str">
        <f>TEXT(MID(Table189[[#This Row],[IP]],LEN(Table189[[#This Row],[IP]])-1,1)+(--MID(Table189[[#This Row],[IP]],8,1)-1)*9,"00")</f>
        <v>06</v>
      </c>
      <c r="C25" s="102" t="s">
        <v>32</v>
      </c>
      <c r="D25" s="108">
        <v>649</v>
      </c>
      <c r="E25" s="94">
        <v>625</v>
      </c>
      <c r="F25" s="94">
        <v>613</v>
      </c>
      <c r="G25" s="94">
        <v>650</v>
      </c>
      <c r="H25" s="109">
        <v>648</v>
      </c>
      <c r="I25" s="94" cm="1">
        <f t="array" ref="I25">IF(SUM(Table189[[#This Row],[SBMU01]:[SBMU05]])=0,0,SUMPRODUCT(IF(Table189[[#This Row],[SBMU01]:[SBMU05]]=0,1,0),{1,2,4,8,16}))</f>
        <v>0</v>
      </c>
      <c r="J25" s="94">
        <v>0</v>
      </c>
      <c r="K25" s="94">
        <v>0</v>
      </c>
      <c r="M25" t="b">
        <f t="shared" si="0"/>
        <v>0</v>
      </c>
      <c r="V25" s="53" t="s">
        <v>65</v>
      </c>
      <c r="W25" s="56">
        <v>16</v>
      </c>
      <c r="X25" s="51">
        <f>MID(Table189[[#This Row],[IP]],LEN(Table189[[#This Row],[IP]])-1,1)+(--MID(V25,8,1)-1)*9</f>
        <v>69</v>
      </c>
      <c r="Y25" s="54" t="s">
        <v>32</v>
      </c>
      <c r="AE25" s="103" t="str">
        <f t="shared" si="3"/>
        <v>06A</v>
      </c>
      <c r="AF25" s="100">
        <v>121</v>
      </c>
      <c r="AG25" s="100">
        <v>117</v>
      </c>
      <c r="AH25" s="100">
        <v>123</v>
      </c>
      <c r="AI25" s="100">
        <v>119</v>
      </c>
      <c r="AJ25" s="100">
        <v>121</v>
      </c>
      <c r="AL25" s="120">
        <f>Table189[[#This Row],[SBMU01]]+AF25</f>
        <v>770</v>
      </c>
      <c r="AM25">
        <f>Table189[[#This Row],[SBMU02]]+AG25</f>
        <v>742</v>
      </c>
      <c r="AN25">
        <f>Table189[[#This Row],[SBMU03]]+AH25</f>
        <v>736</v>
      </c>
      <c r="AO25">
        <f>Table189[[#This Row],[SBMU04]]+AI25</f>
        <v>769</v>
      </c>
      <c r="AP25" s="121">
        <f>Table189[[#This Row],[SBMU05]]+AJ25</f>
        <v>769</v>
      </c>
    </row>
    <row r="26" spans="1:42" ht="15">
      <c r="A26" t="str">
        <f t="shared" si="1"/>
        <v>10.238.1.76</v>
      </c>
      <c r="B26" s="102" t="str">
        <f>TEXT(MID(Table189[[#This Row],[IP]],LEN(Table189[[#This Row],[IP]])-1,1)+(--MID(Table189[[#This Row],[IP]],8,1)-1)*9,"00")</f>
        <v>07</v>
      </c>
      <c r="C26" s="102" t="s">
        <v>29</v>
      </c>
      <c r="D26" s="108">
        <v>723</v>
      </c>
      <c r="E26" s="94">
        <v>722</v>
      </c>
      <c r="F26" s="94">
        <v>721</v>
      </c>
      <c r="G26" s="94">
        <v>703</v>
      </c>
      <c r="H26" s="109">
        <v>722</v>
      </c>
      <c r="I26" s="94" cm="1">
        <f t="array" ref="I26">IF(SUM(Table189[[#This Row],[SBMU01]:[SBMU05]])=0,0,SUMPRODUCT(IF(Table189[[#This Row],[SBMU01]:[SBMU05]]=0,1,0),{1,2,4,8,16}))</f>
        <v>0</v>
      </c>
      <c r="J26" s="94">
        <v>0</v>
      </c>
      <c r="K26" s="94">
        <v>0</v>
      </c>
      <c r="M26" t="b">
        <f t="shared" si="0"/>
        <v>0</v>
      </c>
      <c r="V26" s="50" t="s">
        <v>66</v>
      </c>
      <c r="W26" s="55">
        <v>34</v>
      </c>
      <c r="X26" s="51">
        <f>MID(Table189[[#This Row],[IP]],LEN(Table189[[#This Row],[IP]])-1,1)+(--MID(V26,8,1)-1)*9</f>
        <v>70</v>
      </c>
      <c r="Y26" s="52" t="s">
        <v>29</v>
      </c>
      <c r="AE26" s="104" t="str">
        <f t="shared" si="3"/>
        <v>07D</v>
      </c>
      <c r="AF26" s="99">
        <v>31</v>
      </c>
      <c r="AG26" s="99">
        <v>31</v>
      </c>
      <c r="AH26" s="99">
        <v>30</v>
      </c>
      <c r="AI26" s="99">
        <v>24</v>
      </c>
      <c r="AJ26" s="99">
        <v>31</v>
      </c>
      <c r="AL26" s="120">
        <f>Table189[[#This Row],[SBMU01]]+AF26</f>
        <v>754</v>
      </c>
      <c r="AM26">
        <f>Table189[[#This Row],[SBMU02]]+AG26</f>
        <v>753</v>
      </c>
      <c r="AN26">
        <f>Table189[[#This Row],[SBMU03]]+AH26</f>
        <v>751</v>
      </c>
      <c r="AO26">
        <f>Table189[[#This Row],[SBMU04]]+AI26</f>
        <v>727</v>
      </c>
      <c r="AP26" s="121">
        <f>Table189[[#This Row],[SBMU05]]+AJ26</f>
        <v>753</v>
      </c>
    </row>
    <row r="27" spans="1:42" ht="15">
      <c r="A27" t="str">
        <f t="shared" si="1"/>
        <v>10.238.1.77</v>
      </c>
      <c r="B27" s="102" t="str">
        <f>TEXT(MID(Table189[[#This Row],[IP]],LEN(Table189[[#This Row],[IP]])-1,1)+(--MID(Table189[[#This Row],[IP]],8,1)-1)*9,"00")</f>
        <v>07</v>
      </c>
      <c r="C27" s="102" t="s">
        <v>30</v>
      </c>
      <c r="D27" s="108">
        <v>645</v>
      </c>
      <c r="E27" s="94">
        <v>643</v>
      </c>
      <c r="F27" s="94">
        <v>629</v>
      </c>
      <c r="G27" s="94">
        <v>636</v>
      </c>
      <c r="H27" s="109">
        <v>643</v>
      </c>
      <c r="I27" s="94" cm="1">
        <f t="array" ref="I27">IF(SUM(Table189[[#This Row],[SBMU01]:[SBMU05]])=0,0,SUMPRODUCT(IF(Table189[[#This Row],[SBMU01]:[SBMU05]]=0,1,0),{1,2,4,8,16}))</f>
        <v>0</v>
      </c>
      <c r="J27" s="94">
        <v>0</v>
      </c>
      <c r="K27" s="94">
        <v>0</v>
      </c>
      <c r="M27" t="b">
        <f t="shared" si="0"/>
        <v>0</v>
      </c>
      <c r="V27" s="53" t="s">
        <v>67</v>
      </c>
      <c r="W27" s="56">
        <v>20</v>
      </c>
      <c r="X27" s="51">
        <f>MID(Table189[[#This Row],[IP]],LEN(Table189[[#This Row],[IP]])-1,1)+(--MID(V27,8,1)-1)*9</f>
        <v>70</v>
      </c>
      <c r="Y27" s="54" t="s">
        <v>30</v>
      </c>
      <c r="AE27" s="103" t="str">
        <f t="shared" si="3"/>
        <v>07C</v>
      </c>
      <c r="AF27" s="100">
        <v>120</v>
      </c>
      <c r="AG27" s="100">
        <v>103</v>
      </c>
      <c r="AH27" s="100">
        <v>119</v>
      </c>
      <c r="AI27" s="100">
        <v>117</v>
      </c>
      <c r="AJ27" s="100">
        <v>119</v>
      </c>
      <c r="AL27" s="120">
        <f>Table189[[#This Row],[SBMU01]]+AF27</f>
        <v>765</v>
      </c>
      <c r="AM27">
        <f>Table189[[#This Row],[SBMU02]]+AG27</f>
        <v>746</v>
      </c>
      <c r="AN27">
        <f>Table189[[#This Row],[SBMU03]]+AH27</f>
        <v>748</v>
      </c>
      <c r="AO27">
        <f>Table189[[#This Row],[SBMU04]]+AI27</f>
        <v>753</v>
      </c>
      <c r="AP27" s="121">
        <f>Table189[[#This Row],[SBMU05]]+AJ27</f>
        <v>762</v>
      </c>
    </row>
    <row r="28" spans="1:42" ht="15">
      <c r="A28" t="str">
        <f t="shared" si="1"/>
        <v>10.238.1.78</v>
      </c>
      <c r="B28" s="102" t="str">
        <f>TEXT(MID(Table189[[#This Row],[IP]],LEN(Table189[[#This Row],[IP]])-1,1)+(--MID(Table189[[#This Row],[IP]],8,1)-1)*9,"00")</f>
        <v>07</v>
      </c>
      <c r="C28" s="102" t="s">
        <v>31</v>
      </c>
      <c r="D28" s="108">
        <v>638</v>
      </c>
      <c r="E28" s="94">
        <v>653</v>
      </c>
      <c r="F28" s="94">
        <v>638</v>
      </c>
      <c r="G28" s="94">
        <v>644</v>
      </c>
      <c r="H28" s="109">
        <v>640</v>
      </c>
      <c r="I28" s="94" cm="1">
        <f t="array" ref="I28">IF(SUM(Table189[[#This Row],[SBMU01]:[SBMU05]])=0,0,SUMPRODUCT(IF(Table189[[#This Row],[SBMU01]:[SBMU05]]=0,1,0),{1,2,4,8,16}))</f>
        <v>0</v>
      </c>
      <c r="J28" s="94">
        <v>0</v>
      </c>
      <c r="K28" s="94">
        <v>0</v>
      </c>
      <c r="M28" t="b">
        <f t="shared" si="0"/>
        <v>0</v>
      </c>
      <c r="V28" s="50" t="s">
        <v>68</v>
      </c>
      <c r="W28" s="55">
        <v>34</v>
      </c>
      <c r="X28" s="51">
        <f>MID(Table189[[#This Row],[IP]],LEN(Table189[[#This Row],[IP]])-1,1)+(--MID(V28,8,1)-1)*9</f>
        <v>70</v>
      </c>
      <c r="Y28" s="52" t="s">
        <v>31</v>
      </c>
      <c r="AE28" s="104" t="str">
        <f t="shared" si="3"/>
        <v>07B</v>
      </c>
      <c r="AF28" s="99">
        <v>113</v>
      </c>
      <c r="AG28" s="99">
        <v>115</v>
      </c>
      <c r="AH28" s="99">
        <v>117</v>
      </c>
      <c r="AI28" s="99">
        <v>112</v>
      </c>
      <c r="AJ28" s="99">
        <v>116</v>
      </c>
      <c r="AL28" s="120">
        <f>Table189[[#This Row],[SBMU01]]+AF28</f>
        <v>751</v>
      </c>
      <c r="AM28">
        <f>Table189[[#This Row],[SBMU02]]+AG28</f>
        <v>768</v>
      </c>
      <c r="AN28">
        <f>Table189[[#This Row],[SBMU03]]+AH28</f>
        <v>755</v>
      </c>
      <c r="AO28">
        <f>Table189[[#This Row],[SBMU04]]+AI28</f>
        <v>756</v>
      </c>
      <c r="AP28" s="121">
        <f>Table189[[#This Row],[SBMU05]]+AJ28</f>
        <v>756</v>
      </c>
    </row>
    <row r="29" spans="1:42" ht="15">
      <c r="A29" t="str">
        <f t="shared" si="1"/>
        <v>10.238.1.79</v>
      </c>
      <c r="B29" s="102" t="str">
        <f>TEXT(MID(Table189[[#This Row],[IP]],LEN(Table189[[#This Row],[IP]])-1,1)+(--MID(Table189[[#This Row],[IP]],8,1)-1)*9,"00")</f>
        <v>07</v>
      </c>
      <c r="C29" s="102" t="s">
        <v>32</v>
      </c>
      <c r="D29" s="108">
        <v>632</v>
      </c>
      <c r="E29" s="94">
        <v>643</v>
      </c>
      <c r="F29" s="94">
        <v>648</v>
      </c>
      <c r="G29" s="94">
        <v>637</v>
      </c>
      <c r="H29" s="109">
        <v>632</v>
      </c>
      <c r="I29" s="94" cm="1">
        <f t="array" ref="I29">IF(SUM(Table189[[#This Row],[SBMU01]:[SBMU05]])=0,0,SUMPRODUCT(IF(Table189[[#This Row],[SBMU01]:[SBMU05]]=0,1,0),{1,2,4,8,16}))</f>
        <v>0</v>
      </c>
      <c r="J29" s="94">
        <v>0</v>
      </c>
      <c r="K29" s="94">
        <v>0</v>
      </c>
      <c r="M29" t="b">
        <f t="shared" si="0"/>
        <v>0</v>
      </c>
      <c r="V29" s="53" t="s">
        <v>69</v>
      </c>
      <c r="W29" s="56">
        <v>34</v>
      </c>
      <c r="X29" s="51">
        <f>MID(Table189[[#This Row],[IP]],LEN(Table189[[#This Row],[IP]])-1,1)+(--MID(V29,8,1)-1)*9</f>
        <v>70</v>
      </c>
      <c r="Y29" s="54" t="s">
        <v>32</v>
      </c>
      <c r="AE29" s="103" t="str">
        <f t="shared" si="3"/>
        <v>07A</v>
      </c>
      <c r="AF29" s="100">
        <v>118</v>
      </c>
      <c r="AG29" s="100">
        <v>117</v>
      </c>
      <c r="AH29" s="100">
        <v>101</v>
      </c>
      <c r="AI29" s="100">
        <v>120</v>
      </c>
      <c r="AJ29" s="100">
        <v>121</v>
      </c>
      <c r="AL29" s="120">
        <f>Table189[[#This Row],[SBMU01]]+AF29</f>
        <v>750</v>
      </c>
      <c r="AM29">
        <f>Table189[[#This Row],[SBMU02]]+AG29</f>
        <v>760</v>
      </c>
      <c r="AN29">
        <f>Table189[[#This Row],[SBMU03]]+AH29</f>
        <v>749</v>
      </c>
      <c r="AO29">
        <f>Table189[[#This Row],[SBMU04]]+AI29</f>
        <v>757</v>
      </c>
      <c r="AP29" s="121">
        <f>Table189[[#This Row],[SBMU05]]+AJ29</f>
        <v>753</v>
      </c>
    </row>
    <row r="30" spans="1:42" ht="15">
      <c r="A30" t="str">
        <f t="shared" si="1"/>
        <v>10.238.1.86</v>
      </c>
      <c r="B30" s="102" t="str">
        <f>TEXT(MID(Table189[[#This Row],[IP]],LEN(Table189[[#This Row],[IP]])-1,1)+(--MID(Table189[[#This Row],[IP]],8,1)-1)*9,"00")</f>
        <v>08</v>
      </c>
      <c r="C30" s="102" t="s">
        <v>29</v>
      </c>
      <c r="D30" s="108">
        <v>646</v>
      </c>
      <c r="E30" s="94">
        <v>628</v>
      </c>
      <c r="F30" s="94">
        <v>629</v>
      </c>
      <c r="G30" s="94">
        <v>628</v>
      </c>
      <c r="H30" s="109">
        <v>630</v>
      </c>
      <c r="I30" s="94" cm="1">
        <f t="array" ref="I30">IF(SUM(Table189[[#This Row],[SBMU01]:[SBMU05]])=0,0,SUMPRODUCT(IF(Table189[[#This Row],[SBMU01]:[SBMU05]]=0,1,0),{1,2,4,8,16}))</f>
        <v>0</v>
      </c>
      <c r="J30" s="94">
        <v>0</v>
      </c>
      <c r="K30" s="94">
        <v>0</v>
      </c>
      <c r="M30" t="b">
        <f t="shared" si="0"/>
        <v>0</v>
      </c>
      <c r="V30" s="50" t="s">
        <v>70</v>
      </c>
      <c r="W30" s="55">
        <v>30</v>
      </c>
      <c r="X30" s="51">
        <f>MID(Table189[[#This Row],[IP]],LEN(Table189[[#This Row],[IP]])-1,1)+(--MID(V30,8,1)-1)*9</f>
        <v>71</v>
      </c>
      <c r="Y30" s="52" t="s">
        <v>29</v>
      </c>
      <c r="AE30" s="104" t="str">
        <f t="shared" si="3"/>
        <v>08D</v>
      </c>
      <c r="AF30" s="99">
        <v>112</v>
      </c>
      <c r="AG30" s="99">
        <v>129</v>
      </c>
      <c r="AH30" s="99">
        <v>130</v>
      </c>
      <c r="AI30" s="99">
        <v>129</v>
      </c>
      <c r="AJ30" s="99">
        <v>130</v>
      </c>
      <c r="AL30" s="120">
        <f>Table189[[#This Row],[SBMU01]]+AF30</f>
        <v>758</v>
      </c>
      <c r="AM30">
        <f>Table189[[#This Row],[SBMU02]]+AG30</f>
        <v>757</v>
      </c>
      <c r="AN30">
        <f>Table189[[#This Row],[SBMU03]]+AH30</f>
        <v>759</v>
      </c>
      <c r="AO30">
        <f>Table189[[#This Row],[SBMU04]]+AI30</f>
        <v>757</v>
      </c>
      <c r="AP30" s="121">
        <f>Table189[[#This Row],[SBMU05]]+AJ30</f>
        <v>760</v>
      </c>
    </row>
    <row r="31" spans="1:42" ht="15">
      <c r="A31" t="str">
        <f t="shared" si="1"/>
        <v>10.238.1.87</v>
      </c>
      <c r="B31" s="102" t="str">
        <f>TEXT(MID(Table189[[#This Row],[IP]],LEN(Table189[[#This Row],[IP]])-1,1)+(--MID(Table189[[#This Row],[IP]],8,1)-1)*9,"00")</f>
        <v>08</v>
      </c>
      <c r="C31" s="102" t="s">
        <v>30</v>
      </c>
      <c r="D31" s="108">
        <v>633</v>
      </c>
      <c r="E31" s="94">
        <v>632</v>
      </c>
      <c r="F31" s="94">
        <v>632</v>
      </c>
      <c r="G31" s="94">
        <v>628</v>
      </c>
      <c r="H31" s="109">
        <v>639</v>
      </c>
      <c r="I31" s="94" cm="1">
        <f t="array" ref="I31">IF(SUM(Table189[[#This Row],[SBMU01]:[SBMU05]])=0,0,SUMPRODUCT(IF(Table189[[#This Row],[SBMU01]:[SBMU05]]=0,1,0),{1,2,4,8,16}))</f>
        <v>0</v>
      </c>
      <c r="J31" s="94">
        <v>0</v>
      </c>
      <c r="K31" s="94">
        <v>0</v>
      </c>
      <c r="M31" t="b">
        <f t="shared" si="0"/>
        <v>0</v>
      </c>
      <c r="V31" s="53" t="s">
        <v>71</v>
      </c>
      <c r="W31" s="56">
        <v>28</v>
      </c>
      <c r="X31" s="51">
        <f>MID(Table189[[#This Row],[IP]],LEN(Table189[[#This Row],[IP]])-1,1)+(--MID(V31,8,1)-1)*9</f>
        <v>71</v>
      </c>
      <c r="Y31" s="54" t="s">
        <v>30</v>
      </c>
      <c r="AE31" s="103" t="str">
        <f t="shared" si="3"/>
        <v>08C</v>
      </c>
      <c r="AF31" s="100">
        <v>125</v>
      </c>
      <c r="AG31" s="100">
        <v>129</v>
      </c>
      <c r="AH31" s="100">
        <v>126</v>
      </c>
      <c r="AI31" s="100">
        <v>129</v>
      </c>
      <c r="AJ31" s="100">
        <v>110</v>
      </c>
      <c r="AL31" s="120">
        <f>Table189[[#This Row],[SBMU01]]+AF31</f>
        <v>758</v>
      </c>
      <c r="AM31">
        <f>Table189[[#This Row],[SBMU02]]+AG31</f>
        <v>761</v>
      </c>
      <c r="AN31">
        <f>Table189[[#This Row],[SBMU03]]+AH31</f>
        <v>758</v>
      </c>
      <c r="AO31">
        <f>Table189[[#This Row],[SBMU04]]+AI31</f>
        <v>757</v>
      </c>
      <c r="AP31" s="121">
        <f>Table189[[#This Row],[SBMU05]]+AJ31</f>
        <v>749</v>
      </c>
    </row>
    <row r="32" spans="1:42" ht="15">
      <c r="A32" t="str">
        <f t="shared" si="1"/>
        <v>10.238.1.88</v>
      </c>
      <c r="B32" s="102" t="str">
        <f>TEXT(MID(Table189[[#This Row],[IP]],LEN(Table189[[#This Row],[IP]])-1,1)+(--MID(Table189[[#This Row],[IP]],8,1)-1)*9,"00")</f>
        <v>08</v>
      </c>
      <c r="C32" s="102" t="s">
        <v>31</v>
      </c>
      <c r="D32" s="108">
        <v>638</v>
      </c>
      <c r="E32" s="94">
        <v>628</v>
      </c>
      <c r="F32" s="94">
        <v>631</v>
      </c>
      <c r="G32" s="94">
        <v>629</v>
      </c>
      <c r="H32" s="109">
        <v>625</v>
      </c>
      <c r="I32" s="94" cm="1">
        <f t="array" ref="I32">IF(SUM(Table189[[#This Row],[SBMU01]:[SBMU05]])=0,0,SUMPRODUCT(IF(Table189[[#This Row],[SBMU01]:[SBMU05]]=0,1,0),{1,2,4,8,16}))</f>
        <v>0</v>
      </c>
      <c r="J32" s="94">
        <v>0</v>
      </c>
      <c r="K32" s="94">
        <v>0</v>
      </c>
      <c r="M32" t="b">
        <f t="shared" si="0"/>
        <v>0</v>
      </c>
      <c r="V32" s="50" t="s">
        <v>72</v>
      </c>
      <c r="W32" s="55">
        <v>31</v>
      </c>
      <c r="X32" s="51">
        <f>MID(Table189[[#This Row],[IP]],LEN(Table189[[#This Row],[IP]])-1,1)+(--MID(V32,8,1)-1)*9</f>
        <v>71</v>
      </c>
      <c r="Y32" s="52" t="s">
        <v>31</v>
      </c>
      <c r="AE32" s="104" t="str">
        <f t="shared" si="3"/>
        <v>08B</v>
      </c>
      <c r="AF32" s="99">
        <v>115</v>
      </c>
      <c r="AG32" s="99">
        <v>122</v>
      </c>
      <c r="AH32" s="99">
        <v>121</v>
      </c>
      <c r="AI32" s="99">
        <v>122</v>
      </c>
      <c r="AJ32" s="99">
        <v>121</v>
      </c>
      <c r="AL32" s="120">
        <f>Table189[[#This Row],[SBMU01]]+AF32</f>
        <v>753</v>
      </c>
      <c r="AM32">
        <f>Table189[[#This Row],[SBMU02]]+AG32</f>
        <v>750</v>
      </c>
      <c r="AN32">
        <f>Table189[[#This Row],[SBMU03]]+AH32</f>
        <v>752</v>
      </c>
      <c r="AO32">
        <f>Table189[[#This Row],[SBMU04]]+AI32</f>
        <v>751</v>
      </c>
      <c r="AP32" s="121">
        <f>Table189[[#This Row],[SBMU05]]+AJ32</f>
        <v>746</v>
      </c>
    </row>
    <row r="33" spans="1:42" ht="15">
      <c r="A33" t="str">
        <f t="shared" si="1"/>
        <v>10.238.1.89</v>
      </c>
      <c r="B33" s="102" t="str">
        <f>TEXT(MID(Table189[[#This Row],[IP]],LEN(Table189[[#This Row],[IP]])-1,1)+(--MID(Table189[[#This Row],[IP]],8,1)-1)*9,"00")</f>
        <v>08</v>
      </c>
      <c r="C33" s="102" t="s">
        <v>32</v>
      </c>
      <c r="D33" s="108">
        <v>632</v>
      </c>
      <c r="E33" s="94">
        <v>639</v>
      </c>
      <c r="F33" s="94">
        <v>638</v>
      </c>
      <c r="G33" s="94">
        <v>647</v>
      </c>
      <c r="H33" s="109">
        <v>633</v>
      </c>
      <c r="I33" s="94" cm="1">
        <f t="array" ref="I33">IF(SUM(Table189[[#This Row],[SBMU01]:[SBMU05]])=0,0,SUMPRODUCT(IF(Table189[[#This Row],[SBMU01]:[SBMU05]]=0,1,0),{1,2,4,8,16}))</f>
        <v>0</v>
      </c>
      <c r="J33" s="94">
        <v>0</v>
      </c>
      <c r="K33" s="94">
        <v>0</v>
      </c>
      <c r="M33" t="b">
        <f t="shared" si="0"/>
        <v>0</v>
      </c>
      <c r="V33" s="53" t="s">
        <v>73</v>
      </c>
      <c r="W33" s="56">
        <v>31</v>
      </c>
      <c r="X33" s="51">
        <f>MID(Table189[[#This Row],[IP]],LEN(Table189[[#This Row],[IP]])-1,1)+(--MID(V33,8,1)-1)*9</f>
        <v>71</v>
      </c>
      <c r="Y33" s="54" t="s">
        <v>32</v>
      </c>
      <c r="AE33" s="103" t="str">
        <f t="shared" si="3"/>
        <v>08A</v>
      </c>
      <c r="AF33" s="100">
        <v>122</v>
      </c>
      <c r="AG33" s="100">
        <v>122</v>
      </c>
      <c r="AH33" s="100">
        <v>122</v>
      </c>
      <c r="AI33" s="100">
        <v>121</v>
      </c>
      <c r="AJ33" s="100">
        <v>123</v>
      </c>
      <c r="AL33" s="120">
        <f>Table189[[#This Row],[SBMU01]]+AF33</f>
        <v>754</v>
      </c>
      <c r="AM33">
        <f>Table189[[#This Row],[SBMU02]]+AG33</f>
        <v>761</v>
      </c>
      <c r="AN33">
        <f>Table189[[#This Row],[SBMU03]]+AH33</f>
        <v>760</v>
      </c>
      <c r="AO33">
        <f>Table189[[#This Row],[SBMU04]]+AI33</f>
        <v>768</v>
      </c>
      <c r="AP33" s="121">
        <f>Table189[[#This Row],[SBMU05]]+AJ33</f>
        <v>756</v>
      </c>
    </row>
    <row r="34" spans="1:42" ht="15">
      <c r="A34" t="str">
        <f t="shared" si="1"/>
        <v>10.238.1.96</v>
      </c>
      <c r="B34" s="102" t="str">
        <f>TEXT(MID(Table189[[#This Row],[IP]],LEN(Table189[[#This Row],[IP]])-1,1)+(--MID(Table189[[#This Row],[IP]],8,1)-1)*9,"00")</f>
        <v>09</v>
      </c>
      <c r="C34" s="102" t="s">
        <v>29</v>
      </c>
      <c r="D34" s="108">
        <v>631</v>
      </c>
      <c r="E34" s="94">
        <v>626</v>
      </c>
      <c r="F34" s="94">
        <v>631</v>
      </c>
      <c r="G34" s="94">
        <v>647</v>
      </c>
      <c r="H34" s="109">
        <v>631</v>
      </c>
      <c r="I34" s="94" cm="1">
        <f t="array" ref="I34">IF(SUM(Table189[[#This Row],[SBMU01]:[SBMU05]])=0,0,SUMPRODUCT(IF(Table189[[#This Row],[SBMU01]:[SBMU05]]=0,1,0),{1,2,4,8,16}))</f>
        <v>0</v>
      </c>
      <c r="J34" s="94">
        <v>0</v>
      </c>
      <c r="K34" s="94">
        <v>0</v>
      </c>
      <c r="M34" t="b">
        <f t="shared" si="0"/>
        <v>0</v>
      </c>
      <c r="V34" s="50" t="s">
        <v>74</v>
      </c>
      <c r="W34" s="55">
        <v>23</v>
      </c>
      <c r="X34" s="51">
        <f>MID(Table189[[#This Row],[IP]],LEN(Table189[[#This Row],[IP]])-1,1)+(--MID(V34,8,1)-1)*9</f>
        <v>72</v>
      </c>
      <c r="Y34" s="52" t="s">
        <v>29</v>
      </c>
      <c r="AE34" s="104" t="str">
        <f t="shared" si="3"/>
        <v>09D</v>
      </c>
      <c r="AF34" s="99">
        <v>125</v>
      </c>
      <c r="AG34" s="99">
        <v>127</v>
      </c>
      <c r="AH34" s="99">
        <v>125</v>
      </c>
      <c r="AI34" s="99">
        <v>119</v>
      </c>
      <c r="AJ34" s="99">
        <v>126</v>
      </c>
      <c r="AL34" s="120">
        <f>Table189[[#This Row],[SBMU01]]+AF34</f>
        <v>756</v>
      </c>
      <c r="AM34">
        <f>Table189[[#This Row],[SBMU02]]+AG34</f>
        <v>753</v>
      </c>
      <c r="AN34">
        <f>Table189[[#This Row],[SBMU03]]+AH34</f>
        <v>756</v>
      </c>
      <c r="AO34">
        <f>Table189[[#This Row],[SBMU04]]+AI34</f>
        <v>766</v>
      </c>
      <c r="AP34" s="121">
        <f>Table189[[#This Row],[SBMU05]]+AJ34</f>
        <v>757</v>
      </c>
    </row>
    <row r="35" spans="1:42" ht="15">
      <c r="A35" t="str">
        <f t="shared" si="1"/>
        <v>10.238.1.97</v>
      </c>
      <c r="B35" s="102" t="str">
        <f>TEXT(MID(Table189[[#This Row],[IP]],LEN(Table189[[#This Row],[IP]])-1,1)+(--MID(Table189[[#This Row],[IP]],8,1)-1)*9,"00")</f>
        <v>09</v>
      </c>
      <c r="C35" s="102" t="s">
        <v>30</v>
      </c>
      <c r="D35" s="108">
        <v>630</v>
      </c>
      <c r="E35" s="94">
        <v>645</v>
      </c>
      <c r="F35" s="94">
        <v>632</v>
      </c>
      <c r="G35" s="94">
        <v>629</v>
      </c>
      <c r="H35" s="109">
        <v>631</v>
      </c>
      <c r="I35" s="94" cm="1">
        <f t="array" ref="I35">IF(SUM(Table189[[#This Row],[SBMU01]:[SBMU05]])=0,0,SUMPRODUCT(IF(Table189[[#This Row],[SBMU01]:[SBMU05]]=0,1,0),{1,2,4,8,16}))</f>
        <v>0</v>
      </c>
      <c r="J35" s="94">
        <v>0</v>
      </c>
      <c r="K35" s="94">
        <v>0</v>
      </c>
      <c r="M35" t="b">
        <f t="shared" si="0"/>
        <v>0</v>
      </c>
      <c r="V35" s="53" t="s">
        <v>75</v>
      </c>
      <c r="W35" s="56">
        <v>23</v>
      </c>
      <c r="X35" s="51">
        <f>MID(Table189[[#This Row],[IP]],LEN(Table189[[#This Row],[IP]])-1,1)+(--MID(V35,8,1)-1)*9</f>
        <v>72</v>
      </c>
      <c r="Y35" s="54" t="s">
        <v>30</v>
      </c>
      <c r="AE35" s="103" t="str">
        <f t="shared" si="3"/>
        <v>09C</v>
      </c>
      <c r="AF35" s="100">
        <v>125</v>
      </c>
      <c r="AG35" s="100">
        <v>117</v>
      </c>
      <c r="AH35" s="100">
        <v>122</v>
      </c>
      <c r="AI35" s="100">
        <v>126</v>
      </c>
      <c r="AJ35" s="100">
        <v>123</v>
      </c>
      <c r="AL35" s="120">
        <f>Table189[[#This Row],[SBMU01]]+AF35</f>
        <v>755</v>
      </c>
      <c r="AM35">
        <f>Table189[[#This Row],[SBMU02]]+AG35</f>
        <v>762</v>
      </c>
      <c r="AN35">
        <f>Table189[[#This Row],[SBMU03]]+AH35</f>
        <v>754</v>
      </c>
      <c r="AO35">
        <f>Table189[[#This Row],[SBMU04]]+AI35</f>
        <v>755</v>
      </c>
      <c r="AP35" s="121">
        <f>Table189[[#This Row],[SBMU05]]+AJ35</f>
        <v>754</v>
      </c>
    </row>
    <row r="36" spans="1:42" ht="15">
      <c r="A36" t="str">
        <f t="shared" si="1"/>
        <v>10.238.1.98</v>
      </c>
      <c r="B36" s="102" t="str">
        <f>TEXT(MID(Table189[[#This Row],[IP]],LEN(Table189[[#This Row],[IP]])-1,1)+(--MID(Table189[[#This Row],[IP]],8,1)-1)*9,"00")</f>
        <v>09</v>
      </c>
      <c r="C36" s="102" t="s">
        <v>31</v>
      </c>
      <c r="D36" s="108">
        <v>626</v>
      </c>
      <c r="E36" s="94">
        <v>639</v>
      </c>
      <c r="F36" s="94">
        <v>624</v>
      </c>
      <c r="G36" s="94">
        <v>624</v>
      </c>
      <c r="H36" s="109">
        <v>620</v>
      </c>
      <c r="I36" s="94" cm="1">
        <f t="array" ref="I36">IF(SUM(Table189[[#This Row],[SBMU01]:[SBMU05]])=0,0,SUMPRODUCT(IF(Table189[[#This Row],[SBMU01]:[SBMU05]]=0,1,0),{1,2,4,8,16}))</f>
        <v>0</v>
      </c>
      <c r="J36" s="94">
        <v>0</v>
      </c>
      <c r="K36" s="94">
        <v>0</v>
      </c>
      <c r="M36" t="b">
        <f t="shared" si="0"/>
        <v>0</v>
      </c>
      <c r="V36" s="50" t="s">
        <v>76</v>
      </c>
      <c r="W36" s="55">
        <v>24</v>
      </c>
      <c r="X36" s="51">
        <f>MID(Table189[[#This Row],[IP]],LEN(Table189[[#This Row],[IP]])-1,1)+(--MID(V36,8,1)-1)*9</f>
        <v>72</v>
      </c>
      <c r="Y36" s="52" t="s">
        <v>31</v>
      </c>
      <c r="AE36" s="104" t="str">
        <f t="shared" si="3"/>
        <v>09B</v>
      </c>
      <c r="AF36" s="99">
        <v>129</v>
      </c>
      <c r="AG36" s="99">
        <v>114</v>
      </c>
      <c r="AH36" s="99">
        <v>133</v>
      </c>
      <c r="AI36" s="99">
        <v>137</v>
      </c>
      <c r="AJ36" s="99">
        <v>134</v>
      </c>
      <c r="AL36" s="120">
        <f>Table189[[#This Row],[SBMU01]]+AF36</f>
        <v>755</v>
      </c>
      <c r="AM36">
        <f>Table189[[#This Row],[SBMU02]]+AG36</f>
        <v>753</v>
      </c>
      <c r="AN36">
        <f>Table189[[#This Row],[SBMU03]]+AH36</f>
        <v>757</v>
      </c>
      <c r="AO36">
        <f>Table189[[#This Row],[SBMU04]]+AI36</f>
        <v>761</v>
      </c>
      <c r="AP36" s="121">
        <f>Table189[[#This Row],[SBMU05]]+AJ36</f>
        <v>754</v>
      </c>
    </row>
    <row r="37" spans="1:42" ht="15.75" thickBot="1">
      <c r="A37" t="str">
        <f t="shared" si="1"/>
        <v>10.238.1.99</v>
      </c>
      <c r="B37" s="102" t="str">
        <f>TEXT(MID(Table189[[#This Row],[IP]],LEN(Table189[[#This Row],[IP]])-1,1)+(--MID(Table189[[#This Row],[IP]],8,1)-1)*9,"00")</f>
        <v>09</v>
      </c>
      <c r="C37" s="102" t="s">
        <v>32</v>
      </c>
      <c r="D37" s="110">
        <v>643</v>
      </c>
      <c r="E37" s="111">
        <v>631</v>
      </c>
      <c r="F37" s="111">
        <v>643</v>
      </c>
      <c r="G37" s="111">
        <v>631</v>
      </c>
      <c r="H37" s="112">
        <v>632</v>
      </c>
      <c r="I37" s="94" cm="1">
        <f t="array" ref="I37">IF(SUM(Table189[[#This Row],[SBMU01]:[SBMU05]])=0,0,SUMPRODUCT(IF(Table189[[#This Row],[SBMU01]:[SBMU05]]=0,1,0),{1,2,4,8,16}))</f>
        <v>0</v>
      </c>
      <c r="J37" s="94">
        <v>0</v>
      </c>
      <c r="K37" s="94">
        <v>0</v>
      </c>
      <c r="M37" t="b">
        <f t="shared" si="0"/>
        <v>0</v>
      </c>
      <c r="V37" s="53" t="s">
        <v>77</v>
      </c>
      <c r="W37" s="56">
        <v>24</v>
      </c>
      <c r="X37" s="51">
        <f>MID(Table189[[#This Row],[IP]],LEN(Table189[[#This Row],[IP]])-1,1)+(--MID(V37,8,1)-1)*9</f>
        <v>72</v>
      </c>
      <c r="Y37" s="54" t="s">
        <v>32</v>
      </c>
      <c r="AE37" s="103" t="str">
        <f t="shared" si="3"/>
        <v>09A</v>
      </c>
      <c r="AF37" s="100">
        <v>113</v>
      </c>
      <c r="AG37" s="100">
        <v>128</v>
      </c>
      <c r="AH37" s="100">
        <v>120</v>
      </c>
      <c r="AI37" s="100">
        <v>128</v>
      </c>
      <c r="AJ37" s="100">
        <v>128</v>
      </c>
      <c r="AL37" s="122">
        <f>Table189[[#This Row],[SBMU01]]+AF37</f>
        <v>756</v>
      </c>
      <c r="AM37" s="123">
        <f>Table189[[#This Row],[SBMU02]]+AG37</f>
        <v>759</v>
      </c>
      <c r="AN37" s="123">
        <f>Table189[[#This Row],[SBMU03]]+AH37</f>
        <v>763</v>
      </c>
      <c r="AO37" s="123">
        <f>Table189[[#This Row],[SBMU04]]+AI37</f>
        <v>759</v>
      </c>
      <c r="AP37" s="124">
        <f>Table189[[#This Row],[SBMU05]]+AJ37</f>
        <v>760</v>
      </c>
    </row>
  </sheetData>
  <conditionalFormatting sqref="I2:I37">
    <cfRule type="cellIs" dxfId="18" priority="9" operator="notEqual">
      <formula>K2</formula>
    </cfRule>
  </conditionalFormatting>
  <conditionalFormatting sqref="M3:M37">
    <cfRule type="cellIs" dxfId="17" priority="8" operator="equal">
      <formula>TRUE</formula>
    </cfRule>
  </conditionalFormatting>
  <conditionalFormatting sqref="M2">
    <cfRule type="cellIs" dxfId="16" priority="7" operator="equal">
      <formula>TRUE</formula>
    </cfRule>
  </conditionalFormatting>
  <conditionalFormatting sqref="D2:H37">
    <cfRule type="top10" dxfId="15" priority="4" rank="1"/>
    <cfRule type="cellIs" dxfId="14" priority="6" operator="lessThan">
      <formula>3</formula>
    </cfRule>
  </conditionalFormatting>
  <conditionalFormatting sqref="AF2:AJ37">
    <cfRule type="top10" dxfId="13" priority="3" bottom="1" rank="1"/>
    <cfRule type="cellIs" dxfId="12" priority="5" operator="lessThan">
      <formula>2.8</formula>
    </cfRule>
  </conditionalFormatting>
  <conditionalFormatting sqref="AL2:AP37">
    <cfRule type="top10" dxfId="11" priority="1" bottom="1" rank="1"/>
    <cfRule type="expression" dxfId="10" priority="2">
      <formula>AL2&lt;700</formula>
    </cfRule>
  </conditionalFormatting>
  <dataValidations count="3">
    <dataValidation type="list" allowBlank="1" showInputMessage="1" showErrorMessage="1" sqref="P2" xr:uid="{4E9D2D74-A9FD-46F6-8301-1BB6F0DA58B6}">
      <formula1>"Y,N"</formula1>
    </dataValidation>
    <dataValidation type="list" allowBlank="1" sqref="O1:O2" xr:uid="{F4E3FE84-F377-4D99-963A-631F6E56EA8C}">
      <formula1>$Q$3:$Q$16</formula1>
    </dataValidation>
    <dataValidation type="list" allowBlank="1" showInputMessage="1" showErrorMessage="1" sqref="R1" xr:uid="{23BD5CE7-B09A-4601-BDDF-F95BDB0C5C24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4F2-CDA8-46EC-8008-98A5655C89BA}">
  <sheetPr codeName="Sheet8"/>
  <dimension ref="A1:AP37"/>
  <sheetViews>
    <sheetView zoomScaleNormal="100" workbookViewId="0">
      <pane ySplit="1" topLeftCell="A2" activePane="bottomLeft" state="frozen"/>
      <selection activeCell="Q20" sqref="Q20"/>
      <selection pane="bottomLeft" activeCell="P19" sqref="P19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8" max="18" width="8.875" customWidth="1"/>
    <col min="19" max="21" width="3.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38" width="4.875" bestFit="1" customWidth="1"/>
    <col min="39" max="39" width="5.875" bestFit="1" customWidth="1"/>
    <col min="40" max="40" width="4.875" bestFit="1" customWidth="1"/>
    <col min="41" max="41" width="5.875" bestFit="1" customWidth="1"/>
    <col min="42" max="42" width="4.875" bestFit="1" customWidth="1"/>
  </cols>
  <sheetData>
    <row r="1" spans="1:42" ht="14.25" thickBot="1">
      <c r="A1" t="s">
        <v>27</v>
      </c>
      <c r="B1" t="s">
        <v>28</v>
      </c>
      <c r="C1" t="s">
        <v>743</v>
      </c>
      <c r="D1" t="s">
        <v>733</v>
      </c>
      <c r="E1" t="s">
        <v>734</v>
      </c>
      <c r="F1" t="s">
        <v>735</v>
      </c>
      <c r="G1" t="s">
        <v>736</v>
      </c>
      <c r="H1" t="s">
        <v>737</v>
      </c>
      <c r="I1" t="s">
        <v>756</v>
      </c>
      <c r="J1" t="s">
        <v>740</v>
      </c>
      <c r="K1" t="s">
        <v>760</v>
      </c>
      <c r="L1" t="s">
        <v>755</v>
      </c>
      <c r="M1" t="s">
        <v>33</v>
      </c>
      <c r="N1" t="s">
        <v>757</v>
      </c>
      <c r="O1" s="47">
        <v>909</v>
      </c>
      <c r="Q1" t="s">
        <v>79</v>
      </c>
      <c r="R1" s="57">
        <v>7</v>
      </c>
      <c r="AE1" s="101" t="s">
        <v>28</v>
      </c>
      <c r="AF1" s="97" t="s">
        <v>733</v>
      </c>
      <c r="AG1" s="97" t="s">
        <v>734</v>
      </c>
      <c r="AH1" s="97" t="s">
        <v>735</v>
      </c>
      <c r="AI1" s="97" t="s">
        <v>736</v>
      </c>
      <c r="AJ1" s="97" t="s">
        <v>737</v>
      </c>
    </row>
    <row r="2" spans="1:42" ht="15">
      <c r="A2" t="str">
        <f>SUBSTITUTE(V2,".8.","."&amp;$R$1&amp;".")</f>
        <v>10.238.7.16</v>
      </c>
      <c r="B2" s="85">
        <f>MID(Table18[[#This Row],[IP]],LEN(Table18[[#This Row],[IP]])-1,1)+(--MID(Table18[[#This Row],[IP]],8,1)-1)*9</f>
        <v>55</v>
      </c>
      <c r="C2" s="85" t="s">
        <v>29</v>
      </c>
      <c r="D2" s="105">
        <v>1408.2</v>
      </c>
      <c r="E2" s="106">
        <v>1409.8</v>
      </c>
      <c r="F2" s="106">
        <v>1408.6</v>
      </c>
      <c r="G2" s="106">
        <v>1410.5</v>
      </c>
      <c r="H2" s="107">
        <v>1409.4</v>
      </c>
      <c r="I2" s="94" cm="1">
        <f t="array" ref="I2">IF(SUM((Table18[[#This Row],[SBMU01]:[SBMU05]]&lt;3)*1)=5,0,SUMPRODUCT(IF(Table18[[#This Row],[SBMU01]:[SBMU05]]&lt;3,1,0),{1,2,4,8,16}))</f>
        <v>0</v>
      </c>
      <c r="J2" s="94">
        <v>0</v>
      </c>
      <c r="K2" s="94">
        <v>0</v>
      </c>
      <c r="M2" t="b">
        <f t="shared" ref="M2:M37" si="0">MAX($D2:$H2)-MIN($D2:$H2)&lt;10</f>
        <v>1</v>
      </c>
      <c r="N2" t="s">
        <v>758</v>
      </c>
      <c r="O2" s="47">
        <v>1078</v>
      </c>
      <c r="P2" s="93" t="s">
        <v>759</v>
      </c>
      <c r="V2" s="50" t="s">
        <v>42</v>
      </c>
      <c r="W2" s="55">
        <v>33</v>
      </c>
      <c r="X2" s="51">
        <f>MID(Table18[[#This Row],[IP]],LEN(Table18[[#This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909</v>
      </c>
      <c r="AE2" s="104" t="str">
        <f>B2&amp;C2</f>
        <v>55D</v>
      </c>
      <c r="AF2" s="99">
        <v>15</v>
      </c>
      <c r="AG2" s="99">
        <v>20</v>
      </c>
      <c r="AH2" s="99">
        <v>17</v>
      </c>
      <c r="AI2" s="99">
        <v>19</v>
      </c>
      <c r="AJ2" s="99">
        <v>18</v>
      </c>
      <c r="AL2" s="117">
        <f>Table18[[#This Row],[SBMU01]]+AF2</f>
        <v>1423.2</v>
      </c>
      <c r="AM2" s="118">
        <f>Table18[[#This Row],[SBMU02]]+AG2</f>
        <v>1429.8</v>
      </c>
      <c r="AN2" s="118">
        <f>Table18[[#This Row],[SBMU03]]+AH2</f>
        <v>1425.6</v>
      </c>
      <c r="AO2" s="118">
        <f>Table18[[#This Row],[SBMU04]]+AI2</f>
        <v>1429.5</v>
      </c>
      <c r="AP2" s="119">
        <f>Table18[[#This Row],[SBMU05]]+AJ2</f>
        <v>1427.4</v>
      </c>
    </row>
    <row r="3" spans="1:42" ht="15">
      <c r="A3" t="str">
        <f t="shared" ref="A3:A37" si="1">SUBSTITUTE(V3,".8.","."&amp;$R$1&amp;".")</f>
        <v>10.238.7.17</v>
      </c>
      <c r="B3" s="85">
        <f>MID(Table18[[#This Row],[IP]],LEN(Table18[[#This Row],[IP]])-1,1)+(--MID(Table18[[#This Row],[IP]],8,1)-1)*9</f>
        <v>55</v>
      </c>
      <c r="C3" s="85" t="s">
        <v>30</v>
      </c>
      <c r="D3" s="108">
        <v>1406.7</v>
      </c>
      <c r="E3" s="94">
        <v>1407.5</v>
      </c>
      <c r="F3" s="94">
        <v>1405.9</v>
      </c>
      <c r="G3" s="94">
        <v>1408</v>
      </c>
      <c r="H3" s="109">
        <v>1406.2</v>
      </c>
      <c r="I3" s="94" cm="1">
        <f t="array" ref="I3">IF(SUM((Table18[[#This Row],[SBMU01]:[SBMU05]]&lt;3)*1)=5,0,SUMPRODUCT(IF(Table18[[#This Row],[SBMU01]:[SBMU05]]&lt;3,1,0),{1,2,4,8,16}))</f>
        <v>0</v>
      </c>
      <c r="J3" s="94">
        <v>0</v>
      </c>
      <c r="K3" s="94">
        <v>0</v>
      </c>
      <c r="M3" t="b">
        <f t="shared" si="0"/>
        <v>1</v>
      </c>
      <c r="Q3" s="95">
        <v>1067</v>
      </c>
      <c r="R3" t="s">
        <v>744</v>
      </c>
      <c r="V3" s="53" t="s">
        <v>43</v>
      </c>
      <c r="W3" s="56">
        <v>32</v>
      </c>
      <c r="X3" s="51">
        <f>MID(Table18[[#This Row],[IP]],LEN(Table18[[#This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1933</v>
      </c>
      <c r="AE3" s="103" t="str">
        <f t="shared" ref="AE3:AE37" si="3">B3&amp;C3</f>
        <v>55C</v>
      </c>
      <c r="AF3" s="100">
        <v>21</v>
      </c>
      <c r="AG3" s="100">
        <v>20</v>
      </c>
      <c r="AH3" s="100">
        <v>21</v>
      </c>
      <c r="AI3" s="100">
        <v>13</v>
      </c>
      <c r="AJ3" s="100">
        <v>20</v>
      </c>
      <c r="AL3" s="120">
        <f>Table18[[#This Row],[SBMU01]]+AF3</f>
        <v>1427.7</v>
      </c>
      <c r="AM3">
        <f>Table18[[#This Row],[SBMU02]]+AG3</f>
        <v>1427.5</v>
      </c>
      <c r="AN3">
        <f>Table18[[#This Row],[SBMU03]]+AH3</f>
        <v>1426.9</v>
      </c>
      <c r="AO3">
        <f>Table18[[#This Row],[SBMU04]]+AI3</f>
        <v>1421</v>
      </c>
      <c r="AP3" s="121">
        <f>Table18[[#This Row],[SBMU05]]+AJ3</f>
        <v>1426.2</v>
      </c>
    </row>
    <row r="4" spans="1:42" ht="15">
      <c r="A4" t="str">
        <f t="shared" si="1"/>
        <v>10.238.7.18</v>
      </c>
      <c r="B4" s="85">
        <f>MID(Table18[[#This Row],[IP]],LEN(Table18[[#This Row],[IP]])-1,1)+(--MID(Table18[[#This Row],[IP]],8,1)-1)*9</f>
        <v>55</v>
      </c>
      <c r="C4" s="85" t="s">
        <v>31</v>
      </c>
      <c r="D4" s="108">
        <v>1413.6</v>
      </c>
      <c r="E4" s="94">
        <v>1413.3</v>
      </c>
      <c r="F4" s="94">
        <v>1414</v>
      </c>
      <c r="G4" s="94">
        <v>1414.3</v>
      </c>
      <c r="H4" s="109">
        <v>1412.8</v>
      </c>
      <c r="I4" s="94" cm="1">
        <f t="array" ref="I4">IF(SUM((Table18[[#This Row],[SBMU01]:[SBMU05]]&lt;3)*1)=5,0,SUMPRODUCT(IF(Table18[[#This Row],[SBMU01]:[SBMU05]]&lt;3,1,0),{1,2,4,8,16}))</f>
        <v>0</v>
      </c>
      <c r="J4" s="94">
        <v>0</v>
      </c>
      <c r="K4" s="94">
        <v>0</v>
      </c>
      <c r="M4" t="b">
        <f t="shared" si="0"/>
        <v>1</v>
      </c>
      <c r="Q4" s="96">
        <v>1068</v>
      </c>
      <c r="R4" t="s">
        <v>745</v>
      </c>
      <c r="V4" s="50" t="s">
        <v>44</v>
      </c>
      <c r="W4" s="55">
        <v>32</v>
      </c>
      <c r="X4" s="51">
        <f>MID(Table18[[#This Row],[IP]],LEN(Table18[[#This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2957</v>
      </c>
      <c r="AE4" s="104" t="str">
        <f t="shared" si="3"/>
        <v>55B</v>
      </c>
      <c r="AF4" s="99">
        <v>17</v>
      </c>
      <c r="AG4" s="99">
        <v>16</v>
      </c>
      <c r="AH4" s="99">
        <v>15</v>
      </c>
      <c r="AI4" s="99">
        <v>15</v>
      </c>
      <c r="AJ4" s="99">
        <v>15</v>
      </c>
      <c r="AL4" s="120">
        <f>Table18[[#This Row],[SBMU01]]+AF4</f>
        <v>1430.6</v>
      </c>
      <c r="AM4">
        <f>Table18[[#This Row],[SBMU02]]+AG4</f>
        <v>1429.3</v>
      </c>
      <c r="AN4">
        <f>Table18[[#This Row],[SBMU03]]+AH4</f>
        <v>1429</v>
      </c>
      <c r="AO4">
        <f>Table18[[#This Row],[SBMU04]]+AI4</f>
        <v>1429.3</v>
      </c>
      <c r="AP4" s="121">
        <f>Table18[[#This Row],[SBMU05]]+AJ4</f>
        <v>1427.8</v>
      </c>
    </row>
    <row r="5" spans="1:42" ht="15">
      <c r="A5" t="str">
        <f t="shared" si="1"/>
        <v>10.238.7.19</v>
      </c>
      <c r="B5" s="102">
        <f>MID(Table18[[#This Row],[IP]],LEN(Table18[[#This Row],[IP]])-1,1)+(--MID(Table18[[#This Row],[IP]],8,1)-1)*9</f>
        <v>55</v>
      </c>
      <c r="C5" s="102" t="s">
        <v>32</v>
      </c>
      <c r="D5" s="108">
        <v>1401.2</v>
      </c>
      <c r="E5" s="94">
        <v>1400</v>
      </c>
      <c r="F5" s="94">
        <v>1399.5</v>
      </c>
      <c r="G5" s="94">
        <v>1400.8</v>
      </c>
      <c r="H5" s="109">
        <v>1400.7</v>
      </c>
      <c r="I5" s="94" cm="1">
        <f t="array" ref="I5">IF(SUM((Table18[[#This Row],[SBMU01]:[SBMU05]]&lt;3)*1)=5,0,SUMPRODUCT(IF(Table18[[#This Row],[SBMU01]:[SBMU05]]&lt;3,1,0),{1,2,4,8,16}))</f>
        <v>0</v>
      </c>
      <c r="J5" s="94">
        <v>0</v>
      </c>
      <c r="K5" s="94">
        <v>0</v>
      </c>
      <c r="M5" t="b">
        <f t="shared" si="0"/>
        <v>1</v>
      </c>
      <c r="Q5">
        <v>1078</v>
      </c>
      <c r="R5" t="s">
        <v>748</v>
      </c>
      <c r="V5" s="53" t="s">
        <v>45</v>
      </c>
      <c r="W5" s="56">
        <v>32</v>
      </c>
      <c r="X5" s="51">
        <f>MID(Table18[[#This Row],[IP]],LEN(Table18[[#This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3981</v>
      </c>
      <c r="AE5" s="103" t="str">
        <f t="shared" si="3"/>
        <v>55A</v>
      </c>
      <c r="AF5" s="100">
        <v>4</v>
      </c>
      <c r="AG5" s="100">
        <v>42</v>
      </c>
      <c r="AH5" s="100">
        <v>45</v>
      </c>
      <c r="AI5" s="100">
        <v>39</v>
      </c>
      <c r="AJ5" s="100">
        <v>41</v>
      </c>
      <c r="AL5" s="120">
        <f>Table18[[#This Row],[SBMU01]]+AF5</f>
        <v>1405.2</v>
      </c>
      <c r="AM5">
        <f>Table18[[#This Row],[SBMU02]]+AG5</f>
        <v>1442</v>
      </c>
      <c r="AN5">
        <f>Table18[[#This Row],[SBMU03]]+AH5</f>
        <v>1444.5</v>
      </c>
      <c r="AO5">
        <f>Table18[[#This Row],[SBMU04]]+AI5</f>
        <v>1439.8</v>
      </c>
      <c r="AP5" s="121">
        <f>Table18[[#This Row],[SBMU05]]+AJ5</f>
        <v>1441.7</v>
      </c>
    </row>
    <row r="6" spans="1:42" ht="13.5" customHeight="1">
      <c r="A6" t="str">
        <f t="shared" si="1"/>
        <v>10.238.7.26</v>
      </c>
      <c r="B6" s="102">
        <f>MID(Table18[[#This Row],[IP]],LEN(Table18[[#This Row],[IP]])-1,1)+(--MID(Table18[[#This Row],[IP]],8,1)-1)*9</f>
        <v>56</v>
      </c>
      <c r="C6" s="102" t="s">
        <v>29</v>
      </c>
      <c r="D6" s="108">
        <v>1392</v>
      </c>
      <c r="E6" s="94">
        <v>1392.2</v>
      </c>
      <c r="F6" s="94">
        <v>1392.4</v>
      </c>
      <c r="G6" s="94">
        <v>1389.4</v>
      </c>
      <c r="H6" s="109">
        <v>1392.1</v>
      </c>
      <c r="I6" s="94" cm="1">
        <f t="array" ref="I6">IF(SUM((Table18[[#This Row],[SBMU01]:[SBMU05]]&lt;3)*1)=5,0,SUMPRODUCT(IF(Table18[[#This Row],[SBMU01]:[SBMU05]]&lt;3,1,0),{1,2,4,8,16}))</f>
        <v>0</v>
      </c>
      <c r="J6" s="94">
        <v>0</v>
      </c>
      <c r="K6" s="94">
        <v>0</v>
      </c>
      <c r="M6" t="b">
        <f t="shared" si="0"/>
        <v>1</v>
      </c>
      <c r="Q6">
        <v>1079</v>
      </c>
      <c r="R6" t="s">
        <v>749</v>
      </c>
      <c r="V6" s="50" t="s">
        <v>46</v>
      </c>
      <c r="W6" s="55" t="s">
        <v>740</v>
      </c>
      <c r="X6" s="51">
        <f>MID(Table18[[#This Row],[IP]],LEN(Table18[[#This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5005</v>
      </c>
      <c r="AE6" s="104" t="str">
        <f t="shared" si="3"/>
        <v>56D</v>
      </c>
      <c r="AF6" s="99">
        <v>1</v>
      </c>
      <c r="AG6" s="99">
        <v>2</v>
      </c>
      <c r="AH6" s="99">
        <v>2</v>
      </c>
      <c r="AI6" s="99">
        <v>11</v>
      </c>
      <c r="AJ6" s="99">
        <v>3</v>
      </c>
      <c r="AL6" s="120">
        <f>Table18[[#This Row],[SBMU01]]+AF6</f>
        <v>1393</v>
      </c>
      <c r="AM6">
        <f>Table18[[#This Row],[SBMU02]]+AG6</f>
        <v>1394.2</v>
      </c>
      <c r="AN6">
        <f>Table18[[#This Row],[SBMU03]]+AH6</f>
        <v>1394.4</v>
      </c>
      <c r="AO6">
        <f>Table18[[#This Row],[SBMU04]]+AI6</f>
        <v>1400.4</v>
      </c>
      <c r="AP6" s="121">
        <f>Table18[[#This Row],[SBMU05]]+AJ6</f>
        <v>1395.1</v>
      </c>
    </row>
    <row r="7" spans="1:42" ht="15">
      <c r="A7" t="str">
        <f t="shared" si="1"/>
        <v>10.238.7.27</v>
      </c>
      <c r="B7" s="102">
        <f>MID(Table18[[#This Row],[IP]],LEN(Table18[[#This Row],[IP]])-1,1)+(--MID(Table18[[#This Row],[IP]],8,1)-1)*9</f>
        <v>56</v>
      </c>
      <c r="C7" s="102" t="s">
        <v>30</v>
      </c>
      <c r="D7" s="108">
        <v>1384.9</v>
      </c>
      <c r="E7" s="94">
        <v>1384.5</v>
      </c>
      <c r="F7" s="94">
        <v>1385</v>
      </c>
      <c r="G7" s="94">
        <v>1383.6</v>
      </c>
      <c r="H7" s="109">
        <v>1383.6</v>
      </c>
      <c r="I7" s="94" cm="1">
        <f t="array" ref="I7">IF(SUM((Table18[[#This Row],[SBMU01]:[SBMU05]]&lt;3)*1)=5,0,SUMPRODUCT(IF(Table18[[#This Row],[SBMU01]:[SBMU05]]&lt;3,1,0),{1,2,4,8,16}))</f>
        <v>0</v>
      </c>
      <c r="J7" s="94">
        <v>0</v>
      </c>
      <c r="K7" s="94">
        <v>0</v>
      </c>
      <c r="M7" t="b">
        <f t="shared" si="0"/>
        <v>1</v>
      </c>
      <c r="Q7">
        <v>909</v>
      </c>
      <c r="R7" t="s">
        <v>751</v>
      </c>
      <c r="V7" s="53" t="s">
        <v>47</v>
      </c>
      <c r="W7" s="56">
        <v>18</v>
      </c>
      <c r="X7" s="51">
        <f>MID(Table18[[#This Row],[IP]],LEN(Table18[[#This Row],[IP]])-1,1)+(--MID(V7,8,1)-1)*9</f>
        <v>65</v>
      </c>
      <c r="Y7" s="54" t="s">
        <v>30</v>
      </c>
      <c r="AA7">
        <v>6</v>
      </c>
      <c r="AE7" s="103" t="str">
        <f t="shared" si="3"/>
        <v>56C</v>
      </c>
      <c r="AF7" s="100">
        <v>0</v>
      </c>
      <c r="AG7" s="100">
        <v>0</v>
      </c>
      <c r="AH7" s="100">
        <v>0</v>
      </c>
      <c r="AI7" s="100">
        <v>10</v>
      </c>
      <c r="AJ7" s="100">
        <v>0</v>
      </c>
      <c r="AL7" s="120">
        <f>Table18[[#This Row],[SBMU01]]+AF7</f>
        <v>1384.9</v>
      </c>
      <c r="AM7">
        <f>Table18[[#This Row],[SBMU02]]+AG7</f>
        <v>1384.5</v>
      </c>
      <c r="AN7">
        <f>Table18[[#This Row],[SBMU03]]+AH7</f>
        <v>1385</v>
      </c>
      <c r="AO7">
        <f>Table18[[#This Row],[SBMU04]]+AI7</f>
        <v>1393.6</v>
      </c>
      <c r="AP7" s="121">
        <f>Table18[[#This Row],[SBMU05]]+AJ7</f>
        <v>1383.6</v>
      </c>
    </row>
    <row r="8" spans="1:42" ht="15">
      <c r="A8" t="str">
        <f t="shared" si="1"/>
        <v>10.238.7.28</v>
      </c>
      <c r="B8" s="102">
        <f>MID(Table18[[#This Row],[IP]],LEN(Table18[[#This Row],[IP]])-1,1)+(--MID(Table18[[#This Row],[IP]],8,1)-1)*9</f>
        <v>56</v>
      </c>
      <c r="C8" s="102" t="s">
        <v>31</v>
      </c>
      <c r="D8" s="108">
        <v>1387.9</v>
      </c>
      <c r="E8" s="94">
        <v>1388.6</v>
      </c>
      <c r="F8" s="94">
        <v>1387.7</v>
      </c>
      <c r="G8" s="94">
        <v>1388.4</v>
      </c>
      <c r="H8" s="109">
        <v>1388.2</v>
      </c>
      <c r="I8" s="94" cm="1">
        <f t="array" ref="I8">IF(SUM((Table18[[#This Row],[SBMU01]:[SBMU05]]&lt;3)*1)=5,0,SUMPRODUCT(IF(Table18[[#This Row],[SBMU01]:[SBMU05]]&lt;3,1,0),{1,2,4,8,16}))</f>
        <v>0</v>
      </c>
      <c r="J8" s="94">
        <v>0</v>
      </c>
      <c r="K8" s="94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MID(Table18[[#This Row],[IP]],LEN(Table18[[#This Row],[IP]])-1,1)+(--MID(V8,8,1)-1)*9</f>
        <v>65</v>
      </c>
      <c r="Y8" s="52" t="s">
        <v>31</v>
      </c>
      <c r="AA8">
        <v>7</v>
      </c>
      <c r="AE8" s="104" t="str">
        <f t="shared" si="3"/>
        <v>56B</v>
      </c>
      <c r="AF8" s="99">
        <v>2</v>
      </c>
      <c r="AG8" s="99">
        <v>10</v>
      </c>
      <c r="AH8" s="99">
        <v>18</v>
      </c>
      <c r="AI8" s="99">
        <v>19</v>
      </c>
      <c r="AJ8" s="99">
        <v>19</v>
      </c>
      <c r="AL8" s="120">
        <f>Table18[[#This Row],[SBMU01]]+AF8</f>
        <v>1389.9</v>
      </c>
      <c r="AM8">
        <f>Table18[[#This Row],[SBMU02]]+AG8</f>
        <v>1398.6</v>
      </c>
      <c r="AN8">
        <f>Table18[[#This Row],[SBMU03]]+AH8</f>
        <v>1405.7</v>
      </c>
      <c r="AO8">
        <f>Table18[[#This Row],[SBMU04]]+AI8</f>
        <v>1407.4</v>
      </c>
      <c r="AP8" s="121">
        <f>Table18[[#This Row],[SBMU05]]+AJ8</f>
        <v>1407.2</v>
      </c>
    </row>
    <row r="9" spans="1:42" ht="15">
      <c r="A9" t="str">
        <f t="shared" si="1"/>
        <v>10.238.7.29</v>
      </c>
      <c r="B9" s="102">
        <f>MID(Table18[[#This Row],[IP]],LEN(Table18[[#This Row],[IP]])-1,1)+(--MID(Table18[[#This Row],[IP]],8,1)-1)*9</f>
        <v>56</v>
      </c>
      <c r="C9" s="102" t="s">
        <v>32</v>
      </c>
      <c r="D9" s="108">
        <v>1385.2</v>
      </c>
      <c r="E9" s="94">
        <v>1386</v>
      </c>
      <c r="F9" s="94">
        <v>1385.3</v>
      </c>
      <c r="G9" s="94">
        <v>1385.1</v>
      </c>
      <c r="H9" s="109">
        <v>1384.6</v>
      </c>
      <c r="I9" s="94" cm="1">
        <f t="array" ref="I9">IF(SUM((Table18[[#This Row],[SBMU01]:[SBMU05]]&lt;3)*1)=5,0,SUMPRODUCT(IF(Table18[[#This Row],[SBMU01]:[SBMU05]]&lt;3,1,0),{1,2,4,8,16}))</f>
        <v>0</v>
      </c>
      <c r="J9" s="94">
        <v>0</v>
      </c>
      <c r="K9" s="94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MID(Table18[[#This Row],[IP]],LEN(Table18[[#This Row],[IP]])-1,1)+(--MID(V9,8,1)-1)*9</f>
        <v>65</v>
      </c>
      <c r="Y9" s="54" t="s">
        <v>32</v>
      </c>
      <c r="AA9">
        <v>8</v>
      </c>
      <c r="AE9" s="103" t="str">
        <f t="shared" si="3"/>
        <v>56A</v>
      </c>
      <c r="AF9" s="100">
        <v>3</v>
      </c>
      <c r="AG9" s="100">
        <v>1</v>
      </c>
      <c r="AH9" s="100">
        <v>17</v>
      </c>
      <c r="AI9" s="100">
        <v>1</v>
      </c>
      <c r="AJ9" s="100">
        <v>17</v>
      </c>
      <c r="AL9" s="120">
        <f>Table18[[#This Row],[SBMU01]]+AF9</f>
        <v>1388.2</v>
      </c>
      <c r="AM9">
        <f>Table18[[#This Row],[SBMU02]]+AG9</f>
        <v>1387</v>
      </c>
      <c r="AN9">
        <f>Table18[[#This Row],[SBMU03]]+AH9</f>
        <v>1402.3</v>
      </c>
      <c r="AO9">
        <f>Table18[[#This Row],[SBMU04]]+AI9</f>
        <v>1386.1</v>
      </c>
      <c r="AP9" s="121">
        <f>Table18[[#This Row],[SBMU05]]+AJ9</f>
        <v>1401.6</v>
      </c>
    </row>
    <row r="10" spans="1:42" ht="12.75" customHeight="1">
      <c r="A10" t="str">
        <f t="shared" si="1"/>
        <v>10.238.7.36</v>
      </c>
      <c r="B10" s="102">
        <f>MID(Table18[[#This Row],[IP]],LEN(Table18[[#This Row],[IP]])-1,1)+(--MID(Table18[[#This Row],[IP]],8,1)-1)*9</f>
        <v>57</v>
      </c>
      <c r="C10" s="102" t="s">
        <v>29</v>
      </c>
      <c r="D10" s="108">
        <v>1397</v>
      </c>
      <c r="E10" s="94">
        <v>1397.3</v>
      </c>
      <c r="F10" s="94">
        <v>1396.3</v>
      </c>
      <c r="G10" s="94">
        <v>1396.3</v>
      </c>
      <c r="H10" s="109">
        <v>1394.3</v>
      </c>
      <c r="I10" s="94" cm="1">
        <f t="array" ref="I10">IF(SUM((Table18[[#This Row],[SBMU01]:[SBMU05]]&lt;3)*1)=5,0,SUMPRODUCT(IF(Table18[[#This Row],[SBMU01]:[SBMU05]]&lt;3,1,0),{1,2,4,8,16}))</f>
        <v>0</v>
      </c>
      <c r="J10" s="94">
        <v>0</v>
      </c>
      <c r="K10" s="94">
        <v>0</v>
      </c>
      <c r="M10" t="b">
        <f t="shared" si="0"/>
        <v>1</v>
      </c>
      <c r="Q10">
        <v>1059</v>
      </c>
      <c r="R10" t="s">
        <v>84</v>
      </c>
      <c r="V10" s="50" t="s">
        <v>50</v>
      </c>
      <c r="W10" s="55">
        <v>20</v>
      </c>
      <c r="X10" s="51">
        <f>MID(Table18[[#This Row],[IP]],LEN(Table18[[#This Row],[IP]])-1,1)+(--MID(V10,8,1)-1)*9</f>
        <v>66</v>
      </c>
      <c r="Y10" s="52" t="s">
        <v>29</v>
      </c>
      <c r="AE10" s="104" t="str">
        <f t="shared" si="3"/>
        <v>57D</v>
      </c>
      <c r="AF10" s="99">
        <v>72</v>
      </c>
      <c r="AG10" s="99">
        <v>72</v>
      </c>
      <c r="AH10" s="99">
        <v>77</v>
      </c>
      <c r="AI10" s="99">
        <v>70</v>
      </c>
      <c r="AJ10" s="99">
        <v>75</v>
      </c>
      <c r="AL10" s="120">
        <f>Table18[[#This Row],[SBMU01]]+AF10</f>
        <v>1469</v>
      </c>
      <c r="AM10">
        <f>Table18[[#This Row],[SBMU02]]+AG10</f>
        <v>1469.3</v>
      </c>
      <c r="AN10">
        <f>Table18[[#This Row],[SBMU03]]+AH10</f>
        <v>1473.3</v>
      </c>
      <c r="AO10">
        <f>Table18[[#This Row],[SBMU04]]+AI10</f>
        <v>1466.3</v>
      </c>
      <c r="AP10" s="121">
        <f>Table18[[#This Row],[SBMU05]]+AJ10</f>
        <v>1469.3</v>
      </c>
    </row>
    <row r="11" spans="1:42" ht="15">
      <c r="A11" t="str">
        <f t="shared" si="1"/>
        <v>10.238.7.37</v>
      </c>
      <c r="B11" s="102">
        <f>MID(Table18[[#This Row],[IP]],LEN(Table18[[#This Row],[IP]])-1,1)+(--MID(Table18[[#This Row],[IP]],8,1)-1)*9</f>
        <v>57</v>
      </c>
      <c r="C11" s="102" t="s">
        <v>30</v>
      </c>
      <c r="D11" s="108">
        <v>1398.1</v>
      </c>
      <c r="E11" s="94">
        <v>1396</v>
      </c>
      <c r="F11" s="94">
        <v>1395.9</v>
      </c>
      <c r="G11" s="94">
        <v>1396.7</v>
      </c>
      <c r="H11" s="109">
        <v>1397.6</v>
      </c>
      <c r="I11" s="94" cm="1">
        <f t="array" ref="I11">IF(SUM((Table18[[#This Row],[SBMU01]:[SBMU05]]&lt;3)*1)=5,0,SUMPRODUCT(IF(Table18[[#This Row],[SBMU01]:[SBMU05]]&lt;3,1,0),{1,2,4,8,16}))</f>
        <v>0</v>
      </c>
      <c r="J11" s="94">
        <v>0</v>
      </c>
      <c r="K11" s="94">
        <v>0</v>
      </c>
      <c r="M11" t="b">
        <f t="shared" si="0"/>
        <v>1</v>
      </c>
      <c r="Q11">
        <v>1061</v>
      </c>
      <c r="R11" t="s">
        <v>752</v>
      </c>
      <c r="V11" s="53" t="s">
        <v>51</v>
      </c>
      <c r="W11" s="56">
        <v>18</v>
      </c>
      <c r="X11" s="51">
        <f>MID(Table18[[#This Row],[IP]],LEN(Table18[[#This Row],[IP]])-1,1)+(--MID(V11,8,1)-1)*9</f>
        <v>66</v>
      </c>
      <c r="Y11" s="54" t="s">
        <v>30</v>
      </c>
      <c r="AE11" s="103" t="str">
        <f t="shared" si="3"/>
        <v>57C</v>
      </c>
      <c r="AF11" s="100">
        <v>75</v>
      </c>
      <c r="AG11" s="100">
        <v>75</v>
      </c>
      <c r="AH11" s="100">
        <v>70</v>
      </c>
      <c r="AI11" s="100">
        <v>74</v>
      </c>
      <c r="AJ11" s="100">
        <v>82</v>
      </c>
      <c r="AL11" s="120">
        <f>Table18[[#This Row],[SBMU01]]+AF11</f>
        <v>1473.1</v>
      </c>
      <c r="AM11">
        <f>Table18[[#This Row],[SBMU02]]+AG11</f>
        <v>1471</v>
      </c>
      <c r="AN11">
        <f>Table18[[#This Row],[SBMU03]]+AH11</f>
        <v>1465.9</v>
      </c>
      <c r="AO11">
        <f>Table18[[#This Row],[SBMU04]]+AI11</f>
        <v>1470.7</v>
      </c>
      <c r="AP11" s="121">
        <f>Table18[[#This Row],[SBMU05]]+AJ11</f>
        <v>1479.6</v>
      </c>
    </row>
    <row r="12" spans="1:42" ht="15">
      <c r="A12" t="str">
        <f t="shared" si="1"/>
        <v>10.238.7.38</v>
      </c>
      <c r="B12" s="102">
        <f>MID(Table18[[#This Row],[IP]],LEN(Table18[[#This Row],[IP]])-1,1)+(--MID(Table18[[#This Row],[IP]],8,1)-1)*9</f>
        <v>57</v>
      </c>
      <c r="C12" s="102" t="s">
        <v>31</v>
      </c>
      <c r="D12" s="108">
        <v>1398.8</v>
      </c>
      <c r="E12" s="94">
        <v>1398.2</v>
      </c>
      <c r="F12" s="94">
        <v>1398.4</v>
      </c>
      <c r="G12" s="94">
        <v>1396.9</v>
      </c>
      <c r="H12" s="109">
        <v>1397.9</v>
      </c>
      <c r="I12" s="94" cm="1">
        <f t="array" ref="I12">IF(SUM((Table18[[#This Row],[SBMU01]:[SBMU05]]&lt;3)*1)=5,0,SUMPRODUCT(IF(Table18[[#This Row],[SBMU01]:[SBMU05]]&lt;3,1,0),{1,2,4,8,16}))</f>
        <v>0</v>
      </c>
      <c r="J12" s="94">
        <v>0</v>
      </c>
      <c r="K12" s="94">
        <v>0</v>
      </c>
      <c r="M12" t="b">
        <f t="shared" si="0"/>
        <v>1</v>
      </c>
      <c r="Q12">
        <v>1062</v>
      </c>
      <c r="R12" t="s">
        <v>753</v>
      </c>
      <c r="V12" s="50" t="s">
        <v>52</v>
      </c>
      <c r="W12" s="55">
        <v>18</v>
      </c>
      <c r="X12" s="51">
        <f>MID(Table18[[#This Row],[IP]],LEN(Table18[[#This Row],[IP]])-1,1)+(--MID(V12,8,1)-1)*9</f>
        <v>66</v>
      </c>
      <c r="Y12" s="52" t="s">
        <v>31</v>
      </c>
      <c r="AE12" s="104" t="str">
        <f t="shared" si="3"/>
        <v>57B</v>
      </c>
      <c r="AF12" s="99">
        <v>84</v>
      </c>
      <c r="AG12" s="99">
        <v>84</v>
      </c>
      <c r="AH12" s="99">
        <v>82</v>
      </c>
      <c r="AI12" s="99">
        <v>86</v>
      </c>
      <c r="AJ12" s="99">
        <v>83</v>
      </c>
      <c r="AL12" s="120">
        <f>Table18[[#This Row],[SBMU01]]+AF12</f>
        <v>1482.8</v>
      </c>
      <c r="AM12">
        <f>Table18[[#This Row],[SBMU02]]+AG12</f>
        <v>1482.2</v>
      </c>
      <c r="AN12">
        <f>Table18[[#This Row],[SBMU03]]+AH12</f>
        <v>1480.4</v>
      </c>
      <c r="AO12">
        <f>Table18[[#This Row],[SBMU04]]+AI12</f>
        <v>1482.9</v>
      </c>
      <c r="AP12" s="121">
        <f>Table18[[#This Row],[SBMU05]]+AJ12</f>
        <v>1480.9</v>
      </c>
    </row>
    <row r="13" spans="1:42" ht="15">
      <c r="A13" t="str">
        <f t="shared" si="1"/>
        <v>10.238.7.39</v>
      </c>
      <c r="B13" s="102">
        <f>MID(Table18[[#This Row],[IP]],LEN(Table18[[#This Row],[IP]])-1,1)+(--MID(Table18[[#This Row],[IP]],8,1)-1)*9</f>
        <v>57</v>
      </c>
      <c r="C13" s="102" t="s">
        <v>32</v>
      </c>
      <c r="D13" s="108">
        <v>1397.9</v>
      </c>
      <c r="E13" s="94">
        <v>1397.1</v>
      </c>
      <c r="F13" s="94">
        <v>1397.3</v>
      </c>
      <c r="G13" s="94">
        <v>1398</v>
      </c>
      <c r="H13" s="109">
        <v>1398.4</v>
      </c>
      <c r="I13" s="94" cm="1">
        <f t="array" ref="I13">IF(SUM((Table18[[#This Row],[SBMU01]:[SBMU05]]&lt;3)*1)=5,0,SUMPRODUCT(IF(Table18[[#This Row],[SBMU01]:[SBMU05]]&lt;3,1,0),{1,2,4,8,16}))</f>
        <v>0</v>
      </c>
      <c r="J13" s="94">
        <v>0</v>
      </c>
      <c r="K13" s="94">
        <v>0</v>
      </c>
      <c r="M13" t="b">
        <f t="shared" si="0"/>
        <v>1</v>
      </c>
      <c r="Q13">
        <v>1064</v>
      </c>
      <c r="R13" t="s">
        <v>754</v>
      </c>
      <c r="V13" s="53" t="s">
        <v>53</v>
      </c>
      <c r="W13" s="56">
        <v>18</v>
      </c>
      <c r="X13" s="51">
        <f>MID(Table18[[#This Row],[IP]],LEN(Table18[[#This Row],[IP]])-1,1)+(--MID(V13,8,1)-1)*9</f>
        <v>66</v>
      </c>
      <c r="Y13" s="54" t="s">
        <v>32</v>
      </c>
      <c r="AE13" s="103" t="str">
        <f t="shared" si="3"/>
        <v>57A</v>
      </c>
      <c r="AF13" s="100">
        <v>94</v>
      </c>
      <c r="AG13" s="100">
        <v>73</v>
      </c>
      <c r="AH13" s="100">
        <v>75</v>
      </c>
      <c r="AI13" s="100">
        <v>95</v>
      </c>
      <c r="AJ13" s="100">
        <v>86</v>
      </c>
      <c r="AL13" s="120">
        <f>Table18[[#This Row],[SBMU01]]+AF13</f>
        <v>1491.9</v>
      </c>
      <c r="AM13">
        <f>Table18[[#This Row],[SBMU02]]+AG13</f>
        <v>1470.1</v>
      </c>
      <c r="AN13">
        <f>Table18[[#This Row],[SBMU03]]+AH13</f>
        <v>1472.3</v>
      </c>
      <c r="AO13">
        <f>Table18[[#This Row],[SBMU04]]+AI13</f>
        <v>1493</v>
      </c>
      <c r="AP13" s="121">
        <f>Table18[[#This Row],[SBMU05]]+AJ13</f>
        <v>1484.4</v>
      </c>
    </row>
    <row r="14" spans="1:42" ht="15">
      <c r="A14" t="str">
        <f t="shared" si="1"/>
        <v>10.238.7.46</v>
      </c>
      <c r="B14" s="102">
        <f>MID(Table18[[#This Row],[IP]],LEN(Table18[[#This Row],[IP]])-1,1)+(--MID(Table18[[#This Row],[IP]],8,1)-1)*9</f>
        <v>58</v>
      </c>
      <c r="C14" s="102" t="s">
        <v>29</v>
      </c>
      <c r="D14" s="108">
        <v>1408.7</v>
      </c>
      <c r="E14" s="94">
        <v>1407.6</v>
      </c>
      <c r="F14" s="94">
        <v>1408.1</v>
      </c>
      <c r="G14" s="94">
        <v>1410.6</v>
      </c>
      <c r="H14" s="109">
        <v>1409.1</v>
      </c>
      <c r="I14" s="94" cm="1">
        <f t="array" ref="I14">IF(SUM((Table18[[#This Row],[SBMU01]:[SBMU05]]&lt;3)*1)=5,0,SUMPRODUCT(IF(Table18[[#This Row],[SBMU01]:[SBMU05]]&lt;3,1,0),{1,2,4,8,16}))</f>
        <v>0</v>
      </c>
      <c r="J14" s="94">
        <v>0</v>
      </c>
      <c r="K14" s="94">
        <v>0</v>
      </c>
      <c r="M14" t="b">
        <f t="shared" si="0"/>
        <v>1</v>
      </c>
      <c r="Q14">
        <v>1076</v>
      </c>
      <c r="R14" t="s">
        <v>746</v>
      </c>
      <c r="V14" s="50" t="s">
        <v>54</v>
      </c>
      <c r="W14" s="55">
        <v>30</v>
      </c>
      <c r="X14" s="51">
        <f>MID(Table18[[#This Row],[IP]],LEN(Table18[[#This Row],[IP]])-1,1)+(--MID(V14,8,1)-1)*9</f>
        <v>67</v>
      </c>
      <c r="Y14" s="52" t="s">
        <v>29</v>
      </c>
      <c r="AE14" s="104" t="str">
        <f t="shared" si="3"/>
        <v>58D</v>
      </c>
      <c r="AF14" s="99">
        <v>12</v>
      </c>
      <c r="AG14" s="99">
        <v>16</v>
      </c>
      <c r="AH14" s="99">
        <v>0</v>
      </c>
      <c r="AI14" s="99">
        <v>28.8</v>
      </c>
      <c r="AJ14" s="99">
        <v>30.4</v>
      </c>
      <c r="AL14" s="120">
        <f>Table18[[#This Row],[SBMU01]]+AF14</f>
        <v>1420.7</v>
      </c>
      <c r="AM14">
        <f>Table18[[#This Row],[SBMU02]]+AG14</f>
        <v>1423.6</v>
      </c>
      <c r="AN14">
        <f>Table18[[#This Row],[SBMU03]]+AH14</f>
        <v>1408.1</v>
      </c>
      <c r="AO14">
        <f>Table18[[#This Row],[SBMU04]]+AI14</f>
        <v>1439.3999999999999</v>
      </c>
      <c r="AP14" s="121">
        <f>Table18[[#This Row],[SBMU05]]+AJ14</f>
        <v>1439.5</v>
      </c>
    </row>
    <row r="15" spans="1:42" ht="15">
      <c r="A15" t="str">
        <f t="shared" si="1"/>
        <v>10.238.7.47</v>
      </c>
      <c r="B15" s="102">
        <f>MID(Table18[[#This Row],[IP]],LEN(Table18[[#This Row],[IP]])-1,1)+(--MID(Table18[[#This Row],[IP]],8,1)-1)*9</f>
        <v>58</v>
      </c>
      <c r="C15" s="102" t="s">
        <v>30</v>
      </c>
      <c r="D15" s="108">
        <v>1409.2</v>
      </c>
      <c r="E15" s="94">
        <v>1407.4</v>
      </c>
      <c r="F15" s="94">
        <v>1406.6</v>
      </c>
      <c r="G15" s="94">
        <v>1408</v>
      </c>
      <c r="H15" s="109">
        <v>1409.3</v>
      </c>
      <c r="I15" s="94" cm="1">
        <f t="array" ref="I15">IF(SUM((Table18[[#This Row],[SBMU01]:[SBMU05]]&lt;3)*1)=5,0,SUMPRODUCT(IF(Table18[[#This Row],[SBMU01]:[SBMU05]]&lt;3,1,0),{1,2,4,8,16}))</f>
        <v>0</v>
      </c>
      <c r="J15" s="94">
        <v>0</v>
      </c>
      <c r="K15" s="94">
        <v>0</v>
      </c>
      <c r="M15" t="b">
        <f t="shared" si="0"/>
        <v>1</v>
      </c>
      <c r="Q15">
        <v>1077</v>
      </c>
      <c r="R15" t="s">
        <v>747</v>
      </c>
      <c r="V15" s="53" t="s">
        <v>55</v>
      </c>
      <c r="W15" s="56">
        <v>38</v>
      </c>
      <c r="X15" s="51">
        <f>MID(Table18[[#This Row],[IP]],LEN(Table18[[#This Row],[IP]])-1,1)+(--MID(V15,8,1)-1)*9</f>
        <v>67</v>
      </c>
      <c r="Y15" s="54" t="s">
        <v>30</v>
      </c>
      <c r="AE15" s="103" t="str">
        <f t="shared" si="3"/>
        <v>58C</v>
      </c>
      <c r="AF15" s="100">
        <v>0</v>
      </c>
      <c r="AG15" s="100">
        <v>10</v>
      </c>
      <c r="AH15" s="100">
        <v>14</v>
      </c>
      <c r="AI15" s="100">
        <v>10</v>
      </c>
      <c r="AJ15" s="100">
        <v>11</v>
      </c>
      <c r="AL15" s="120">
        <f>Table18[[#This Row],[SBMU01]]+AF15</f>
        <v>1409.2</v>
      </c>
      <c r="AM15">
        <f>Table18[[#This Row],[SBMU02]]+AG15</f>
        <v>1417.4</v>
      </c>
      <c r="AN15">
        <f>Table18[[#This Row],[SBMU03]]+AH15</f>
        <v>1420.6</v>
      </c>
      <c r="AO15">
        <f>Table18[[#This Row],[SBMU04]]+AI15</f>
        <v>1418</v>
      </c>
      <c r="AP15" s="121">
        <f>Table18[[#This Row],[SBMU05]]+AJ15</f>
        <v>1420.3</v>
      </c>
    </row>
    <row r="16" spans="1:42" ht="15">
      <c r="A16" t="str">
        <f t="shared" si="1"/>
        <v>10.238.7.48</v>
      </c>
      <c r="B16" s="102">
        <f>MID(Table18[[#This Row],[IP]],LEN(Table18[[#This Row],[IP]])-1,1)+(--MID(Table18[[#This Row],[IP]],8,1)-1)*9</f>
        <v>58</v>
      </c>
      <c r="C16" s="102" t="s">
        <v>31</v>
      </c>
      <c r="D16" s="108">
        <v>1384.4</v>
      </c>
      <c r="E16" s="94">
        <v>1385.3</v>
      </c>
      <c r="F16" s="94">
        <v>1386.3</v>
      </c>
      <c r="G16" s="94">
        <v>1384.4</v>
      </c>
      <c r="H16" s="109">
        <v>1385.6</v>
      </c>
      <c r="I16" s="94" cm="1">
        <f t="array" ref="I16">IF(SUM((Table18[[#This Row],[SBMU01]:[SBMU05]]&lt;3)*1)=5,0,SUMPRODUCT(IF(Table18[[#This Row],[SBMU01]:[SBMU05]]&lt;3,1,0),{1,2,4,8,16}))</f>
        <v>0</v>
      </c>
      <c r="J16" s="94">
        <v>0</v>
      </c>
      <c r="K16" s="94">
        <v>0</v>
      </c>
      <c r="M16" t="b">
        <f t="shared" si="0"/>
        <v>1</v>
      </c>
      <c r="Q16">
        <v>1080</v>
      </c>
      <c r="R16" t="s">
        <v>750</v>
      </c>
      <c r="V16" s="50" t="s">
        <v>56</v>
      </c>
      <c r="W16" s="55">
        <v>38</v>
      </c>
      <c r="X16" s="51">
        <f>MID(Table18[[#This Row],[IP]],LEN(Table18[[#This Row],[IP]])-1,1)+(--MID(V16,8,1)-1)*9</f>
        <v>67</v>
      </c>
      <c r="Y16" s="52" t="s">
        <v>31</v>
      </c>
      <c r="AE16" s="104" t="str">
        <f t="shared" si="3"/>
        <v>58B</v>
      </c>
      <c r="AF16" s="99">
        <v>123</v>
      </c>
      <c r="AG16" s="99">
        <v>119</v>
      </c>
      <c r="AH16" s="99">
        <v>123</v>
      </c>
      <c r="AI16" s="99">
        <v>147</v>
      </c>
      <c r="AJ16" s="99">
        <v>128</v>
      </c>
      <c r="AL16" s="120">
        <f>Table18[[#This Row],[SBMU01]]+AF16</f>
        <v>1507.4</v>
      </c>
      <c r="AM16">
        <f>Table18[[#This Row],[SBMU02]]+AG16</f>
        <v>1504.3</v>
      </c>
      <c r="AN16">
        <f>Table18[[#This Row],[SBMU03]]+AH16</f>
        <v>1509.3</v>
      </c>
      <c r="AO16">
        <f>Table18[[#This Row],[SBMU04]]+AI16</f>
        <v>1531.4</v>
      </c>
      <c r="AP16" s="121">
        <f>Table18[[#This Row],[SBMU05]]+AJ16</f>
        <v>1513.6</v>
      </c>
    </row>
    <row r="17" spans="1:42" ht="15">
      <c r="A17" t="str">
        <f t="shared" si="1"/>
        <v>10.238.7.49</v>
      </c>
      <c r="B17" s="102">
        <f>MID(Table18[[#This Row],[IP]],LEN(Table18[[#This Row],[IP]])-1,1)+(--MID(Table18[[#This Row],[IP]],8,1)-1)*9</f>
        <v>58</v>
      </c>
      <c r="C17" s="102" t="s">
        <v>32</v>
      </c>
      <c r="D17" s="108">
        <v>1397.4</v>
      </c>
      <c r="E17" s="94">
        <v>1396.7</v>
      </c>
      <c r="F17" s="94">
        <v>1397.7</v>
      </c>
      <c r="G17" s="94">
        <v>1397.9</v>
      </c>
      <c r="H17" s="109">
        <v>1397</v>
      </c>
      <c r="I17" s="94" cm="1">
        <f t="array" ref="I17">IF(SUM((Table18[[#This Row],[SBMU01]:[SBMU05]]&lt;3)*1)=5,0,SUMPRODUCT(IF(Table18[[#This Row],[SBMU01]:[SBMU05]]&lt;3,1,0),{1,2,4,8,16}))</f>
        <v>0</v>
      </c>
      <c r="J17" s="94">
        <v>0</v>
      </c>
      <c r="K17" s="94">
        <v>0</v>
      </c>
      <c r="M17" t="b">
        <f t="shared" si="0"/>
        <v>1</v>
      </c>
      <c r="V17" s="53" t="s">
        <v>57</v>
      </c>
      <c r="W17" s="56">
        <v>38</v>
      </c>
      <c r="X17" s="51">
        <f>MID(Table18[[#This Row],[IP]],LEN(Table18[[#This Row],[IP]])-1,1)+(--MID(V17,8,1)-1)*9</f>
        <v>67</v>
      </c>
      <c r="Y17" s="54" t="s">
        <v>32</v>
      </c>
      <c r="AE17" s="103" t="str">
        <f t="shared" si="3"/>
        <v>58A</v>
      </c>
      <c r="AF17" s="100">
        <v>13</v>
      </c>
      <c r="AG17" s="100">
        <v>12</v>
      </c>
      <c r="AH17" s="100">
        <v>15</v>
      </c>
      <c r="AI17" s="100">
        <v>0</v>
      </c>
      <c r="AJ17" s="100">
        <v>13</v>
      </c>
      <c r="AL17" s="120">
        <f>Table18[[#This Row],[SBMU01]]+AF17</f>
        <v>1410.4</v>
      </c>
      <c r="AM17">
        <f>Table18[[#This Row],[SBMU02]]+AG17</f>
        <v>1408.7</v>
      </c>
      <c r="AN17">
        <f>Table18[[#This Row],[SBMU03]]+AH17</f>
        <v>1412.7</v>
      </c>
      <c r="AO17">
        <f>Table18[[#This Row],[SBMU04]]+AI17</f>
        <v>1397.9</v>
      </c>
      <c r="AP17" s="121">
        <f>Table18[[#This Row],[SBMU05]]+AJ17</f>
        <v>1410</v>
      </c>
    </row>
    <row r="18" spans="1:42" ht="15">
      <c r="A18" t="str">
        <f t="shared" si="1"/>
        <v>10.238.7.56</v>
      </c>
      <c r="B18" s="102">
        <f>MID(Table18[[#This Row],[IP]],LEN(Table18[[#This Row],[IP]])-1,1)+(--MID(Table18[[#This Row],[IP]],8,1)-1)*9</f>
        <v>59</v>
      </c>
      <c r="C18" s="102" t="s">
        <v>29</v>
      </c>
      <c r="D18" s="108">
        <v>1390.4</v>
      </c>
      <c r="E18" s="94">
        <v>1389.7</v>
      </c>
      <c r="F18" s="94">
        <v>1391.4</v>
      </c>
      <c r="G18" s="94">
        <v>1393.7</v>
      </c>
      <c r="H18" s="109">
        <v>1390.6</v>
      </c>
      <c r="I18" s="94" cm="1">
        <f t="array" ref="I18">IF(SUM((Table18[[#This Row],[SBMU01]:[SBMU05]]&lt;3)*1)=5,0,SUMPRODUCT(IF(Table18[[#This Row],[SBMU01]:[SBMU05]]&lt;3,1,0),{1,2,4,8,16}))</f>
        <v>0</v>
      </c>
      <c r="J18" s="94">
        <v>0</v>
      </c>
      <c r="K18" s="94">
        <v>0</v>
      </c>
      <c r="M18" t="b">
        <f t="shared" si="0"/>
        <v>1</v>
      </c>
      <c r="V18" s="50" t="s">
        <v>58</v>
      </c>
      <c r="W18" s="55">
        <v>26</v>
      </c>
      <c r="X18" s="51">
        <f>MID(Table18[[#This Row],[IP]],LEN(Table18[[#This Row],[IP]])-1,1)+(--MID(V18,8,1)-1)*9</f>
        <v>68</v>
      </c>
      <c r="Y18" s="52" t="s">
        <v>29</v>
      </c>
      <c r="AE18" s="104" t="str">
        <f t="shared" si="3"/>
        <v>59D</v>
      </c>
      <c r="AF18" s="99">
        <v>11</v>
      </c>
      <c r="AG18" s="99">
        <v>9</v>
      </c>
      <c r="AH18" s="99">
        <v>8</v>
      </c>
      <c r="AI18" s="99">
        <v>1</v>
      </c>
      <c r="AJ18" s="99">
        <v>1</v>
      </c>
      <c r="AL18" s="120">
        <f>Table18[[#This Row],[SBMU01]]+AF18</f>
        <v>1401.4</v>
      </c>
      <c r="AM18">
        <f>Table18[[#This Row],[SBMU02]]+AG18</f>
        <v>1398.7</v>
      </c>
      <c r="AN18">
        <f>Table18[[#This Row],[SBMU03]]+AH18</f>
        <v>1399.4</v>
      </c>
      <c r="AO18">
        <f>Table18[[#This Row],[SBMU04]]+AI18</f>
        <v>1394.7</v>
      </c>
      <c r="AP18" s="121">
        <f>Table18[[#This Row],[SBMU05]]+AJ18</f>
        <v>1391.6</v>
      </c>
    </row>
    <row r="19" spans="1:42" ht="15">
      <c r="A19" t="str">
        <f t="shared" si="1"/>
        <v>10.238.7.57</v>
      </c>
      <c r="B19" s="102">
        <f>MID(Table18[[#This Row],[IP]],LEN(Table18[[#This Row],[IP]])-1,1)+(--MID(Table18[[#This Row],[IP]],8,1)-1)*9</f>
        <v>59</v>
      </c>
      <c r="C19" s="102" t="s">
        <v>30</v>
      </c>
      <c r="D19" s="108">
        <v>1383.5</v>
      </c>
      <c r="E19" s="94">
        <v>1383</v>
      </c>
      <c r="F19" s="94">
        <v>1384.7</v>
      </c>
      <c r="G19" s="94">
        <v>1384.2</v>
      </c>
      <c r="H19" s="109">
        <v>1385.5</v>
      </c>
      <c r="I19" s="94" cm="1">
        <f t="array" ref="I19">IF(SUM((Table18[[#This Row],[SBMU01]:[SBMU05]]&lt;3)*1)=5,0,SUMPRODUCT(IF(Table18[[#This Row],[SBMU01]:[SBMU05]]&lt;3,1,0),{1,2,4,8,16}))</f>
        <v>0</v>
      </c>
      <c r="J19" s="94">
        <v>0</v>
      </c>
      <c r="K19" s="94">
        <v>0</v>
      </c>
      <c r="M19" t="b">
        <f t="shared" si="0"/>
        <v>1</v>
      </c>
      <c r="V19" s="53" t="s">
        <v>59</v>
      </c>
      <c r="W19" s="56">
        <v>23</v>
      </c>
      <c r="X19" s="51">
        <f>MID(Table18[[#This Row],[IP]],LEN(Table18[[#This Row],[IP]])-1,1)+(--MID(V19,8,1)-1)*9</f>
        <v>68</v>
      </c>
      <c r="Y19" s="54" t="s">
        <v>30</v>
      </c>
      <c r="AE19" s="103" t="str">
        <f t="shared" si="3"/>
        <v>59C</v>
      </c>
      <c r="AF19" s="100">
        <v>7</v>
      </c>
      <c r="AG19" s="100">
        <v>5</v>
      </c>
      <c r="AH19" s="100">
        <v>19</v>
      </c>
      <c r="AI19" s="100">
        <v>19</v>
      </c>
      <c r="AJ19" s="100">
        <v>8</v>
      </c>
      <c r="AL19" s="120">
        <f>Table18[[#This Row],[SBMU01]]+AF19</f>
        <v>1390.5</v>
      </c>
      <c r="AM19">
        <f>Table18[[#This Row],[SBMU02]]+AG19</f>
        <v>1388</v>
      </c>
      <c r="AN19">
        <f>Table18[[#This Row],[SBMU03]]+AH19</f>
        <v>1403.7</v>
      </c>
      <c r="AO19">
        <f>Table18[[#This Row],[SBMU04]]+AI19</f>
        <v>1403.2</v>
      </c>
      <c r="AP19" s="121">
        <f>Table18[[#This Row],[SBMU05]]+AJ19</f>
        <v>1393.5</v>
      </c>
    </row>
    <row r="20" spans="1:42" ht="15">
      <c r="A20" t="str">
        <f t="shared" si="1"/>
        <v>10.238.7.58</v>
      </c>
      <c r="B20" s="102">
        <f>MID(Table18[[#This Row],[IP]],LEN(Table18[[#This Row],[IP]])-1,1)+(--MID(Table18[[#This Row],[IP]],8,1)-1)*9</f>
        <v>59</v>
      </c>
      <c r="C20" s="102" t="s">
        <v>31</v>
      </c>
      <c r="D20" s="108">
        <v>1396.9</v>
      </c>
      <c r="E20" s="94">
        <v>1397.7</v>
      </c>
      <c r="F20" s="94">
        <v>1396.5</v>
      </c>
      <c r="G20" s="94">
        <v>1397.3</v>
      </c>
      <c r="H20" s="109">
        <v>1396.7</v>
      </c>
      <c r="I20" s="94" cm="1">
        <f t="array" ref="I20">IF(SUM((Table18[[#This Row],[SBMU01]:[SBMU05]]&lt;3)*1)=5,0,SUMPRODUCT(IF(Table18[[#This Row],[SBMU01]:[SBMU05]]&lt;3,1,0),{1,2,4,8,16}))</f>
        <v>0</v>
      </c>
      <c r="J20" s="94">
        <v>0</v>
      </c>
      <c r="K20" s="94">
        <v>0</v>
      </c>
      <c r="M20" t="b">
        <f t="shared" si="0"/>
        <v>1</v>
      </c>
      <c r="V20" s="50" t="s">
        <v>60</v>
      </c>
      <c r="W20" s="55">
        <v>22</v>
      </c>
      <c r="X20" s="51">
        <f>MID(Table18[[#This Row],[IP]],LEN(Table18[[#This Row],[IP]])-1,1)+(--MID(V20,8,1)-1)*9</f>
        <v>68</v>
      </c>
      <c r="Y20" s="52" t="s">
        <v>31</v>
      </c>
      <c r="AE20" s="104" t="str">
        <f t="shared" si="3"/>
        <v>59B</v>
      </c>
      <c r="AF20" s="99">
        <v>2</v>
      </c>
      <c r="AG20" s="99">
        <v>0</v>
      </c>
      <c r="AH20" s="99">
        <v>0</v>
      </c>
      <c r="AI20" s="99">
        <v>0</v>
      </c>
      <c r="AJ20" s="99">
        <v>1</v>
      </c>
      <c r="AL20" s="120">
        <f>Table18[[#This Row],[SBMU01]]+AF20</f>
        <v>1398.9</v>
      </c>
      <c r="AM20">
        <f>Table18[[#This Row],[SBMU02]]+AG20</f>
        <v>1397.7</v>
      </c>
      <c r="AN20">
        <f>Table18[[#This Row],[SBMU03]]+AH20</f>
        <v>1396.5</v>
      </c>
      <c r="AO20">
        <f>Table18[[#This Row],[SBMU04]]+AI20</f>
        <v>1397.3</v>
      </c>
      <c r="AP20" s="121">
        <f>Table18[[#This Row],[SBMU05]]+AJ20</f>
        <v>1397.7</v>
      </c>
    </row>
    <row r="21" spans="1:42" ht="15">
      <c r="A21" t="str">
        <f t="shared" si="1"/>
        <v>10.238.7.59</v>
      </c>
      <c r="B21" s="102">
        <f>MID(Table18[[#This Row],[IP]],LEN(Table18[[#This Row],[IP]])-1,1)+(--MID(Table18[[#This Row],[IP]],8,1)-1)*9</f>
        <v>59</v>
      </c>
      <c r="C21" s="102" t="s">
        <v>32</v>
      </c>
      <c r="D21" s="108">
        <v>1396.6</v>
      </c>
      <c r="E21" s="94">
        <v>1395.6</v>
      </c>
      <c r="F21" s="94">
        <v>1395.3</v>
      </c>
      <c r="G21" s="94">
        <v>1395.9</v>
      </c>
      <c r="H21" s="109">
        <v>1395</v>
      </c>
      <c r="I21" s="94" cm="1">
        <f t="array" ref="I21">IF(SUM((Table18[[#This Row],[SBMU01]:[SBMU05]]&lt;3)*1)=5,0,SUMPRODUCT(IF(Table18[[#This Row],[SBMU01]:[SBMU05]]&lt;3,1,0),{1,2,4,8,16}))</f>
        <v>0</v>
      </c>
      <c r="J21" s="94">
        <v>0</v>
      </c>
      <c r="K21" s="94">
        <v>0</v>
      </c>
      <c r="M21" t="b">
        <f t="shared" si="0"/>
        <v>1</v>
      </c>
      <c r="V21" s="53" t="s">
        <v>61</v>
      </c>
      <c r="W21" s="56">
        <v>22</v>
      </c>
      <c r="X21" s="51">
        <f>MID(Table18[[#This Row],[IP]],LEN(Table18[[#This Row],[IP]])-1,1)+(--MID(V21,8,1)-1)*9</f>
        <v>68</v>
      </c>
      <c r="Y21" s="54" t="s">
        <v>32</v>
      </c>
      <c r="AE21" s="103" t="str">
        <f t="shared" si="3"/>
        <v>59A</v>
      </c>
      <c r="AF21" s="100">
        <v>10</v>
      </c>
      <c r="AG21" s="100">
        <v>8</v>
      </c>
      <c r="AH21" s="100">
        <v>8</v>
      </c>
      <c r="AI21" s="100">
        <v>2</v>
      </c>
      <c r="AJ21" s="100">
        <v>7</v>
      </c>
      <c r="AL21" s="120">
        <f>Table18[[#This Row],[SBMU01]]+AF21</f>
        <v>1406.6</v>
      </c>
      <c r="AM21">
        <f>Table18[[#This Row],[SBMU02]]+AG21</f>
        <v>1403.6</v>
      </c>
      <c r="AN21">
        <f>Table18[[#This Row],[SBMU03]]+AH21</f>
        <v>1403.3</v>
      </c>
      <c r="AO21">
        <f>Table18[[#This Row],[SBMU04]]+AI21</f>
        <v>1397.9</v>
      </c>
      <c r="AP21" s="121">
        <f>Table18[[#This Row],[SBMU05]]+AJ21</f>
        <v>1402</v>
      </c>
    </row>
    <row r="22" spans="1:42" ht="15">
      <c r="A22" t="str">
        <f t="shared" si="1"/>
        <v>10.238.7.66</v>
      </c>
      <c r="B22" s="102">
        <f>MID(Table18[[#This Row],[IP]],LEN(Table18[[#This Row],[IP]])-1,1)+(--MID(Table18[[#This Row],[IP]],8,1)-1)*9</f>
        <v>60</v>
      </c>
      <c r="C22" s="102" t="s">
        <v>29</v>
      </c>
      <c r="D22" s="108">
        <v>1408.1</v>
      </c>
      <c r="E22" s="94">
        <v>1407.3</v>
      </c>
      <c r="F22" s="94">
        <v>1406.6</v>
      </c>
      <c r="G22" s="94">
        <v>1408.3</v>
      </c>
      <c r="H22" s="109">
        <v>1406.3</v>
      </c>
      <c r="I22" s="94" cm="1">
        <f t="array" ref="I22">IF(SUM((Table18[[#This Row],[SBMU01]:[SBMU05]]&lt;3)*1)=5,0,SUMPRODUCT(IF(Table18[[#This Row],[SBMU01]:[SBMU05]]&lt;3,1,0),{1,2,4,8,16}))</f>
        <v>0</v>
      </c>
      <c r="J22" s="94">
        <v>0</v>
      </c>
      <c r="K22" s="94">
        <v>0</v>
      </c>
      <c r="M22" t="b">
        <f t="shared" si="0"/>
        <v>1</v>
      </c>
      <c r="V22" s="50" t="s">
        <v>62</v>
      </c>
      <c r="W22" s="55">
        <v>22</v>
      </c>
      <c r="X22" s="51">
        <f>MID(Table18[[#This Row],[IP]],LEN(Table18[[#This Row],[IP]])-1,1)+(--MID(V22,8,1)-1)*9</f>
        <v>69</v>
      </c>
      <c r="Y22" s="52" t="s">
        <v>29</v>
      </c>
      <c r="AE22" s="104" t="str">
        <f t="shared" si="3"/>
        <v>60D</v>
      </c>
      <c r="AF22" s="99">
        <v>11</v>
      </c>
      <c r="AG22" s="99">
        <v>10</v>
      </c>
      <c r="AH22" s="99">
        <v>0</v>
      </c>
      <c r="AI22" s="99">
        <v>11</v>
      </c>
      <c r="AJ22" s="99">
        <v>15</v>
      </c>
      <c r="AL22" s="120">
        <f>Table18[[#This Row],[SBMU01]]+AF22</f>
        <v>1419.1</v>
      </c>
      <c r="AM22">
        <f>Table18[[#This Row],[SBMU02]]+AG22</f>
        <v>1417.3</v>
      </c>
      <c r="AN22">
        <f>Table18[[#This Row],[SBMU03]]+AH22</f>
        <v>1406.6</v>
      </c>
      <c r="AO22">
        <f>Table18[[#This Row],[SBMU04]]+AI22</f>
        <v>1419.3</v>
      </c>
      <c r="AP22" s="121">
        <f>Table18[[#This Row],[SBMU05]]+AJ22</f>
        <v>1421.3</v>
      </c>
    </row>
    <row r="23" spans="1:42" ht="15">
      <c r="A23" t="str">
        <f t="shared" si="1"/>
        <v>10.238.7.67</v>
      </c>
      <c r="B23" s="102">
        <f>MID(Table18[[#This Row],[IP]],LEN(Table18[[#This Row],[IP]])-1,1)+(--MID(Table18[[#This Row],[IP]],8,1)-1)*9</f>
        <v>60</v>
      </c>
      <c r="C23" s="102" t="s">
        <v>30</v>
      </c>
      <c r="D23" s="108">
        <v>1408.8</v>
      </c>
      <c r="E23" s="94">
        <v>1409.8</v>
      </c>
      <c r="F23" s="94">
        <v>1409.5</v>
      </c>
      <c r="G23" s="94">
        <v>1409.6</v>
      </c>
      <c r="H23" s="109">
        <v>1411.3</v>
      </c>
      <c r="I23" s="94" cm="1">
        <f t="array" ref="I23">IF(SUM((Table18[[#This Row],[SBMU01]:[SBMU05]]&lt;3)*1)=5,0,SUMPRODUCT(IF(Table18[[#This Row],[SBMU01]:[SBMU05]]&lt;3,1,0),{1,2,4,8,16}))</f>
        <v>0</v>
      </c>
      <c r="J23" s="94">
        <v>0</v>
      </c>
      <c r="K23" s="94">
        <v>0</v>
      </c>
      <c r="M23" t="b">
        <f t="shared" si="0"/>
        <v>1</v>
      </c>
      <c r="V23" s="53" t="s">
        <v>63</v>
      </c>
      <c r="W23" s="56">
        <v>16</v>
      </c>
      <c r="X23" s="51">
        <f>MID(Table18[[#This Row],[IP]],LEN(Table18[[#This Row],[IP]])-1,1)+(--MID(V23,8,1)-1)*9</f>
        <v>69</v>
      </c>
      <c r="Y23" s="54" t="s">
        <v>30</v>
      </c>
      <c r="AE23" s="103" t="str">
        <f t="shared" si="3"/>
        <v>60C</v>
      </c>
      <c r="AF23" s="100">
        <v>16</v>
      </c>
      <c r="AG23" s="100">
        <v>15</v>
      </c>
      <c r="AH23" s="100">
        <v>14</v>
      </c>
      <c r="AI23" s="100">
        <v>11</v>
      </c>
      <c r="AJ23" s="100">
        <v>0</v>
      </c>
      <c r="AL23" s="120">
        <f>Table18[[#This Row],[SBMU01]]+AF23</f>
        <v>1424.8</v>
      </c>
      <c r="AM23">
        <f>Table18[[#This Row],[SBMU02]]+AG23</f>
        <v>1424.8</v>
      </c>
      <c r="AN23">
        <f>Table18[[#This Row],[SBMU03]]+AH23</f>
        <v>1423.5</v>
      </c>
      <c r="AO23">
        <f>Table18[[#This Row],[SBMU04]]+AI23</f>
        <v>1420.6</v>
      </c>
      <c r="AP23" s="121">
        <f>Table18[[#This Row],[SBMU05]]+AJ23</f>
        <v>1411.3</v>
      </c>
    </row>
    <row r="24" spans="1:42" ht="15">
      <c r="A24" t="str">
        <f t="shared" si="1"/>
        <v>10.238.7.68</v>
      </c>
      <c r="B24" s="102">
        <f>MID(Table18[[#This Row],[IP]],LEN(Table18[[#This Row],[IP]])-1,1)+(--MID(Table18[[#This Row],[IP]],8,1)-1)*9</f>
        <v>60</v>
      </c>
      <c r="C24" s="102" t="s">
        <v>31</v>
      </c>
      <c r="D24" s="108">
        <v>1401.6</v>
      </c>
      <c r="E24" s="94">
        <v>1401.8</v>
      </c>
      <c r="F24" s="94">
        <v>1400.7</v>
      </c>
      <c r="G24" s="94">
        <v>1399.2</v>
      </c>
      <c r="H24" s="109">
        <v>1401.3</v>
      </c>
      <c r="I24" s="94" cm="1">
        <f t="array" ref="I24">IF(SUM((Table18[[#This Row],[SBMU01]:[SBMU05]]&lt;3)*1)=5,0,SUMPRODUCT(IF(Table18[[#This Row],[SBMU01]:[SBMU05]]&lt;3,1,0),{1,2,4,8,16}))</f>
        <v>0</v>
      </c>
      <c r="J24" s="94">
        <v>0</v>
      </c>
      <c r="K24" s="94">
        <v>0</v>
      </c>
      <c r="M24" t="b">
        <f t="shared" si="0"/>
        <v>1</v>
      </c>
      <c r="V24" s="50" t="s">
        <v>64</v>
      </c>
      <c r="W24" s="55">
        <v>16</v>
      </c>
      <c r="X24" s="51">
        <f>MID(Table18[[#This Row],[IP]],LEN(Table18[[#This Row],[IP]])-1,1)+(--MID(V24,8,1)-1)*9</f>
        <v>69</v>
      </c>
      <c r="Y24" s="52" t="s">
        <v>31</v>
      </c>
      <c r="AE24" s="104" t="str">
        <f t="shared" si="3"/>
        <v>60B</v>
      </c>
      <c r="AF24" s="99">
        <v>12</v>
      </c>
      <c r="AG24" s="99">
        <v>13</v>
      </c>
      <c r="AH24" s="99">
        <v>0</v>
      </c>
      <c r="AI24" s="99">
        <v>15</v>
      </c>
      <c r="AJ24" s="99">
        <v>12</v>
      </c>
      <c r="AL24" s="120">
        <f>Table18[[#This Row],[SBMU01]]+AF24</f>
        <v>1413.6</v>
      </c>
      <c r="AM24">
        <f>Table18[[#This Row],[SBMU02]]+AG24</f>
        <v>1414.8</v>
      </c>
      <c r="AN24">
        <f>Table18[[#This Row],[SBMU03]]+AH24</f>
        <v>1400.7</v>
      </c>
      <c r="AO24">
        <f>Table18[[#This Row],[SBMU04]]+AI24</f>
        <v>1414.2</v>
      </c>
      <c r="AP24" s="121">
        <f>Table18[[#This Row],[SBMU05]]+AJ24</f>
        <v>1413.3</v>
      </c>
    </row>
    <row r="25" spans="1:42" ht="15">
      <c r="A25" t="str">
        <f t="shared" si="1"/>
        <v>10.238.7.69</v>
      </c>
      <c r="B25" s="102">
        <f>MID(Table18[[#This Row],[IP]],LEN(Table18[[#This Row],[IP]])-1,1)+(--MID(Table18[[#This Row],[IP]],8,1)-1)*9</f>
        <v>60</v>
      </c>
      <c r="C25" s="102" t="s">
        <v>32</v>
      </c>
      <c r="D25" s="108">
        <v>1423.2</v>
      </c>
      <c r="E25" s="94">
        <v>1421.9</v>
      </c>
      <c r="F25" s="94">
        <v>1420.7</v>
      </c>
      <c r="G25" s="94">
        <v>1421.3</v>
      </c>
      <c r="H25" s="109">
        <v>1423.9</v>
      </c>
      <c r="I25" s="94" cm="1">
        <f t="array" ref="I25">IF(SUM((Table18[[#This Row],[SBMU01]:[SBMU05]]&lt;3)*1)=5,0,SUMPRODUCT(IF(Table18[[#This Row],[SBMU01]:[SBMU05]]&lt;3,1,0),{1,2,4,8,16}))</f>
        <v>0</v>
      </c>
      <c r="J25" s="94">
        <v>0</v>
      </c>
      <c r="K25" s="94">
        <v>0</v>
      </c>
      <c r="M25" t="b">
        <f t="shared" si="0"/>
        <v>1</v>
      </c>
      <c r="V25" s="53" t="s">
        <v>65</v>
      </c>
      <c r="W25" s="56">
        <v>16</v>
      </c>
      <c r="X25" s="51">
        <f>MID(Table18[[#This Row],[IP]],LEN(Table18[[#This Row],[IP]])-1,1)+(--MID(V25,8,1)-1)*9</f>
        <v>69</v>
      </c>
      <c r="Y25" s="54" t="s">
        <v>32</v>
      </c>
      <c r="AE25" s="103" t="str">
        <f t="shared" si="3"/>
        <v>60A</v>
      </c>
      <c r="AF25" s="100">
        <v>0</v>
      </c>
      <c r="AG25" s="100">
        <v>11</v>
      </c>
      <c r="AH25" s="100">
        <v>0</v>
      </c>
      <c r="AI25" s="100">
        <v>0</v>
      </c>
      <c r="AJ25" s="100">
        <v>11</v>
      </c>
      <c r="AL25" s="120">
        <f>Table18[[#This Row],[SBMU01]]+AF25</f>
        <v>1423.2</v>
      </c>
      <c r="AM25">
        <f>Table18[[#This Row],[SBMU02]]+AG25</f>
        <v>1432.9</v>
      </c>
      <c r="AN25">
        <f>Table18[[#This Row],[SBMU03]]+AH25</f>
        <v>1420.7</v>
      </c>
      <c r="AO25">
        <f>Table18[[#This Row],[SBMU04]]+AI25</f>
        <v>1421.3</v>
      </c>
      <c r="AP25" s="121">
        <f>Table18[[#This Row],[SBMU05]]+AJ25</f>
        <v>1434.9</v>
      </c>
    </row>
    <row r="26" spans="1:42" ht="15">
      <c r="A26" t="str">
        <f t="shared" si="1"/>
        <v>10.238.7.76</v>
      </c>
      <c r="B26" s="102">
        <f>MID(Table18[[#This Row],[IP]],LEN(Table18[[#This Row],[IP]])-1,1)+(--MID(Table18[[#This Row],[IP]],8,1)-1)*9</f>
        <v>61</v>
      </c>
      <c r="C26" s="102" t="s">
        <v>29</v>
      </c>
      <c r="D26" s="108">
        <v>1408.4</v>
      </c>
      <c r="E26" s="94">
        <v>1408.7</v>
      </c>
      <c r="F26" s="94">
        <v>1408.6</v>
      </c>
      <c r="G26" s="94">
        <v>1408.2</v>
      </c>
      <c r="H26" s="109">
        <v>1408</v>
      </c>
      <c r="I26" s="94" cm="1">
        <f t="array" ref="I26">IF(SUM((Table18[[#This Row],[SBMU01]:[SBMU05]]&lt;3)*1)=5,0,SUMPRODUCT(IF(Table18[[#This Row],[SBMU01]:[SBMU05]]&lt;3,1,0),{1,2,4,8,16}))</f>
        <v>0</v>
      </c>
      <c r="J26" s="94">
        <v>0</v>
      </c>
      <c r="K26" s="94">
        <v>0</v>
      </c>
      <c r="M26" t="b">
        <f t="shared" si="0"/>
        <v>1</v>
      </c>
      <c r="V26" s="50" t="s">
        <v>66</v>
      </c>
      <c r="W26" s="55">
        <v>34</v>
      </c>
      <c r="X26" s="51">
        <f>MID(Table18[[#This Row],[IP]],LEN(Table18[[#This Row],[IP]])-1,1)+(--MID(V26,8,1)-1)*9</f>
        <v>70</v>
      </c>
      <c r="Y26" s="52" t="s">
        <v>29</v>
      </c>
      <c r="AE26" s="104" t="str">
        <f t="shared" si="3"/>
        <v>61D</v>
      </c>
      <c r="AF26" s="99">
        <v>9</v>
      </c>
      <c r="AG26" s="99">
        <v>0</v>
      </c>
      <c r="AH26" s="99">
        <v>15</v>
      </c>
      <c r="AI26" s="99">
        <v>11</v>
      </c>
      <c r="AJ26" s="99">
        <v>9</v>
      </c>
      <c r="AL26" s="120">
        <f>Table18[[#This Row],[SBMU01]]+AF26</f>
        <v>1417.4</v>
      </c>
      <c r="AM26">
        <f>Table18[[#This Row],[SBMU02]]+AG26</f>
        <v>1408.7</v>
      </c>
      <c r="AN26">
        <f>Table18[[#This Row],[SBMU03]]+AH26</f>
        <v>1423.6</v>
      </c>
      <c r="AO26">
        <f>Table18[[#This Row],[SBMU04]]+AI26</f>
        <v>1419.2</v>
      </c>
      <c r="AP26" s="121">
        <f>Table18[[#This Row],[SBMU05]]+AJ26</f>
        <v>1417</v>
      </c>
    </row>
    <row r="27" spans="1:42" ht="15">
      <c r="A27" t="str">
        <f t="shared" si="1"/>
        <v>10.238.7.77</v>
      </c>
      <c r="B27" s="102">
        <f>MID(Table18[[#This Row],[IP]],LEN(Table18[[#This Row],[IP]])-1,1)+(--MID(Table18[[#This Row],[IP]],8,1)-1)*9</f>
        <v>61</v>
      </c>
      <c r="C27" s="102" t="s">
        <v>30</v>
      </c>
      <c r="D27" s="108">
        <v>1403.4</v>
      </c>
      <c r="E27" s="94">
        <v>1403.5</v>
      </c>
      <c r="F27" s="94">
        <v>1402.3</v>
      </c>
      <c r="G27" s="94">
        <v>1402.7</v>
      </c>
      <c r="H27" s="109">
        <v>1403.5</v>
      </c>
      <c r="I27" s="94" cm="1">
        <f t="array" ref="I27">IF(SUM((Table18[[#This Row],[SBMU01]:[SBMU05]]&lt;3)*1)=5,0,SUMPRODUCT(IF(Table18[[#This Row],[SBMU01]:[SBMU05]]&lt;3,1,0),{1,2,4,8,16}))</f>
        <v>0</v>
      </c>
      <c r="J27" s="94">
        <v>0</v>
      </c>
      <c r="K27" s="94">
        <v>0</v>
      </c>
      <c r="M27" t="b">
        <f t="shared" si="0"/>
        <v>1</v>
      </c>
      <c r="V27" s="53" t="s">
        <v>67</v>
      </c>
      <c r="W27" s="56">
        <v>20</v>
      </c>
      <c r="X27" s="51">
        <f>MID(Table18[[#This Row],[IP]],LEN(Table18[[#This Row],[IP]])-1,1)+(--MID(V27,8,1)-1)*9</f>
        <v>70</v>
      </c>
      <c r="Y27" s="54" t="s">
        <v>30</v>
      </c>
      <c r="AE27" s="103" t="str">
        <f t="shared" si="3"/>
        <v>61C</v>
      </c>
      <c r="AF27" s="100">
        <v>14</v>
      </c>
      <c r="AG27" s="100">
        <v>16</v>
      </c>
      <c r="AH27" s="100">
        <v>10</v>
      </c>
      <c r="AI27" s="100">
        <v>0</v>
      </c>
      <c r="AJ27" s="100">
        <v>10</v>
      </c>
      <c r="AL27" s="120">
        <f>Table18[[#This Row],[SBMU01]]+AF27</f>
        <v>1417.4</v>
      </c>
      <c r="AM27">
        <f>Table18[[#This Row],[SBMU02]]+AG27</f>
        <v>1419.5</v>
      </c>
      <c r="AN27">
        <f>Table18[[#This Row],[SBMU03]]+AH27</f>
        <v>1412.3</v>
      </c>
      <c r="AO27">
        <f>Table18[[#This Row],[SBMU04]]+AI27</f>
        <v>1402.7</v>
      </c>
      <c r="AP27" s="121">
        <f>Table18[[#This Row],[SBMU05]]+AJ27</f>
        <v>1413.5</v>
      </c>
    </row>
    <row r="28" spans="1:42" ht="15">
      <c r="A28" t="str">
        <f t="shared" si="1"/>
        <v>10.238.7.78</v>
      </c>
      <c r="B28" s="102">
        <f>MID(Table18[[#This Row],[IP]],LEN(Table18[[#This Row],[IP]])-1,1)+(--MID(Table18[[#This Row],[IP]],8,1)-1)*9</f>
        <v>61</v>
      </c>
      <c r="C28" s="102" t="s">
        <v>31</v>
      </c>
      <c r="D28" s="108">
        <v>1410.3</v>
      </c>
      <c r="E28" s="94">
        <v>1411.9</v>
      </c>
      <c r="F28" s="94">
        <v>1411.8</v>
      </c>
      <c r="G28" s="94">
        <v>1410.2</v>
      </c>
      <c r="H28" s="109">
        <v>1410.8</v>
      </c>
      <c r="I28" s="94" cm="1">
        <f t="array" ref="I28">IF(SUM((Table18[[#This Row],[SBMU01]:[SBMU05]]&lt;3)*1)=5,0,SUMPRODUCT(IF(Table18[[#This Row],[SBMU01]:[SBMU05]]&lt;3,1,0),{1,2,4,8,16}))</f>
        <v>0</v>
      </c>
      <c r="J28" s="94">
        <v>0</v>
      </c>
      <c r="K28" s="94">
        <v>0</v>
      </c>
      <c r="M28" t="b">
        <f t="shared" si="0"/>
        <v>1</v>
      </c>
      <c r="V28" s="50" t="s">
        <v>68</v>
      </c>
      <c r="W28" s="55">
        <v>34</v>
      </c>
      <c r="X28" s="51">
        <f>MID(Table18[[#This Row],[IP]],LEN(Table18[[#This Row],[IP]])-1,1)+(--MID(V28,8,1)-1)*9</f>
        <v>70</v>
      </c>
      <c r="Y28" s="52" t="s">
        <v>31</v>
      </c>
      <c r="AE28" s="104" t="str">
        <f t="shared" si="3"/>
        <v>61B</v>
      </c>
      <c r="AF28" s="99">
        <v>12</v>
      </c>
      <c r="AG28" s="99">
        <v>11</v>
      </c>
      <c r="AH28" s="99">
        <v>0</v>
      </c>
      <c r="AI28" s="99">
        <v>10</v>
      </c>
      <c r="AJ28" s="99">
        <v>10</v>
      </c>
      <c r="AL28" s="120">
        <f>Table18[[#This Row],[SBMU01]]+AF28</f>
        <v>1422.3</v>
      </c>
      <c r="AM28">
        <f>Table18[[#This Row],[SBMU02]]+AG28</f>
        <v>1422.9</v>
      </c>
      <c r="AN28">
        <f>Table18[[#This Row],[SBMU03]]+AH28</f>
        <v>1411.8</v>
      </c>
      <c r="AO28">
        <f>Table18[[#This Row],[SBMU04]]+AI28</f>
        <v>1420.2</v>
      </c>
      <c r="AP28" s="121">
        <f>Table18[[#This Row],[SBMU05]]+AJ28</f>
        <v>1420.8</v>
      </c>
    </row>
    <row r="29" spans="1:42" ht="15">
      <c r="A29" t="str">
        <f t="shared" si="1"/>
        <v>10.238.7.79</v>
      </c>
      <c r="B29" s="102">
        <f>MID(Table18[[#This Row],[IP]],LEN(Table18[[#This Row],[IP]])-1,1)+(--MID(Table18[[#This Row],[IP]],8,1)-1)*9</f>
        <v>61</v>
      </c>
      <c r="C29" s="102" t="s">
        <v>32</v>
      </c>
      <c r="D29" s="108">
        <v>1409.4</v>
      </c>
      <c r="E29" s="94">
        <v>1409.2</v>
      </c>
      <c r="F29" s="94">
        <v>1407.7</v>
      </c>
      <c r="G29" s="94">
        <v>1408.7</v>
      </c>
      <c r="H29" s="109">
        <v>1408.4</v>
      </c>
      <c r="I29" s="94" cm="1">
        <f t="array" ref="I29">IF(SUM((Table18[[#This Row],[SBMU01]:[SBMU05]]&lt;3)*1)=5,0,SUMPRODUCT(IF(Table18[[#This Row],[SBMU01]:[SBMU05]]&lt;3,1,0),{1,2,4,8,16}))</f>
        <v>0</v>
      </c>
      <c r="J29" s="94">
        <v>0</v>
      </c>
      <c r="K29" s="94">
        <v>0</v>
      </c>
      <c r="M29" t="b">
        <f t="shared" si="0"/>
        <v>1</v>
      </c>
      <c r="V29" s="53" t="s">
        <v>69</v>
      </c>
      <c r="W29" s="56">
        <v>34</v>
      </c>
      <c r="X29" s="51">
        <f>MID(Table18[[#This Row],[IP]],LEN(Table18[[#This Row],[IP]])-1,1)+(--MID(V29,8,1)-1)*9</f>
        <v>70</v>
      </c>
      <c r="Y29" s="54" t="s">
        <v>32</v>
      </c>
      <c r="AE29" s="103" t="str">
        <f t="shared" si="3"/>
        <v>61A</v>
      </c>
      <c r="AF29" s="100">
        <v>15</v>
      </c>
      <c r="AG29" s="100">
        <v>8</v>
      </c>
      <c r="AH29" s="100">
        <v>10.3</v>
      </c>
      <c r="AI29" s="100">
        <v>0</v>
      </c>
      <c r="AJ29" s="100">
        <v>7</v>
      </c>
      <c r="AL29" s="120">
        <f>Table18[[#This Row],[SBMU01]]+AF29</f>
        <v>1424.4</v>
      </c>
      <c r="AM29">
        <f>Table18[[#This Row],[SBMU02]]+AG29</f>
        <v>1417.2</v>
      </c>
      <c r="AN29">
        <f>Table18[[#This Row],[SBMU03]]+AH29</f>
        <v>1418</v>
      </c>
      <c r="AO29">
        <f>Table18[[#This Row],[SBMU04]]+AI29</f>
        <v>1408.7</v>
      </c>
      <c r="AP29" s="121">
        <f>Table18[[#This Row],[SBMU05]]+AJ29</f>
        <v>1415.4</v>
      </c>
    </row>
    <row r="30" spans="1:42" ht="15">
      <c r="A30" t="str">
        <f t="shared" si="1"/>
        <v>10.238.7.86</v>
      </c>
      <c r="B30" s="102">
        <f>MID(Table18[[#This Row],[IP]],LEN(Table18[[#This Row],[IP]])-1,1)+(--MID(Table18[[#This Row],[IP]],8,1)-1)*9</f>
        <v>62</v>
      </c>
      <c r="C30" s="102" t="s">
        <v>29</v>
      </c>
      <c r="D30" s="108">
        <v>1396.4</v>
      </c>
      <c r="E30" s="94">
        <v>1396.1</v>
      </c>
      <c r="F30" s="94">
        <v>1397.2</v>
      </c>
      <c r="G30" s="94">
        <v>1397.2</v>
      </c>
      <c r="H30" s="109">
        <v>1396.8</v>
      </c>
      <c r="I30" s="94" cm="1">
        <f t="array" ref="I30">IF(SUM((Table18[[#This Row],[SBMU01]:[SBMU05]]&lt;3)*1)=5,0,SUMPRODUCT(IF(Table18[[#This Row],[SBMU01]:[SBMU05]]&lt;3,1,0),{1,2,4,8,16}))</f>
        <v>0</v>
      </c>
      <c r="J30" s="94">
        <v>0</v>
      </c>
      <c r="K30" s="94">
        <v>0</v>
      </c>
      <c r="M30" t="b">
        <f t="shared" si="0"/>
        <v>1</v>
      </c>
      <c r="V30" s="50" t="s">
        <v>70</v>
      </c>
      <c r="W30" s="55">
        <v>30</v>
      </c>
      <c r="X30" s="51">
        <f>MID(Table18[[#This Row],[IP]],LEN(Table18[[#This Row],[IP]])-1,1)+(--MID(V30,8,1)-1)*9</f>
        <v>71</v>
      </c>
      <c r="Y30" s="52" t="s">
        <v>29</v>
      </c>
      <c r="AE30" s="104" t="str">
        <f t="shared" si="3"/>
        <v>62D</v>
      </c>
      <c r="AF30" s="99">
        <v>213</v>
      </c>
      <c r="AG30" s="99">
        <v>212</v>
      </c>
      <c r="AH30" s="99">
        <v>213</v>
      </c>
      <c r="AI30" s="99">
        <v>211</v>
      </c>
      <c r="AJ30" s="99">
        <v>218</v>
      </c>
      <c r="AL30" s="120">
        <f>Table18[[#This Row],[SBMU01]]+AF30</f>
        <v>1609.4</v>
      </c>
      <c r="AM30">
        <f>Table18[[#This Row],[SBMU02]]+AG30</f>
        <v>1608.1</v>
      </c>
      <c r="AN30">
        <f>Table18[[#This Row],[SBMU03]]+AH30</f>
        <v>1610.2</v>
      </c>
      <c r="AO30">
        <f>Table18[[#This Row],[SBMU04]]+AI30</f>
        <v>1608.2</v>
      </c>
      <c r="AP30" s="121">
        <f>Table18[[#This Row],[SBMU05]]+AJ30</f>
        <v>1614.8</v>
      </c>
    </row>
    <row r="31" spans="1:42" ht="15">
      <c r="A31" t="str">
        <f t="shared" si="1"/>
        <v>10.238.7.87</v>
      </c>
      <c r="B31" s="102">
        <f>MID(Table18[[#This Row],[IP]],LEN(Table18[[#This Row],[IP]])-1,1)+(--MID(Table18[[#This Row],[IP]],8,1)-1)*9</f>
        <v>62</v>
      </c>
      <c r="C31" s="102" t="s">
        <v>30</v>
      </c>
      <c r="D31" s="108">
        <v>1398</v>
      </c>
      <c r="E31" s="94">
        <v>1397.1</v>
      </c>
      <c r="F31" s="94">
        <v>1395.1</v>
      </c>
      <c r="G31" s="94">
        <v>1398.7</v>
      </c>
      <c r="H31" s="109">
        <v>1396.9</v>
      </c>
      <c r="I31" s="94" cm="1">
        <f t="array" ref="I31">IF(SUM((Table18[[#This Row],[SBMU01]:[SBMU05]]&lt;3)*1)=5,0,SUMPRODUCT(IF(Table18[[#This Row],[SBMU01]:[SBMU05]]&lt;3,1,0),{1,2,4,8,16}))</f>
        <v>0</v>
      </c>
      <c r="J31" s="94">
        <v>0</v>
      </c>
      <c r="K31" s="94">
        <v>0</v>
      </c>
      <c r="M31" t="b">
        <f t="shared" si="0"/>
        <v>1</v>
      </c>
      <c r="V31" s="53" t="s">
        <v>71</v>
      </c>
      <c r="W31" s="56">
        <v>28</v>
      </c>
      <c r="X31" s="51">
        <f>MID(Table18[[#This Row],[IP]],LEN(Table18[[#This Row],[IP]])-1,1)+(--MID(V31,8,1)-1)*9</f>
        <v>71</v>
      </c>
      <c r="Y31" s="54" t="s">
        <v>30</v>
      </c>
      <c r="AE31" s="103" t="str">
        <f t="shared" si="3"/>
        <v>62C</v>
      </c>
      <c r="AF31" s="100">
        <v>217</v>
      </c>
      <c r="AG31" s="100">
        <v>198</v>
      </c>
      <c r="AH31" s="100">
        <v>216</v>
      </c>
      <c r="AI31" s="100">
        <v>216</v>
      </c>
      <c r="AJ31" s="100">
        <v>217</v>
      </c>
      <c r="AL31" s="120">
        <f>Table18[[#This Row],[SBMU01]]+AF31</f>
        <v>1615</v>
      </c>
      <c r="AM31">
        <f>Table18[[#This Row],[SBMU02]]+AG31</f>
        <v>1595.1</v>
      </c>
      <c r="AN31">
        <f>Table18[[#This Row],[SBMU03]]+AH31</f>
        <v>1611.1</v>
      </c>
      <c r="AO31">
        <f>Table18[[#This Row],[SBMU04]]+AI31</f>
        <v>1614.7</v>
      </c>
      <c r="AP31" s="121">
        <f>Table18[[#This Row],[SBMU05]]+AJ31</f>
        <v>1613.9</v>
      </c>
    </row>
    <row r="32" spans="1:42" ht="15">
      <c r="A32" t="str">
        <f t="shared" si="1"/>
        <v>10.238.7.88</v>
      </c>
      <c r="B32" s="102">
        <f>MID(Table18[[#This Row],[IP]],LEN(Table18[[#This Row],[IP]])-1,1)+(--MID(Table18[[#This Row],[IP]],8,1)-1)*9</f>
        <v>62</v>
      </c>
      <c r="C32" s="102" t="s">
        <v>31</v>
      </c>
      <c r="D32" s="108">
        <v>1386.7</v>
      </c>
      <c r="E32" s="94">
        <v>1383.2</v>
      </c>
      <c r="F32" s="94">
        <v>1383.7</v>
      </c>
      <c r="G32" s="94">
        <v>1384.5</v>
      </c>
      <c r="H32" s="109">
        <v>1384.3</v>
      </c>
      <c r="I32" s="94" cm="1">
        <f t="array" ref="I32">IF(SUM((Table18[[#This Row],[SBMU01]:[SBMU05]]&lt;3)*1)=5,0,SUMPRODUCT(IF(Table18[[#This Row],[SBMU01]:[SBMU05]]&lt;3,1,0),{1,2,4,8,16}))</f>
        <v>0</v>
      </c>
      <c r="J32" s="94">
        <v>0</v>
      </c>
      <c r="K32" s="94">
        <v>0</v>
      </c>
      <c r="M32" t="b">
        <f t="shared" si="0"/>
        <v>1</v>
      </c>
      <c r="V32" s="50" t="s">
        <v>72</v>
      </c>
      <c r="W32" s="55">
        <v>31</v>
      </c>
      <c r="X32" s="51">
        <f>MID(Table18[[#This Row],[IP]],LEN(Table18[[#This Row],[IP]])-1,1)+(--MID(V32,8,1)-1)*9</f>
        <v>71</v>
      </c>
      <c r="Y32" s="52" t="s">
        <v>31</v>
      </c>
      <c r="AE32" s="104" t="str">
        <f t="shared" si="3"/>
        <v>62B</v>
      </c>
      <c r="AF32" s="99">
        <v>274</v>
      </c>
      <c r="AG32" s="99">
        <v>267</v>
      </c>
      <c r="AH32" s="99">
        <v>251</v>
      </c>
      <c r="AI32" s="99">
        <v>265</v>
      </c>
      <c r="AJ32" s="99">
        <v>269</v>
      </c>
      <c r="AL32" s="120">
        <f>Table18[[#This Row],[SBMU01]]+AF32</f>
        <v>1660.7</v>
      </c>
      <c r="AM32">
        <f>Table18[[#This Row],[SBMU02]]+AG32</f>
        <v>1650.2</v>
      </c>
      <c r="AN32">
        <f>Table18[[#This Row],[SBMU03]]+AH32</f>
        <v>1634.7</v>
      </c>
      <c r="AO32">
        <f>Table18[[#This Row],[SBMU04]]+AI32</f>
        <v>1649.5</v>
      </c>
      <c r="AP32" s="121">
        <f>Table18[[#This Row],[SBMU05]]+AJ32</f>
        <v>1653.3</v>
      </c>
    </row>
    <row r="33" spans="1:42" ht="15">
      <c r="A33" t="str">
        <f t="shared" si="1"/>
        <v>10.238.7.89</v>
      </c>
      <c r="B33" s="102">
        <f>MID(Table18[[#This Row],[IP]],LEN(Table18[[#This Row],[IP]])-1,1)+(--MID(Table18[[#This Row],[IP]],8,1)-1)*9</f>
        <v>62</v>
      </c>
      <c r="C33" s="102" t="s">
        <v>32</v>
      </c>
      <c r="D33" s="108">
        <v>1394.8</v>
      </c>
      <c r="E33" s="94">
        <v>1394.6</v>
      </c>
      <c r="F33" s="94">
        <v>1395.5</v>
      </c>
      <c r="G33" s="94">
        <v>1396.4</v>
      </c>
      <c r="H33" s="109">
        <v>1395.8</v>
      </c>
      <c r="I33" s="94" cm="1">
        <f t="array" ref="I33">IF(SUM((Table18[[#This Row],[SBMU01]:[SBMU05]]&lt;3)*1)=5,0,SUMPRODUCT(IF(Table18[[#This Row],[SBMU01]:[SBMU05]]&lt;3,1,0),{1,2,4,8,16}))</f>
        <v>0</v>
      </c>
      <c r="J33" s="94">
        <v>0</v>
      </c>
      <c r="K33" s="94">
        <v>0</v>
      </c>
      <c r="M33" t="b">
        <f t="shared" si="0"/>
        <v>1</v>
      </c>
      <c r="V33" s="53" t="s">
        <v>73</v>
      </c>
      <c r="W33" s="56">
        <v>31</v>
      </c>
      <c r="X33" s="51">
        <f>MID(Table18[[#This Row],[IP]],LEN(Table18[[#This Row],[IP]])-1,1)+(--MID(V33,8,1)-1)*9</f>
        <v>71</v>
      </c>
      <c r="Y33" s="54" t="s">
        <v>32</v>
      </c>
      <c r="AE33" s="103" t="str">
        <f t="shared" si="3"/>
        <v>62A</v>
      </c>
      <c r="AF33" s="100">
        <v>198</v>
      </c>
      <c r="AG33" s="100">
        <v>197</v>
      </c>
      <c r="AH33" s="100">
        <v>189</v>
      </c>
      <c r="AI33" s="100">
        <v>197</v>
      </c>
      <c r="AJ33" s="100">
        <v>198</v>
      </c>
      <c r="AL33" s="120">
        <f>Table18[[#This Row],[SBMU01]]+AF33</f>
        <v>1592.8</v>
      </c>
      <c r="AM33">
        <f>Table18[[#This Row],[SBMU02]]+AG33</f>
        <v>1591.6</v>
      </c>
      <c r="AN33">
        <f>Table18[[#This Row],[SBMU03]]+AH33</f>
        <v>1584.5</v>
      </c>
      <c r="AO33">
        <f>Table18[[#This Row],[SBMU04]]+AI33</f>
        <v>1593.4</v>
      </c>
      <c r="AP33" s="121">
        <f>Table18[[#This Row],[SBMU05]]+AJ33</f>
        <v>1593.8</v>
      </c>
    </row>
    <row r="34" spans="1:42" ht="15">
      <c r="A34" t="str">
        <f t="shared" si="1"/>
        <v>10.238.7.96</v>
      </c>
      <c r="B34" s="102">
        <f>MID(Table18[[#This Row],[IP]],LEN(Table18[[#This Row],[IP]])-1,1)+(--MID(Table18[[#This Row],[IP]],8,1)-1)*9</f>
        <v>63</v>
      </c>
      <c r="C34" s="102" t="s">
        <v>29</v>
      </c>
      <c r="D34" s="108">
        <v>1413.3</v>
      </c>
      <c r="E34" s="94">
        <v>1412.9</v>
      </c>
      <c r="F34" s="94">
        <v>1414.2</v>
      </c>
      <c r="G34" s="94">
        <v>1412.6</v>
      </c>
      <c r="H34" s="109">
        <v>1412.8</v>
      </c>
      <c r="I34" s="94" cm="1">
        <f t="array" ref="I34">IF(SUM((Table18[[#This Row],[SBMU01]:[SBMU05]]&lt;3)*1)=5,0,SUMPRODUCT(IF(Table18[[#This Row],[SBMU01]:[SBMU05]]&lt;3,1,0),{1,2,4,8,16}))</f>
        <v>0</v>
      </c>
      <c r="J34" s="94">
        <v>0</v>
      </c>
      <c r="K34" s="94">
        <v>0</v>
      </c>
      <c r="M34" t="b">
        <f t="shared" si="0"/>
        <v>1</v>
      </c>
      <c r="V34" s="50" t="s">
        <v>74</v>
      </c>
      <c r="W34" s="55">
        <v>23</v>
      </c>
      <c r="X34" s="51">
        <f>MID(Table18[[#This Row],[IP]],LEN(Table18[[#This Row],[IP]])-1,1)+(--MID(V34,8,1)-1)*9</f>
        <v>72</v>
      </c>
      <c r="Y34" s="52" t="s">
        <v>29</v>
      </c>
      <c r="AE34" s="104" t="str">
        <f t="shared" si="3"/>
        <v>63D</v>
      </c>
      <c r="AF34" s="99">
        <v>14</v>
      </c>
      <c r="AG34" s="99">
        <v>18</v>
      </c>
      <c r="AH34" s="99">
        <v>0</v>
      </c>
      <c r="AI34" s="99">
        <v>13</v>
      </c>
      <c r="AJ34" s="99">
        <v>10</v>
      </c>
      <c r="AL34" s="120">
        <f>Table18[[#This Row],[SBMU01]]+AF34</f>
        <v>1427.3</v>
      </c>
      <c r="AM34">
        <f>Table18[[#This Row],[SBMU02]]+AG34</f>
        <v>1430.9</v>
      </c>
      <c r="AN34">
        <f>Table18[[#This Row],[SBMU03]]+AH34</f>
        <v>1414.2</v>
      </c>
      <c r="AO34">
        <f>Table18[[#This Row],[SBMU04]]+AI34</f>
        <v>1425.6</v>
      </c>
      <c r="AP34" s="121">
        <f>Table18[[#This Row],[SBMU05]]+AJ34</f>
        <v>1422.8</v>
      </c>
    </row>
    <row r="35" spans="1:42" ht="15">
      <c r="A35" t="str">
        <f t="shared" si="1"/>
        <v>10.238.7.97</v>
      </c>
      <c r="B35" s="102">
        <f>MID(Table18[[#This Row],[IP]],LEN(Table18[[#This Row],[IP]])-1,1)+(--MID(Table18[[#This Row],[IP]],8,1)-1)*9</f>
        <v>63</v>
      </c>
      <c r="C35" s="102" t="s">
        <v>30</v>
      </c>
      <c r="D35" s="108">
        <v>1418.4</v>
      </c>
      <c r="E35" s="94">
        <v>1417.8</v>
      </c>
      <c r="F35" s="94">
        <v>1418.6</v>
      </c>
      <c r="G35" s="94">
        <v>1417.9</v>
      </c>
      <c r="H35" s="109">
        <v>1418.6</v>
      </c>
      <c r="I35" s="94" cm="1">
        <f t="array" ref="I35">IF(SUM((Table18[[#This Row],[SBMU01]:[SBMU05]]&lt;3)*1)=5,0,SUMPRODUCT(IF(Table18[[#This Row],[SBMU01]:[SBMU05]]&lt;3,1,0),{1,2,4,8,16}))</f>
        <v>0</v>
      </c>
      <c r="J35" s="94">
        <v>0</v>
      </c>
      <c r="K35" s="94">
        <v>0</v>
      </c>
      <c r="M35" t="b">
        <f t="shared" si="0"/>
        <v>1</v>
      </c>
      <c r="V35" s="53" t="s">
        <v>75</v>
      </c>
      <c r="W35" s="56">
        <v>23</v>
      </c>
      <c r="X35" s="51">
        <f>MID(Table18[[#This Row],[IP]],LEN(Table18[[#This Row],[IP]])-1,1)+(--MID(V35,8,1)-1)*9</f>
        <v>72</v>
      </c>
      <c r="Y35" s="54" t="s">
        <v>30</v>
      </c>
      <c r="AE35" s="103" t="str">
        <f t="shared" si="3"/>
        <v>63C</v>
      </c>
      <c r="AF35" s="100">
        <v>0</v>
      </c>
      <c r="AG35" s="100">
        <v>9</v>
      </c>
      <c r="AH35" s="100">
        <v>11</v>
      </c>
      <c r="AI35" s="100">
        <v>10</v>
      </c>
      <c r="AJ35" s="100">
        <v>9</v>
      </c>
      <c r="AL35" s="120">
        <f>Table18[[#This Row],[SBMU01]]+AF35</f>
        <v>1418.4</v>
      </c>
      <c r="AM35">
        <f>Table18[[#This Row],[SBMU02]]+AG35</f>
        <v>1426.8</v>
      </c>
      <c r="AN35">
        <f>Table18[[#This Row],[SBMU03]]+AH35</f>
        <v>1429.6</v>
      </c>
      <c r="AO35">
        <f>Table18[[#This Row],[SBMU04]]+AI35</f>
        <v>1427.9</v>
      </c>
      <c r="AP35" s="121">
        <f>Table18[[#This Row],[SBMU05]]+AJ35</f>
        <v>1427.6</v>
      </c>
    </row>
    <row r="36" spans="1:42" ht="15">
      <c r="A36" t="str">
        <f t="shared" si="1"/>
        <v>10.238.7.98</v>
      </c>
      <c r="B36" s="102">
        <f>MID(Table18[[#This Row],[IP]],LEN(Table18[[#This Row],[IP]])-1,1)+(--MID(Table18[[#This Row],[IP]],8,1)-1)*9</f>
        <v>63</v>
      </c>
      <c r="C36" s="102" t="s">
        <v>31</v>
      </c>
      <c r="D36" s="108">
        <v>1416.4</v>
      </c>
      <c r="E36" s="94">
        <v>1413.7</v>
      </c>
      <c r="F36" s="94">
        <v>1417.3</v>
      </c>
      <c r="G36" s="94">
        <v>1415.2</v>
      </c>
      <c r="H36" s="109">
        <v>1416.1</v>
      </c>
      <c r="I36" s="94" cm="1">
        <f t="array" ref="I36">IF(SUM((Table18[[#This Row],[SBMU01]:[SBMU05]]&lt;3)*1)=5,0,SUMPRODUCT(IF(Table18[[#This Row],[SBMU01]:[SBMU05]]&lt;3,1,0),{1,2,4,8,16}))</f>
        <v>0</v>
      </c>
      <c r="J36" s="94">
        <v>0</v>
      </c>
      <c r="K36" s="94">
        <v>0</v>
      </c>
      <c r="M36" t="b">
        <f t="shared" si="0"/>
        <v>1</v>
      </c>
      <c r="V36" s="50" t="s">
        <v>76</v>
      </c>
      <c r="W36" s="55">
        <v>24</v>
      </c>
      <c r="X36" s="51">
        <f>MID(Table18[[#This Row],[IP]],LEN(Table18[[#This Row],[IP]])-1,1)+(--MID(V36,8,1)-1)*9</f>
        <v>72</v>
      </c>
      <c r="Y36" s="52" t="s">
        <v>31</v>
      </c>
      <c r="AE36" s="104" t="str">
        <f t="shared" si="3"/>
        <v>63B</v>
      </c>
      <c r="AF36" s="99">
        <v>12</v>
      </c>
      <c r="AG36" s="99">
        <v>0</v>
      </c>
      <c r="AH36" s="99">
        <v>13</v>
      </c>
      <c r="AI36" s="99">
        <v>11</v>
      </c>
      <c r="AJ36" s="99">
        <v>16</v>
      </c>
      <c r="AL36" s="120">
        <f>Table18[[#This Row],[SBMU01]]+AF36</f>
        <v>1428.4</v>
      </c>
      <c r="AM36">
        <f>Table18[[#This Row],[SBMU02]]+AG36</f>
        <v>1413.7</v>
      </c>
      <c r="AN36">
        <f>Table18[[#This Row],[SBMU03]]+AH36</f>
        <v>1430.3</v>
      </c>
      <c r="AO36">
        <f>Table18[[#This Row],[SBMU04]]+AI36</f>
        <v>1426.2</v>
      </c>
      <c r="AP36" s="121">
        <f>Table18[[#This Row],[SBMU05]]+AJ36</f>
        <v>1432.1</v>
      </c>
    </row>
    <row r="37" spans="1:42" ht="15.75" thickBot="1">
      <c r="A37" t="str">
        <f t="shared" si="1"/>
        <v>10.238.7.99</v>
      </c>
      <c r="B37" s="102">
        <f>MID(Table18[[#This Row],[IP]],LEN(Table18[[#This Row],[IP]])-1,1)+(--MID(Table18[[#This Row],[IP]],8,1)-1)*9</f>
        <v>63</v>
      </c>
      <c r="C37" s="102" t="s">
        <v>32</v>
      </c>
      <c r="D37" s="110">
        <v>1402.1</v>
      </c>
      <c r="E37" s="111">
        <v>1401.6</v>
      </c>
      <c r="F37" s="111">
        <v>1402.4</v>
      </c>
      <c r="G37" s="111">
        <v>1401.6</v>
      </c>
      <c r="H37" s="112">
        <v>1402.5</v>
      </c>
      <c r="I37" s="94" cm="1">
        <f t="array" ref="I37">IF(SUM((Table18[[#This Row],[SBMU01]:[SBMU05]]&lt;3)*1)=5,0,SUMPRODUCT(IF(Table18[[#This Row],[SBMU01]:[SBMU05]]&lt;3,1,0),{1,2,4,8,16}))</f>
        <v>0</v>
      </c>
      <c r="J37" s="94">
        <v>0</v>
      </c>
      <c r="K37" s="94">
        <v>0</v>
      </c>
      <c r="M37" t="b">
        <f t="shared" si="0"/>
        <v>1</v>
      </c>
      <c r="V37" s="53" t="s">
        <v>77</v>
      </c>
      <c r="W37" s="56">
        <v>24</v>
      </c>
      <c r="X37" s="51">
        <f>MID(Table18[[#This Row],[IP]],LEN(Table18[[#This Row],[IP]])-1,1)+(--MID(V37,8,1)-1)*9</f>
        <v>72</v>
      </c>
      <c r="Y37" s="54" t="s">
        <v>32</v>
      </c>
      <c r="AE37" s="103" t="str">
        <f t="shared" si="3"/>
        <v>63A</v>
      </c>
      <c r="AF37" s="100">
        <v>15</v>
      </c>
      <c r="AG37" s="100">
        <v>10</v>
      </c>
      <c r="AH37" s="100">
        <v>0</v>
      </c>
      <c r="AI37" s="100">
        <v>12</v>
      </c>
      <c r="AJ37" s="100">
        <v>11</v>
      </c>
      <c r="AL37" s="122">
        <f>Table18[[#This Row],[SBMU01]]+AF37</f>
        <v>1417.1</v>
      </c>
      <c r="AM37" s="123">
        <f>Table18[[#This Row],[SBMU02]]+AG37</f>
        <v>1411.6</v>
      </c>
      <c r="AN37" s="123">
        <f>Table18[[#This Row],[SBMU03]]+AH37</f>
        <v>1402.4</v>
      </c>
      <c r="AO37" s="123">
        <f>Table18[[#This Row],[SBMU04]]+AI37</f>
        <v>1413.6</v>
      </c>
      <c r="AP37" s="124">
        <f>Table18[[#This Row],[SBMU05]]+AJ37</f>
        <v>1413.5</v>
      </c>
    </row>
  </sheetData>
  <phoneticPr fontId="12" type="noConversion"/>
  <conditionalFormatting sqref="I2:I37">
    <cfRule type="cellIs" dxfId="9" priority="9" operator="notEqual">
      <formula>K2</formula>
    </cfRule>
  </conditionalFormatting>
  <conditionalFormatting sqref="M3:M37">
    <cfRule type="cellIs" dxfId="8" priority="8" operator="equal">
      <formula>TRUE</formula>
    </cfRule>
  </conditionalFormatting>
  <conditionalFormatting sqref="M2">
    <cfRule type="cellIs" dxfId="7" priority="7" operator="equal">
      <formula>TRUE</formula>
    </cfRule>
  </conditionalFormatting>
  <conditionalFormatting sqref="D2:H37">
    <cfRule type="top10" dxfId="6" priority="4" rank="1"/>
    <cfRule type="cellIs" dxfId="5" priority="6" operator="lessThan">
      <formula>3</formula>
    </cfRule>
  </conditionalFormatting>
  <conditionalFormatting sqref="AF2:AJ37">
    <cfRule type="top10" dxfId="4" priority="3" bottom="1" rank="1"/>
    <cfRule type="cellIs" dxfId="3" priority="5" operator="lessThan">
      <formula>2.8</formula>
    </cfRule>
  </conditionalFormatting>
  <conditionalFormatting sqref="AL2:AP37">
    <cfRule type="top10" dxfId="2" priority="1" bottom="1" rank="1"/>
    <cfRule type="expression" dxfId="1" priority="2">
      <formula>AL2&lt;700</formula>
    </cfRule>
  </conditionalFormatting>
  <dataValidations count="3">
    <dataValidation type="list" allowBlank="1" showInputMessage="1" showErrorMessage="1" sqref="R1" xr:uid="{A4FE7BFE-F7F6-421E-A4DE-211642116630}">
      <formula1>$AA$2:$AA$9</formula1>
    </dataValidation>
    <dataValidation type="list" allowBlank="1" sqref="O1:O2" xr:uid="{C82E67D3-8FD2-4DEF-9071-D85FEFFEB114}">
      <formula1>$Q$3:$Q$16</formula1>
    </dataValidation>
    <dataValidation type="list" allowBlank="1" showInputMessage="1" showErrorMessage="1" sqref="P2" xr:uid="{4850E252-774F-40B1-8CB4-A2CFD45A39B6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J290"/>
  <sheetViews>
    <sheetView workbookViewId="0"/>
  </sheetViews>
  <sheetFormatPr defaultRowHeight="13.5"/>
  <cols>
    <col min="1" max="1" width="11.875" bestFit="1" customWidth="1"/>
    <col min="2" max="2" width="4.25" customWidth="1"/>
    <col min="3" max="27" width="6.625" customWidth="1"/>
  </cols>
  <sheetData>
    <row r="1" spans="1:36" ht="15">
      <c r="A1" s="86" t="s">
        <v>27</v>
      </c>
      <c r="B1" s="86" t="s">
        <v>28</v>
      </c>
      <c r="C1" s="86" t="s">
        <v>119</v>
      </c>
      <c r="D1" s="86" t="s">
        <v>120</v>
      </c>
      <c r="E1" s="86" t="s">
        <v>121</v>
      </c>
      <c r="F1" s="86" t="s">
        <v>122</v>
      </c>
      <c r="G1" s="86" t="s">
        <v>123</v>
      </c>
      <c r="H1" s="86" t="s">
        <v>124</v>
      </c>
      <c r="I1" s="86" t="s">
        <v>125</v>
      </c>
      <c r="J1" s="86" t="s">
        <v>126</v>
      </c>
      <c r="K1" s="86" t="s">
        <v>127</v>
      </c>
      <c r="L1" s="86" t="s">
        <v>128</v>
      </c>
      <c r="M1" s="86" t="s">
        <v>129</v>
      </c>
      <c r="N1" s="86" t="s">
        <v>130</v>
      </c>
      <c r="O1" s="87" t="s">
        <v>385</v>
      </c>
      <c r="P1" s="87" t="s">
        <v>386</v>
      </c>
      <c r="Q1" s="86" t="s">
        <v>387</v>
      </c>
      <c r="R1" s="86" t="s">
        <v>702</v>
      </c>
      <c r="S1" s="86" t="s">
        <v>717</v>
      </c>
      <c r="T1" s="86" t="s">
        <v>718</v>
      </c>
      <c r="U1" s="59"/>
      <c r="V1" s="59"/>
      <c r="W1" s="59"/>
      <c r="X1" s="85">
        <v>16</v>
      </c>
      <c r="Z1" s="85">
        <v>17</v>
      </c>
      <c r="AB1" t="str">
        <f>"D:\Download\00-CATL\KBESS\HotCommissionTool\data\"&amp;AB6</f>
        <v>D:\Download\00-CATL\KBESS\HotCommissionTool\data\SocVolt-20250201-055733.csv</v>
      </c>
    </row>
    <row r="2" spans="1:36" ht="15">
      <c r="A2" s="59" t="s">
        <v>27</v>
      </c>
      <c r="B2" s="59" t="s">
        <v>28</v>
      </c>
      <c r="C2" s="59">
        <v>34</v>
      </c>
      <c r="D2" s="59">
        <v>32</v>
      </c>
      <c r="E2" s="59">
        <v>1059</v>
      </c>
      <c r="F2" s="59">
        <f>E2+1024</f>
        <v>2083</v>
      </c>
      <c r="G2" s="59">
        <f>F2+1024</f>
        <v>3107</v>
      </c>
      <c r="H2" s="59">
        <f>G2+1024</f>
        <v>4131</v>
      </c>
      <c r="I2" s="59">
        <f>H2+1024</f>
        <v>5155</v>
      </c>
      <c r="J2" s="59">
        <v>1057</v>
      </c>
      <c r="K2" s="59">
        <f>J2+1024</f>
        <v>2081</v>
      </c>
      <c r="L2" s="59">
        <f>K2+1024</f>
        <v>3105</v>
      </c>
      <c r="M2" s="59">
        <f>L2+1024</f>
        <v>4129</v>
      </c>
      <c r="N2" s="59">
        <f>M2+1024</f>
        <v>5153</v>
      </c>
      <c r="O2" s="85">
        <v>16</v>
      </c>
      <c r="P2" s="85">
        <v>17</v>
      </c>
      <c r="Q2" s="85">
        <v>770</v>
      </c>
      <c r="R2" s="85">
        <v>56</v>
      </c>
      <c r="S2" s="75"/>
      <c r="T2" s="75"/>
      <c r="X2" cm="1">
        <f t="array" ref="X2">_xlfn._xlws.SORT(_xlfn.UNIQUE(O3:O290))</f>
        <v>0</v>
      </c>
      <c r="Z2" cm="1">
        <f t="array" ref="Z2:Z4">_xlfn._xlws.SORT(_xlfn.UNIQUE(P3:P290))</f>
        <v>0</v>
      </c>
    </row>
    <row r="3" spans="1:36">
      <c r="A3" t="s">
        <v>132</v>
      </c>
      <c r="B3" t="s">
        <v>408</v>
      </c>
      <c r="C3" s="75">
        <v>84.9</v>
      </c>
      <c r="D3" s="75">
        <v>1401</v>
      </c>
      <c r="E3" s="75">
        <v>85.2</v>
      </c>
      <c r="F3" s="75">
        <v>83.6</v>
      </c>
      <c r="G3" s="75">
        <v>83.7</v>
      </c>
      <c r="H3" s="75">
        <v>84.5</v>
      </c>
      <c r="I3" s="75">
        <v>83.3</v>
      </c>
      <c r="J3" s="83">
        <v>1400.7</v>
      </c>
      <c r="K3" s="83">
        <v>1401.8</v>
      </c>
      <c r="L3" s="83">
        <v>1401.4</v>
      </c>
      <c r="M3" s="83">
        <v>1402.2</v>
      </c>
      <c r="N3" s="83">
        <v>1400.1</v>
      </c>
      <c r="O3" s="75">
        <v>0</v>
      </c>
      <c r="P3" s="75">
        <v>0</v>
      </c>
      <c r="Q3" s="75">
        <v>1</v>
      </c>
      <c r="R3" s="75">
        <v>25</v>
      </c>
      <c r="S3" s="75">
        <f>MAX(Table2[[#This Row],[volt-sbmu1]:[volt-sbmu5]])-MIN(Table2[[#This Row],[volt-sbmu1]:[volt-sbmu5]])</f>
        <v>2.1000000000001364</v>
      </c>
      <c r="T3" s="75">
        <f>MAX(Table2[[#This Row],[soc-sbmu1]:[soc-sbmu5]])-MIN(Table2[[#This Row],[soc-sbmu1]:[soc-sbmu5]])</f>
        <v>1.9000000000000057</v>
      </c>
      <c r="U3" s="75"/>
      <c r="V3" s="75"/>
      <c r="Y3">
        <f>COUNTIF(O:O,X3)</f>
        <v>288</v>
      </c>
      <c r="Z3">
        <v>64</v>
      </c>
      <c r="AA3">
        <f>COUNTIF(P:P,Z3)</f>
        <v>9</v>
      </c>
    </row>
    <row r="4" spans="1:36">
      <c r="A4" t="s">
        <v>133</v>
      </c>
      <c r="B4" t="s">
        <v>409</v>
      </c>
      <c r="C4" s="75">
        <v>84.5</v>
      </c>
      <c r="D4" s="75">
        <v>1400.4</v>
      </c>
      <c r="E4" s="75">
        <v>83.8</v>
      </c>
      <c r="F4" s="75">
        <v>83.2</v>
      </c>
      <c r="G4" s="75">
        <v>83.5</v>
      </c>
      <c r="H4" s="75">
        <v>84.8</v>
      </c>
      <c r="I4" s="75">
        <v>83.1</v>
      </c>
      <c r="J4" s="83">
        <v>1399.7</v>
      </c>
      <c r="K4" s="83">
        <v>1401.2</v>
      </c>
      <c r="L4" s="83">
        <v>1401.6</v>
      </c>
      <c r="M4" s="83">
        <v>1399.9</v>
      </c>
      <c r="N4" s="83">
        <v>1400.7</v>
      </c>
      <c r="O4" s="75">
        <v>0</v>
      </c>
      <c r="P4" s="75">
        <v>0</v>
      </c>
      <c r="Q4" s="75">
        <v>1</v>
      </c>
      <c r="R4" s="75">
        <v>25</v>
      </c>
      <c r="S4" s="75">
        <f>MAX(Table2[[#This Row],[volt-sbmu1]:[volt-sbmu5]])-MIN(Table2[[#This Row],[volt-sbmu1]:[volt-sbmu5]])</f>
        <v>1.8999999999998636</v>
      </c>
      <c r="T4" s="75">
        <f>MAX(Table2[[#This Row],[soc-sbmu1]:[soc-sbmu5]])-MIN(Table2[[#This Row],[soc-sbmu1]:[soc-sbmu5]])</f>
        <v>1.7000000000000028</v>
      </c>
      <c r="U4" s="75"/>
      <c r="V4" s="75"/>
      <c r="Y4">
        <f>COUNTIF(O:O,X4)</f>
        <v>288</v>
      </c>
      <c r="Z4">
        <v>128</v>
      </c>
      <c r="AA4">
        <f>COUNTIF(P:P,Z4)</f>
        <v>4</v>
      </c>
      <c r="AF4" t="str" cm="1">
        <f t="array" ref="AF4:AJ4">GetLatestCSVFiles("D:\Download\00-CATL\KBESS\HotCommissionTool\data\")</f>
        <v>SocVolt-20250201-055733.csv</v>
      </c>
      <c r="AG4" t="str">
        <v>SocVolt-20250131-140103.csv</v>
      </c>
      <c r="AH4" t="str">
        <v>SocVolt-20250131-064518.csv</v>
      </c>
      <c r="AI4" t="str">
        <v>SocVolt-20250131-064325.csv</v>
      </c>
      <c r="AJ4" t="str">
        <v>SocVolt-20250130-095246.csv</v>
      </c>
    </row>
    <row r="5" spans="1:36">
      <c r="A5" t="s">
        <v>134</v>
      </c>
      <c r="B5" t="s">
        <v>410</v>
      </c>
      <c r="C5" s="75">
        <v>84.9</v>
      </c>
      <c r="D5" s="75">
        <v>1399.9</v>
      </c>
      <c r="E5" s="75">
        <v>83.6</v>
      </c>
      <c r="F5" s="75">
        <v>83</v>
      </c>
      <c r="G5" s="75">
        <v>84.1</v>
      </c>
      <c r="H5" s="75">
        <v>83.1</v>
      </c>
      <c r="I5" s="75">
        <v>85.3</v>
      </c>
      <c r="J5" s="83">
        <v>1400.7</v>
      </c>
      <c r="K5" s="83">
        <v>1400.1</v>
      </c>
      <c r="L5" s="83">
        <v>1400.5</v>
      </c>
      <c r="M5" s="83">
        <v>1401.1</v>
      </c>
      <c r="N5" s="83">
        <v>1400.4</v>
      </c>
      <c r="O5" s="75">
        <v>0</v>
      </c>
      <c r="P5" s="75">
        <v>0</v>
      </c>
      <c r="Q5" s="75">
        <v>1</v>
      </c>
      <c r="R5" s="75">
        <v>25</v>
      </c>
      <c r="S5" s="75">
        <f>MAX(Table2[[#This Row],[volt-sbmu1]:[volt-sbmu5]])-MIN(Table2[[#This Row],[volt-sbmu1]:[volt-sbmu5]])</f>
        <v>1</v>
      </c>
      <c r="T5" s="75">
        <f>MAX(Table2[[#This Row],[soc-sbmu1]:[soc-sbmu5]])-MIN(Table2[[#This Row],[soc-sbmu1]:[soc-sbmu5]])</f>
        <v>2.2999999999999972</v>
      </c>
      <c r="U5" s="75"/>
      <c r="V5" s="75"/>
    </row>
    <row r="6" spans="1:36">
      <c r="A6" t="s">
        <v>135</v>
      </c>
      <c r="B6" t="s">
        <v>411</v>
      </c>
      <c r="C6" s="75">
        <v>84.4</v>
      </c>
      <c r="D6" s="75">
        <v>1400.7</v>
      </c>
      <c r="E6" s="75">
        <v>83.4</v>
      </c>
      <c r="F6" s="75">
        <v>83.9</v>
      </c>
      <c r="G6" s="75">
        <v>83.3</v>
      </c>
      <c r="H6" s="75">
        <v>84.7</v>
      </c>
      <c r="I6" s="75">
        <v>83.3</v>
      </c>
      <c r="J6" s="83">
        <v>1400.8</v>
      </c>
      <c r="K6" s="83">
        <v>1400</v>
      </c>
      <c r="L6" s="83">
        <v>1400.3</v>
      </c>
      <c r="M6" s="83">
        <v>1399.8</v>
      </c>
      <c r="N6" s="83">
        <v>1400.3</v>
      </c>
      <c r="O6" s="75">
        <v>0</v>
      </c>
      <c r="P6" s="75">
        <v>0</v>
      </c>
      <c r="Q6" s="75">
        <v>1</v>
      </c>
      <c r="R6" s="75">
        <v>30</v>
      </c>
      <c r="S6" s="75">
        <f>MAX(Table2[[#This Row],[volt-sbmu1]:[volt-sbmu5]])-MIN(Table2[[#This Row],[volt-sbmu1]:[volt-sbmu5]])</f>
        <v>1</v>
      </c>
      <c r="T6" s="75">
        <f>MAX(Table2[[#This Row],[soc-sbmu1]:[soc-sbmu5]])-MIN(Table2[[#This Row],[soc-sbmu1]:[soc-sbmu5]])</f>
        <v>1.4000000000000057</v>
      </c>
      <c r="U6" s="75"/>
      <c r="V6" s="75"/>
      <c r="AB6" t="s">
        <v>765</v>
      </c>
    </row>
    <row r="7" spans="1:36">
      <c r="A7" t="s">
        <v>136</v>
      </c>
      <c r="B7" t="s">
        <v>423</v>
      </c>
      <c r="C7" s="75">
        <v>83.1</v>
      </c>
      <c r="D7" s="75">
        <v>1399.2</v>
      </c>
      <c r="E7" s="75">
        <v>83.6</v>
      </c>
      <c r="F7" s="75">
        <v>82.3</v>
      </c>
      <c r="G7" s="75">
        <v>81.099999999999994</v>
      </c>
      <c r="H7" s="75">
        <v>82.2</v>
      </c>
      <c r="I7" s="75">
        <v>82.8</v>
      </c>
      <c r="J7" s="83">
        <v>1399.8</v>
      </c>
      <c r="K7" s="83">
        <v>1399</v>
      </c>
      <c r="L7" s="83">
        <v>1400.6</v>
      </c>
      <c r="M7" s="83">
        <v>1399.3</v>
      </c>
      <c r="N7" s="83">
        <v>1398.8</v>
      </c>
      <c r="O7" s="75">
        <v>0</v>
      </c>
      <c r="P7" s="75">
        <v>0</v>
      </c>
      <c r="Q7" s="75">
        <v>1</v>
      </c>
      <c r="R7" s="75">
        <v>25</v>
      </c>
      <c r="S7" s="75">
        <f>MAX(Table2[[#This Row],[volt-sbmu1]:[volt-sbmu5]])-MIN(Table2[[#This Row],[volt-sbmu1]:[volt-sbmu5]])</f>
        <v>1.7999999999999545</v>
      </c>
      <c r="T7" s="75">
        <f>MAX(Table2[[#This Row],[soc-sbmu1]:[soc-sbmu5]])-MIN(Table2[[#This Row],[soc-sbmu1]:[soc-sbmu5]])</f>
        <v>2.5</v>
      </c>
      <c r="U7" s="75"/>
      <c r="V7" s="75"/>
    </row>
    <row r="8" spans="1:36">
      <c r="A8" t="s">
        <v>137</v>
      </c>
      <c r="B8" t="s">
        <v>424</v>
      </c>
      <c r="C8" s="75">
        <v>83.4</v>
      </c>
      <c r="D8" s="75">
        <v>1401.5</v>
      </c>
      <c r="E8" s="75">
        <v>82.5</v>
      </c>
      <c r="F8" s="75">
        <v>82.9</v>
      </c>
      <c r="G8" s="75">
        <v>82.9</v>
      </c>
      <c r="H8" s="75">
        <v>81.900000000000006</v>
      </c>
      <c r="I8" s="75">
        <v>83.7</v>
      </c>
      <c r="J8" s="83">
        <v>1399.6</v>
      </c>
      <c r="K8" s="83">
        <v>1399.4</v>
      </c>
      <c r="L8" s="83">
        <v>1403.3</v>
      </c>
      <c r="M8" s="83">
        <v>1402.1</v>
      </c>
      <c r="N8" s="83">
        <v>1402.7</v>
      </c>
      <c r="O8" s="75">
        <v>0</v>
      </c>
      <c r="P8" s="75">
        <v>0</v>
      </c>
      <c r="Q8" s="75">
        <v>1</v>
      </c>
      <c r="R8" s="75">
        <v>25</v>
      </c>
      <c r="S8" s="75">
        <f>MAX(Table2[[#This Row],[volt-sbmu1]:[volt-sbmu5]])-MIN(Table2[[#This Row],[volt-sbmu1]:[volt-sbmu5]])</f>
        <v>3.8999999999998636</v>
      </c>
      <c r="T8" s="75">
        <f>MAX(Table2[[#This Row],[soc-sbmu1]:[soc-sbmu5]])-MIN(Table2[[#This Row],[soc-sbmu1]:[soc-sbmu5]])</f>
        <v>1.7999999999999972</v>
      </c>
      <c r="U8" s="75"/>
      <c r="V8" s="75"/>
    </row>
    <row r="9" spans="1:36" ht="15">
      <c r="A9" t="s">
        <v>138</v>
      </c>
      <c r="B9" t="s">
        <v>425</v>
      </c>
      <c r="C9" s="75">
        <v>92.8</v>
      </c>
      <c r="D9" s="75">
        <v>1397.4</v>
      </c>
      <c r="E9" s="75">
        <v>80</v>
      </c>
      <c r="F9" s="75">
        <v>79.900000000000006</v>
      </c>
      <c r="G9" s="75">
        <v>93.9</v>
      </c>
      <c r="H9" s="75">
        <v>79.2</v>
      </c>
      <c r="I9" s="75">
        <v>79.8</v>
      </c>
      <c r="J9" s="83">
        <v>1397.2</v>
      </c>
      <c r="K9" s="83">
        <v>1397.3</v>
      </c>
      <c r="L9" s="83">
        <v>1397.3</v>
      </c>
      <c r="M9" s="83">
        <v>1397</v>
      </c>
      <c r="N9" s="83">
        <v>1398.5</v>
      </c>
      <c r="O9" s="75">
        <v>0</v>
      </c>
      <c r="P9" s="75">
        <v>0</v>
      </c>
      <c r="Q9" s="75">
        <v>1</v>
      </c>
      <c r="R9" s="75">
        <v>25</v>
      </c>
      <c r="S9" s="75">
        <f>MAX(Table2[[#This Row],[volt-sbmu1]:[volt-sbmu5]])-MIN(Table2[[#This Row],[volt-sbmu1]:[volt-sbmu5]])</f>
        <v>1.5</v>
      </c>
      <c r="T9" s="75">
        <f>MAX(Table2[[#This Row],[soc-sbmu1]:[soc-sbmu5]])-MIN(Table2[[#This Row],[soc-sbmu1]:[soc-sbmu5]])</f>
        <v>14.700000000000003</v>
      </c>
      <c r="U9" s="75"/>
      <c r="V9" s="75"/>
      <c r="X9" s="60"/>
    </row>
    <row r="10" spans="1:36">
      <c r="A10" t="s">
        <v>139</v>
      </c>
      <c r="B10" t="s">
        <v>426</v>
      </c>
      <c r="C10" s="75">
        <v>83.1</v>
      </c>
      <c r="D10" s="75">
        <v>1399.5</v>
      </c>
      <c r="E10" s="75">
        <v>83.4</v>
      </c>
      <c r="F10" s="75">
        <v>82.2</v>
      </c>
      <c r="G10" s="75">
        <v>81.900000000000006</v>
      </c>
      <c r="H10" s="75">
        <v>82.2</v>
      </c>
      <c r="I10" s="75">
        <v>82.4</v>
      </c>
      <c r="J10" s="83">
        <v>1399.6</v>
      </c>
      <c r="K10" s="83">
        <v>1399</v>
      </c>
      <c r="L10" s="83">
        <v>1399.8</v>
      </c>
      <c r="M10" s="83">
        <v>1399.7</v>
      </c>
      <c r="N10" s="83">
        <v>1398.8</v>
      </c>
      <c r="O10" s="75">
        <v>0</v>
      </c>
      <c r="P10" s="75">
        <v>0</v>
      </c>
      <c r="Q10" s="75">
        <v>1</v>
      </c>
      <c r="R10" s="75">
        <v>27</v>
      </c>
      <c r="S10" s="75">
        <f>MAX(Table2[[#This Row],[volt-sbmu1]:[volt-sbmu5]])-MIN(Table2[[#This Row],[volt-sbmu1]:[volt-sbmu5]])</f>
        <v>1</v>
      </c>
      <c r="T10" s="75">
        <f>MAX(Table2[[#This Row],[soc-sbmu1]:[soc-sbmu5]])-MIN(Table2[[#This Row],[soc-sbmu1]:[soc-sbmu5]])</f>
        <v>1.5</v>
      </c>
      <c r="U10" s="75"/>
      <c r="V10" s="75"/>
      <c r="Y10" s="75"/>
    </row>
    <row r="11" spans="1:36">
      <c r="A11" t="s">
        <v>140</v>
      </c>
      <c r="B11" t="s">
        <v>427</v>
      </c>
      <c r="C11" s="75">
        <v>85.1</v>
      </c>
      <c r="D11" s="75">
        <v>1400.6</v>
      </c>
      <c r="E11" s="75">
        <v>85.5</v>
      </c>
      <c r="F11" s="75">
        <v>83.7</v>
      </c>
      <c r="G11" s="75">
        <v>83.5</v>
      </c>
      <c r="H11" s="75">
        <v>84.1</v>
      </c>
      <c r="I11" s="75">
        <v>83</v>
      </c>
      <c r="J11" s="83">
        <v>1400.1</v>
      </c>
      <c r="K11" s="83">
        <v>1399</v>
      </c>
      <c r="L11" s="83">
        <v>1400.4</v>
      </c>
      <c r="M11" s="83">
        <v>1401</v>
      </c>
      <c r="N11" s="83">
        <v>1398.4</v>
      </c>
      <c r="O11" s="75">
        <v>0</v>
      </c>
      <c r="P11" s="75">
        <v>0</v>
      </c>
      <c r="Q11" s="75">
        <v>1</v>
      </c>
      <c r="R11" s="75">
        <v>25</v>
      </c>
      <c r="S11" s="75">
        <f>MAX(Table2[[#This Row],[volt-sbmu1]:[volt-sbmu5]])-MIN(Table2[[#This Row],[volt-sbmu1]:[volt-sbmu5]])</f>
        <v>2.5999999999999091</v>
      </c>
      <c r="T11" s="75">
        <f>MAX(Table2[[#This Row],[soc-sbmu1]:[soc-sbmu5]])-MIN(Table2[[#This Row],[soc-sbmu1]:[soc-sbmu5]])</f>
        <v>2.5</v>
      </c>
      <c r="U11" s="75"/>
      <c r="V11" s="75"/>
      <c r="AC11" t="s">
        <v>766</v>
      </c>
      <c r="AD11" t="s">
        <v>774</v>
      </c>
    </row>
    <row r="12" spans="1:36">
      <c r="A12" t="s">
        <v>141</v>
      </c>
      <c r="B12" t="s">
        <v>428</v>
      </c>
      <c r="C12" s="75">
        <v>84.6</v>
      </c>
      <c r="D12" s="75">
        <v>1401.1</v>
      </c>
      <c r="E12" s="75">
        <v>83.2</v>
      </c>
      <c r="F12" s="75">
        <v>83.1</v>
      </c>
      <c r="G12" s="75">
        <v>84.9</v>
      </c>
      <c r="H12" s="75">
        <v>83.4</v>
      </c>
      <c r="I12" s="75">
        <v>83.8</v>
      </c>
      <c r="J12" s="83">
        <v>1400.3</v>
      </c>
      <c r="K12" s="83">
        <v>1401.6</v>
      </c>
      <c r="L12" s="83">
        <v>1398.9</v>
      </c>
      <c r="M12" s="83">
        <v>1399.7</v>
      </c>
      <c r="N12" s="83">
        <v>1401.4</v>
      </c>
      <c r="O12" s="75">
        <v>0</v>
      </c>
      <c r="P12" s="75">
        <v>0</v>
      </c>
      <c r="Q12" s="75">
        <v>1</v>
      </c>
      <c r="R12" s="75">
        <v>25</v>
      </c>
      <c r="S12" s="75">
        <f>MAX(Table2[[#This Row],[volt-sbmu1]:[volt-sbmu5]])-MIN(Table2[[#This Row],[volt-sbmu1]:[volt-sbmu5]])</f>
        <v>2.6999999999998181</v>
      </c>
      <c r="T12" s="75">
        <f>MAX(Table2[[#This Row],[soc-sbmu1]:[soc-sbmu5]])-MIN(Table2[[#This Row],[soc-sbmu1]:[soc-sbmu5]])</f>
        <v>1.8000000000000114</v>
      </c>
      <c r="U12" s="75"/>
      <c r="V12" s="75"/>
      <c r="AC12" t="s">
        <v>767</v>
      </c>
      <c r="AD12" t="s">
        <v>775</v>
      </c>
    </row>
    <row r="13" spans="1:36">
      <c r="A13" t="s">
        <v>142</v>
      </c>
      <c r="B13" t="s">
        <v>429</v>
      </c>
      <c r="C13" s="75">
        <v>84.3</v>
      </c>
      <c r="D13" s="75">
        <v>1400.4</v>
      </c>
      <c r="E13" s="75">
        <v>82.8</v>
      </c>
      <c r="F13" s="75">
        <v>83.1</v>
      </c>
      <c r="G13" s="75">
        <v>83.1</v>
      </c>
      <c r="H13" s="75">
        <v>84.7</v>
      </c>
      <c r="I13" s="75">
        <v>82.6</v>
      </c>
      <c r="J13" s="83">
        <v>1402.3</v>
      </c>
      <c r="K13" s="83">
        <v>1400.3</v>
      </c>
      <c r="L13" s="83">
        <v>1400.4</v>
      </c>
      <c r="M13" s="83">
        <v>1400.6</v>
      </c>
      <c r="N13" s="83">
        <v>1399.4</v>
      </c>
      <c r="O13" s="75">
        <v>0</v>
      </c>
      <c r="P13" s="75">
        <v>0</v>
      </c>
      <c r="Q13" s="75">
        <v>1</v>
      </c>
      <c r="R13" s="75">
        <v>27</v>
      </c>
      <c r="S13" s="75">
        <f>MAX(Table2[[#This Row],[volt-sbmu1]:[volt-sbmu5]])-MIN(Table2[[#This Row],[volt-sbmu1]:[volt-sbmu5]])</f>
        <v>2.8999999999998636</v>
      </c>
      <c r="T13" s="75">
        <f>MAX(Table2[[#This Row],[soc-sbmu1]:[soc-sbmu5]])-MIN(Table2[[#This Row],[soc-sbmu1]:[soc-sbmu5]])</f>
        <v>2.1000000000000085</v>
      </c>
      <c r="U13" s="75"/>
      <c r="V13" s="75"/>
      <c r="AC13" t="s">
        <v>768</v>
      </c>
      <c r="AD13" t="s">
        <v>776</v>
      </c>
    </row>
    <row r="14" spans="1:36">
      <c r="A14" t="s">
        <v>143</v>
      </c>
      <c r="B14" t="s">
        <v>430</v>
      </c>
      <c r="C14" s="75">
        <v>83.9</v>
      </c>
      <c r="D14" s="75">
        <v>1400.5</v>
      </c>
      <c r="E14" s="75">
        <v>83</v>
      </c>
      <c r="F14" s="75">
        <v>82.9</v>
      </c>
      <c r="G14" s="75">
        <v>83.8</v>
      </c>
      <c r="H14" s="75">
        <v>82.9</v>
      </c>
      <c r="I14" s="75">
        <v>84.1</v>
      </c>
      <c r="J14" s="83">
        <v>1400.3</v>
      </c>
      <c r="K14" s="83">
        <v>1401</v>
      </c>
      <c r="L14" s="83">
        <v>1401</v>
      </c>
      <c r="M14" s="83">
        <v>1401.5</v>
      </c>
      <c r="N14" s="83">
        <v>1400.7</v>
      </c>
      <c r="O14" s="75">
        <v>0</v>
      </c>
      <c r="P14" s="75">
        <v>0</v>
      </c>
      <c r="Q14" s="75">
        <v>1</v>
      </c>
      <c r="R14" s="75">
        <v>29</v>
      </c>
      <c r="S14" s="75">
        <f>MAX(Table2[[#This Row],[volt-sbmu1]:[volt-sbmu5]])-MIN(Table2[[#This Row],[volt-sbmu1]:[volt-sbmu5]])</f>
        <v>1.2000000000000455</v>
      </c>
      <c r="T14" s="75">
        <f>MAX(Table2[[#This Row],[soc-sbmu1]:[soc-sbmu5]])-MIN(Table2[[#This Row],[soc-sbmu1]:[soc-sbmu5]])</f>
        <v>1.1999999999999886</v>
      </c>
      <c r="U14" s="75"/>
      <c r="V14" s="75"/>
      <c r="AC14" t="s">
        <v>769</v>
      </c>
      <c r="AD14" t="s">
        <v>703</v>
      </c>
    </row>
    <row r="15" spans="1:36">
      <c r="A15" t="s">
        <v>144</v>
      </c>
      <c r="B15" t="s">
        <v>431</v>
      </c>
      <c r="C15" s="75">
        <v>98.7</v>
      </c>
      <c r="D15" s="75">
        <v>0</v>
      </c>
      <c r="E15" s="75">
        <v>98.6</v>
      </c>
      <c r="F15" s="75">
        <v>98.6</v>
      </c>
      <c r="G15" s="75">
        <v>98.7</v>
      </c>
      <c r="H15" s="75">
        <v>98.8</v>
      </c>
      <c r="I15" s="75">
        <v>98.7</v>
      </c>
      <c r="J15" s="83">
        <v>1383.1</v>
      </c>
      <c r="K15" s="83">
        <v>1382.7</v>
      </c>
      <c r="L15" s="83">
        <v>1382.4</v>
      </c>
      <c r="M15" s="83">
        <v>1383.8</v>
      </c>
      <c r="N15" s="83">
        <v>1382.9</v>
      </c>
      <c r="O15" s="75">
        <v>0</v>
      </c>
      <c r="P15" s="75">
        <v>0</v>
      </c>
      <c r="Q15" s="75">
        <v>4</v>
      </c>
      <c r="R15" s="75">
        <v>25</v>
      </c>
      <c r="S15" s="75">
        <f>MAX(Table2[[#This Row],[volt-sbmu1]:[volt-sbmu5]])-MIN(Table2[[#This Row],[volt-sbmu1]:[volt-sbmu5]])</f>
        <v>1.3999999999998636</v>
      </c>
      <c r="T15" s="75">
        <f>MAX(Table2[[#This Row],[soc-sbmu1]:[soc-sbmu5]])-MIN(Table2[[#This Row],[soc-sbmu1]:[soc-sbmu5]])</f>
        <v>0.20000000000000284</v>
      </c>
      <c r="U15" s="75"/>
      <c r="V15" s="75"/>
      <c r="AC15" t="s">
        <v>770</v>
      </c>
      <c r="AD15" t="s">
        <v>775</v>
      </c>
    </row>
    <row r="16" spans="1:36">
      <c r="A16" t="s">
        <v>145</v>
      </c>
      <c r="B16" t="s">
        <v>432</v>
      </c>
      <c r="C16" s="75">
        <v>98.9</v>
      </c>
      <c r="D16" s="75">
        <v>0</v>
      </c>
      <c r="E16" s="75">
        <v>99</v>
      </c>
      <c r="F16" s="75">
        <v>98.8</v>
      </c>
      <c r="G16" s="75">
        <v>98.8</v>
      </c>
      <c r="H16" s="75">
        <v>98.8</v>
      </c>
      <c r="I16" s="75">
        <v>98.7</v>
      </c>
      <c r="J16" s="83">
        <v>1383.8</v>
      </c>
      <c r="K16" s="83">
        <v>1384.2</v>
      </c>
      <c r="L16" s="83">
        <v>1384.3</v>
      </c>
      <c r="M16" s="83">
        <v>1385</v>
      </c>
      <c r="N16" s="83">
        <v>1384.1</v>
      </c>
      <c r="O16" s="75">
        <v>0</v>
      </c>
      <c r="P16" s="75">
        <v>0</v>
      </c>
      <c r="Q16" s="75">
        <v>4</v>
      </c>
      <c r="R16" s="75">
        <v>24</v>
      </c>
      <c r="S16" s="75">
        <f>MAX(Table2[[#This Row],[volt-sbmu1]:[volt-sbmu5]])-MIN(Table2[[#This Row],[volt-sbmu1]:[volt-sbmu5]])</f>
        <v>1.2000000000000455</v>
      </c>
      <c r="T16" s="75">
        <f>MAX(Table2[[#This Row],[soc-sbmu1]:[soc-sbmu5]])-MIN(Table2[[#This Row],[soc-sbmu1]:[soc-sbmu5]])</f>
        <v>0.29999999999999716</v>
      </c>
      <c r="U16" s="75"/>
      <c r="V16" s="75"/>
      <c r="AC16" t="s">
        <v>771</v>
      </c>
      <c r="AD16" t="s">
        <v>775</v>
      </c>
    </row>
    <row r="17" spans="1:30">
      <c r="A17" t="s">
        <v>146</v>
      </c>
      <c r="B17" t="s">
        <v>433</v>
      </c>
      <c r="C17" s="75">
        <v>98.8</v>
      </c>
      <c r="D17" s="75">
        <v>0</v>
      </c>
      <c r="E17" s="75">
        <v>98.9</v>
      </c>
      <c r="F17" s="75">
        <v>98.8</v>
      </c>
      <c r="G17" s="75">
        <v>98.7</v>
      </c>
      <c r="H17" s="75">
        <v>98.9</v>
      </c>
      <c r="I17" s="75">
        <v>98.8</v>
      </c>
      <c r="J17" s="83">
        <v>1384.4</v>
      </c>
      <c r="K17" s="83">
        <v>1383.4</v>
      </c>
      <c r="L17" s="83">
        <v>1383.8</v>
      </c>
      <c r="M17" s="83">
        <v>1385</v>
      </c>
      <c r="N17" s="83">
        <v>1383.5</v>
      </c>
      <c r="O17" s="75">
        <v>0</v>
      </c>
      <c r="P17" s="75">
        <v>0</v>
      </c>
      <c r="Q17" s="75">
        <v>4</v>
      </c>
      <c r="R17" s="75">
        <v>25</v>
      </c>
      <c r="S17" s="75">
        <f>MAX(Table2[[#This Row],[volt-sbmu1]:[volt-sbmu5]])-MIN(Table2[[#This Row],[volt-sbmu1]:[volt-sbmu5]])</f>
        <v>1.5999999999999091</v>
      </c>
      <c r="T17" s="75">
        <f>MAX(Table2[[#This Row],[soc-sbmu1]:[soc-sbmu5]])-MIN(Table2[[#This Row],[soc-sbmu1]:[soc-sbmu5]])</f>
        <v>0.20000000000000284</v>
      </c>
      <c r="U17" s="75"/>
      <c r="V17" s="75"/>
      <c r="AC17" t="s">
        <v>772</v>
      </c>
      <c r="AD17" t="s">
        <v>777</v>
      </c>
    </row>
    <row r="18" spans="1:30">
      <c r="A18" t="s">
        <v>147</v>
      </c>
      <c r="B18" t="s">
        <v>434</v>
      </c>
      <c r="C18" s="75">
        <v>98.8</v>
      </c>
      <c r="D18" s="75">
        <v>0</v>
      </c>
      <c r="E18" s="75">
        <v>98.9</v>
      </c>
      <c r="F18" s="75">
        <v>98.9</v>
      </c>
      <c r="G18" s="75">
        <v>98.8</v>
      </c>
      <c r="H18" s="75">
        <v>98.7</v>
      </c>
      <c r="I18" s="75">
        <v>98.7</v>
      </c>
      <c r="J18" s="83">
        <v>1383.8</v>
      </c>
      <c r="K18" s="83">
        <v>1384</v>
      </c>
      <c r="L18" s="83">
        <v>1382.6</v>
      </c>
      <c r="M18" s="83">
        <v>1384.4</v>
      </c>
      <c r="N18" s="83">
        <v>1383.2</v>
      </c>
      <c r="O18" s="75">
        <v>0</v>
      </c>
      <c r="P18" s="75">
        <v>0</v>
      </c>
      <c r="Q18" s="75">
        <v>4</v>
      </c>
      <c r="R18" s="75">
        <v>26</v>
      </c>
      <c r="S18" s="75">
        <f>MAX(Table2[[#This Row],[volt-sbmu1]:[volt-sbmu5]])-MIN(Table2[[#This Row],[volt-sbmu1]:[volt-sbmu5]])</f>
        <v>1.8000000000001819</v>
      </c>
      <c r="T18" s="75">
        <f>MAX(Table2[[#This Row],[soc-sbmu1]:[soc-sbmu5]])-MIN(Table2[[#This Row],[soc-sbmu1]:[soc-sbmu5]])</f>
        <v>0.20000000000000284</v>
      </c>
      <c r="U18" s="75"/>
      <c r="V18" s="75"/>
      <c r="AC18" t="s">
        <v>773</v>
      </c>
      <c r="AD18" t="s">
        <v>778</v>
      </c>
    </row>
    <row r="19" spans="1:30">
      <c r="A19" t="s">
        <v>148</v>
      </c>
      <c r="B19" t="s">
        <v>435</v>
      </c>
      <c r="C19" s="75">
        <v>84.8</v>
      </c>
      <c r="D19" s="75">
        <v>1400.4</v>
      </c>
      <c r="E19" s="75">
        <v>85</v>
      </c>
      <c r="F19" s="75">
        <v>84</v>
      </c>
      <c r="G19" s="75">
        <v>84.8</v>
      </c>
      <c r="H19" s="75">
        <v>84.3</v>
      </c>
      <c r="I19" s="75">
        <v>84.1</v>
      </c>
      <c r="J19" s="83">
        <v>1401.4</v>
      </c>
      <c r="K19" s="83">
        <v>1399.9</v>
      </c>
      <c r="L19" s="83">
        <v>1400.6</v>
      </c>
      <c r="M19" s="83">
        <v>1399.2</v>
      </c>
      <c r="N19" s="83">
        <v>1400.5</v>
      </c>
      <c r="O19" s="75">
        <v>0</v>
      </c>
      <c r="P19" s="75">
        <v>0</v>
      </c>
      <c r="Q19" s="75">
        <v>1</v>
      </c>
      <c r="R19" s="75">
        <v>25</v>
      </c>
      <c r="S19" s="75">
        <f>MAX(Table2[[#This Row],[volt-sbmu1]:[volt-sbmu5]])-MIN(Table2[[#This Row],[volt-sbmu1]:[volt-sbmu5]])</f>
        <v>2.2000000000000455</v>
      </c>
      <c r="T19" s="75">
        <f>MAX(Table2[[#This Row],[soc-sbmu1]:[soc-sbmu5]])-MIN(Table2[[#This Row],[soc-sbmu1]:[soc-sbmu5]])</f>
        <v>1</v>
      </c>
      <c r="U19" s="75"/>
      <c r="V19" s="75"/>
    </row>
    <row r="20" spans="1:30">
      <c r="A20" t="s">
        <v>149</v>
      </c>
      <c r="B20" t="s">
        <v>436</v>
      </c>
      <c r="C20" s="75">
        <v>84.8</v>
      </c>
      <c r="D20" s="75">
        <v>1401</v>
      </c>
      <c r="E20" s="75">
        <v>83.4</v>
      </c>
      <c r="F20" s="75">
        <v>83</v>
      </c>
      <c r="G20" s="75">
        <v>83</v>
      </c>
      <c r="H20" s="75">
        <v>83.7</v>
      </c>
      <c r="I20" s="75">
        <v>85.2</v>
      </c>
      <c r="J20" s="83">
        <v>1400.5</v>
      </c>
      <c r="K20" s="83">
        <v>1399.8</v>
      </c>
      <c r="L20" s="83">
        <v>1402.4</v>
      </c>
      <c r="M20" s="83">
        <v>1399.9</v>
      </c>
      <c r="N20" s="83">
        <v>1399.6</v>
      </c>
      <c r="O20" s="75">
        <v>0</v>
      </c>
      <c r="P20" s="75">
        <v>0</v>
      </c>
      <c r="Q20" s="75">
        <v>1</v>
      </c>
      <c r="R20" s="75">
        <v>25</v>
      </c>
      <c r="S20" s="75">
        <f>MAX(Table2[[#This Row],[volt-sbmu1]:[volt-sbmu5]])-MIN(Table2[[#This Row],[volt-sbmu1]:[volt-sbmu5]])</f>
        <v>2.8000000000001819</v>
      </c>
      <c r="T20" s="75">
        <f>MAX(Table2[[#This Row],[soc-sbmu1]:[soc-sbmu5]])-MIN(Table2[[#This Row],[soc-sbmu1]:[soc-sbmu5]])</f>
        <v>2.2000000000000028</v>
      </c>
      <c r="U20" s="75"/>
      <c r="V20" s="75"/>
    </row>
    <row r="21" spans="1:30">
      <c r="A21" t="s">
        <v>150</v>
      </c>
      <c r="B21" t="s">
        <v>437</v>
      </c>
      <c r="C21" s="75">
        <v>84.4</v>
      </c>
      <c r="D21" s="75">
        <v>1400.9</v>
      </c>
      <c r="E21" s="75">
        <v>83</v>
      </c>
      <c r="F21" s="75">
        <v>84.2</v>
      </c>
      <c r="G21" s="75">
        <v>83.1</v>
      </c>
      <c r="H21" s="75">
        <v>83.2</v>
      </c>
      <c r="I21" s="75">
        <v>84.7</v>
      </c>
      <c r="J21" s="83">
        <v>1400.4</v>
      </c>
      <c r="K21" s="83">
        <v>1401.4</v>
      </c>
      <c r="L21" s="83">
        <v>1400.4</v>
      </c>
      <c r="M21" s="83">
        <v>1401.9</v>
      </c>
      <c r="N21" s="83">
        <v>1401.6</v>
      </c>
      <c r="O21" s="75">
        <v>0</v>
      </c>
      <c r="P21" s="75">
        <v>0</v>
      </c>
      <c r="Q21" s="75">
        <v>1</v>
      </c>
      <c r="R21" s="75">
        <v>26</v>
      </c>
      <c r="S21" s="75">
        <f>MAX(Table2[[#This Row],[volt-sbmu1]:[volt-sbmu5]])-MIN(Table2[[#This Row],[volt-sbmu1]:[volt-sbmu5]])</f>
        <v>1.5</v>
      </c>
      <c r="T21" s="75">
        <f>MAX(Table2[[#This Row],[soc-sbmu1]:[soc-sbmu5]])-MIN(Table2[[#This Row],[soc-sbmu1]:[soc-sbmu5]])</f>
        <v>1.7000000000000028</v>
      </c>
      <c r="U21" s="75"/>
      <c r="V21" s="75"/>
    </row>
    <row r="22" spans="1:30">
      <c r="A22" t="s">
        <v>151</v>
      </c>
      <c r="B22" t="s">
        <v>438</v>
      </c>
      <c r="C22" s="75">
        <v>84.3</v>
      </c>
      <c r="D22" s="75">
        <v>1401</v>
      </c>
      <c r="E22" s="75">
        <v>83.9</v>
      </c>
      <c r="F22" s="75">
        <v>84.3</v>
      </c>
      <c r="G22" s="75">
        <v>84.1</v>
      </c>
      <c r="H22" s="75">
        <v>84.5</v>
      </c>
      <c r="I22" s="75">
        <v>83.7</v>
      </c>
      <c r="J22" s="83">
        <v>1399.9</v>
      </c>
      <c r="K22" s="83">
        <v>1400.2</v>
      </c>
      <c r="L22" s="83">
        <v>1401</v>
      </c>
      <c r="M22" s="83">
        <v>1401.3</v>
      </c>
      <c r="N22" s="83">
        <v>1400.6</v>
      </c>
      <c r="O22" s="75">
        <v>0</v>
      </c>
      <c r="P22" s="75">
        <v>0</v>
      </c>
      <c r="Q22" s="75">
        <v>1</v>
      </c>
      <c r="R22" s="75">
        <v>30</v>
      </c>
      <c r="S22" s="75">
        <f>MAX(Table2[[#This Row],[volt-sbmu1]:[volt-sbmu5]])-MIN(Table2[[#This Row],[volt-sbmu1]:[volt-sbmu5]])</f>
        <v>1.3999999999998636</v>
      </c>
      <c r="T22" s="75">
        <f>MAX(Table2[[#This Row],[soc-sbmu1]:[soc-sbmu5]])-MIN(Table2[[#This Row],[soc-sbmu1]:[soc-sbmu5]])</f>
        <v>0.79999999999999716</v>
      </c>
      <c r="U22" s="75"/>
      <c r="V22" s="75"/>
    </row>
    <row r="23" spans="1:30">
      <c r="A23" t="s">
        <v>152</v>
      </c>
      <c r="B23" t="s">
        <v>439</v>
      </c>
      <c r="C23" s="75">
        <v>84.5</v>
      </c>
      <c r="D23" s="75">
        <v>1400.5</v>
      </c>
      <c r="E23" s="75">
        <v>82.9</v>
      </c>
      <c r="F23" s="75">
        <v>83</v>
      </c>
      <c r="G23" s="75">
        <v>83.1</v>
      </c>
      <c r="H23" s="75">
        <v>82.8</v>
      </c>
      <c r="I23" s="75">
        <v>84.9</v>
      </c>
      <c r="J23" s="83">
        <v>1400.3</v>
      </c>
      <c r="K23" s="83">
        <v>1401.1</v>
      </c>
      <c r="L23" s="83">
        <v>1400.2</v>
      </c>
      <c r="M23" s="83">
        <v>1400</v>
      </c>
      <c r="N23" s="83">
        <v>1401.1</v>
      </c>
      <c r="O23" s="75">
        <v>0</v>
      </c>
      <c r="P23" s="75">
        <v>0</v>
      </c>
      <c r="Q23" s="75">
        <v>1</v>
      </c>
      <c r="R23" s="75">
        <v>24</v>
      </c>
      <c r="S23" s="75">
        <f>MAX(Table2[[#This Row],[volt-sbmu1]:[volt-sbmu5]])-MIN(Table2[[#This Row],[volt-sbmu1]:[volt-sbmu5]])</f>
        <v>1.0999999999999091</v>
      </c>
      <c r="T23" s="75">
        <f>MAX(Table2[[#This Row],[soc-sbmu1]:[soc-sbmu5]])-MIN(Table2[[#This Row],[soc-sbmu1]:[soc-sbmu5]])</f>
        <v>2.1000000000000085</v>
      </c>
      <c r="U23" s="75"/>
      <c r="V23" s="75"/>
    </row>
    <row r="24" spans="1:30">
      <c r="A24" t="s">
        <v>153</v>
      </c>
      <c r="B24" t="s">
        <v>440</v>
      </c>
      <c r="C24" s="75">
        <v>84.7</v>
      </c>
      <c r="D24" s="75">
        <v>1400.6</v>
      </c>
      <c r="E24" s="75">
        <v>84.5</v>
      </c>
      <c r="F24" s="75">
        <v>83.9</v>
      </c>
      <c r="G24" s="75">
        <v>83.1</v>
      </c>
      <c r="H24" s="75">
        <v>85</v>
      </c>
      <c r="I24" s="75">
        <v>84</v>
      </c>
      <c r="J24" s="83">
        <v>1400.5</v>
      </c>
      <c r="K24" s="83">
        <v>1400.8</v>
      </c>
      <c r="L24" s="83">
        <v>1401.1</v>
      </c>
      <c r="M24" s="83">
        <v>1400.2</v>
      </c>
      <c r="N24" s="83">
        <v>1401</v>
      </c>
      <c r="O24" s="75">
        <v>0</v>
      </c>
      <c r="P24" s="75">
        <v>0</v>
      </c>
      <c r="Q24" s="75">
        <v>1</v>
      </c>
      <c r="R24" s="75">
        <v>25</v>
      </c>
      <c r="S24" s="75">
        <f>MAX(Table2[[#This Row],[volt-sbmu1]:[volt-sbmu5]])-MIN(Table2[[#This Row],[volt-sbmu1]:[volt-sbmu5]])</f>
        <v>0.89999999999986358</v>
      </c>
      <c r="T24" s="75">
        <f>MAX(Table2[[#This Row],[soc-sbmu1]:[soc-sbmu5]])-MIN(Table2[[#This Row],[soc-sbmu1]:[soc-sbmu5]])</f>
        <v>1.9000000000000057</v>
      </c>
      <c r="U24" s="75"/>
      <c r="V24" s="75"/>
    </row>
    <row r="25" spans="1:30">
      <c r="A25" t="s">
        <v>154</v>
      </c>
      <c r="B25" t="s">
        <v>441</v>
      </c>
      <c r="C25" s="75">
        <v>85.2</v>
      </c>
      <c r="D25" s="75">
        <v>1400.9</v>
      </c>
      <c r="E25" s="75">
        <v>83.4</v>
      </c>
      <c r="F25" s="75">
        <v>83.5</v>
      </c>
      <c r="G25" s="75">
        <v>85.6</v>
      </c>
      <c r="H25" s="75">
        <v>83.4</v>
      </c>
      <c r="I25" s="75">
        <v>83.1</v>
      </c>
      <c r="J25" s="83">
        <v>1400.5</v>
      </c>
      <c r="K25" s="83">
        <v>1400.3</v>
      </c>
      <c r="L25" s="83">
        <v>1400.8</v>
      </c>
      <c r="M25" s="83">
        <v>1400.7</v>
      </c>
      <c r="N25" s="83">
        <v>1402.3</v>
      </c>
      <c r="O25" s="75">
        <v>0</v>
      </c>
      <c r="P25" s="75">
        <v>0</v>
      </c>
      <c r="Q25" s="75">
        <v>1</v>
      </c>
      <c r="R25" s="75">
        <v>26</v>
      </c>
      <c r="S25" s="75">
        <f>MAX(Table2[[#This Row],[volt-sbmu1]:[volt-sbmu5]])-MIN(Table2[[#This Row],[volt-sbmu1]:[volt-sbmu5]])</f>
        <v>2</v>
      </c>
      <c r="T25" s="75">
        <f>MAX(Table2[[#This Row],[soc-sbmu1]:[soc-sbmu5]])-MIN(Table2[[#This Row],[soc-sbmu1]:[soc-sbmu5]])</f>
        <v>2.5</v>
      </c>
      <c r="U25" s="75"/>
      <c r="V25" s="75"/>
    </row>
    <row r="26" spans="1:30">
      <c r="A26" t="s">
        <v>155</v>
      </c>
      <c r="B26" t="s">
        <v>442</v>
      </c>
      <c r="C26" s="75">
        <v>84.5</v>
      </c>
      <c r="D26" s="75">
        <v>1400.8</v>
      </c>
      <c r="E26" s="75">
        <v>84.5</v>
      </c>
      <c r="F26" s="75">
        <v>84.6</v>
      </c>
      <c r="G26" s="75">
        <v>83.7</v>
      </c>
      <c r="H26" s="75">
        <v>84.7</v>
      </c>
      <c r="I26" s="75">
        <v>84.6</v>
      </c>
      <c r="J26" s="83">
        <v>1400.3</v>
      </c>
      <c r="K26" s="83">
        <v>1401.2</v>
      </c>
      <c r="L26" s="83">
        <v>1401.7</v>
      </c>
      <c r="M26" s="83">
        <v>1401.7</v>
      </c>
      <c r="N26" s="83">
        <v>1400.4</v>
      </c>
      <c r="O26" s="75">
        <v>0</v>
      </c>
      <c r="P26" s="75">
        <v>0</v>
      </c>
      <c r="Q26" s="75">
        <v>1</v>
      </c>
      <c r="R26" s="75">
        <v>28</v>
      </c>
      <c r="S26" s="75">
        <f>MAX(Table2[[#This Row],[volt-sbmu1]:[volt-sbmu5]])-MIN(Table2[[#This Row],[volt-sbmu1]:[volt-sbmu5]])</f>
        <v>1.4000000000000909</v>
      </c>
      <c r="T26" s="75">
        <f>MAX(Table2[[#This Row],[soc-sbmu1]:[soc-sbmu5]])-MIN(Table2[[#This Row],[soc-sbmu1]:[soc-sbmu5]])</f>
        <v>1</v>
      </c>
      <c r="U26" s="75"/>
      <c r="V26" s="75"/>
    </row>
    <row r="27" spans="1:30">
      <c r="A27" t="s">
        <v>156</v>
      </c>
      <c r="B27" t="s">
        <v>443</v>
      </c>
      <c r="C27" s="75">
        <v>97.3</v>
      </c>
      <c r="D27" s="75">
        <v>1384.3</v>
      </c>
      <c r="E27" s="75">
        <v>97.3</v>
      </c>
      <c r="F27" s="75">
        <v>97.4</v>
      </c>
      <c r="G27" s="75">
        <v>97.4</v>
      </c>
      <c r="H27" s="75">
        <v>97.4</v>
      </c>
      <c r="I27" s="75">
        <v>97.4</v>
      </c>
      <c r="J27" s="83">
        <v>1385.1</v>
      </c>
      <c r="K27" s="83">
        <v>1383.6</v>
      </c>
      <c r="L27" s="83">
        <v>1384.7</v>
      </c>
      <c r="M27" s="83">
        <v>1384.3</v>
      </c>
      <c r="N27" s="83">
        <v>1385</v>
      </c>
      <c r="O27" s="75">
        <v>0</v>
      </c>
      <c r="P27" s="75">
        <v>0</v>
      </c>
      <c r="Q27" s="75">
        <v>1</v>
      </c>
      <c r="R27" s="75">
        <v>25</v>
      </c>
      <c r="S27" s="75">
        <f>MAX(Table2[[#This Row],[volt-sbmu1]:[volt-sbmu5]])-MIN(Table2[[#This Row],[volt-sbmu1]:[volt-sbmu5]])</f>
        <v>1.5</v>
      </c>
      <c r="T27" s="75">
        <f>MAX(Table2[[#This Row],[soc-sbmu1]:[soc-sbmu5]])-MIN(Table2[[#This Row],[soc-sbmu1]:[soc-sbmu5]])</f>
        <v>0.10000000000000853</v>
      </c>
      <c r="U27" s="75"/>
      <c r="V27" s="75"/>
    </row>
    <row r="28" spans="1:30">
      <c r="A28" t="s">
        <v>157</v>
      </c>
      <c r="B28" t="s">
        <v>444</v>
      </c>
      <c r="C28" s="75">
        <v>86</v>
      </c>
      <c r="D28" s="75">
        <v>1401.4</v>
      </c>
      <c r="E28" s="75">
        <v>84.6</v>
      </c>
      <c r="F28" s="75">
        <v>86.4</v>
      </c>
      <c r="G28" s="75">
        <v>84.2</v>
      </c>
      <c r="H28" s="75">
        <v>84.7</v>
      </c>
      <c r="I28" s="75">
        <v>84.8</v>
      </c>
      <c r="J28" s="83">
        <v>1400.9</v>
      </c>
      <c r="K28" s="83">
        <v>1400.9</v>
      </c>
      <c r="L28" s="83">
        <v>1400.4</v>
      </c>
      <c r="M28" s="83">
        <v>1401.1</v>
      </c>
      <c r="N28" s="83">
        <v>1400.9</v>
      </c>
      <c r="O28" s="75">
        <v>0</v>
      </c>
      <c r="P28" s="75">
        <v>0</v>
      </c>
      <c r="Q28" s="75">
        <v>1</v>
      </c>
      <c r="R28" s="75">
        <v>25</v>
      </c>
      <c r="S28" s="75">
        <f>MAX(Table2[[#This Row],[volt-sbmu1]:[volt-sbmu5]])-MIN(Table2[[#This Row],[volt-sbmu1]:[volt-sbmu5]])</f>
        <v>0.6999999999998181</v>
      </c>
      <c r="T28" s="75">
        <f>MAX(Table2[[#This Row],[soc-sbmu1]:[soc-sbmu5]])-MIN(Table2[[#This Row],[soc-sbmu1]:[soc-sbmu5]])</f>
        <v>2.2000000000000028</v>
      </c>
      <c r="U28" s="75"/>
      <c r="V28" s="75"/>
    </row>
    <row r="29" spans="1:30">
      <c r="A29" t="s">
        <v>158</v>
      </c>
      <c r="B29" t="s">
        <v>445</v>
      </c>
      <c r="C29" s="75">
        <v>85.3</v>
      </c>
      <c r="D29" s="75">
        <v>1401.4</v>
      </c>
      <c r="E29" s="75">
        <v>85</v>
      </c>
      <c r="F29" s="75">
        <v>85.3</v>
      </c>
      <c r="G29" s="75">
        <v>84.8</v>
      </c>
      <c r="H29" s="75">
        <v>85.4</v>
      </c>
      <c r="I29" s="75">
        <v>84.9</v>
      </c>
      <c r="J29" s="83">
        <v>1402.1</v>
      </c>
      <c r="K29" s="83">
        <v>1401.4</v>
      </c>
      <c r="L29" s="83">
        <v>1400.6</v>
      </c>
      <c r="M29" s="83">
        <v>1401.4</v>
      </c>
      <c r="N29" s="83">
        <v>1400.7</v>
      </c>
      <c r="O29" s="75">
        <v>0</v>
      </c>
      <c r="P29" s="75">
        <v>0</v>
      </c>
      <c r="Q29" s="75">
        <v>1</v>
      </c>
      <c r="R29" s="75">
        <v>26</v>
      </c>
      <c r="S29" s="75">
        <f>MAX(Table2[[#This Row],[volt-sbmu1]:[volt-sbmu5]])-MIN(Table2[[#This Row],[volt-sbmu1]:[volt-sbmu5]])</f>
        <v>1.5</v>
      </c>
      <c r="T29" s="75">
        <f>MAX(Table2[[#This Row],[soc-sbmu1]:[soc-sbmu5]])-MIN(Table2[[#This Row],[soc-sbmu1]:[soc-sbmu5]])</f>
        <v>0.60000000000000853</v>
      </c>
      <c r="U29" s="75"/>
      <c r="V29" s="75"/>
    </row>
    <row r="30" spans="1:30" ht="15">
      <c r="A30" t="s">
        <v>159</v>
      </c>
      <c r="B30" t="s">
        <v>446</v>
      </c>
      <c r="C30" s="75">
        <v>86.3</v>
      </c>
      <c r="D30" s="75">
        <v>1401.8</v>
      </c>
      <c r="E30" s="75">
        <v>84.4</v>
      </c>
      <c r="F30" s="75">
        <v>84.7</v>
      </c>
      <c r="G30" s="75">
        <v>86.7</v>
      </c>
      <c r="H30" s="75">
        <v>84.4</v>
      </c>
      <c r="I30" s="75">
        <v>84.1</v>
      </c>
      <c r="J30" s="83">
        <v>1401.9</v>
      </c>
      <c r="K30" s="83">
        <v>1402.2</v>
      </c>
      <c r="L30" s="83">
        <v>1401.2</v>
      </c>
      <c r="M30" s="83">
        <v>1401.2</v>
      </c>
      <c r="N30" s="83">
        <v>1401.7</v>
      </c>
      <c r="O30" s="75">
        <v>0</v>
      </c>
      <c r="P30" s="75">
        <v>0</v>
      </c>
      <c r="Q30" s="75">
        <v>1</v>
      </c>
      <c r="R30" s="75">
        <v>30</v>
      </c>
      <c r="S30" s="75">
        <f>MAX(Table2[[#This Row],[volt-sbmu1]:[volt-sbmu5]])-MIN(Table2[[#This Row],[volt-sbmu1]:[volt-sbmu5]])</f>
        <v>1</v>
      </c>
      <c r="T30" s="75">
        <f>MAX(Table2[[#This Row],[soc-sbmu1]:[soc-sbmu5]])-MIN(Table2[[#This Row],[soc-sbmu1]:[soc-sbmu5]])</f>
        <v>2.6000000000000085</v>
      </c>
      <c r="U30" s="75"/>
      <c r="V30" s="75"/>
      <c r="X30" t="s">
        <v>761</v>
      </c>
      <c r="Z30" s="113">
        <f>COUNTIF(C3:C290,"*fail*")</f>
        <v>0</v>
      </c>
    </row>
    <row r="31" spans="1:30">
      <c r="A31" t="s">
        <v>160</v>
      </c>
      <c r="B31" t="s">
        <v>447</v>
      </c>
      <c r="C31" s="75">
        <v>84.9</v>
      </c>
      <c r="D31" s="75">
        <v>1401</v>
      </c>
      <c r="E31" s="75">
        <v>85.3</v>
      </c>
      <c r="F31" s="75">
        <v>83</v>
      </c>
      <c r="G31" s="75">
        <v>82.9</v>
      </c>
      <c r="H31" s="75">
        <v>83</v>
      </c>
      <c r="I31" s="75">
        <v>82.9</v>
      </c>
      <c r="J31" s="83">
        <v>1402.4</v>
      </c>
      <c r="K31" s="83">
        <v>1400.6</v>
      </c>
      <c r="L31" s="83">
        <v>1400.9</v>
      </c>
      <c r="M31" s="83">
        <v>1399.7</v>
      </c>
      <c r="N31" s="83">
        <v>1401.3</v>
      </c>
      <c r="O31" s="75">
        <v>0</v>
      </c>
      <c r="P31" s="75">
        <v>0</v>
      </c>
      <c r="Q31" s="75">
        <v>1</v>
      </c>
      <c r="R31" s="75">
        <v>25</v>
      </c>
      <c r="S31" s="75">
        <f>MAX(Table2[[#This Row],[volt-sbmu1]:[volt-sbmu5]])-MIN(Table2[[#This Row],[volt-sbmu1]:[volt-sbmu5]])</f>
        <v>2.7000000000000455</v>
      </c>
      <c r="T31" s="75">
        <f>MAX(Table2[[#This Row],[soc-sbmu1]:[soc-sbmu5]])-MIN(Table2[[#This Row],[soc-sbmu1]:[soc-sbmu5]])</f>
        <v>2.3999999999999915</v>
      </c>
      <c r="U31" s="75"/>
      <c r="V31" s="75"/>
    </row>
    <row r="32" spans="1:30">
      <c r="A32" t="s">
        <v>161</v>
      </c>
      <c r="B32" t="s">
        <v>448</v>
      </c>
      <c r="C32" s="75">
        <v>85.1</v>
      </c>
      <c r="D32" s="75">
        <v>1400.8</v>
      </c>
      <c r="E32" s="75">
        <v>83.6</v>
      </c>
      <c r="F32" s="75">
        <v>83.1</v>
      </c>
      <c r="G32" s="75">
        <v>83.4</v>
      </c>
      <c r="H32" s="75">
        <v>83</v>
      </c>
      <c r="I32" s="75">
        <v>85.5</v>
      </c>
      <c r="J32" s="83">
        <v>1401</v>
      </c>
      <c r="K32" s="83">
        <v>1400.7</v>
      </c>
      <c r="L32" s="83">
        <v>1400.1</v>
      </c>
      <c r="M32" s="83">
        <v>1399.9</v>
      </c>
      <c r="N32" s="83">
        <v>1401.7</v>
      </c>
      <c r="O32" s="75">
        <v>0</v>
      </c>
      <c r="P32" s="75">
        <v>0</v>
      </c>
      <c r="Q32" s="75">
        <v>1</v>
      </c>
      <c r="R32" s="75">
        <v>25</v>
      </c>
      <c r="S32" s="75">
        <f>MAX(Table2[[#This Row],[volt-sbmu1]:[volt-sbmu5]])-MIN(Table2[[#This Row],[volt-sbmu1]:[volt-sbmu5]])</f>
        <v>1.7999999999999545</v>
      </c>
      <c r="T32" s="75">
        <f>MAX(Table2[[#This Row],[soc-sbmu1]:[soc-sbmu5]])-MIN(Table2[[#This Row],[soc-sbmu1]:[soc-sbmu5]])</f>
        <v>2.5</v>
      </c>
      <c r="U32" s="75"/>
      <c r="V32" s="75"/>
    </row>
    <row r="33" spans="1:27">
      <c r="A33" t="s">
        <v>162</v>
      </c>
      <c r="B33" t="s">
        <v>449</v>
      </c>
      <c r="C33" s="75">
        <v>84.6</v>
      </c>
      <c r="D33" s="75">
        <v>1400.1</v>
      </c>
      <c r="E33" s="75">
        <v>84.8</v>
      </c>
      <c r="F33" s="75">
        <v>83.8</v>
      </c>
      <c r="G33" s="75">
        <v>84.1</v>
      </c>
      <c r="H33" s="75">
        <v>83.9</v>
      </c>
      <c r="I33" s="75">
        <v>83.9</v>
      </c>
      <c r="J33" s="83">
        <v>1401.6</v>
      </c>
      <c r="K33" s="83">
        <v>1400.9</v>
      </c>
      <c r="L33" s="83">
        <v>1401.7</v>
      </c>
      <c r="M33" s="83">
        <v>1398.9</v>
      </c>
      <c r="N33" s="83">
        <v>1399.6</v>
      </c>
      <c r="O33" s="75">
        <v>0</v>
      </c>
      <c r="P33" s="75">
        <v>0</v>
      </c>
      <c r="Q33" s="75">
        <v>1</v>
      </c>
      <c r="R33" s="75">
        <v>25</v>
      </c>
      <c r="S33" s="75">
        <f>MAX(Table2[[#This Row],[volt-sbmu1]:[volt-sbmu5]])-MIN(Table2[[#This Row],[volt-sbmu1]:[volt-sbmu5]])</f>
        <v>2.7999999999999545</v>
      </c>
      <c r="T33" s="75">
        <f>MAX(Table2[[#This Row],[soc-sbmu1]:[soc-sbmu5]])-MIN(Table2[[#This Row],[soc-sbmu1]:[soc-sbmu5]])</f>
        <v>1</v>
      </c>
      <c r="U33" s="75"/>
      <c r="V33" s="75"/>
      <c r="X33" t="s">
        <v>382</v>
      </c>
      <c r="Y33" t="s">
        <v>383</v>
      </c>
      <c r="Z33" t="s">
        <v>384</v>
      </c>
    </row>
    <row r="34" spans="1:27">
      <c r="A34" t="s">
        <v>163</v>
      </c>
      <c r="B34" t="s">
        <v>450</v>
      </c>
      <c r="C34" s="75">
        <v>84.1</v>
      </c>
      <c r="D34" s="75">
        <v>1401.5</v>
      </c>
      <c r="E34" s="75">
        <v>83.9</v>
      </c>
      <c r="F34" s="75">
        <v>84</v>
      </c>
      <c r="G34" s="75">
        <v>84</v>
      </c>
      <c r="H34" s="75">
        <v>84.2</v>
      </c>
      <c r="I34" s="75">
        <v>83.8</v>
      </c>
      <c r="J34" s="83">
        <v>1400.3</v>
      </c>
      <c r="K34" s="83">
        <v>1400.8</v>
      </c>
      <c r="L34" s="83">
        <v>1402.7</v>
      </c>
      <c r="M34" s="83">
        <v>1401.6</v>
      </c>
      <c r="N34" s="83">
        <v>1402.2</v>
      </c>
      <c r="O34" s="75">
        <v>0</v>
      </c>
      <c r="P34" s="75">
        <v>0</v>
      </c>
      <c r="Q34" s="75">
        <v>1</v>
      </c>
      <c r="R34" s="75">
        <v>28</v>
      </c>
      <c r="S34" s="75">
        <f>MAX(Table2[[#This Row],[volt-sbmu1]:[volt-sbmu5]])-MIN(Table2[[#This Row],[volt-sbmu1]:[volt-sbmu5]])</f>
        <v>2.4000000000000909</v>
      </c>
      <c r="T34" s="75">
        <f>MAX(Table2[[#This Row],[soc-sbmu1]:[soc-sbmu5]])-MIN(Table2[[#This Row],[soc-sbmu1]:[soc-sbmu5]])</f>
        <v>0.40000000000000568</v>
      </c>
      <c r="U34" s="75"/>
      <c r="V34" s="75"/>
      <c r="X34" s="61">
        <f>COUNTIF(Q:Q,5)</f>
        <v>4</v>
      </c>
      <c r="Y34" s="47">
        <f>COUNTIF(Q:Q,4)</f>
        <v>14</v>
      </c>
      <c r="Z34" s="62">
        <f>COUNTIF(Q:Q,1)</f>
        <v>260</v>
      </c>
    </row>
    <row r="35" spans="1:27">
      <c r="A35" t="s">
        <v>164</v>
      </c>
      <c r="B35" t="s">
        <v>451</v>
      </c>
      <c r="C35" s="75">
        <v>84.3</v>
      </c>
      <c r="D35" s="75">
        <v>1400.5</v>
      </c>
      <c r="E35" s="75">
        <v>83.5</v>
      </c>
      <c r="F35" s="75">
        <v>83.3</v>
      </c>
      <c r="G35" s="75">
        <v>83.6</v>
      </c>
      <c r="H35" s="75">
        <v>84.6</v>
      </c>
      <c r="I35" s="75">
        <v>83.5</v>
      </c>
      <c r="J35" s="83">
        <v>1400.2</v>
      </c>
      <c r="K35" s="83">
        <v>1400.2</v>
      </c>
      <c r="L35" s="83">
        <v>1399.4</v>
      </c>
      <c r="M35" s="83">
        <v>1400.5</v>
      </c>
      <c r="N35" s="83">
        <v>1400.8</v>
      </c>
      <c r="O35" s="75">
        <v>0</v>
      </c>
      <c r="P35" s="75">
        <v>64</v>
      </c>
      <c r="Q35" s="75">
        <v>4</v>
      </c>
      <c r="R35" s="75">
        <v>26</v>
      </c>
      <c r="S35" s="75">
        <f>MAX(Table2[[#This Row],[volt-sbmu1]:[volt-sbmu5]])-MIN(Table2[[#This Row],[volt-sbmu1]:[volt-sbmu5]])</f>
        <v>1.3999999999998636</v>
      </c>
      <c r="T35" s="75">
        <f>MAX(Table2[[#This Row],[soc-sbmu1]:[soc-sbmu5]])-MIN(Table2[[#This Row],[soc-sbmu1]:[soc-sbmu5]])</f>
        <v>1.2999999999999972</v>
      </c>
      <c r="U35" s="75"/>
      <c r="V35" s="75"/>
    </row>
    <row r="36" spans="1:27">
      <c r="A36" t="s">
        <v>165</v>
      </c>
      <c r="B36" t="s">
        <v>452</v>
      </c>
      <c r="C36" s="75">
        <v>84.5</v>
      </c>
      <c r="D36" s="75">
        <v>1400.9</v>
      </c>
      <c r="E36" s="75">
        <v>83.5</v>
      </c>
      <c r="F36" s="75">
        <v>84.7</v>
      </c>
      <c r="G36" s="75">
        <v>83.9</v>
      </c>
      <c r="H36" s="75">
        <v>83.5</v>
      </c>
      <c r="I36" s="75">
        <v>83.8</v>
      </c>
      <c r="J36" s="83">
        <v>1400</v>
      </c>
      <c r="K36" s="83">
        <v>1401.4</v>
      </c>
      <c r="L36" s="83">
        <v>1400.2</v>
      </c>
      <c r="M36" s="83">
        <v>1400.5</v>
      </c>
      <c r="N36" s="83">
        <v>1401.5</v>
      </c>
      <c r="O36" s="75">
        <v>0</v>
      </c>
      <c r="P36" s="75">
        <v>64</v>
      </c>
      <c r="Q36" s="75">
        <v>4</v>
      </c>
      <c r="R36" s="75">
        <v>25</v>
      </c>
      <c r="S36" s="75">
        <f>MAX(Table2[[#This Row],[volt-sbmu1]:[volt-sbmu5]])-MIN(Table2[[#This Row],[volt-sbmu1]:[volt-sbmu5]])</f>
        <v>1.5</v>
      </c>
      <c r="T36" s="75">
        <f>MAX(Table2[[#This Row],[soc-sbmu1]:[soc-sbmu5]])-MIN(Table2[[#This Row],[soc-sbmu1]:[soc-sbmu5]])</f>
        <v>1.2000000000000028</v>
      </c>
      <c r="U36" s="75"/>
      <c r="V36" s="75"/>
    </row>
    <row r="37" spans="1:27">
      <c r="A37" t="s">
        <v>166</v>
      </c>
      <c r="B37" t="s">
        <v>453</v>
      </c>
      <c r="C37" s="75">
        <v>84.7</v>
      </c>
      <c r="D37" s="75">
        <v>1400.7</v>
      </c>
      <c r="E37" s="75">
        <v>83.3</v>
      </c>
      <c r="F37" s="75">
        <v>85.2</v>
      </c>
      <c r="G37" s="75">
        <v>82.9</v>
      </c>
      <c r="H37" s="75">
        <v>82.4</v>
      </c>
      <c r="I37" s="75">
        <v>82.7</v>
      </c>
      <c r="J37" s="83">
        <v>1400.5</v>
      </c>
      <c r="K37" s="83">
        <v>1401</v>
      </c>
      <c r="L37" s="83">
        <v>1400.4</v>
      </c>
      <c r="M37" s="83">
        <v>1402.1</v>
      </c>
      <c r="N37" s="83">
        <v>1400.8</v>
      </c>
      <c r="O37" s="75">
        <v>0</v>
      </c>
      <c r="P37" s="75">
        <v>64</v>
      </c>
      <c r="Q37" s="75">
        <v>4</v>
      </c>
      <c r="R37" s="75">
        <v>26</v>
      </c>
      <c r="S37" s="75">
        <f>MAX(Table2[[#This Row],[volt-sbmu1]:[volt-sbmu5]])-MIN(Table2[[#This Row],[volt-sbmu1]:[volt-sbmu5]])</f>
        <v>1.6999999999998181</v>
      </c>
      <c r="T37" s="75">
        <f>MAX(Table2[[#This Row],[soc-sbmu1]:[soc-sbmu5]])-MIN(Table2[[#This Row],[soc-sbmu1]:[soc-sbmu5]])</f>
        <v>2.7999999999999972</v>
      </c>
      <c r="U37" s="75"/>
      <c r="V37" s="75"/>
      <c r="X37">
        <v>256</v>
      </c>
      <c r="Y37" t="s">
        <v>707</v>
      </c>
      <c r="Z37">
        <v>512</v>
      </c>
      <c r="AA37" t="s">
        <v>704</v>
      </c>
    </row>
    <row r="38" spans="1:27">
      <c r="A38" t="s">
        <v>167</v>
      </c>
      <c r="B38" t="s">
        <v>454</v>
      </c>
      <c r="C38" s="75">
        <v>84.7</v>
      </c>
      <c r="D38" s="75">
        <v>1400.2</v>
      </c>
      <c r="E38" s="75">
        <v>85</v>
      </c>
      <c r="F38" s="75">
        <v>83.2</v>
      </c>
      <c r="G38" s="75">
        <v>84.3</v>
      </c>
      <c r="H38" s="75">
        <v>83.1</v>
      </c>
      <c r="I38" s="75">
        <v>83.2</v>
      </c>
      <c r="J38" s="83">
        <v>1399.5</v>
      </c>
      <c r="K38" s="83">
        <v>1399</v>
      </c>
      <c r="L38" s="83">
        <v>1399.1</v>
      </c>
      <c r="M38" s="83">
        <v>1399.6</v>
      </c>
      <c r="N38" s="83">
        <v>1400.5</v>
      </c>
      <c r="O38" s="75">
        <v>0</v>
      </c>
      <c r="P38" s="75">
        <v>64</v>
      </c>
      <c r="Q38" s="75">
        <v>4</v>
      </c>
      <c r="R38" s="75">
        <v>30</v>
      </c>
      <c r="S38" s="75">
        <f>MAX(Table2[[#This Row],[volt-sbmu1]:[volt-sbmu5]])-MIN(Table2[[#This Row],[volt-sbmu1]:[volt-sbmu5]])</f>
        <v>1.5</v>
      </c>
      <c r="T38" s="75">
        <f>MAX(Table2[[#This Row],[soc-sbmu1]:[soc-sbmu5]])-MIN(Table2[[#This Row],[soc-sbmu1]:[soc-sbmu5]])</f>
        <v>1.9000000000000057</v>
      </c>
      <c r="U38" s="75"/>
      <c r="V38" s="75"/>
      <c r="X38">
        <v>128</v>
      </c>
      <c r="Y38" t="s">
        <v>708</v>
      </c>
      <c r="Z38">
        <v>128</v>
      </c>
      <c r="AA38" t="s">
        <v>703</v>
      </c>
    </row>
    <row r="39" spans="1:27">
      <c r="A39" t="s">
        <v>168</v>
      </c>
      <c r="B39" t="s">
        <v>455</v>
      </c>
      <c r="C39" s="75">
        <v>85.9</v>
      </c>
      <c r="D39" s="75">
        <v>1400.1</v>
      </c>
      <c r="E39" s="75">
        <v>86.4</v>
      </c>
      <c r="F39" s="75">
        <v>83.8</v>
      </c>
      <c r="G39" s="75">
        <v>83.7</v>
      </c>
      <c r="H39" s="75">
        <v>83.3</v>
      </c>
      <c r="I39" s="75">
        <v>83.2</v>
      </c>
      <c r="J39" s="83">
        <v>1400</v>
      </c>
      <c r="K39" s="83">
        <v>1399.9</v>
      </c>
      <c r="L39" s="83">
        <v>1401</v>
      </c>
      <c r="M39" s="83">
        <v>1398.4</v>
      </c>
      <c r="N39" s="83">
        <v>1401.3</v>
      </c>
      <c r="O39" s="75">
        <v>0</v>
      </c>
      <c r="P39" s="75">
        <v>0</v>
      </c>
      <c r="Q39" s="75">
        <v>1</v>
      </c>
      <c r="R39" s="75">
        <v>25</v>
      </c>
      <c r="S39" s="75">
        <f>MAX(Table2[[#This Row],[volt-sbmu1]:[volt-sbmu5]])-MIN(Table2[[#This Row],[volt-sbmu1]:[volt-sbmu5]])</f>
        <v>2.8999999999998636</v>
      </c>
      <c r="T39" s="75">
        <f>MAX(Table2[[#This Row],[soc-sbmu1]:[soc-sbmu5]])-MIN(Table2[[#This Row],[soc-sbmu1]:[soc-sbmu5]])</f>
        <v>3.2000000000000028</v>
      </c>
      <c r="U39" s="75"/>
      <c r="V39" s="75"/>
      <c r="X39">
        <v>16384</v>
      </c>
      <c r="Y39" t="s">
        <v>711</v>
      </c>
      <c r="Z39">
        <v>1024</v>
      </c>
      <c r="AA39" t="s">
        <v>705</v>
      </c>
    </row>
    <row r="40" spans="1:27">
      <c r="A40" t="s">
        <v>169</v>
      </c>
      <c r="B40" t="s">
        <v>456</v>
      </c>
      <c r="C40" s="75">
        <v>84.8</v>
      </c>
      <c r="D40" s="75">
        <v>1400.6</v>
      </c>
      <c r="E40" s="75">
        <v>85.2</v>
      </c>
      <c r="F40" s="75">
        <v>83</v>
      </c>
      <c r="G40" s="75">
        <v>84.1</v>
      </c>
      <c r="H40" s="75">
        <v>82.9</v>
      </c>
      <c r="I40" s="75">
        <v>83.8</v>
      </c>
      <c r="J40" s="83">
        <v>1400.8</v>
      </c>
      <c r="K40" s="83">
        <v>1400.2</v>
      </c>
      <c r="L40" s="83">
        <v>1399.1</v>
      </c>
      <c r="M40" s="83">
        <v>1401.1</v>
      </c>
      <c r="N40" s="83">
        <v>1399.9</v>
      </c>
      <c r="O40" s="75">
        <v>0</v>
      </c>
      <c r="P40" s="75">
        <v>0</v>
      </c>
      <c r="Q40" s="75">
        <v>1</v>
      </c>
      <c r="R40" s="75">
        <v>25</v>
      </c>
      <c r="S40" s="75">
        <f>MAX(Table2[[#This Row],[volt-sbmu1]:[volt-sbmu5]])-MIN(Table2[[#This Row],[volt-sbmu1]:[volt-sbmu5]])</f>
        <v>2</v>
      </c>
      <c r="T40" s="75">
        <f>MAX(Table2[[#This Row],[soc-sbmu1]:[soc-sbmu5]])-MIN(Table2[[#This Row],[soc-sbmu1]:[soc-sbmu5]])</f>
        <v>2.2999999999999972</v>
      </c>
      <c r="U40" s="75"/>
      <c r="V40" s="75"/>
      <c r="X40">
        <v>8192</v>
      </c>
      <c r="Y40" t="s">
        <v>712</v>
      </c>
      <c r="Z40">
        <v>64</v>
      </c>
      <c r="AA40" t="s">
        <v>706</v>
      </c>
    </row>
    <row r="41" spans="1:27">
      <c r="A41" t="s">
        <v>170</v>
      </c>
      <c r="B41" t="s">
        <v>457</v>
      </c>
      <c r="C41" s="75">
        <v>83.7</v>
      </c>
      <c r="D41" s="75">
        <v>1400.4</v>
      </c>
      <c r="E41" s="75">
        <v>83.9</v>
      </c>
      <c r="F41" s="75">
        <v>83</v>
      </c>
      <c r="G41" s="75">
        <v>83.7</v>
      </c>
      <c r="H41" s="75">
        <v>83.8</v>
      </c>
      <c r="I41" s="75">
        <v>82.9</v>
      </c>
      <c r="J41" s="83">
        <v>1400.8</v>
      </c>
      <c r="K41" s="83">
        <v>1401.2</v>
      </c>
      <c r="L41" s="83">
        <v>1401</v>
      </c>
      <c r="M41" s="83">
        <v>1399.8</v>
      </c>
      <c r="N41" s="83">
        <v>1400.8</v>
      </c>
      <c r="O41" s="75">
        <v>0</v>
      </c>
      <c r="P41" s="75">
        <v>0</v>
      </c>
      <c r="Q41" s="75">
        <v>1</v>
      </c>
      <c r="R41" s="75">
        <v>26</v>
      </c>
      <c r="S41" s="75">
        <f>MAX(Table2[[#This Row],[volt-sbmu1]:[volt-sbmu5]])-MIN(Table2[[#This Row],[volt-sbmu1]:[volt-sbmu5]])</f>
        <v>1.4000000000000909</v>
      </c>
      <c r="T41" s="75">
        <f>MAX(Table2[[#This Row],[soc-sbmu1]:[soc-sbmu5]])-MIN(Table2[[#This Row],[soc-sbmu1]:[soc-sbmu5]])</f>
        <v>1</v>
      </c>
      <c r="U41" s="75"/>
      <c r="V41" s="75"/>
    </row>
    <row r="42" spans="1:27">
      <c r="A42" t="s">
        <v>171</v>
      </c>
      <c r="B42" t="s">
        <v>458</v>
      </c>
      <c r="C42" s="75">
        <v>84.4</v>
      </c>
      <c r="D42" s="75">
        <v>1400.5</v>
      </c>
      <c r="E42" s="75">
        <v>83.6</v>
      </c>
      <c r="F42" s="75">
        <v>82.5</v>
      </c>
      <c r="G42" s="75">
        <v>83.6</v>
      </c>
      <c r="H42" s="75">
        <v>84.8</v>
      </c>
      <c r="I42" s="75">
        <v>83.1</v>
      </c>
      <c r="J42" s="83">
        <v>1400.3</v>
      </c>
      <c r="K42" s="83">
        <v>1399.7</v>
      </c>
      <c r="L42" s="83">
        <v>1402.5</v>
      </c>
      <c r="M42" s="83">
        <v>1400.6</v>
      </c>
      <c r="N42" s="83">
        <v>1400.1</v>
      </c>
      <c r="O42" s="75">
        <v>0</v>
      </c>
      <c r="P42" s="75">
        <v>0</v>
      </c>
      <c r="Q42" s="75">
        <v>1</v>
      </c>
      <c r="R42" s="75">
        <v>28</v>
      </c>
      <c r="S42" s="75">
        <f>MAX(Table2[[#This Row],[volt-sbmu1]:[volt-sbmu5]])-MIN(Table2[[#This Row],[volt-sbmu1]:[volt-sbmu5]])</f>
        <v>2.7999999999999545</v>
      </c>
      <c r="T42" s="75">
        <f>MAX(Table2[[#This Row],[soc-sbmu1]:[soc-sbmu5]])-MIN(Table2[[#This Row],[soc-sbmu1]:[soc-sbmu5]])</f>
        <v>2.2999999999999972</v>
      </c>
      <c r="U42" s="75"/>
      <c r="V42" s="75"/>
    </row>
    <row r="43" spans="1:27">
      <c r="A43" t="s">
        <v>172</v>
      </c>
      <c r="B43" t="s">
        <v>459</v>
      </c>
      <c r="C43" s="75">
        <v>84.8</v>
      </c>
      <c r="D43" s="75">
        <v>1399.7</v>
      </c>
      <c r="E43" s="75">
        <v>85</v>
      </c>
      <c r="F43" s="75">
        <v>84</v>
      </c>
      <c r="G43" s="75">
        <v>83.7</v>
      </c>
      <c r="H43" s="75">
        <v>84.2</v>
      </c>
      <c r="I43" s="75">
        <v>83.8</v>
      </c>
      <c r="J43" s="83">
        <v>1399.2</v>
      </c>
      <c r="K43" s="83">
        <v>1398.8</v>
      </c>
      <c r="L43" s="83">
        <v>1399.6</v>
      </c>
      <c r="M43" s="83">
        <v>1399.4</v>
      </c>
      <c r="N43" s="83">
        <v>1399.3</v>
      </c>
      <c r="O43" s="75">
        <v>0</v>
      </c>
      <c r="P43" s="75">
        <v>0</v>
      </c>
      <c r="Q43" s="75">
        <v>1</v>
      </c>
      <c r="R43" s="75">
        <v>25</v>
      </c>
      <c r="S43" s="75">
        <f>MAX(Table2[[#This Row],[volt-sbmu1]:[volt-sbmu5]])-MIN(Table2[[#This Row],[volt-sbmu1]:[volt-sbmu5]])</f>
        <v>0.79999999999995453</v>
      </c>
      <c r="T43" s="75">
        <f>MAX(Table2[[#This Row],[soc-sbmu1]:[soc-sbmu5]])-MIN(Table2[[#This Row],[soc-sbmu1]:[soc-sbmu5]])</f>
        <v>1.2999999999999972</v>
      </c>
      <c r="U43" s="75"/>
      <c r="V43" s="75"/>
    </row>
    <row r="44" spans="1:27">
      <c r="A44" t="s">
        <v>173</v>
      </c>
      <c r="B44" t="s">
        <v>460</v>
      </c>
      <c r="C44" s="75">
        <v>85.7</v>
      </c>
      <c r="D44" s="75">
        <v>1400.3</v>
      </c>
      <c r="E44" s="75">
        <v>83.7</v>
      </c>
      <c r="F44" s="75">
        <v>84</v>
      </c>
      <c r="G44" s="75">
        <v>83.8</v>
      </c>
      <c r="H44" s="75">
        <v>83.5</v>
      </c>
      <c r="I44" s="75">
        <v>86.1</v>
      </c>
      <c r="J44" s="83">
        <v>1400.6</v>
      </c>
      <c r="K44" s="83">
        <v>1400.7</v>
      </c>
      <c r="L44" s="83">
        <v>1400.4</v>
      </c>
      <c r="M44" s="83">
        <v>1400.1</v>
      </c>
      <c r="N44" s="83">
        <v>1400.2</v>
      </c>
      <c r="O44" s="75">
        <v>0</v>
      </c>
      <c r="P44" s="75">
        <v>0</v>
      </c>
      <c r="Q44" s="75">
        <v>1</v>
      </c>
      <c r="R44" s="75">
        <v>25</v>
      </c>
      <c r="S44" s="75">
        <f>MAX(Table2[[#This Row],[volt-sbmu1]:[volt-sbmu5]])-MIN(Table2[[#This Row],[volt-sbmu1]:[volt-sbmu5]])</f>
        <v>0.60000000000013642</v>
      </c>
      <c r="T44" s="75">
        <f>MAX(Table2[[#This Row],[soc-sbmu1]:[soc-sbmu5]])-MIN(Table2[[#This Row],[soc-sbmu1]:[soc-sbmu5]])</f>
        <v>2.5999999999999943</v>
      </c>
      <c r="U44" s="75"/>
      <c r="V44" s="75"/>
    </row>
    <row r="45" spans="1:27">
      <c r="A45" t="s">
        <v>174</v>
      </c>
      <c r="B45" t="s">
        <v>461</v>
      </c>
      <c r="C45" s="75">
        <v>84.6</v>
      </c>
      <c r="D45" s="75">
        <v>1400.4</v>
      </c>
      <c r="E45" s="75">
        <v>84.2</v>
      </c>
      <c r="F45" s="75">
        <v>84.2</v>
      </c>
      <c r="G45" s="75">
        <v>84.3</v>
      </c>
      <c r="H45" s="75">
        <v>83.7</v>
      </c>
      <c r="I45" s="75">
        <v>84.8</v>
      </c>
      <c r="J45" s="83">
        <v>1401.8</v>
      </c>
      <c r="K45" s="83">
        <v>1400.8</v>
      </c>
      <c r="L45" s="83">
        <v>1400.4</v>
      </c>
      <c r="M45" s="83">
        <v>1399.8</v>
      </c>
      <c r="N45" s="83">
        <v>1399.9</v>
      </c>
      <c r="O45" s="75">
        <v>0</v>
      </c>
      <c r="P45" s="75">
        <v>0</v>
      </c>
      <c r="Q45" s="75">
        <v>1</v>
      </c>
      <c r="R45" s="75">
        <v>26</v>
      </c>
      <c r="S45" s="75">
        <f>MAX(Table2[[#This Row],[volt-sbmu1]:[volt-sbmu5]])-MIN(Table2[[#This Row],[volt-sbmu1]:[volt-sbmu5]])</f>
        <v>2</v>
      </c>
      <c r="T45" s="75">
        <f>MAX(Table2[[#This Row],[soc-sbmu1]:[soc-sbmu5]])-MIN(Table2[[#This Row],[soc-sbmu1]:[soc-sbmu5]])</f>
        <v>1.0999999999999943</v>
      </c>
      <c r="U45" s="75"/>
      <c r="V45" s="75"/>
    </row>
    <row r="46" spans="1:27">
      <c r="A46" t="s">
        <v>175</v>
      </c>
      <c r="B46" t="s">
        <v>462</v>
      </c>
      <c r="C46" s="75">
        <v>84.3</v>
      </c>
      <c r="D46" s="75">
        <v>1400.8</v>
      </c>
      <c r="E46" s="75">
        <v>83.8</v>
      </c>
      <c r="F46" s="75">
        <v>84.5</v>
      </c>
      <c r="G46" s="75">
        <v>84.1</v>
      </c>
      <c r="H46" s="75">
        <v>83.8</v>
      </c>
      <c r="I46" s="75">
        <v>84</v>
      </c>
      <c r="J46" s="83">
        <v>1400.5</v>
      </c>
      <c r="K46" s="83">
        <v>1400.9</v>
      </c>
      <c r="L46" s="83">
        <v>1399.7</v>
      </c>
      <c r="M46" s="83">
        <v>1400.9</v>
      </c>
      <c r="N46" s="83">
        <v>1401.9</v>
      </c>
      <c r="O46" s="75">
        <v>0</v>
      </c>
      <c r="P46" s="75">
        <v>0</v>
      </c>
      <c r="Q46" s="75">
        <v>1</v>
      </c>
      <c r="R46" s="75">
        <v>29</v>
      </c>
      <c r="S46" s="75">
        <f>MAX(Table2[[#This Row],[volt-sbmu1]:[volt-sbmu5]])-MIN(Table2[[#This Row],[volt-sbmu1]:[volt-sbmu5]])</f>
        <v>2.2000000000000455</v>
      </c>
      <c r="T46" s="75">
        <f>MAX(Table2[[#This Row],[soc-sbmu1]:[soc-sbmu5]])-MIN(Table2[[#This Row],[soc-sbmu1]:[soc-sbmu5]])</f>
        <v>0.70000000000000284</v>
      </c>
      <c r="U46" s="75"/>
      <c r="V46" s="75"/>
    </row>
    <row r="47" spans="1:27">
      <c r="A47" t="s">
        <v>176</v>
      </c>
      <c r="B47" t="s">
        <v>463</v>
      </c>
      <c r="C47" s="75">
        <v>84.7</v>
      </c>
      <c r="D47" s="75">
        <v>1400</v>
      </c>
      <c r="E47" s="75">
        <v>85</v>
      </c>
      <c r="F47" s="75">
        <v>84.7</v>
      </c>
      <c r="G47" s="75">
        <v>84.3</v>
      </c>
      <c r="H47" s="75">
        <v>83.2</v>
      </c>
      <c r="I47" s="75">
        <v>83.2</v>
      </c>
      <c r="J47" s="83">
        <v>1400.2</v>
      </c>
      <c r="K47" s="83">
        <v>1401.4</v>
      </c>
      <c r="L47" s="83">
        <v>1399.3</v>
      </c>
      <c r="M47" s="83">
        <v>1399.3</v>
      </c>
      <c r="N47" s="83">
        <v>1401.8</v>
      </c>
      <c r="O47" s="75">
        <v>0</v>
      </c>
      <c r="P47" s="75">
        <v>0</v>
      </c>
      <c r="Q47" s="75">
        <v>1</v>
      </c>
      <c r="R47" s="75">
        <v>24</v>
      </c>
      <c r="S47" s="75">
        <f>MAX(Table2[[#This Row],[volt-sbmu1]:[volt-sbmu5]])-MIN(Table2[[#This Row],[volt-sbmu1]:[volt-sbmu5]])</f>
        <v>2.5</v>
      </c>
      <c r="T47" s="75">
        <f>MAX(Table2[[#This Row],[soc-sbmu1]:[soc-sbmu5]])-MIN(Table2[[#This Row],[soc-sbmu1]:[soc-sbmu5]])</f>
        <v>1.7999999999999972</v>
      </c>
      <c r="U47" s="75"/>
      <c r="V47" s="75"/>
    </row>
    <row r="48" spans="1:27">
      <c r="A48" t="s">
        <v>177</v>
      </c>
      <c r="B48" t="s">
        <v>464</v>
      </c>
      <c r="C48" s="75">
        <v>85.6</v>
      </c>
      <c r="D48" s="75">
        <v>1400</v>
      </c>
      <c r="E48" s="75">
        <v>84</v>
      </c>
      <c r="F48" s="75">
        <v>83.9</v>
      </c>
      <c r="G48" s="75">
        <v>86</v>
      </c>
      <c r="H48" s="75">
        <v>83.4</v>
      </c>
      <c r="I48" s="75">
        <v>83.6</v>
      </c>
      <c r="J48" s="83">
        <v>1400.1</v>
      </c>
      <c r="K48" s="83">
        <v>1399.4</v>
      </c>
      <c r="L48" s="83">
        <v>1400.6</v>
      </c>
      <c r="M48" s="83">
        <v>1400</v>
      </c>
      <c r="N48" s="83">
        <v>1401</v>
      </c>
      <c r="O48" s="75">
        <v>0</v>
      </c>
      <c r="P48" s="75">
        <v>0</v>
      </c>
      <c r="Q48" s="75">
        <v>1</v>
      </c>
      <c r="R48" s="75">
        <v>26</v>
      </c>
      <c r="S48" s="75">
        <f>MAX(Table2[[#This Row],[volt-sbmu1]:[volt-sbmu5]])-MIN(Table2[[#This Row],[volt-sbmu1]:[volt-sbmu5]])</f>
        <v>1.5999999999999091</v>
      </c>
      <c r="T48" s="75">
        <f>MAX(Table2[[#This Row],[soc-sbmu1]:[soc-sbmu5]])-MIN(Table2[[#This Row],[soc-sbmu1]:[soc-sbmu5]])</f>
        <v>2.5999999999999943</v>
      </c>
      <c r="U48" s="75"/>
      <c r="V48" s="75"/>
    </row>
    <row r="49" spans="1:22">
      <c r="A49" t="s">
        <v>178</v>
      </c>
      <c r="B49" t="s">
        <v>465</v>
      </c>
      <c r="C49" s="75">
        <v>84.2</v>
      </c>
      <c r="D49" s="75">
        <v>1400.2</v>
      </c>
      <c r="E49" s="75">
        <v>84.4</v>
      </c>
      <c r="F49" s="75">
        <v>84.6</v>
      </c>
      <c r="G49" s="75">
        <v>84</v>
      </c>
      <c r="H49" s="75">
        <v>84.5</v>
      </c>
      <c r="I49" s="75">
        <v>82.4</v>
      </c>
      <c r="J49" s="83">
        <v>1400.4</v>
      </c>
      <c r="K49" s="83">
        <v>1400.1</v>
      </c>
      <c r="L49" s="83">
        <v>1401</v>
      </c>
      <c r="M49" s="83">
        <v>1399.7</v>
      </c>
      <c r="N49" s="83">
        <v>1399.8</v>
      </c>
      <c r="O49" s="75">
        <v>0</v>
      </c>
      <c r="P49" s="75">
        <v>0</v>
      </c>
      <c r="Q49" s="75">
        <v>1</v>
      </c>
      <c r="R49" s="75">
        <v>26</v>
      </c>
      <c r="S49" s="75">
        <f>MAX(Table2[[#This Row],[volt-sbmu1]:[volt-sbmu5]])-MIN(Table2[[#This Row],[volt-sbmu1]:[volt-sbmu5]])</f>
        <v>1.2999999999999545</v>
      </c>
      <c r="T49" s="75">
        <f>MAX(Table2[[#This Row],[soc-sbmu1]:[soc-sbmu5]])-MIN(Table2[[#This Row],[soc-sbmu1]:[soc-sbmu5]])</f>
        <v>2.1999999999999886</v>
      </c>
      <c r="U49" s="75"/>
      <c r="V49" s="75"/>
    </row>
    <row r="50" spans="1:22">
      <c r="A50" t="s">
        <v>179</v>
      </c>
      <c r="B50" t="s">
        <v>466</v>
      </c>
      <c r="C50" s="75">
        <v>84.9</v>
      </c>
      <c r="D50" s="75">
        <v>1400.4</v>
      </c>
      <c r="E50" s="75">
        <v>84.9</v>
      </c>
      <c r="F50" s="75">
        <v>85.4</v>
      </c>
      <c r="G50" s="75">
        <v>84.2</v>
      </c>
      <c r="H50" s="75">
        <v>82.7</v>
      </c>
      <c r="I50" s="75">
        <v>84.1</v>
      </c>
      <c r="J50" s="83">
        <v>1399.5</v>
      </c>
      <c r="K50" s="83">
        <v>1400</v>
      </c>
      <c r="L50" s="83">
        <v>1399.9</v>
      </c>
      <c r="M50" s="83">
        <v>1399.7</v>
      </c>
      <c r="N50" s="83">
        <v>1401.1</v>
      </c>
      <c r="O50" s="75">
        <v>0</v>
      </c>
      <c r="P50" s="75">
        <v>0</v>
      </c>
      <c r="Q50" s="75">
        <v>1</v>
      </c>
      <c r="R50" s="75">
        <v>28</v>
      </c>
      <c r="S50" s="75">
        <f>MAX(Table2[[#This Row],[volt-sbmu1]:[volt-sbmu5]])-MIN(Table2[[#This Row],[volt-sbmu1]:[volt-sbmu5]])</f>
        <v>1.5999999999999091</v>
      </c>
      <c r="T50" s="75">
        <f>MAX(Table2[[#This Row],[soc-sbmu1]:[soc-sbmu5]])-MIN(Table2[[#This Row],[soc-sbmu1]:[soc-sbmu5]])</f>
        <v>2.7000000000000028</v>
      </c>
      <c r="U50" s="75"/>
      <c r="V50" s="75"/>
    </row>
    <row r="51" spans="1:22">
      <c r="A51" t="s">
        <v>180</v>
      </c>
      <c r="B51" t="s">
        <v>467</v>
      </c>
      <c r="C51" s="75">
        <v>84.5</v>
      </c>
      <c r="D51" s="75">
        <v>1400.7</v>
      </c>
      <c r="E51" s="75">
        <v>84.9</v>
      </c>
      <c r="F51" s="75">
        <v>82.5</v>
      </c>
      <c r="G51" s="75">
        <v>83.9</v>
      </c>
      <c r="H51" s="75">
        <v>82.6</v>
      </c>
      <c r="I51" s="75">
        <v>82.6</v>
      </c>
      <c r="J51" s="83">
        <v>1400.6</v>
      </c>
      <c r="K51" s="83">
        <v>1400.9</v>
      </c>
      <c r="L51" s="83">
        <v>1400.1</v>
      </c>
      <c r="M51" s="83">
        <v>1401.2</v>
      </c>
      <c r="N51" s="83">
        <v>1399.7</v>
      </c>
      <c r="O51" s="75">
        <v>0</v>
      </c>
      <c r="P51" s="75">
        <v>0</v>
      </c>
      <c r="Q51" s="75">
        <v>1</v>
      </c>
      <c r="R51" s="75">
        <v>25</v>
      </c>
      <c r="S51" s="75">
        <f>MAX(Table2[[#This Row],[volt-sbmu1]:[volt-sbmu5]])-MIN(Table2[[#This Row],[volt-sbmu1]:[volt-sbmu5]])</f>
        <v>1.5</v>
      </c>
      <c r="T51" s="75">
        <f>MAX(Table2[[#This Row],[soc-sbmu1]:[soc-sbmu5]])-MIN(Table2[[#This Row],[soc-sbmu1]:[soc-sbmu5]])</f>
        <v>2.4000000000000057</v>
      </c>
      <c r="U51" s="75"/>
      <c r="V51" s="75"/>
    </row>
    <row r="52" spans="1:22">
      <c r="A52" t="s">
        <v>181</v>
      </c>
      <c r="B52" t="s">
        <v>468</v>
      </c>
      <c r="C52" s="75">
        <v>85.4</v>
      </c>
      <c r="D52" s="75">
        <v>1400.1</v>
      </c>
      <c r="E52" s="75">
        <v>85.8</v>
      </c>
      <c r="F52" s="75">
        <v>83.8</v>
      </c>
      <c r="G52" s="75">
        <v>83.5</v>
      </c>
      <c r="H52" s="75">
        <v>83.1</v>
      </c>
      <c r="I52" s="75">
        <v>83.4</v>
      </c>
      <c r="J52" s="83">
        <v>1399.7</v>
      </c>
      <c r="K52" s="83">
        <v>1400</v>
      </c>
      <c r="L52" s="83">
        <v>1399.1</v>
      </c>
      <c r="M52" s="83">
        <v>1399.2</v>
      </c>
      <c r="N52" s="83">
        <v>1400.3</v>
      </c>
      <c r="O52" s="75">
        <v>0</v>
      </c>
      <c r="P52" s="75">
        <v>0</v>
      </c>
      <c r="Q52" s="75">
        <v>1</v>
      </c>
      <c r="R52" s="75">
        <v>26</v>
      </c>
      <c r="S52" s="75">
        <f>MAX(Table2[[#This Row],[volt-sbmu1]:[volt-sbmu5]])-MIN(Table2[[#This Row],[volt-sbmu1]:[volt-sbmu5]])</f>
        <v>1.2000000000000455</v>
      </c>
      <c r="T52" s="75">
        <f>MAX(Table2[[#This Row],[soc-sbmu1]:[soc-sbmu5]])-MIN(Table2[[#This Row],[soc-sbmu1]:[soc-sbmu5]])</f>
        <v>2.7000000000000028</v>
      </c>
      <c r="U52" s="75"/>
      <c r="V52" s="75"/>
    </row>
    <row r="53" spans="1:22">
      <c r="A53" t="s">
        <v>182</v>
      </c>
      <c r="B53" t="s">
        <v>469</v>
      </c>
      <c r="C53" s="75">
        <v>84.8</v>
      </c>
      <c r="D53" s="75">
        <v>1399.6</v>
      </c>
      <c r="E53" s="75">
        <v>84.1</v>
      </c>
      <c r="F53" s="75">
        <v>83.7</v>
      </c>
      <c r="G53" s="75">
        <v>83.8</v>
      </c>
      <c r="H53" s="75">
        <v>84.4</v>
      </c>
      <c r="I53" s="75">
        <v>85</v>
      </c>
      <c r="J53" s="83">
        <v>1399.5</v>
      </c>
      <c r="K53" s="83">
        <v>1401</v>
      </c>
      <c r="L53" s="83">
        <v>1399.4</v>
      </c>
      <c r="M53" s="83">
        <v>1398.3</v>
      </c>
      <c r="N53" s="83">
        <v>1399.1</v>
      </c>
      <c r="O53" s="75">
        <v>0</v>
      </c>
      <c r="P53" s="75">
        <v>0</v>
      </c>
      <c r="Q53" s="75">
        <v>1</v>
      </c>
      <c r="R53" s="75">
        <v>26</v>
      </c>
      <c r="S53" s="75">
        <f>MAX(Table2[[#This Row],[volt-sbmu1]:[volt-sbmu5]])-MIN(Table2[[#This Row],[volt-sbmu1]:[volt-sbmu5]])</f>
        <v>2.7000000000000455</v>
      </c>
      <c r="T53" s="75">
        <f>MAX(Table2[[#This Row],[soc-sbmu1]:[soc-sbmu5]])-MIN(Table2[[#This Row],[soc-sbmu1]:[soc-sbmu5]])</f>
        <v>1.2999999999999972</v>
      </c>
      <c r="U53" s="75"/>
      <c r="V53" s="75"/>
    </row>
    <row r="54" spans="1:22">
      <c r="A54" t="s">
        <v>183</v>
      </c>
      <c r="B54" t="s">
        <v>470</v>
      </c>
      <c r="C54" s="75">
        <v>84.7</v>
      </c>
      <c r="D54" s="75">
        <v>1400.3</v>
      </c>
      <c r="E54" s="75">
        <v>84.5</v>
      </c>
      <c r="F54" s="75">
        <v>84.2</v>
      </c>
      <c r="G54" s="75">
        <v>85</v>
      </c>
      <c r="H54" s="75">
        <v>84</v>
      </c>
      <c r="I54" s="75">
        <v>83.6</v>
      </c>
      <c r="J54" s="83">
        <v>1400</v>
      </c>
      <c r="K54" s="83">
        <v>1399</v>
      </c>
      <c r="L54" s="83">
        <v>1404.2</v>
      </c>
      <c r="M54" s="83">
        <v>1400.5</v>
      </c>
      <c r="N54" s="83">
        <v>1401.1</v>
      </c>
      <c r="O54" s="75">
        <v>0</v>
      </c>
      <c r="P54" s="75">
        <v>0</v>
      </c>
      <c r="Q54" s="75">
        <v>1</v>
      </c>
      <c r="R54" s="75">
        <v>29</v>
      </c>
      <c r="S54" s="75">
        <f>MAX(Table2[[#This Row],[volt-sbmu1]:[volt-sbmu5]])-MIN(Table2[[#This Row],[volt-sbmu1]:[volt-sbmu5]])</f>
        <v>5.2000000000000455</v>
      </c>
      <c r="T54" s="75">
        <f>MAX(Table2[[#This Row],[soc-sbmu1]:[soc-sbmu5]])-MIN(Table2[[#This Row],[soc-sbmu1]:[soc-sbmu5]])</f>
        <v>1.4000000000000057</v>
      </c>
      <c r="U54" s="75"/>
      <c r="V54" s="75"/>
    </row>
    <row r="55" spans="1:22">
      <c r="A55" t="s">
        <v>184</v>
      </c>
      <c r="B55" t="s">
        <v>471</v>
      </c>
      <c r="C55" s="75">
        <v>88.3</v>
      </c>
      <c r="D55" s="75">
        <v>1400.4</v>
      </c>
      <c r="E55" s="75">
        <v>87</v>
      </c>
      <c r="F55" s="75">
        <v>86.3</v>
      </c>
      <c r="G55" s="75">
        <v>86.4</v>
      </c>
      <c r="H55" s="75">
        <v>88.6</v>
      </c>
      <c r="I55" s="75">
        <v>87</v>
      </c>
      <c r="J55" s="83">
        <v>1399.3</v>
      </c>
      <c r="K55" s="83">
        <v>1400.4</v>
      </c>
      <c r="L55" s="83">
        <v>1399.9</v>
      </c>
      <c r="M55" s="83">
        <v>1401.7</v>
      </c>
      <c r="N55" s="83">
        <v>1400</v>
      </c>
      <c r="O55" s="75">
        <v>0</v>
      </c>
      <c r="P55" s="75">
        <v>0</v>
      </c>
      <c r="Q55" s="75">
        <v>1</v>
      </c>
      <c r="R55" s="75">
        <v>25</v>
      </c>
      <c r="S55" s="75">
        <f>MAX(Table2[[#This Row],[volt-sbmu1]:[volt-sbmu5]])-MIN(Table2[[#This Row],[volt-sbmu1]:[volt-sbmu5]])</f>
        <v>2.4000000000000909</v>
      </c>
      <c r="T55" s="75">
        <f>MAX(Table2[[#This Row],[soc-sbmu1]:[soc-sbmu5]])-MIN(Table2[[#This Row],[soc-sbmu1]:[soc-sbmu5]])</f>
        <v>2.2999999999999972</v>
      </c>
      <c r="U55" s="75"/>
      <c r="V55" s="75"/>
    </row>
    <row r="56" spans="1:22">
      <c r="A56" t="s">
        <v>185</v>
      </c>
      <c r="B56" t="s">
        <v>472</v>
      </c>
      <c r="C56" s="75">
        <v>87.6</v>
      </c>
      <c r="D56" s="75">
        <v>1399.9</v>
      </c>
      <c r="E56" s="75">
        <v>87.2</v>
      </c>
      <c r="F56" s="75">
        <v>86.7</v>
      </c>
      <c r="G56" s="75">
        <v>87.1</v>
      </c>
      <c r="H56" s="75">
        <v>87.8</v>
      </c>
      <c r="I56" s="75">
        <v>87</v>
      </c>
      <c r="J56" s="83">
        <v>1399.7</v>
      </c>
      <c r="K56" s="83">
        <v>1399.4</v>
      </c>
      <c r="L56" s="83">
        <v>1400.1</v>
      </c>
      <c r="M56" s="83">
        <v>1400.3</v>
      </c>
      <c r="N56" s="83">
        <v>1400.9</v>
      </c>
      <c r="O56" s="75">
        <v>0</v>
      </c>
      <c r="P56" s="75">
        <v>0</v>
      </c>
      <c r="Q56" s="75">
        <v>1</v>
      </c>
      <c r="R56" s="75">
        <v>25</v>
      </c>
      <c r="S56" s="75">
        <f>MAX(Table2[[#This Row],[volt-sbmu1]:[volt-sbmu5]])-MIN(Table2[[#This Row],[volt-sbmu1]:[volt-sbmu5]])</f>
        <v>1.5</v>
      </c>
      <c r="T56" s="75">
        <f>MAX(Table2[[#This Row],[soc-sbmu1]:[soc-sbmu5]])-MIN(Table2[[#This Row],[soc-sbmu1]:[soc-sbmu5]])</f>
        <v>1.0999999999999943</v>
      </c>
      <c r="U56" s="75"/>
      <c r="V56" s="75"/>
    </row>
    <row r="57" spans="1:22">
      <c r="A57" t="s">
        <v>186</v>
      </c>
      <c r="B57" t="s">
        <v>473</v>
      </c>
      <c r="C57" s="75">
        <v>88</v>
      </c>
      <c r="D57" s="75">
        <v>1399.9</v>
      </c>
      <c r="E57" s="75">
        <v>86.4</v>
      </c>
      <c r="F57" s="75">
        <v>86.3</v>
      </c>
      <c r="G57" s="75">
        <v>88.3</v>
      </c>
      <c r="H57" s="75">
        <v>86.1</v>
      </c>
      <c r="I57" s="75">
        <v>86.2</v>
      </c>
      <c r="J57" s="83">
        <v>1399.8</v>
      </c>
      <c r="K57" s="83">
        <v>1399.5</v>
      </c>
      <c r="L57" s="83">
        <v>1400.3</v>
      </c>
      <c r="M57" s="83">
        <v>1401.3</v>
      </c>
      <c r="N57" s="83">
        <v>1399</v>
      </c>
      <c r="O57" s="75">
        <v>0</v>
      </c>
      <c r="P57" s="75">
        <v>0</v>
      </c>
      <c r="Q57" s="75">
        <v>1</v>
      </c>
      <c r="R57" s="75">
        <v>25</v>
      </c>
      <c r="S57" s="75">
        <f>MAX(Table2[[#This Row],[volt-sbmu1]:[volt-sbmu5]])-MIN(Table2[[#This Row],[volt-sbmu1]:[volt-sbmu5]])</f>
        <v>2.2999999999999545</v>
      </c>
      <c r="T57" s="75">
        <f>MAX(Table2[[#This Row],[soc-sbmu1]:[soc-sbmu5]])-MIN(Table2[[#This Row],[soc-sbmu1]:[soc-sbmu5]])</f>
        <v>2.2000000000000028</v>
      </c>
      <c r="U57" s="75"/>
      <c r="V57" s="75"/>
    </row>
    <row r="58" spans="1:22">
      <c r="A58" t="s">
        <v>187</v>
      </c>
      <c r="B58" t="s">
        <v>474</v>
      </c>
      <c r="C58" s="75">
        <v>88.2</v>
      </c>
      <c r="D58" s="75">
        <v>1400.3</v>
      </c>
      <c r="E58" s="75">
        <v>88.6</v>
      </c>
      <c r="F58" s="75">
        <v>86.5</v>
      </c>
      <c r="G58" s="75">
        <v>86.5</v>
      </c>
      <c r="H58" s="75">
        <v>86.2</v>
      </c>
      <c r="I58" s="75">
        <v>86</v>
      </c>
      <c r="J58" s="83">
        <v>1400.1</v>
      </c>
      <c r="K58" s="83">
        <v>1397.9</v>
      </c>
      <c r="L58" s="83">
        <v>1400.8</v>
      </c>
      <c r="M58" s="83">
        <v>1402.2</v>
      </c>
      <c r="N58" s="83">
        <v>1400.2</v>
      </c>
      <c r="O58" s="75">
        <v>0</v>
      </c>
      <c r="P58" s="75">
        <v>0</v>
      </c>
      <c r="Q58" s="75">
        <v>1</v>
      </c>
      <c r="R58" s="75">
        <v>27</v>
      </c>
      <c r="S58" s="75">
        <f>MAX(Table2[[#This Row],[volt-sbmu1]:[volt-sbmu5]])-MIN(Table2[[#This Row],[volt-sbmu1]:[volt-sbmu5]])</f>
        <v>4.2999999999999545</v>
      </c>
      <c r="T58" s="75">
        <f>MAX(Table2[[#This Row],[soc-sbmu1]:[soc-sbmu5]])-MIN(Table2[[#This Row],[soc-sbmu1]:[soc-sbmu5]])</f>
        <v>2.5999999999999943</v>
      </c>
      <c r="U58" s="75"/>
      <c r="V58" s="75"/>
    </row>
    <row r="59" spans="1:22">
      <c r="A59" t="s">
        <v>188</v>
      </c>
      <c r="B59" t="s">
        <v>475</v>
      </c>
      <c r="C59" s="75">
        <v>84.3</v>
      </c>
      <c r="D59" s="75">
        <v>1400.8</v>
      </c>
      <c r="E59" s="75">
        <v>83.4</v>
      </c>
      <c r="F59" s="75">
        <v>83.3</v>
      </c>
      <c r="G59" s="75">
        <v>83.5</v>
      </c>
      <c r="H59" s="75">
        <v>84.6</v>
      </c>
      <c r="I59" s="75">
        <v>83.5</v>
      </c>
      <c r="J59" s="83">
        <v>1400.5</v>
      </c>
      <c r="K59" s="83">
        <v>1400.2</v>
      </c>
      <c r="L59" s="83">
        <v>1401.5</v>
      </c>
      <c r="M59" s="83">
        <v>1401.4</v>
      </c>
      <c r="N59" s="83">
        <v>1400.3</v>
      </c>
      <c r="O59" s="75">
        <v>0</v>
      </c>
      <c r="P59" s="75">
        <v>0</v>
      </c>
      <c r="Q59" s="75">
        <v>1</v>
      </c>
      <c r="R59" s="75">
        <v>25</v>
      </c>
      <c r="S59" s="75">
        <f>MAX(Table2[[#This Row],[volt-sbmu1]:[volt-sbmu5]])-MIN(Table2[[#This Row],[volt-sbmu1]:[volt-sbmu5]])</f>
        <v>1.2999999999999545</v>
      </c>
      <c r="T59" s="75">
        <f>MAX(Table2[[#This Row],[soc-sbmu1]:[soc-sbmu5]])-MIN(Table2[[#This Row],[soc-sbmu1]:[soc-sbmu5]])</f>
        <v>1.2999999999999972</v>
      </c>
      <c r="U59" s="75"/>
      <c r="V59" s="75"/>
    </row>
    <row r="60" spans="1:22">
      <c r="A60" t="s">
        <v>189</v>
      </c>
      <c r="B60" t="s">
        <v>476</v>
      </c>
      <c r="C60" s="75">
        <v>85.5</v>
      </c>
      <c r="D60" s="75">
        <v>1399.9</v>
      </c>
      <c r="E60" s="75">
        <v>85.9</v>
      </c>
      <c r="F60" s="75">
        <v>84.2</v>
      </c>
      <c r="G60" s="75">
        <v>84.1</v>
      </c>
      <c r="H60" s="75">
        <v>83.8</v>
      </c>
      <c r="I60" s="75">
        <v>83.7</v>
      </c>
      <c r="J60" s="83">
        <v>1399.2</v>
      </c>
      <c r="K60" s="83">
        <v>1400.8</v>
      </c>
      <c r="L60" s="83">
        <v>1401.6</v>
      </c>
      <c r="M60" s="83">
        <v>1399.9</v>
      </c>
      <c r="N60" s="83">
        <v>1399.9</v>
      </c>
      <c r="O60" s="75">
        <v>0</v>
      </c>
      <c r="P60" s="75">
        <v>0</v>
      </c>
      <c r="Q60" s="75">
        <v>1</v>
      </c>
      <c r="R60" s="75">
        <v>25</v>
      </c>
      <c r="S60" s="75">
        <f>MAX(Table2[[#This Row],[volt-sbmu1]:[volt-sbmu5]])-MIN(Table2[[#This Row],[volt-sbmu1]:[volt-sbmu5]])</f>
        <v>2.3999999999998636</v>
      </c>
      <c r="T60" s="75">
        <f>MAX(Table2[[#This Row],[soc-sbmu1]:[soc-sbmu5]])-MIN(Table2[[#This Row],[soc-sbmu1]:[soc-sbmu5]])</f>
        <v>2.2000000000000028</v>
      </c>
      <c r="U60" s="75"/>
      <c r="V60" s="75"/>
    </row>
    <row r="61" spans="1:22">
      <c r="A61" t="s">
        <v>190</v>
      </c>
      <c r="B61" t="s">
        <v>477</v>
      </c>
      <c r="C61" s="75">
        <v>84.6</v>
      </c>
      <c r="D61" s="75">
        <v>1399.6</v>
      </c>
      <c r="E61" s="75">
        <v>85</v>
      </c>
      <c r="F61" s="75">
        <v>83.7</v>
      </c>
      <c r="G61" s="75">
        <v>83.6</v>
      </c>
      <c r="H61" s="75">
        <v>83</v>
      </c>
      <c r="I61" s="75">
        <v>83.8</v>
      </c>
      <c r="J61" s="83">
        <v>1400</v>
      </c>
      <c r="K61" s="83">
        <v>1399.5</v>
      </c>
      <c r="L61" s="83">
        <v>1400.2</v>
      </c>
      <c r="M61" s="83">
        <v>1399.5</v>
      </c>
      <c r="N61" s="83">
        <v>1399.4</v>
      </c>
      <c r="O61" s="75">
        <v>0</v>
      </c>
      <c r="P61" s="75">
        <v>0</v>
      </c>
      <c r="Q61" s="75">
        <v>1</v>
      </c>
      <c r="R61" s="75">
        <v>26</v>
      </c>
      <c r="S61" s="75">
        <f>MAX(Table2[[#This Row],[volt-sbmu1]:[volt-sbmu5]])-MIN(Table2[[#This Row],[volt-sbmu1]:[volt-sbmu5]])</f>
        <v>0.79999999999995453</v>
      </c>
      <c r="T61" s="75">
        <f>MAX(Table2[[#This Row],[soc-sbmu1]:[soc-sbmu5]])-MIN(Table2[[#This Row],[soc-sbmu1]:[soc-sbmu5]])</f>
        <v>2</v>
      </c>
      <c r="U61" s="75"/>
      <c r="V61" s="75"/>
    </row>
    <row r="62" spans="1:22">
      <c r="A62" t="s">
        <v>191</v>
      </c>
      <c r="B62" t="s">
        <v>478</v>
      </c>
      <c r="C62" s="75">
        <v>84.1</v>
      </c>
      <c r="D62" s="75">
        <v>1401.8</v>
      </c>
      <c r="E62" s="75">
        <v>83.5</v>
      </c>
      <c r="F62" s="75">
        <v>83</v>
      </c>
      <c r="G62" s="75">
        <v>83.8</v>
      </c>
      <c r="H62" s="75">
        <v>84.4</v>
      </c>
      <c r="I62" s="75">
        <v>83.3</v>
      </c>
      <c r="J62" s="83">
        <v>1401.9</v>
      </c>
      <c r="K62" s="83">
        <v>1400.7</v>
      </c>
      <c r="L62" s="83">
        <v>1403</v>
      </c>
      <c r="M62" s="83">
        <v>1401.6</v>
      </c>
      <c r="N62" s="83">
        <v>1400.7</v>
      </c>
      <c r="O62" s="75">
        <v>0</v>
      </c>
      <c r="P62" s="75">
        <v>0</v>
      </c>
      <c r="Q62" s="75">
        <v>1</v>
      </c>
      <c r="R62" s="75">
        <v>29</v>
      </c>
      <c r="S62" s="75">
        <f>MAX(Table2[[#This Row],[volt-sbmu1]:[volt-sbmu5]])-MIN(Table2[[#This Row],[volt-sbmu1]:[volt-sbmu5]])</f>
        <v>2.2999999999999545</v>
      </c>
      <c r="T62" s="75">
        <f>MAX(Table2[[#This Row],[soc-sbmu1]:[soc-sbmu5]])-MIN(Table2[[#This Row],[soc-sbmu1]:[soc-sbmu5]])</f>
        <v>1.4000000000000057</v>
      </c>
      <c r="U62" s="75"/>
      <c r="V62" s="75"/>
    </row>
    <row r="63" spans="1:22">
      <c r="A63" t="s">
        <v>192</v>
      </c>
      <c r="B63" t="s">
        <v>479</v>
      </c>
      <c r="C63" s="75">
        <v>84.8</v>
      </c>
      <c r="D63" s="75">
        <v>1399.6</v>
      </c>
      <c r="E63" s="75">
        <v>85.2</v>
      </c>
      <c r="F63" s="75">
        <v>83.1</v>
      </c>
      <c r="G63" s="75">
        <v>82.7</v>
      </c>
      <c r="H63" s="75">
        <v>83.2</v>
      </c>
      <c r="I63" s="75">
        <v>85.1</v>
      </c>
      <c r="J63" s="83">
        <v>1399.2</v>
      </c>
      <c r="K63" s="83">
        <v>1399.6</v>
      </c>
      <c r="L63" s="83">
        <v>1399.1</v>
      </c>
      <c r="M63" s="83">
        <v>1398.6</v>
      </c>
      <c r="N63" s="83">
        <v>1399</v>
      </c>
      <c r="O63" s="75">
        <v>0</v>
      </c>
      <c r="P63" s="75">
        <v>0</v>
      </c>
      <c r="Q63" s="75">
        <v>1</v>
      </c>
      <c r="R63" s="75">
        <v>25</v>
      </c>
      <c r="S63" s="75">
        <f>MAX(Table2[[#This Row],[volt-sbmu1]:[volt-sbmu5]])-MIN(Table2[[#This Row],[volt-sbmu1]:[volt-sbmu5]])</f>
        <v>1</v>
      </c>
      <c r="T63" s="75">
        <f>MAX(Table2[[#This Row],[soc-sbmu1]:[soc-sbmu5]])-MIN(Table2[[#This Row],[soc-sbmu1]:[soc-sbmu5]])</f>
        <v>2.5</v>
      </c>
      <c r="U63" s="75"/>
      <c r="V63" s="75"/>
    </row>
    <row r="64" spans="1:22">
      <c r="A64" t="s">
        <v>193</v>
      </c>
      <c r="B64" t="s">
        <v>480</v>
      </c>
      <c r="C64" s="75">
        <v>85</v>
      </c>
      <c r="D64" s="75">
        <v>1400.7</v>
      </c>
      <c r="E64" s="75">
        <v>84.1</v>
      </c>
      <c r="F64" s="75">
        <v>84</v>
      </c>
      <c r="G64" s="75">
        <v>82.8</v>
      </c>
      <c r="H64" s="75">
        <v>85.1</v>
      </c>
      <c r="I64" s="75">
        <v>85.4</v>
      </c>
      <c r="J64" s="83">
        <v>1400.8</v>
      </c>
      <c r="K64" s="83">
        <v>1403.9</v>
      </c>
      <c r="L64" s="83">
        <v>1399.5</v>
      </c>
      <c r="M64" s="83">
        <v>1400</v>
      </c>
      <c r="N64" s="83">
        <v>1400.5</v>
      </c>
      <c r="O64" s="75">
        <v>0</v>
      </c>
      <c r="P64" s="75">
        <v>0</v>
      </c>
      <c r="Q64" s="75">
        <v>1</v>
      </c>
      <c r="R64" s="75">
        <v>26</v>
      </c>
      <c r="S64" s="75">
        <f>MAX(Table2[[#This Row],[volt-sbmu1]:[volt-sbmu5]])-MIN(Table2[[#This Row],[volt-sbmu1]:[volt-sbmu5]])</f>
        <v>4.4000000000000909</v>
      </c>
      <c r="T64" s="75">
        <f>MAX(Table2[[#This Row],[soc-sbmu1]:[soc-sbmu5]])-MIN(Table2[[#This Row],[soc-sbmu1]:[soc-sbmu5]])</f>
        <v>2.6000000000000085</v>
      </c>
      <c r="U64" s="75"/>
      <c r="V64" s="75"/>
    </row>
    <row r="65" spans="1:22">
      <c r="A65" t="s">
        <v>194</v>
      </c>
      <c r="B65" t="s">
        <v>481</v>
      </c>
      <c r="C65" s="75">
        <v>84.1</v>
      </c>
      <c r="D65" s="75">
        <v>1400.4</v>
      </c>
      <c r="E65" s="75">
        <v>83.9</v>
      </c>
      <c r="F65" s="75">
        <v>83.8</v>
      </c>
      <c r="G65" s="75">
        <v>83.6</v>
      </c>
      <c r="H65" s="75">
        <v>84.2</v>
      </c>
      <c r="I65" s="75">
        <v>83.6</v>
      </c>
      <c r="J65" s="83">
        <v>1399.3</v>
      </c>
      <c r="K65" s="83">
        <v>1401.9</v>
      </c>
      <c r="L65" s="83">
        <v>1400.2</v>
      </c>
      <c r="M65" s="83">
        <v>1401.3</v>
      </c>
      <c r="N65" s="83">
        <v>1399.4</v>
      </c>
      <c r="O65" s="75">
        <v>0</v>
      </c>
      <c r="P65" s="75">
        <v>0</v>
      </c>
      <c r="Q65" s="75">
        <v>1</v>
      </c>
      <c r="R65" s="75">
        <v>25</v>
      </c>
      <c r="S65" s="75">
        <f>MAX(Table2[[#This Row],[volt-sbmu1]:[volt-sbmu5]])-MIN(Table2[[#This Row],[volt-sbmu1]:[volt-sbmu5]])</f>
        <v>2.6000000000001364</v>
      </c>
      <c r="T65" s="75">
        <f>MAX(Table2[[#This Row],[soc-sbmu1]:[soc-sbmu5]])-MIN(Table2[[#This Row],[soc-sbmu1]:[soc-sbmu5]])</f>
        <v>0.60000000000000853</v>
      </c>
      <c r="U65" s="75"/>
      <c r="V65" s="75"/>
    </row>
    <row r="66" spans="1:22">
      <c r="A66" t="s">
        <v>195</v>
      </c>
      <c r="B66" t="s">
        <v>482</v>
      </c>
      <c r="C66" s="75">
        <v>84.9</v>
      </c>
      <c r="D66" s="75">
        <v>1400.7</v>
      </c>
      <c r="E66" s="75">
        <v>85.3</v>
      </c>
      <c r="F66" s="75">
        <v>83.1</v>
      </c>
      <c r="G66" s="75">
        <v>83.4</v>
      </c>
      <c r="H66" s="75">
        <v>84.5</v>
      </c>
      <c r="I66" s="75">
        <v>83.1</v>
      </c>
      <c r="J66" s="83">
        <v>1402.5</v>
      </c>
      <c r="K66" s="83">
        <v>1400.4</v>
      </c>
      <c r="L66" s="83">
        <v>1399.5</v>
      </c>
      <c r="M66" s="83">
        <v>1399.8</v>
      </c>
      <c r="N66" s="83">
        <v>1401.3</v>
      </c>
      <c r="O66" s="75">
        <v>0</v>
      </c>
      <c r="P66" s="75">
        <v>0</v>
      </c>
      <c r="Q66" s="75">
        <v>1</v>
      </c>
      <c r="R66" s="75">
        <v>27</v>
      </c>
      <c r="S66" s="75">
        <f>MAX(Table2[[#This Row],[volt-sbmu1]:[volt-sbmu5]])-MIN(Table2[[#This Row],[volt-sbmu1]:[volt-sbmu5]])</f>
        <v>3</v>
      </c>
      <c r="T66" s="75">
        <f>MAX(Table2[[#This Row],[soc-sbmu1]:[soc-sbmu5]])-MIN(Table2[[#This Row],[soc-sbmu1]:[soc-sbmu5]])</f>
        <v>2.2000000000000028</v>
      </c>
      <c r="U66" s="75"/>
      <c r="V66" s="75"/>
    </row>
    <row r="67" spans="1:22">
      <c r="A67" t="s">
        <v>196</v>
      </c>
      <c r="B67" t="s">
        <v>483</v>
      </c>
      <c r="C67" s="75">
        <v>84.8</v>
      </c>
      <c r="D67" s="75">
        <v>1400</v>
      </c>
      <c r="E67" s="75">
        <v>85.1</v>
      </c>
      <c r="F67" s="75">
        <v>84</v>
      </c>
      <c r="G67" s="75">
        <v>84.4</v>
      </c>
      <c r="H67" s="75">
        <v>83.5</v>
      </c>
      <c r="I67" s="75">
        <v>83.6</v>
      </c>
      <c r="J67" s="83">
        <v>1400.3</v>
      </c>
      <c r="K67" s="83">
        <v>1400.4</v>
      </c>
      <c r="L67" s="83">
        <v>1400.3</v>
      </c>
      <c r="M67" s="83">
        <v>1399.4</v>
      </c>
      <c r="N67" s="83">
        <v>1399</v>
      </c>
      <c r="O67" s="75">
        <v>0</v>
      </c>
      <c r="P67" s="75">
        <v>0</v>
      </c>
      <c r="Q67" s="75">
        <v>1</v>
      </c>
      <c r="R67" s="75">
        <v>25</v>
      </c>
      <c r="S67" s="75">
        <f>MAX(Table2[[#This Row],[volt-sbmu1]:[volt-sbmu5]])-MIN(Table2[[#This Row],[volt-sbmu1]:[volt-sbmu5]])</f>
        <v>1.4000000000000909</v>
      </c>
      <c r="T67" s="75">
        <f>MAX(Table2[[#This Row],[soc-sbmu1]:[soc-sbmu5]])-MIN(Table2[[#This Row],[soc-sbmu1]:[soc-sbmu5]])</f>
        <v>1.5999999999999943</v>
      </c>
      <c r="U67" s="75"/>
      <c r="V67" s="75"/>
    </row>
    <row r="68" spans="1:22">
      <c r="A68" t="s">
        <v>197</v>
      </c>
      <c r="B68" t="s">
        <v>484</v>
      </c>
      <c r="C68" s="75">
        <v>84.9</v>
      </c>
      <c r="D68" s="75">
        <v>1400.1</v>
      </c>
      <c r="E68" s="75">
        <v>85</v>
      </c>
      <c r="F68" s="75">
        <v>83.8</v>
      </c>
      <c r="G68" s="75">
        <v>85.2</v>
      </c>
      <c r="H68" s="75">
        <v>83.5</v>
      </c>
      <c r="I68" s="75">
        <v>84.7</v>
      </c>
      <c r="J68" s="83">
        <v>1400.7</v>
      </c>
      <c r="K68" s="83">
        <v>1399.5</v>
      </c>
      <c r="L68" s="83">
        <v>1401.2</v>
      </c>
      <c r="M68" s="83">
        <v>1400.3</v>
      </c>
      <c r="N68" s="83">
        <v>1399.6</v>
      </c>
      <c r="O68" s="75">
        <v>0</v>
      </c>
      <c r="P68" s="75">
        <v>0</v>
      </c>
      <c r="Q68" s="75">
        <v>1</v>
      </c>
      <c r="R68" s="75">
        <v>25</v>
      </c>
      <c r="S68" s="75">
        <f>MAX(Table2[[#This Row],[volt-sbmu1]:[volt-sbmu5]])-MIN(Table2[[#This Row],[volt-sbmu1]:[volt-sbmu5]])</f>
        <v>1.7000000000000455</v>
      </c>
      <c r="T68" s="75">
        <f>MAX(Table2[[#This Row],[soc-sbmu1]:[soc-sbmu5]])-MIN(Table2[[#This Row],[soc-sbmu1]:[soc-sbmu5]])</f>
        <v>1.7000000000000028</v>
      </c>
      <c r="U68" s="75"/>
      <c r="V68" s="75"/>
    </row>
    <row r="69" spans="1:22">
      <c r="A69" t="s">
        <v>198</v>
      </c>
      <c r="B69" t="s">
        <v>485</v>
      </c>
      <c r="C69" s="75">
        <v>84.4</v>
      </c>
      <c r="D69" s="75">
        <v>1400.8</v>
      </c>
      <c r="E69" s="75">
        <v>84.3</v>
      </c>
      <c r="F69" s="75">
        <v>84.2</v>
      </c>
      <c r="G69" s="75">
        <v>84.5</v>
      </c>
      <c r="H69" s="75">
        <v>84.2</v>
      </c>
      <c r="I69" s="75">
        <v>84.4</v>
      </c>
      <c r="J69" s="83">
        <v>1400.9</v>
      </c>
      <c r="K69" s="83">
        <v>1399.9</v>
      </c>
      <c r="L69" s="83">
        <v>1400.7</v>
      </c>
      <c r="M69" s="83">
        <v>1400.9</v>
      </c>
      <c r="N69" s="83">
        <v>1401.1</v>
      </c>
      <c r="O69" s="75">
        <v>0</v>
      </c>
      <c r="P69" s="75">
        <v>0</v>
      </c>
      <c r="Q69" s="75">
        <v>1</v>
      </c>
      <c r="R69" s="75">
        <v>24</v>
      </c>
      <c r="S69" s="75">
        <f>MAX(Table2[[#This Row],[volt-sbmu1]:[volt-sbmu5]])-MIN(Table2[[#This Row],[volt-sbmu1]:[volt-sbmu5]])</f>
        <v>1.1999999999998181</v>
      </c>
      <c r="T69" s="75">
        <f>MAX(Table2[[#This Row],[soc-sbmu1]:[soc-sbmu5]])-MIN(Table2[[#This Row],[soc-sbmu1]:[soc-sbmu5]])</f>
        <v>0.29999999999999716</v>
      </c>
      <c r="U69" s="75"/>
      <c r="V69" s="75"/>
    </row>
    <row r="70" spans="1:22">
      <c r="A70" t="s">
        <v>199</v>
      </c>
      <c r="B70" t="s">
        <v>486</v>
      </c>
      <c r="C70" s="75">
        <v>84.7</v>
      </c>
      <c r="D70" s="75">
        <v>1401.5</v>
      </c>
      <c r="E70" s="75">
        <v>84.3</v>
      </c>
      <c r="F70" s="75">
        <v>85</v>
      </c>
      <c r="G70" s="75">
        <v>84.1</v>
      </c>
      <c r="H70" s="75">
        <v>84.2</v>
      </c>
      <c r="I70" s="75">
        <v>83.4</v>
      </c>
      <c r="J70" s="83">
        <v>1401.5</v>
      </c>
      <c r="K70" s="83">
        <v>1401.3</v>
      </c>
      <c r="L70" s="83">
        <v>1399.1</v>
      </c>
      <c r="M70" s="83">
        <v>1400.7</v>
      </c>
      <c r="N70" s="83">
        <v>1403.4</v>
      </c>
      <c r="O70" s="75">
        <v>0</v>
      </c>
      <c r="P70" s="75">
        <v>0</v>
      </c>
      <c r="Q70" s="75">
        <v>1</v>
      </c>
      <c r="R70" s="75">
        <v>29</v>
      </c>
      <c r="S70" s="75">
        <f>MAX(Table2[[#This Row],[volt-sbmu1]:[volt-sbmu5]])-MIN(Table2[[#This Row],[volt-sbmu1]:[volt-sbmu5]])</f>
        <v>4.3000000000001819</v>
      </c>
      <c r="T70" s="75">
        <f>MAX(Table2[[#This Row],[soc-sbmu1]:[soc-sbmu5]])-MIN(Table2[[#This Row],[soc-sbmu1]:[soc-sbmu5]])</f>
        <v>1.5999999999999943</v>
      </c>
      <c r="U70" s="75"/>
      <c r="V70" s="75"/>
    </row>
    <row r="71" spans="1:22">
      <c r="A71" t="s">
        <v>200</v>
      </c>
      <c r="B71" t="s">
        <v>487</v>
      </c>
      <c r="C71" s="75">
        <v>99.4</v>
      </c>
      <c r="D71" s="75">
        <v>1387.2</v>
      </c>
      <c r="E71" s="75">
        <v>99.3</v>
      </c>
      <c r="F71" s="75">
        <v>99.3</v>
      </c>
      <c r="G71" s="75">
        <v>99.2</v>
      </c>
      <c r="H71" s="75">
        <v>99.2</v>
      </c>
      <c r="I71" s="75">
        <v>99.5</v>
      </c>
      <c r="J71" s="83">
        <v>1387.9</v>
      </c>
      <c r="K71" s="83">
        <v>1387.3</v>
      </c>
      <c r="L71" s="83">
        <v>1388.1</v>
      </c>
      <c r="M71" s="83">
        <v>1386.9</v>
      </c>
      <c r="N71" s="83">
        <v>1386.6</v>
      </c>
      <c r="O71" s="75">
        <v>0</v>
      </c>
      <c r="P71" s="75">
        <v>0</v>
      </c>
      <c r="Q71" s="75">
        <v>2</v>
      </c>
      <c r="R71" s="75">
        <v>25</v>
      </c>
      <c r="S71" s="75">
        <f>MAX(Table2[[#This Row],[volt-sbmu1]:[volt-sbmu5]])-MIN(Table2[[#This Row],[volt-sbmu1]:[volt-sbmu5]])</f>
        <v>1.5</v>
      </c>
      <c r="T71" s="75">
        <f>MAX(Table2[[#This Row],[soc-sbmu1]:[soc-sbmu5]])-MIN(Table2[[#This Row],[soc-sbmu1]:[soc-sbmu5]])</f>
        <v>0.29999999999999716</v>
      </c>
      <c r="U71" s="75"/>
      <c r="V71" s="75"/>
    </row>
    <row r="72" spans="1:22">
      <c r="A72" t="s">
        <v>201</v>
      </c>
      <c r="B72" t="s">
        <v>488</v>
      </c>
      <c r="C72" s="75">
        <v>1</v>
      </c>
      <c r="D72" s="75">
        <v>0</v>
      </c>
      <c r="E72" s="75">
        <v>1</v>
      </c>
      <c r="F72" s="75">
        <v>1</v>
      </c>
      <c r="G72" s="75">
        <v>1</v>
      </c>
      <c r="H72" s="75">
        <v>1</v>
      </c>
      <c r="I72" s="75">
        <v>1</v>
      </c>
      <c r="J72" s="83">
        <v>1267.5</v>
      </c>
      <c r="K72" s="83">
        <v>1267.9000000000001</v>
      </c>
      <c r="L72" s="83">
        <v>1267.3</v>
      </c>
      <c r="M72" s="83">
        <v>1268.5999999999999</v>
      </c>
      <c r="N72" s="83">
        <v>1269.0999999999999</v>
      </c>
      <c r="O72" s="75">
        <v>0</v>
      </c>
      <c r="P72" s="75">
        <v>0</v>
      </c>
      <c r="Q72" s="75">
        <v>4</v>
      </c>
      <c r="R72" s="75">
        <v>25</v>
      </c>
      <c r="S72" s="75">
        <f>MAX(Table2[[#This Row],[volt-sbmu1]:[volt-sbmu5]])-MIN(Table2[[#This Row],[volt-sbmu1]:[volt-sbmu5]])</f>
        <v>1.7999999999999545</v>
      </c>
      <c r="T72" s="75">
        <f>MAX(Table2[[#This Row],[soc-sbmu1]:[soc-sbmu5]])-MIN(Table2[[#This Row],[soc-sbmu1]:[soc-sbmu5]])</f>
        <v>0</v>
      </c>
      <c r="U72" s="75"/>
      <c r="V72" s="75"/>
    </row>
    <row r="73" spans="1:22">
      <c r="A73" t="s">
        <v>202</v>
      </c>
      <c r="B73" t="s">
        <v>489</v>
      </c>
      <c r="C73" s="75">
        <v>99.4</v>
      </c>
      <c r="D73" s="75">
        <v>1388</v>
      </c>
      <c r="E73" s="75">
        <v>99.5</v>
      </c>
      <c r="F73" s="75">
        <v>99.4</v>
      </c>
      <c r="G73" s="75">
        <v>99.4</v>
      </c>
      <c r="H73" s="75">
        <v>99.4</v>
      </c>
      <c r="I73" s="75">
        <v>99.4</v>
      </c>
      <c r="J73" s="83">
        <v>1387.9</v>
      </c>
      <c r="K73" s="83">
        <v>1387.6</v>
      </c>
      <c r="L73" s="83">
        <v>1387.4</v>
      </c>
      <c r="M73" s="83">
        <v>1388.7</v>
      </c>
      <c r="N73" s="83">
        <v>1388.4</v>
      </c>
      <c r="O73" s="75">
        <v>0</v>
      </c>
      <c r="P73" s="75">
        <v>0</v>
      </c>
      <c r="Q73" s="75">
        <v>2</v>
      </c>
      <c r="R73" s="75">
        <v>24</v>
      </c>
      <c r="S73" s="75">
        <f>MAX(Table2[[#This Row],[volt-sbmu1]:[volt-sbmu5]])-MIN(Table2[[#This Row],[volt-sbmu1]:[volt-sbmu5]])</f>
        <v>1.2999999999999545</v>
      </c>
      <c r="T73" s="75">
        <f>MAX(Table2[[#This Row],[soc-sbmu1]:[soc-sbmu5]])-MIN(Table2[[#This Row],[soc-sbmu1]:[soc-sbmu5]])</f>
        <v>9.9999999999994316E-2</v>
      </c>
      <c r="U73" s="75"/>
      <c r="V73" s="75"/>
    </row>
    <row r="74" spans="1:22">
      <c r="A74" t="s">
        <v>203</v>
      </c>
      <c r="B74" t="s">
        <v>490</v>
      </c>
      <c r="C74" s="75">
        <v>99.8</v>
      </c>
      <c r="D74" s="75">
        <v>1385.7</v>
      </c>
      <c r="E74" s="75">
        <v>99.9</v>
      </c>
      <c r="F74" s="75">
        <v>99.9</v>
      </c>
      <c r="G74" s="75">
        <v>99.9</v>
      </c>
      <c r="H74" s="75">
        <v>99.9</v>
      </c>
      <c r="I74" s="75">
        <v>99.4</v>
      </c>
      <c r="J74" s="83">
        <v>1385.4</v>
      </c>
      <c r="K74" s="83">
        <v>1385.8</v>
      </c>
      <c r="L74" s="83">
        <v>1386.7</v>
      </c>
      <c r="M74" s="83">
        <v>1385.9</v>
      </c>
      <c r="N74" s="83">
        <v>1386.3</v>
      </c>
      <c r="O74" s="75">
        <v>0</v>
      </c>
      <c r="P74" s="75">
        <v>0</v>
      </c>
      <c r="Q74" s="75">
        <v>2</v>
      </c>
      <c r="R74" s="75">
        <v>27</v>
      </c>
      <c r="S74" s="75">
        <f>MAX(Table2[[#This Row],[volt-sbmu1]:[volt-sbmu5]])-MIN(Table2[[#This Row],[volt-sbmu1]:[volt-sbmu5]])</f>
        <v>1.2999999999999545</v>
      </c>
      <c r="T74" s="75">
        <f>MAX(Table2[[#This Row],[soc-sbmu1]:[soc-sbmu5]])-MIN(Table2[[#This Row],[soc-sbmu1]:[soc-sbmu5]])</f>
        <v>0.5</v>
      </c>
      <c r="U74" s="75"/>
      <c r="V74" s="75"/>
    </row>
    <row r="75" spans="1:22">
      <c r="A75" t="s">
        <v>204</v>
      </c>
      <c r="B75" t="s">
        <v>415</v>
      </c>
      <c r="C75" s="75">
        <v>85.4</v>
      </c>
      <c r="D75" s="75">
        <v>1400.6</v>
      </c>
      <c r="E75" s="75">
        <v>84.5</v>
      </c>
      <c r="F75" s="75">
        <v>83.1</v>
      </c>
      <c r="G75" s="75">
        <v>83.4</v>
      </c>
      <c r="H75" s="75">
        <v>83.3</v>
      </c>
      <c r="I75" s="75">
        <v>85.8</v>
      </c>
      <c r="J75" s="83">
        <v>1402</v>
      </c>
      <c r="K75" s="83">
        <v>1399.5</v>
      </c>
      <c r="L75" s="83">
        <v>1400</v>
      </c>
      <c r="M75" s="83">
        <v>1400.8</v>
      </c>
      <c r="N75" s="83">
        <v>1401</v>
      </c>
      <c r="O75" s="75">
        <v>0</v>
      </c>
      <c r="P75" s="75">
        <v>0</v>
      </c>
      <c r="Q75" s="75">
        <v>1</v>
      </c>
      <c r="R75" s="75">
        <v>25</v>
      </c>
      <c r="S75" s="75">
        <f>MAX(Table2[[#This Row],[volt-sbmu1]:[volt-sbmu5]])-MIN(Table2[[#This Row],[volt-sbmu1]:[volt-sbmu5]])</f>
        <v>2.5</v>
      </c>
      <c r="T75" s="75">
        <f>MAX(Table2[[#This Row],[soc-sbmu1]:[soc-sbmu5]])-MIN(Table2[[#This Row],[soc-sbmu1]:[soc-sbmu5]])</f>
        <v>2.7000000000000028</v>
      </c>
      <c r="U75" s="75"/>
      <c r="V75" s="75"/>
    </row>
    <row r="76" spans="1:22">
      <c r="A76" t="s">
        <v>205</v>
      </c>
      <c r="B76" t="s">
        <v>414</v>
      </c>
      <c r="C76" s="75">
        <v>84.7</v>
      </c>
      <c r="D76" s="75">
        <v>1400.1</v>
      </c>
      <c r="E76" s="75">
        <v>83</v>
      </c>
      <c r="F76" s="75">
        <v>82.8</v>
      </c>
      <c r="G76" s="75">
        <v>82.4</v>
      </c>
      <c r="H76" s="75">
        <v>82.8</v>
      </c>
      <c r="I76" s="75">
        <v>85.2</v>
      </c>
      <c r="J76" s="83">
        <v>1398.7</v>
      </c>
      <c r="K76" s="83">
        <v>1399.3</v>
      </c>
      <c r="L76" s="83">
        <v>1399.9</v>
      </c>
      <c r="M76" s="83">
        <v>1399.5</v>
      </c>
      <c r="N76" s="83">
        <v>1400.3</v>
      </c>
      <c r="O76" s="75">
        <v>0</v>
      </c>
      <c r="P76" s="75">
        <v>0</v>
      </c>
      <c r="Q76" s="75">
        <v>1</v>
      </c>
      <c r="R76" s="75">
        <v>26</v>
      </c>
      <c r="S76" s="75">
        <f>MAX(Table2[[#This Row],[volt-sbmu1]:[volt-sbmu5]])-MIN(Table2[[#This Row],[volt-sbmu1]:[volt-sbmu5]])</f>
        <v>1.5999999999999091</v>
      </c>
      <c r="T76" s="75">
        <f>MAX(Table2[[#This Row],[soc-sbmu1]:[soc-sbmu5]])-MIN(Table2[[#This Row],[soc-sbmu1]:[soc-sbmu5]])</f>
        <v>2.7999999999999972</v>
      </c>
      <c r="U76" s="75"/>
      <c r="V76" s="75"/>
    </row>
    <row r="77" spans="1:22">
      <c r="A77" t="s">
        <v>206</v>
      </c>
      <c r="B77" t="s">
        <v>413</v>
      </c>
      <c r="C77" s="75">
        <v>84.4</v>
      </c>
      <c r="D77" s="75">
        <v>1399.9</v>
      </c>
      <c r="E77" s="75">
        <v>83.7</v>
      </c>
      <c r="F77" s="75">
        <v>84.7</v>
      </c>
      <c r="G77" s="75">
        <v>84</v>
      </c>
      <c r="H77" s="75">
        <v>84</v>
      </c>
      <c r="I77" s="75">
        <v>83.2</v>
      </c>
      <c r="J77" s="83">
        <v>1400.2</v>
      </c>
      <c r="K77" s="83">
        <v>1399.9</v>
      </c>
      <c r="L77" s="83">
        <v>1400.2</v>
      </c>
      <c r="M77" s="83">
        <v>1400.6</v>
      </c>
      <c r="N77" s="83">
        <v>1399.7</v>
      </c>
      <c r="O77" s="75">
        <v>0</v>
      </c>
      <c r="P77" s="75">
        <v>0</v>
      </c>
      <c r="Q77" s="75">
        <v>1</v>
      </c>
      <c r="R77" s="75">
        <v>26</v>
      </c>
      <c r="S77" s="75">
        <f>MAX(Table2[[#This Row],[volt-sbmu1]:[volt-sbmu5]])-MIN(Table2[[#This Row],[volt-sbmu1]:[volt-sbmu5]])</f>
        <v>0.89999999999986358</v>
      </c>
      <c r="T77" s="75">
        <f>MAX(Table2[[#This Row],[soc-sbmu1]:[soc-sbmu5]])-MIN(Table2[[#This Row],[soc-sbmu1]:[soc-sbmu5]])</f>
        <v>1.5</v>
      </c>
      <c r="U77" s="75"/>
      <c r="V77" s="75"/>
    </row>
    <row r="78" spans="1:22">
      <c r="A78" t="s">
        <v>207</v>
      </c>
      <c r="B78" t="s">
        <v>412</v>
      </c>
      <c r="C78" s="75">
        <v>84.3</v>
      </c>
      <c r="D78" s="75">
        <v>1399.8</v>
      </c>
      <c r="E78" s="75">
        <v>82.9</v>
      </c>
      <c r="F78" s="75">
        <v>82.9</v>
      </c>
      <c r="G78" s="75">
        <v>83</v>
      </c>
      <c r="H78" s="75">
        <v>82.7</v>
      </c>
      <c r="I78" s="75">
        <v>84.7</v>
      </c>
      <c r="J78" s="83">
        <v>1399.1</v>
      </c>
      <c r="K78" s="83">
        <v>1401.8</v>
      </c>
      <c r="L78" s="83">
        <v>1398.4</v>
      </c>
      <c r="M78" s="83">
        <v>1399.2</v>
      </c>
      <c r="N78" s="83">
        <v>1400.4</v>
      </c>
      <c r="O78" s="75">
        <v>0</v>
      </c>
      <c r="P78" s="75">
        <v>0</v>
      </c>
      <c r="Q78" s="75">
        <v>1</v>
      </c>
      <c r="R78" s="75">
        <v>28</v>
      </c>
      <c r="S78" s="75">
        <f>MAX(Table2[[#This Row],[volt-sbmu1]:[volt-sbmu5]])-MIN(Table2[[#This Row],[volt-sbmu1]:[volt-sbmu5]])</f>
        <v>3.3999999999998636</v>
      </c>
      <c r="T78" s="75">
        <f>MAX(Table2[[#This Row],[soc-sbmu1]:[soc-sbmu5]])-MIN(Table2[[#This Row],[soc-sbmu1]:[soc-sbmu5]])</f>
        <v>2</v>
      </c>
      <c r="U78" s="75"/>
      <c r="V78" s="75"/>
    </row>
    <row r="79" spans="1:22">
      <c r="A79" t="s">
        <v>208</v>
      </c>
      <c r="B79" t="s">
        <v>491</v>
      </c>
      <c r="C79" s="75">
        <v>84.1</v>
      </c>
      <c r="D79" s="75">
        <v>1400.4</v>
      </c>
      <c r="E79" s="75">
        <v>83.5</v>
      </c>
      <c r="F79" s="75">
        <v>83.1</v>
      </c>
      <c r="G79" s="75">
        <v>83.2</v>
      </c>
      <c r="H79" s="75">
        <v>84.4</v>
      </c>
      <c r="I79" s="75">
        <v>83</v>
      </c>
      <c r="J79" s="83">
        <v>1401.3</v>
      </c>
      <c r="K79" s="83">
        <v>1399.9</v>
      </c>
      <c r="L79" s="83">
        <v>1399.8</v>
      </c>
      <c r="M79" s="83">
        <v>1401.9</v>
      </c>
      <c r="N79" s="83">
        <v>1399.5</v>
      </c>
      <c r="O79" s="75">
        <v>0</v>
      </c>
      <c r="P79" s="75">
        <v>0</v>
      </c>
      <c r="Q79" s="75">
        <v>1</v>
      </c>
      <c r="R79" s="75">
        <v>26</v>
      </c>
      <c r="S79" s="75">
        <f>MAX(Table2[[#This Row],[volt-sbmu1]:[volt-sbmu5]])-MIN(Table2[[#This Row],[volt-sbmu1]:[volt-sbmu5]])</f>
        <v>2.4000000000000909</v>
      </c>
      <c r="T79" s="75">
        <f>MAX(Table2[[#This Row],[soc-sbmu1]:[soc-sbmu5]])-MIN(Table2[[#This Row],[soc-sbmu1]:[soc-sbmu5]])</f>
        <v>1.4000000000000057</v>
      </c>
      <c r="U79" s="75"/>
      <c r="V79" s="75"/>
    </row>
    <row r="80" spans="1:22">
      <c r="A80" t="s">
        <v>209</v>
      </c>
      <c r="B80" t="s">
        <v>492</v>
      </c>
      <c r="C80" s="75">
        <v>84.5</v>
      </c>
      <c r="D80" s="75">
        <v>1399.9</v>
      </c>
      <c r="E80" s="75">
        <v>84.6</v>
      </c>
      <c r="F80" s="75">
        <v>83.6</v>
      </c>
      <c r="G80" s="75">
        <v>84.7</v>
      </c>
      <c r="H80" s="75">
        <v>83.6</v>
      </c>
      <c r="I80" s="75">
        <v>84.4</v>
      </c>
      <c r="J80" s="83">
        <v>1400.5</v>
      </c>
      <c r="K80" s="83">
        <v>1399.5</v>
      </c>
      <c r="L80" s="83">
        <v>1399.8</v>
      </c>
      <c r="M80" s="83">
        <v>1400.4</v>
      </c>
      <c r="N80" s="83">
        <v>1399.2</v>
      </c>
      <c r="O80" s="75">
        <v>0</v>
      </c>
      <c r="P80" s="75">
        <v>0</v>
      </c>
      <c r="Q80" s="75">
        <v>1</v>
      </c>
      <c r="R80" s="75">
        <v>26</v>
      </c>
      <c r="S80" s="75">
        <f>MAX(Table2[[#This Row],[volt-sbmu1]:[volt-sbmu5]])-MIN(Table2[[#This Row],[volt-sbmu1]:[volt-sbmu5]])</f>
        <v>1.2999999999999545</v>
      </c>
      <c r="T80" s="75">
        <f>MAX(Table2[[#This Row],[soc-sbmu1]:[soc-sbmu5]])-MIN(Table2[[#This Row],[soc-sbmu1]:[soc-sbmu5]])</f>
        <v>1.1000000000000085</v>
      </c>
      <c r="U80" s="75"/>
      <c r="V80" s="75"/>
    </row>
    <row r="81" spans="1:22">
      <c r="A81" t="s">
        <v>210</v>
      </c>
      <c r="B81" t="s">
        <v>493</v>
      </c>
      <c r="C81" s="75">
        <v>84.7</v>
      </c>
      <c r="D81" s="75">
        <v>1400.1</v>
      </c>
      <c r="E81" s="75">
        <v>83.3</v>
      </c>
      <c r="F81" s="75">
        <v>85</v>
      </c>
      <c r="G81" s="75">
        <v>83.2</v>
      </c>
      <c r="H81" s="75">
        <v>83.3</v>
      </c>
      <c r="I81" s="75">
        <v>83.5</v>
      </c>
      <c r="J81" s="83">
        <v>1401.5</v>
      </c>
      <c r="K81" s="83">
        <v>1399.6</v>
      </c>
      <c r="L81" s="83">
        <v>1400.9</v>
      </c>
      <c r="M81" s="83">
        <v>1399</v>
      </c>
      <c r="N81" s="83">
        <v>1398.9</v>
      </c>
      <c r="O81" s="75">
        <v>0</v>
      </c>
      <c r="P81" s="75">
        <v>0</v>
      </c>
      <c r="Q81" s="75">
        <v>1</v>
      </c>
      <c r="R81" s="75">
        <v>26</v>
      </c>
      <c r="S81" s="75">
        <f>MAX(Table2[[#This Row],[volt-sbmu1]:[volt-sbmu5]])-MIN(Table2[[#This Row],[volt-sbmu1]:[volt-sbmu5]])</f>
        <v>2.5999999999999091</v>
      </c>
      <c r="T81" s="75">
        <f>MAX(Table2[[#This Row],[soc-sbmu1]:[soc-sbmu5]])-MIN(Table2[[#This Row],[soc-sbmu1]:[soc-sbmu5]])</f>
        <v>1.7999999999999972</v>
      </c>
      <c r="U81" s="75"/>
      <c r="V81" s="75"/>
    </row>
    <row r="82" spans="1:22">
      <c r="A82" t="s">
        <v>211</v>
      </c>
      <c r="B82" t="s">
        <v>494</v>
      </c>
      <c r="C82" s="75">
        <v>84.8</v>
      </c>
      <c r="D82" s="75">
        <v>1400.4</v>
      </c>
      <c r="E82" s="75">
        <v>85.3</v>
      </c>
      <c r="F82" s="75">
        <v>82.4</v>
      </c>
      <c r="G82" s="75">
        <v>83.5</v>
      </c>
      <c r="H82" s="75">
        <v>83.8</v>
      </c>
      <c r="I82" s="75">
        <v>82.6</v>
      </c>
      <c r="J82" s="83">
        <v>1400.5</v>
      </c>
      <c r="K82" s="83">
        <v>1400.1</v>
      </c>
      <c r="L82" s="83">
        <v>1401.5</v>
      </c>
      <c r="M82" s="83">
        <v>1400.4</v>
      </c>
      <c r="N82" s="83">
        <v>1400.7</v>
      </c>
      <c r="O82" s="75">
        <v>0</v>
      </c>
      <c r="P82" s="75">
        <v>0</v>
      </c>
      <c r="Q82" s="75">
        <v>1</v>
      </c>
      <c r="R82" s="75">
        <v>28</v>
      </c>
      <c r="S82" s="75">
        <f>MAX(Table2[[#This Row],[volt-sbmu1]:[volt-sbmu5]])-MIN(Table2[[#This Row],[volt-sbmu1]:[volt-sbmu5]])</f>
        <v>1.4000000000000909</v>
      </c>
      <c r="T82" s="75">
        <f>MAX(Table2[[#This Row],[soc-sbmu1]:[soc-sbmu5]])-MIN(Table2[[#This Row],[soc-sbmu1]:[soc-sbmu5]])</f>
        <v>2.8999999999999915</v>
      </c>
      <c r="U82" s="75"/>
      <c r="V82" s="75"/>
    </row>
    <row r="83" spans="1:22">
      <c r="A83" t="s">
        <v>212</v>
      </c>
      <c r="B83" t="s">
        <v>495</v>
      </c>
      <c r="C83" s="75">
        <v>85</v>
      </c>
      <c r="D83" s="75">
        <v>1401.2</v>
      </c>
      <c r="E83" s="75">
        <v>85.4</v>
      </c>
      <c r="F83" s="75">
        <v>84.6</v>
      </c>
      <c r="G83" s="75">
        <v>83.8</v>
      </c>
      <c r="H83" s="75">
        <v>83.1</v>
      </c>
      <c r="I83" s="75">
        <v>83.3</v>
      </c>
      <c r="J83" s="83">
        <v>1401.9</v>
      </c>
      <c r="K83" s="83">
        <v>1400.1</v>
      </c>
      <c r="L83" s="83">
        <v>1400.9</v>
      </c>
      <c r="M83" s="83">
        <v>1400.2</v>
      </c>
      <c r="N83" s="83">
        <v>1401.6</v>
      </c>
      <c r="O83" s="75">
        <v>0</v>
      </c>
      <c r="P83" s="75">
        <v>0</v>
      </c>
      <c r="Q83" s="75">
        <v>1</v>
      </c>
      <c r="R83" s="75">
        <v>25</v>
      </c>
      <c r="S83" s="75">
        <f>MAX(Table2[[#This Row],[volt-sbmu1]:[volt-sbmu5]])-MIN(Table2[[#This Row],[volt-sbmu1]:[volt-sbmu5]])</f>
        <v>1.8000000000001819</v>
      </c>
      <c r="T83" s="75">
        <f>MAX(Table2[[#This Row],[soc-sbmu1]:[soc-sbmu5]])-MIN(Table2[[#This Row],[soc-sbmu1]:[soc-sbmu5]])</f>
        <v>2.3000000000000114</v>
      </c>
      <c r="U83" s="75"/>
      <c r="V83" s="75"/>
    </row>
    <row r="84" spans="1:22">
      <c r="A84" t="s">
        <v>213</v>
      </c>
      <c r="B84" t="s">
        <v>496</v>
      </c>
      <c r="C84" s="75">
        <v>84.7</v>
      </c>
      <c r="D84" s="75">
        <v>1400.4</v>
      </c>
      <c r="E84" s="75">
        <v>84.3</v>
      </c>
      <c r="F84" s="75">
        <v>84.3</v>
      </c>
      <c r="G84" s="75">
        <v>84.8</v>
      </c>
      <c r="H84" s="75">
        <v>83.4</v>
      </c>
      <c r="I84" s="75">
        <v>85</v>
      </c>
      <c r="J84" s="83">
        <v>1400.4</v>
      </c>
      <c r="K84" s="83">
        <v>1401.3</v>
      </c>
      <c r="L84" s="83">
        <v>1399.1</v>
      </c>
      <c r="M84" s="83">
        <v>1399.8</v>
      </c>
      <c r="N84" s="83">
        <v>1400.6</v>
      </c>
      <c r="O84" s="75">
        <v>0</v>
      </c>
      <c r="P84" s="75">
        <v>0</v>
      </c>
      <c r="Q84" s="75">
        <v>1</v>
      </c>
      <c r="R84" s="75">
        <v>26</v>
      </c>
      <c r="S84" s="75">
        <f>MAX(Table2[[#This Row],[volt-sbmu1]:[volt-sbmu5]])-MIN(Table2[[#This Row],[volt-sbmu1]:[volt-sbmu5]])</f>
        <v>2.2000000000000455</v>
      </c>
      <c r="T84" s="75">
        <f>MAX(Table2[[#This Row],[soc-sbmu1]:[soc-sbmu5]])-MIN(Table2[[#This Row],[soc-sbmu1]:[soc-sbmu5]])</f>
        <v>1.5999999999999943</v>
      </c>
      <c r="U84" s="75"/>
      <c r="V84" s="75"/>
    </row>
    <row r="85" spans="1:22">
      <c r="A85" t="s">
        <v>214</v>
      </c>
      <c r="B85" t="s">
        <v>497</v>
      </c>
      <c r="C85" s="75">
        <v>84.8</v>
      </c>
      <c r="D85" s="75">
        <v>1399.2</v>
      </c>
      <c r="E85" s="75">
        <v>82.9</v>
      </c>
      <c r="F85" s="75">
        <v>85.2</v>
      </c>
      <c r="G85" s="75">
        <v>83.8</v>
      </c>
      <c r="H85" s="75">
        <v>84</v>
      </c>
      <c r="I85" s="75">
        <v>83.9</v>
      </c>
      <c r="J85" s="83">
        <v>1399.5</v>
      </c>
      <c r="K85" s="83">
        <v>1399.9</v>
      </c>
      <c r="L85" s="83">
        <v>1399.4</v>
      </c>
      <c r="M85" s="83">
        <v>1397.6</v>
      </c>
      <c r="N85" s="83">
        <v>1399.7</v>
      </c>
      <c r="O85" s="75">
        <v>0</v>
      </c>
      <c r="P85" s="75">
        <v>0</v>
      </c>
      <c r="Q85" s="75">
        <v>1</v>
      </c>
      <c r="R85" s="75">
        <v>26</v>
      </c>
      <c r="S85" s="75">
        <f>MAX(Table2[[#This Row],[volt-sbmu1]:[volt-sbmu5]])-MIN(Table2[[#This Row],[volt-sbmu1]:[volt-sbmu5]])</f>
        <v>2.3000000000001819</v>
      </c>
      <c r="T85" s="75">
        <f>MAX(Table2[[#This Row],[soc-sbmu1]:[soc-sbmu5]])-MIN(Table2[[#This Row],[soc-sbmu1]:[soc-sbmu5]])</f>
        <v>2.2999999999999972</v>
      </c>
      <c r="U85" s="75"/>
      <c r="V85" s="75"/>
    </row>
    <row r="86" spans="1:22">
      <c r="A86" t="s">
        <v>215</v>
      </c>
      <c r="B86" t="s">
        <v>498</v>
      </c>
      <c r="C86" s="75">
        <v>84.4</v>
      </c>
      <c r="D86" s="75">
        <v>1401.2</v>
      </c>
      <c r="E86" s="75">
        <v>83.2</v>
      </c>
      <c r="F86" s="75">
        <v>84.7</v>
      </c>
      <c r="G86" s="75">
        <v>83.4</v>
      </c>
      <c r="H86" s="75">
        <v>83.9</v>
      </c>
      <c r="I86" s="75">
        <v>84.3</v>
      </c>
      <c r="J86" s="83">
        <v>1400.1</v>
      </c>
      <c r="K86" s="83">
        <v>1402.6</v>
      </c>
      <c r="L86" s="83">
        <v>1401.3</v>
      </c>
      <c r="M86" s="83">
        <v>1399.8</v>
      </c>
      <c r="N86" s="83">
        <v>1402.1</v>
      </c>
      <c r="O86" s="75">
        <v>0</v>
      </c>
      <c r="P86" s="75">
        <v>0</v>
      </c>
      <c r="Q86" s="75">
        <v>1</v>
      </c>
      <c r="R86" s="75">
        <v>27</v>
      </c>
      <c r="S86" s="75">
        <f>MAX(Table2[[#This Row],[volt-sbmu1]:[volt-sbmu5]])-MIN(Table2[[#This Row],[volt-sbmu1]:[volt-sbmu5]])</f>
        <v>2.7999999999999545</v>
      </c>
      <c r="T86" s="75">
        <f>MAX(Table2[[#This Row],[soc-sbmu1]:[soc-sbmu5]])-MIN(Table2[[#This Row],[soc-sbmu1]:[soc-sbmu5]])</f>
        <v>1.5</v>
      </c>
      <c r="U86" s="75"/>
      <c r="V86" s="75"/>
    </row>
    <row r="87" spans="1:22">
      <c r="A87" t="s">
        <v>216</v>
      </c>
      <c r="B87" t="s">
        <v>499</v>
      </c>
      <c r="C87" s="75">
        <v>84.6</v>
      </c>
      <c r="D87" s="75">
        <v>1400</v>
      </c>
      <c r="E87" s="75">
        <v>84.8</v>
      </c>
      <c r="F87" s="75">
        <v>84.1</v>
      </c>
      <c r="G87" s="75">
        <v>84</v>
      </c>
      <c r="H87" s="75">
        <v>83.8</v>
      </c>
      <c r="I87" s="75">
        <v>84.1</v>
      </c>
      <c r="J87" s="83">
        <v>1399.6</v>
      </c>
      <c r="K87" s="83">
        <v>1400.1</v>
      </c>
      <c r="L87" s="83">
        <v>1399.7</v>
      </c>
      <c r="M87" s="83">
        <v>1400.2</v>
      </c>
      <c r="N87" s="83">
        <v>1400.6</v>
      </c>
      <c r="O87" s="75">
        <v>0</v>
      </c>
      <c r="P87" s="75">
        <v>0</v>
      </c>
      <c r="Q87" s="75">
        <v>1</v>
      </c>
      <c r="R87" s="75">
        <v>26</v>
      </c>
      <c r="S87" s="75">
        <f>MAX(Table2[[#This Row],[volt-sbmu1]:[volt-sbmu5]])-MIN(Table2[[#This Row],[volt-sbmu1]:[volt-sbmu5]])</f>
        <v>1</v>
      </c>
      <c r="T87" s="75">
        <f>MAX(Table2[[#This Row],[soc-sbmu1]:[soc-sbmu5]])-MIN(Table2[[#This Row],[soc-sbmu1]:[soc-sbmu5]])</f>
        <v>1</v>
      </c>
      <c r="U87" s="75"/>
      <c r="V87" s="75"/>
    </row>
    <row r="88" spans="1:22">
      <c r="A88" t="s">
        <v>217</v>
      </c>
      <c r="B88" t="s">
        <v>500</v>
      </c>
      <c r="C88" s="75">
        <v>84.7</v>
      </c>
      <c r="D88" s="75">
        <v>1400.6</v>
      </c>
      <c r="E88" s="75">
        <v>85.1</v>
      </c>
      <c r="F88" s="75">
        <v>82.6</v>
      </c>
      <c r="G88" s="75">
        <v>83.1</v>
      </c>
      <c r="H88" s="75">
        <v>83.2</v>
      </c>
      <c r="I88" s="75">
        <v>83.1</v>
      </c>
      <c r="J88" s="83">
        <v>1399.4</v>
      </c>
      <c r="K88" s="83">
        <v>1400.9</v>
      </c>
      <c r="L88" s="83">
        <v>1399.1</v>
      </c>
      <c r="M88" s="83">
        <v>1400.7</v>
      </c>
      <c r="N88" s="83">
        <v>1402.4</v>
      </c>
      <c r="O88" s="75">
        <v>0</v>
      </c>
      <c r="P88" s="75">
        <v>0</v>
      </c>
      <c r="Q88" s="75">
        <v>1</v>
      </c>
      <c r="R88" s="75">
        <v>26</v>
      </c>
      <c r="S88" s="75">
        <f>MAX(Table2[[#This Row],[volt-sbmu1]:[volt-sbmu5]])-MIN(Table2[[#This Row],[volt-sbmu1]:[volt-sbmu5]])</f>
        <v>3.3000000000001819</v>
      </c>
      <c r="T88" s="75">
        <f>MAX(Table2[[#This Row],[soc-sbmu1]:[soc-sbmu5]])-MIN(Table2[[#This Row],[soc-sbmu1]:[soc-sbmu5]])</f>
        <v>2.5</v>
      </c>
      <c r="U88" s="75"/>
      <c r="V88" s="75"/>
    </row>
    <row r="89" spans="1:22">
      <c r="A89" t="s">
        <v>218</v>
      </c>
      <c r="B89" t="s">
        <v>501</v>
      </c>
      <c r="C89" s="75">
        <v>84.8</v>
      </c>
      <c r="D89" s="75">
        <v>1400.6</v>
      </c>
      <c r="E89" s="75">
        <v>85.2</v>
      </c>
      <c r="F89" s="75">
        <v>83.3</v>
      </c>
      <c r="G89" s="75">
        <v>82.9</v>
      </c>
      <c r="H89" s="75">
        <v>83</v>
      </c>
      <c r="I89" s="75">
        <v>83</v>
      </c>
      <c r="J89" s="83">
        <v>1400.5</v>
      </c>
      <c r="K89" s="83">
        <v>1401.2</v>
      </c>
      <c r="L89" s="83">
        <v>1400.7</v>
      </c>
      <c r="M89" s="83">
        <v>1400.2</v>
      </c>
      <c r="N89" s="83">
        <v>1401.6</v>
      </c>
      <c r="O89" s="75">
        <v>0</v>
      </c>
      <c r="P89" s="75">
        <v>0</v>
      </c>
      <c r="Q89" s="75">
        <v>1</v>
      </c>
      <c r="R89" s="75">
        <v>26</v>
      </c>
      <c r="S89" s="75">
        <f>MAX(Table2[[#This Row],[volt-sbmu1]:[volt-sbmu5]])-MIN(Table2[[#This Row],[volt-sbmu1]:[volt-sbmu5]])</f>
        <v>1.3999999999998636</v>
      </c>
      <c r="T89" s="75">
        <f>MAX(Table2[[#This Row],[soc-sbmu1]:[soc-sbmu5]])-MIN(Table2[[#This Row],[soc-sbmu1]:[soc-sbmu5]])</f>
        <v>2.2999999999999972</v>
      </c>
      <c r="U89" s="75"/>
      <c r="V89" s="75"/>
    </row>
    <row r="90" spans="1:22">
      <c r="A90" t="s">
        <v>219</v>
      </c>
      <c r="B90" t="s">
        <v>502</v>
      </c>
      <c r="C90" s="75">
        <v>84.8</v>
      </c>
      <c r="D90" s="75">
        <v>1400.3</v>
      </c>
      <c r="E90" s="75">
        <v>84</v>
      </c>
      <c r="F90" s="75">
        <v>84.4</v>
      </c>
      <c r="G90" s="75">
        <v>83.6</v>
      </c>
      <c r="H90" s="75">
        <v>83.2</v>
      </c>
      <c r="I90" s="75">
        <v>85.1</v>
      </c>
      <c r="J90" s="83">
        <v>1401</v>
      </c>
      <c r="K90" s="83">
        <v>1401.2</v>
      </c>
      <c r="L90" s="83">
        <v>1401.1</v>
      </c>
      <c r="M90" s="83">
        <v>1400</v>
      </c>
      <c r="N90" s="83">
        <v>1401.5</v>
      </c>
      <c r="O90" s="75">
        <v>0</v>
      </c>
      <c r="P90" s="75">
        <v>0</v>
      </c>
      <c r="Q90" s="75">
        <v>1</v>
      </c>
      <c r="R90" s="75">
        <v>29</v>
      </c>
      <c r="S90" s="75">
        <f>MAX(Table2[[#This Row],[volt-sbmu1]:[volt-sbmu5]])-MIN(Table2[[#This Row],[volt-sbmu1]:[volt-sbmu5]])</f>
        <v>1.5</v>
      </c>
      <c r="T90" s="75">
        <f>MAX(Table2[[#This Row],[soc-sbmu1]:[soc-sbmu5]])-MIN(Table2[[#This Row],[soc-sbmu1]:[soc-sbmu5]])</f>
        <v>1.8999999999999915</v>
      </c>
      <c r="U90" s="75"/>
      <c r="V90" s="75"/>
    </row>
    <row r="91" spans="1:22">
      <c r="A91" t="s">
        <v>220</v>
      </c>
      <c r="B91" t="s">
        <v>503</v>
      </c>
      <c r="C91" s="75">
        <v>84.1</v>
      </c>
      <c r="D91" s="75">
        <v>1400.4</v>
      </c>
      <c r="E91" s="75">
        <v>84.4</v>
      </c>
      <c r="F91" s="75">
        <v>84.4</v>
      </c>
      <c r="G91" s="75">
        <v>84.3</v>
      </c>
      <c r="H91" s="75">
        <v>83.4</v>
      </c>
      <c r="I91" s="75">
        <v>82.9</v>
      </c>
      <c r="J91" s="83">
        <v>1400.8</v>
      </c>
      <c r="K91" s="83">
        <v>1401.8</v>
      </c>
      <c r="L91" s="83">
        <v>1400.9</v>
      </c>
      <c r="M91" s="83">
        <v>1400.4</v>
      </c>
      <c r="N91" s="83">
        <v>1398.7</v>
      </c>
      <c r="O91" s="75">
        <v>0</v>
      </c>
      <c r="P91" s="75">
        <v>0</v>
      </c>
      <c r="Q91" s="75">
        <v>1</v>
      </c>
      <c r="R91" s="75">
        <v>25</v>
      </c>
      <c r="S91" s="75">
        <f>MAX(Table2[[#This Row],[volt-sbmu1]:[volt-sbmu5]])-MIN(Table2[[#This Row],[volt-sbmu1]:[volt-sbmu5]])</f>
        <v>3.0999999999999091</v>
      </c>
      <c r="T91" s="75">
        <f>MAX(Table2[[#This Row],[soc-sbmu1]:[soc-sbmu5]])-MIN(Table2[[#This Row],[soc-sbmu1]:[soc-sbmu5]])</f>
        <v>1.5</v>
      </c>
      <c r="U91" s="75"/>
      <c r="V91" s="75"/>
    </row>
    <row r="92" spans="1:22">
      <c r="A92" t="s">
        <v>221</v>
      </c>
      <c r="B92" t="s">
        <v>504</v>
      </c>
      <c r="C92" s="75">
        <v>85.6</v>
      </c>
      <c r="D92" s="75">
        <v>1399.3</v>
      </c>
      <c r="E92" s="75">
        <v>83.5</v>
      </c>
      <c r="F92" s="75">
        <v>83.7</v>
      </c>
      <c r="G92" s="75">
        <v>83.9</v>
      </c>
      <c r="H92" s="75">
        <v>86</v>
      </c>
      <c r="I92" s="75">
        <v>83.4</v>
      </c>
      <c r="J92" s="83">
        <v>1397.6</v>
      </c>
      <c r="K92" s="83">
        <v>1399.6</v>
      </c>
      <c r="L92" s="83">
        <v>1399.1</v>
      </c>
      <c r="M92" s="83">
        <v>1399.1</v>
      </c>
      <c r="N92" s="83">
        <v>1398.5</v>
      </c>
      <c r="O92" s="75">
        <v>0</v>
      </c>
      <c r="P92" s="75">
        <v>0</v>
      </c>
      <c r="Q92" s="75">
        <v>1</v>
      </c>
      <c r="R92" s="75">
        <v>26</v>
      </c>
      <c r="S92" s="75">
        <f>MAX(Table2[[#This Row],[volt-sbmu1]:[volt-sbmu5]])-MIN(Table2[[#This Row],[volt-sbmu1]:[volt-sbmu5]])</f>
        <v>2</v>
      </c>
      <c r="T92" s="75">
        <f>MAX(Table2[[#This Row],[soc-sbmu1]:[soc-sbmu5]])-MIN(Table2[[#This Row],[soc-sbmu1]:[soc-sbmu5]])</f>
        <v>2.5999999999999943</v>
      </c>
      <c r="U92" s="75"/>
      <c r="V92" s="75"/>
    </row>
    <row r="93" spans="1:22">
      <c r="A93" t="s">
        <v>222</v>
      </c>
      <c r="B93" t="s">
        <v>505</v>
      </c>
      <c r="C93" s="75">
        <v>84.6</v>
      </c>
      <c r="D93" s="75">
        <v>1400</v>
      </c>
      <c r="E93" s="75">
        <v>83.8</v>
      </c>
      <c r="F93" s="75">
        <v>85.1</v>
      </c>
      <c r="G93" s="75">
        <v>82.8</v>
      </c>
      <c r="H93" s="75">
        <v>82.6</v>
      </c>
      <c r="I93" s="75">
        <v>82.4</v>
      </c>
      <c r="J93" s="83">
        <v>1399.8</v>
      </c>
      <c r="K93" s="83">
        <v>1399.4</v>
      </c>
      <c r="L93" s="83">
        <v>1400</v>
      </c>
      <c r="M93" s="83">
        <v>1400.7</v>
      </c>
      <c r="N93" s="83">
        <v>1400.3</v>
      </c>
      <c r="O93" s="75">
        <v>0</v>
      </c>
      <c r="P93" s="75">
        <v>0</v>
      </c>
      <c r="Q93" s="75">
        <v>1</v>
      </c>
      <c r="R93" s="75">
        <v>26</v>
      </c>
      <c r="S93" s="75">
        <f>MAX(Table2[[#This Row],[volt-sbmu1]:[volt-sbmu5]])-MIN(Table2[[#This Row],[volt-sbmu1]:[volt-sbmu5]])</f>
        <v>1.2999999999999545</v>
      </c>
      <c r="T93" s="75">
        <f>MAX(Table2[[#This Row],[soc-sbmu1]:[soc-sbmu5]])-MIN(Table2[[#This Row],[soc-sbmu1]:[soc-sbmu5]])</f>
        <v>2.6999999999999886</v>
      </c>
      <c r="U93" s="75"/>
      <c r="V93" s="75"/>
    </row>
    <row r="94" spans="1:22">
      <c r="A94" t="s">
        <v>223</v>
      </c>
      <c r="B94" t="s">
        <v>506</v>
      </c>
      <c r="C94" s="75">
        <v>84.5</v>
      </c>
      <c r="D94" s="75">
        <v>1400.3</v>
      </c>
      <c r="E94" s="75">
        <v>84.3</v>
      </c>
      <c r="F94" s="75">
        <v>84.6</v>
      </c>
      <c r="G94" s="75">
        <v>84.2</v>
      </c>
      <c r="H94" s="75">
        <v>84.5</v>
      </c>
      <c r="I94" s="75">
        <v>84.5</v>
      </c>
      <c r="J94" s="83">
        <v>1400.9</v>
      </c>
      <c r="K94" s="83">
        <v>1399.8</v>
      </c>
      <c r="L94" s="83">
        <v>1400.8</v>
      </c>
      <c r="M94" s="83">
        <v>1400.1</v>
      </c>
      <c r="N94" s="83">
        <v>1400.2</v>
      </c>
      <c r="O94" s="75">
        <v>0</v>
      </c>
      <c r="P94" s="75">
        <v>0</v>
      </c>
      <c r="Q94" s="75">
        <v>1</v>
      </c>
      <c r="R94" s="75">
        <v>28</v>
      </c>
      <c r="S94" s="75">
        <f>MAX(Table2[[#This Row],[volt-sbmu1]:[volt-sbmu5]])-MIN(Table2[[#This Row],[volt-sbmu1]:[volt-sbmu5]])</f>
        <v>1.1000000000001364</v>
      </c>
      <c r="T94" s="75">
        <f>MAX(Table2[[#This Row],[soc-sbmu1]:[soc-sbmu5]])-MIN(Table2[[#This Row],[soc-sbmu1]:[soc-sbmu5]])</f>
        <v>0.39999999999999147</v>
      </c>
      <c r="U94" s="75"/>
      <c r="V94" s="75"/>
    </row>
    <row r="95" spans="1:22">
      <c r="A95" t="s">
        <v>224</v>
      </c>
      <c r="B95" t="s">
        <v>507</v>
      </c>
      <c r="C95" s="75">
        <v>84.9</v>
      </c>
      <c r="D95" s="75">
        <v>1399.8</v>
      </c>
      <c r="E95" s="75">
        <v>85.7</v>
      </c>
      <c r="F95" s="75">
        <v>83.7</v>
      </c>
      <c r="G95" s="75">
        <v>81</v>
      </c>
      <c r="H95" s="75">
        <v>83.7</v>
      </c>
      <c r="I95" s="75">
        <v>83.6</v>
      </c>
      <c r="J95" s="83">
        <v>1400</v>
      </c>
      <c r="K95" s="83">
        <v>1398.5</v>
      </c>
      <c r="L95" s="83">
        <v>1399.7</v>
      </c>
      <c r="M95" s="83">
        <v>1399.1</v>
      </c>
      <c r="N95" s="83">
        <v>1399.4</v>
      </c>
      <c r="O95" s="75">
        <v>0</v>
      </c>
      <c r="P95" s="75">
        <v>0</v>
      </c>
      <c r="Q95" s="75">
        <v>1</v>
      </c>
      <c r="R95" s="75">
        <v>26</v>
      </c>
      <c r="S95" s="75">
        <f>MAX(Table2[[#This Row],[volt-sbmu1]:[volt-sbmu5]])-MIN(Table2[[#This Row],[volt-sbmu1]:[volt-sbmu5]])</f>
        <v>1.5</v>
      </c>
      <c r="T95" s="75">
        <f>MAX(Table2[[#This Row],[soc-sbmu1]:[soc-sbmu5]])-MIN(Table2[[#This Row],[soc-sbmu1]:[soc-sbmu5]])</f>
        <v>4.7000000000000028</v>
      </c>
      <c r="U95" s="75"/>
      <c r="V95" s="75"/>
    </row>
    <row r="96" spans="1:22">
      <c r="A96" t="s">
        <v>225</v>
      </c>
      <c r="B96" t="s">
        <v>508</v>
      </c>
      <c r="C96" s="75">
        <v>83.7</v>
      </c>
      <c r="D96" s="75">
        <v>1399.5</v>
      </c>
      <c r="E96" s="75">
        <v>83</v>
      </c>
      <c r="F96" s="75">
        <v>84</v>
      </c>
      <c r="G96" s="75">
        <v>83.2</v>
      </c>
      <c r="H96" s="75">
        <v>82.6</v>
      </c>
      <c r="I96" s="75">
        <v>82.6</v>
      </c>
      <c r="J96" s="83">
        <v>1398.2</v>
      </c>
      <c r="K96" s="83">
        <v>1399.6</v>
      </c>
      <c r="L96" s="83">
        <v>1399.1</v>
      </c>
      <c r="M96" s="83">
        <v>1400.3</v>
      </c>
      <c r="N96" s="83">
        <v>1399.5</v>
      </c>
      <c r="O96" s="75">
        <v>0</v>
      </c>
      <c r="P96" s="75">
        <v>0</v>
      </c>
      <c r="Q96" s="75">
        <v>1</v>
      </c>
      <c r="R96" s="75">
        <v>26</v>
      </c>
      <c r="S96" s="75">
        <f>MAX(Table2[[#This Row],[volt-sbmu1]:[volt-sbmu5]])-MIN(Table2[[#This Row],[volt-sbmu1]:[volt-sbmu5]])</f>
        <v>2.0999999999999091</v>
      </c>
      <c r="T96" s="75">
        <f>MAX(Table2[[#This Row],[soc-sbmu1]:[soc-sbmu5]])-MIN(Table2[[#This Row],[soc-sbmu1]:[soc-sbmu5]])</f>
        <v>1.4000000000000057</v>
      </c>
      <c r="U96" s="75"/>
      <c r="V96" s="75"/>
    </row>
    <row r="97" spans="1:22">
      <c r="A97" t="s">
        <v>226</v>
      </c>
      <c r="B97" t="s">
        <v>509</v>
      </c>
      <c r="C97" s="75">
        <v>84.9</v>
      </c>
      <c r="D97" s="75">
        <v>1400</v>
      </c>
      <c r="E97" s="75">
        <v>83</v>
      </c>
      <c r="F97" s="75">
        <v>85.4</v>
      </c>
      <c r="G97" s="75">
        <v>82.5</v>
      </c>
      <c r="H97" s="75">
        <v>82.7</v>
      </c>
      <c r="I97" s="75">
        <v>82.8</v>
      </c>
      <c r="J97" s="83">
        <v>1399</v>
      </c>
      <c r="K97" s="83">
        <v>1400.1</v>
      </c>
      <c r="L97" s="83">
        <v>1400.1</v>
      </c>
      <c r="M97" s="83">
        <v>1400.4</v>
      </c>
      <c r="N97" s="83">
        <v>1400.8</v>
      </c>
      <c r="O97" s="75">
        <v>0</v>
      </c>
      <c r="P97" s="75">
        <v>0</v>
      </c>
      <c r="Q97" s="75">
        <v>1</v>
      </c>
      <c r="R97" s="75">
        <v>26</v>
      </c>
      <c r="S97" s="75">
        <f>MAX(Table2[[#This Row],[volt-sbmu1]:[volt-sbmu5]])-MIN(Table2[[#This Row],[volt-sbmu1]:[volt-sbmu5]])</f>
        <v>1.7999999999999545</v>
      </c>
      <c r="T97" s="75">
        <f>MAX(Table2[[#This Row],[soc-sbmu1]:[soc-sbmu5]])-MIN(Table2[[#This Row],[soc-sbmu1]:[soc-sbmu5]])</f>
        <v>2.9000000000000057</v>
      </c>
      <c r="U97" s="75"/>
      <c r="V97" s="75"/>
    </row>
    <row r="98" spans="1:22">
      <c r="A98" t="s">
        <v>227</v>
      </c>
      <c r="B98" t="s">
        <v>510</v>
      </c>
      <c r="C98" s="75">
        <v>83.8</v>
      </c>
      <c r="D98" s="75">
        <v>1399.3</v>
      </c>
      <c r="E98" s="75">
        <v>83.5</v>
      </c>
      <c r="F98" s="75">
        <v>84</v>
      </c>
      <c r="G98" s="75">
        <v>83.9</v>
      </c>
      <c r="H98" s="75">
        <v>83</v>
      </c>
      <c r="I98" s="75">
        <v>83.6</v>
      </c>
      <c r="J98" s="83">
        <v>1399.1</v>
      </c>
      <c r="K98" s="83">
        <v>1400</v>
      </c>
      <c r="L98" s="83">
        <v>1399.7</v>
      </c>
      <c r="M98" s="83">
        <v>1398.5</v>
      </c>
      <c r="N98" s="83">
        <v>1398.8</v>
      </c>
      <c r="O98" s="75">
        <v>0</v>
      </c>
      <c r="P98" s="75">
        <v>0</v>
      </c>
      <c r="Q98" s="75">
        <v>1</v>
      </c>
      <c r="R98" s="75">
        <v>29</v>
      </c>
      <c r="S98" s="75">
        <f>MAX(Table2[[#This Row],[volt-sbmu1]:[volt-sbmu5]])-MIN(Table2[[#This Row],[volt-sbmu1]:[volt-sbmu5]])</f>
        <v>1.5</v>
      </c>
      <c r="T98" s="75">
        <f>MAX(Table2[[#This Row],[soc-sbmu1]:[soc-sbmu5]])-MIN(Table2[[#This Row],[soc-sbmu1]:[soc-sbmu5]])</f>
        <v>1</v>
      </c>
      <c r="U98" s="75"/>
      <c r="V98" s="75"/>
    </row>
    <row r="99" spans="1:22">
      <c r="A99" t="s">
        <v>228</v>
      </c>
      <c r="B99" t="s">
        <v>511</v>
      </c>
      <c r="C99" s="75">
        <v>84.4</v>
      </c>
      <c r="D99" s="75">
        <v>1400.7</v>
      </c>
      <c r="E99" s="75">
        <v>84.7</v>
      </c>
      <c r="F99" s="75">
        <v>83.2</v>
      </c>
      <c r="G99" s="75">
        <v>83.1</v>
      </c>
      <c r="H99" s="75">
        <v>84.2</v>
      </c>
      <c r="I99" s="75">
        <v>84.2</v>
      </c>
      <c r="J99" s="83">
        <v>1402.1</v>
      </c>
      <c r="K99" s="83">
        <v>1399.5</v>
      </c>
      <c r="L99" s="83">
        <v>1399.9</v>
      </c>
      <c r="M99" s="83">
        <v>1401.1</v>
      </c>
      <c r="N99" s="83">
        <v>1400.9</v>
      </c>
      <c r="O99" s="75">
        <v>0</v>
      </c>
      <c r="P99" s="75">
        <v>0</v>
      </c>
      <c r="Q99" s="75">
        <v>1</v>
      </c>
      <c r="R99" s="75">
        <v>26</v>
      </c>
      <c r="S99" s="75">
        <f>MAX(Table2[[#This Row],[volt-sbmu1]:[volt-sbmu5]])-MIN(Table2[[#This Row],[volt-sbmu1]:[volt-sbmu5]])</f>
        <v>2.5999999999999091</v>
      </c>
      <c r="T99" s="75">
        <f>MAX(Table2[[#This Row],[soc-sbmu1]:[soc-sbmu5]])-MIN(Table2[[#This Row],[soc-sbmu1]:[soc-sbmu5]])</f>
        <v>1.6000000000000085</v>
      </c>
      <c r="U99" s="75"/>
      <c r="V99" s="75"/>
    </row>
    <row r="100" spans="1:22">
      <c r="A100" t="s">
        <v>229</v>
      </c>
      <c r="B100" t="s">
        <v>512</v>
      </c>
      <c r="C100" s="75">
        <v>84.7</v>
      </c>
      <c r="D100" s="75">
        <v>1400.5</v>
      </c>
      <c r="E100" s="75">
        <v>85.1</v>
      </c>
      <c r="F100" s="75">
        <v>83.3</v>
      </c>
      <c r="G100" s="75">
        <v>82.8</v>
      </c>
      <c r="H100" s="75">
        <v>82.5</v>
      </c>
      <c r="I100" s="75">
        <v>82.7</v>
      </c>
      <c r="J100" s="83">
        <v>1401.1</v>
      </c>
      <c r="K100" s="83">
        <v>1400.4</v>
      </c>
      <c r="L100" s="83">
        <v>1399.7</v>
      </c>
      <c r="M100" s="83">
        <v>1399.6</v>
      </c>
      <c r="N100" s="83">
        <v>1400.9</v>
      </c>
      <c r="O100" s="75">
        <v>0</v>
      </c>
      <c r="P100" s="75">
        <v>0</v>
      </c>
      <c r="Q100" s="75">
        <v>1</v>
      </c>
      <c r="R100" s="75">
        <v>26</v>
      </c>
      <c r="S100" s="75">
        <f>MAX(Table2[[#This Row],[volt-sbmu1]:[volt-sbmu5]])-MIN(Table2[[#This Row],[volt-sbmu1]:[volt-sbmu5]])</f>
        <v>1.5</v>
      </c>
      <c r="T100" s="75">
        <f>MAX(Table2[[#This Row],[soc-sbmu1]:[soc-sbmu5]])-MIN(Table2[[#This Row],[soc-sbmu1]:[soc-sbmu5]])</f>
        <v>2.5999999999999943</v>
      </c>
      <c r="U100" s="75"/>
      <c r="V100" s="75"/>
    </row>
    <row r="101" spans="1:22">
      <c r="A101" t="s">
        <v>230</v>
      </c>
      <c r="B101" t="s">
        <v>513</v>
      </c>
      <c r="C101" s="75">
        <v>84.6</v>
      </c>
      <c r="D101" s="75">
        <v>1399.9</v>
      </c>
      <c r="E101" s="75">
        <v>83.7</v>
      </c>
      <c r="F101" s="75">
        <v>83.6</v>
      </c>
      <c r="G101" s="75">
        <v>84</v>
      </c>
      <c r="H101" s="75">
        <v>84</v>
      </c>
      <c r="I101" s="75">
        <v>84.8</v>
      </c>
      <c r="J101" s="83">
        <v>1400.1</v>
      </c>
      <c r="K101" s="83">
        <v>1398.7</v>
      </c>
      <c r="L101" s="83">
        <v>1398.9</v>
      </c>
      <c r="M101" s="83">
        <v>1399.4</v>
      </c>
      <c r="N101" s="83">
        <v>1400.2</v>
      </c>
      <c r="O101" s="75">
        <v>0</v>
      </c>
      <c r="P101" s="75">
        <v>0</v>
      </c>
      <c r="Q101" s="75">
        <v>1</v>
      </c>
      <c r="R101" s="75">
        <v>27</v>
      </c>
      <c r="S101" s="75">
        <f>MAX(Table2[[#This Row],[volt-sbmu1]:[volt-sbmu5]])-MIN(Table2[[#This Row],[volt-sbmu1]:[volt-sbmu5]])</f>
        <v>1.5</v>
      </c>
      <c r="T101" s="75">
        <f>MAX(Table2[[#This Row],[soc-sbmu1]:[soc-sbmu5]])-MIN(Table2[[#This Row],[soc-sbmu1]:[soc-sbmu5]])</f>
        <v>1.2000000000000028</v>
      </c>
      <c r="U101" s="75"/>
      <c r="V101" s="75"/>
    </row>
    <row r="102" spans="1:22">
      <c r="A102" t="s">
        <v>231</v>
      </c>
      <c r="B102" t="s">
        <v>514</v>
      </c>
      <c r="C102" s="75">
        <v>85.4</v>
      </c>
      <c r="D102" s="75">
        <v>1400</v>
      </c>
      <c r="E102" s="75">
        <v>83.9</v>
      </c>
      <c r="F102" s="75">
        <v>85.8</v>
      </c>
      <c r="G102" s="75">
        <v>83.9</v>
      </c>
      <c r="H102" s="75">
        <v>83.7</v>
      </c>
      <c r="I102" s="75">
        <v>83.6</v>
      </c>
      <c r="J102" s="83">
        <v>1401.7</v>
      </c>
      <c r="K102" s="83">
        <v>1400</v>
      </c>
      <c r="L102" s="83">
        <v>1400.4</v>
      </c>
      <c r="M102" s="83">
        <v>1400.4</v>
      </c>
      <c r="N102" s="83">
        <v>1399.6</v>
      </c>
      <c r="O102" s="75">
        <v>0</v>
      </c>
      <c r="P102" s="75">
        <v>0</v>
      </c>
      <c r="Q102" s="75">
        <v>1</v>
      </c>
      <c r="R102" s="75">
        <v>28</v>
      </c>
      <c r="S102" s="75">
        <f>MAX(Table2[[#This Row],[volt-sbmu1]:[volt-sbmu5]])-MIN(Table2[[#This Row],[volt-sbmu1]:[volt-sbmu5]])</f>
        <v>2.1000000000001364</v>
      </c>
      <c r="T102" s="75">
        <f>MAX(Table2[[#This Row],[soc-sbmu1]:[soc-sbmu5]])-MIN(Table2[[#This Row],[soc-sbmu1]:[soc-sbmu5]])</f>
        <v>2.2000000000000028</v>
      </c>
      <c r="U102" s="75"/>
      <c r="V102" s="75"/>
    </row>
    <row r="103" spans="1:22">
      <c r="A103" t="s">
        <v>232</v>
      </c>
      <c r="B103" t="s">
        <v>515</v>
      </c>
      <c r="C103" s="75">
        <v>84.2</v>
      </c>
      <c r="D103" s="75">
        <v>1399.8</v>
      </c>
      <c r="E103" s="75">
        <v>84.6</v>
      </c>
      <c r="F103" s="75">
        <v>83.7</v>
      </c>
      <c r="G103" s="75">
        <v>83.7</v>
      </c>
      <c r="H103" s="75">
        <v>82.4</v>
      </c>
      <c r="I103" s="75">
        <v>82.7</v>
      </c>
      <c r="J103" s="83">
        <v>1399.7</v>
      </c>
      <c r="K103" s="83">
        <v>1398.4</v>
      </c>
      <c r="L103" s="83">
        <v>1401.2</v>
      </c>
      <c r="M103" s="83">
        <v>1400.1</v>
      </c>
      <c r="N103" s="83">
        <v>1399.7</v>
      </c>
      <c r="O103" s="75">
        <v>0</v>
      </c>
      <c r="P103" s="75">
        <v>0</v>
      </c>
      <c r="Q103" s="75">
        <v>1</v>
      </c>
      <c r="R103" s="75">
        <v>26</v>
      </c>
      <c r="S103" s="75">
        <f>MAX(Table2[[#This Row],[volt-sbmu1]:[volt-sbmu5]])-MIN(Table2[[#This Row],[volt-sbmu1]:[volt-sbmu5]])</f>
        <v>2.7999999999999545</v>
      </c>
      <c r="T103" s="75">
        <f>MAX(Table2[[#This Row],[soc-sbmu1]:[soc-sbmu5]])-MIN(Table2[[#This Row],[soc-sbmu1]:[soc-sbmu5]])</f>
        <v>2.1999999999999886</v>
      </c>
      <c r="U103" s="75"/>
      <c r="V103" s="75"/>
    </row>
    <row r="104" spans="1:22">
      <c r="A104" t="s">
        <v>233</v>
      </c>
      <c r="B104" t="s">
        <v>516</v>
      </c>
      <c r="C104" s="75">
        <v>84.4</v>
      </c>
      <c r="D104" s="75">
        <v>1399.6</v>
      </c>
      <c r="E104" s="75">
        <v>84.1</v>
      </c>
      <c r="F104" s="75">
        <v>83.1</v>
      </c>
      <c r="G104" s="75">
        <v>85</v>
      </c>
      <c r="H104" s="75">
        <v>81.400000000000006</v>
      </c>
      <c r="I104" s="75">
        <v>83</v>
      </c>
      <c r="J104" s="83">
        <v>1400.1</v>
      </c>
      <c r="K104" s="83">
        <v>1398.5</v>
      </c>
      <c r="L104" s="83">
        <v>1400.2</v>
      </c>
      <c r="M104" s="83">
        <v>1400.9</v>
      </c>
      <c r="N104" s="83">
        <v>1398.9</v>
      </c>
      <c r="O104" s="75">
        <v>0</v>
      </c>
      <c r="P104" s="75">
        <v>0</v>
      </c>
      <c r="Q104" s="75">
        <v>1</v>
      </c>
      <c r="R104" s="75">
        <v>26</v>
      </c>
      <c r="S104" s="75">
        <f>MAX(Table2[[#This Row],[volt-sbmu1]:[volt-sbmu5]])-MIN(Table2[[#This Row],[volt-sbmu1]:[volt-sbmu5]])</f>
        <v>2.4000000000000909</v>
      </c>
      <c r="T104" s="75">
        <f>MAX(Table2[[#This Row],[soc-sbmu1]:[soc-sbmu5]])-MIN(Table2[[#This Row],[soc-sbmu1]:[soc-sbmu5]])</f>
        <v>3.5999999999999943</v>
      </c>
      <c r="U104" s="75"/>
      <c r="V104" s="75"/>
    </row>
    <row r="105" spans="1:22">
      <c r="A105" t="s">
        <v>234</v>
      </c>
      <c r="B105" t="s">
        <v>517</v>
      </c>
      <c r="C105" s="75">
        <v>84.7</v>
      </c>
      <c r="D105" s="75">
        <v>1399.4</v>
      </c>
      <c r="E105" s="75">
        <v>82.4</v>
      </c>
      <c r="F105" s="75">
        <v>85.2</v>
      </c>
      <c r="G105" s="75">
        <v>82.4</v>
      </c>
      <c r="H105" s="75">
        <v>82.5</v>
      </c>
      <c r="I105" s="75">
        <v>82.4</v>
      </c>
      <c r="J105" s="83">
        <v>1399.2</v>
      </c>
      <c r="K105" s="83">
        <v>1399.4</v>
      </c>
      <c r="L105" s="83">
        <v>1399.1</v>
      </c>
      <c r="M105" s="83">
        <v>1399.9</v>
      </c>
      <c r="N105" s="83">
        <v>1399.4</v>
      </c>
      <c r="O105" s="75">
        <v>0</v>
      </c>
      <c r="P105" s="75">
        <v>0</v>
      </c>
      <c r="Q105" s="75">
        <v>1</v>
      </c>
      <c r="R105" s="75">
        <v>26</v>
      </c>
      <c r="S105" s="75">
        <f>MAX(Table2[[#This Row],[volt-sbmu1]:[volt-sbmu5]])-MIN(Table2[[#This Row],[volt-sbmu1]:[volt-sbmu5]])</f>
        <v>0.8000000000001819</v>
      </c>
      <c r="T105" s="75">
        <f>MAX(Table2[[#This Row],[soc-sbmu1]:[soc-sbmu5]])-MIN(Table2[[#This Row],[soc-sbmu1]:[soc-sbmu5]])</f>
        <v>2.7999999999999972</v>
      </c>
      <c r="U105" s="75"/>
      <c r="V105" s="75"/>
    </row>
    <row r="106" spans="1:22">
      <c r="A106" t="s">
        <v>235</v>
      </c>
      <c r="B106" t="s">
        <v>518</v>
      </c>
      <c r="C106" s="75">
        <v>84.5</v>
      </c>
      <c r="D106" s="75">
        <v>1398.7</v>
      </c>
      <c r="E106" s="75">
        <v>82.6</v>
      </c>
      <c r="F106" s="75">
        <v>82.5</v>
      </c>
      <c r="G106" s="75">
        <v>82.6</v>
      </c>
      <c r="H106" s="75">
        <v>85</v>
      </c>
      <c r="I106" s="75">
        <v>82.3</v>
      </c>
      <c r="J106" s="83">
        <v>1398.1</v>
      </c>
      <c r="K106" s="83">
        <v>1399.6</v>
      </c>
      <c r="L106" s="83">
        <v>1398.7</v>
      </c>
      <c r="M106" s="83">
        <v>1399.1</v>
      </c>
      <c r="N106" s="83">
        <v>1398.3</v>
      </c>
      <c r="O106" s="75">
        <v>0</v>
      </c>
      <c r="P106" s="75">
        <v>0</v>
      </c>
      <c r="Q106" s="75">
        <v>1</v>
      </c>
      <c r="R106" s="75">
        <v>29</v>
      </c>
      <c r="S106" s="75">
        <f>MAX(Table2[[#This Row],[volt-sbmu1]:[volt-sbmu5]])-MIN(Table2[[#This Row],[volt-sbmu1]:[volt-sbmu5]])</f>
        <v>1.5</v>
      </c>
      <c r="T106" s="75">
        <f>MAX(Table2[[#This Row],[soc-sbmu1]:[soc-sbmu5]])-MIN(Table2[[#This Row],[soc-sbmu1]:[soc-sbmu5]])</f>
        <v>2.7000000000000028</v>
      </c>
      <c r="U106" s="75"/>
      <c r="V106" s="75"/>
    </row>
    <row r="107" spans="1:22">
      <c r="A107" t="s">
        <v>236</v>
      </c>
      <c r="B107" t="s">
        <v>519</v>
      </c>
      <c r="C107" s="75">
        <v>84.7</v>
      </c>
      <c r="D107" s="75">
        <v>1401.2</v>
      </c>
      <c r="E107" s="75">
        <v>83.2</v>
      </c>
      <c r="F107" s="75">
        <v>83.2</v>
      </c>
      <c r="G107" s="75">
        <v>83.1</v>
      </c>
      <c r="H107" s="75">
        <v>83.1</v>
      </c>
      <c r="I107" s="75">
        <v>85.1</v>
      </c>
      <c r="J107" s="83">
        <v>1401.8</v>
      </c>
      <c r="K107" s="83">
        <v>1400.4</v>
      </c>
      <c r="L107" s="83">
        <v>1402.5</v>
      </c>
      <c r="M107" s="83">
        <v>1401.1</v>
      </c>
      <c r="N107" s="83">
        <v>1399.4</v>
      </c>
      <c r="O107" s="75">
        <v>0</v>
      </c>
      <c r="P107" s="75">
        <v>0</v>
      </c>
      <c r="Q107" s="75">
        <v>1</v>
      </c>
      <c r="R107" s="75">
        <v>25</v>
      </c>
      <c r="S107" s="75">
        <f>MAX(Table2[[#This Row],[volt-sbmu1]:[volt-sbmu5]])-MIN(Table2[[#This Row],[volt-sbmu1]:[volt-sbmu5]])</f>
        <v>3.0999999999999091</v>
      </c>
      <c r="T107" s="75">
        <f>MAX(Table2[[#This Row],[soc-sbmu1]:[soc-sbmu5]])-MIN(Table2[[#This Row],[soc-sbmu1]:[soc-sbmu5]])</f>
        <v>2</v>
      </c>
      <c r="U107" s="75"/>
      <c r="V107" s="75"/>
    </row>
    <row r="108" spans="1:22">
      <c r="A108" t="s">
        <v>237</v>
      </c>
      <c r="B108" t="s">
        <v>520</v>
      </c>
      <c r="C108" s="75">
        <v>84.9</v>
      </c>
      <c r="D108" s="75">
        <v>1400.8</v>
      </c>
      <c r="E108" s="75">
        <v>84</v>
      </c>
      <c r="F108" s="75">
        <v>85.3</v>
      </c>
      <c r="G108" s="75">
        <v>83.1</v>
      </c>
      <c r="H108" s="75">
        <v>82.8</v>
      </c>
      <c r="I108" s="75">
        <v>83</v>
      </c>
      <c r="J108" s="83">
        <v>1401.4</v>
      </c>
      <c r="K108" s="83">
        <v>1401.6</v>
      </c>
      <c r="L108" s="83">
        <v>1399.5</v>
      </c>
      <c r="M108" s="83">
        <v>1400.3</v>
      </c>
      <c r="N108" s="83">
        <v>1401.4</v>
      </c>
      <c r="O108" s="75">
        <v>0</v>
      </c>
      <c r="P108" s="75">
        <v>0</v>
      </c>
      <c r="Q108" s="75">
        <v>1</v>
      </c>
      <c r="R108" s="75">
        <v>26</v>
      </c>
      <c r="S108" s="75">
        <f>MAX(Table2[[#This Row],[volt-sbmu1]:[volt-sbmu5]])-MIN(Table2[[#This Row],[volt-sbmu1]:[volt-sbmu5]])</f>
        <v>2.0999999999999091</v>
      </c>
      <c r="T108" s="75">
        <f>MAX(Table2[[#This Row],[soc-sbmu1]:[soc-sbmu5]])-MIN(Table2[[#This Row],[soc-sbmu1]:[soc-sbmu5]])</f>
        <v>2.5</v>
      </c>
      <c r="U108" s="75"/>
      <c r="V108" s="75"/>
    </row>
    <row r="109" spans="1:22">
      <c r="A109" t="s">
        <v>238</v>
      </c>
      <c r="B109" t="s">
        <v>521</v>
      </c>
      <c r="C109" s="75">
        <v>84.2</v>
      </c>
      <c r="D109" s="75">
        <v>1399.9</v>
      </c>
      <c r="E109" s="75">
        <v>84.1</v>
      </c>
      <c r="F109" s="75">
        <v>83.2</v>
      </c>
      <c r="G109" s="75">
        <v>84.5</v>
      </c>
      <c r="H109" s="75">
        <v>83.9</v>
      </c>
      <c r="I109" s="75">
        <v>83.5</v>
      </c>
      <c r="J109" s="83">
        <v>1399.2</v>
      </c>
      <c r="K109" s="83">
        <v>1399.8</v>
      </c>
      <c r="L109" s="83">
        <v>1399.2</v>
      </c>
      <c r="M109" s="83">
        <v>1399.4</v>
      </c>
      <c r="N109" s="83">
        <v>1399.5</v>
      </c>
      <c r="O109" s="75">
        <v>0</v>
      </c>
      <c r="P109" s="75">
        <v>0</v>
      </c>
      <c r="Q109" s="75">
        <v>1</v>
      </c>
      <c r="R109" s="75">
        <v>25</v>
      </c>
      <c r="S109" s="75">
        <f>MAX(Table2[[#This Row],[volt-sbmu1]:[volt-sbmu5]])-MIN(Table2[[#This Row],[volt-sbmu1]:[volt-sbmu5]])</f>
        <v>0.59999999999990905</v>
      </c>
      <c r="T109" s="75">
        <f>MAX(Table2[[#This Row],[soc-sbmu1]:[soc-sbmu5]])-MIN(Table2[[#This Row],[soc-sbmu1]:[soc-sbmu5]])</f>
        <v>1.2999999999999972</v>
      </c>
      <c r="U109" s="75"/>
      <c r="V109" s="75"/>
    </row>
    <row r="110" spans="1:22">
      <c r="A110" t="s">
        <v>239</v>
      </c>
      <c r="B110" t="s">
        <v>522</v>
      </c>
      <c r="C110" s="75">
        <v>84.9</v>
      </c>
      <c r="D110" s="75">
        <v>1400.7</v>
      </c>
      <c r="E110" s="75">
        <v>84.8</v>
      </c>
      <c r="F110" s="75">
        <v>85.2</v>
      </c>
      <c r="G110" s="75">
        <v>83.3</v>
      </c>
      <c r="H110" s="75">
        <v>84.9</v>
      </c>
      <c r="I110" s="75">
        <v>83.9</v>
      </c>
      <c r="J110" s="83">
        <v>1401.3</v>
      </c>
      <c r="K110" s="83">
        <v>1400.3</v>
      </c>
      <c r="L110" s="83">
        <v>1401.1</v>
      </c>
      <c r="M110" s="83">
        <v>1400</v>
      </c>
      <c r="N110" s="83">
        <v>1400.7</v>
      </c>
      <c r="O110" s="75">
        <v>0</v>
      </c>
      <c r="P110" s="75">
        <v>0</v>
      </c>
      <c r="Q110" s="75">
        <v>1</v>
      </c>
      <c r="R110" s="75">
        <v>27</v>
      </c>
      <c r="S110" s="75">
        <f>MAX(Table2[[#This Row],[volt-sbmu1]:[volt-sbmu5]])-MIN(Table2[[#This Row],[volt-sbmu1]:[volt-sbmu5]])</f>
        <v>1.2999999999999545</v>
      </c>
      <c r="T110" s="75">
        <f>MAX(Table2[[#This Row],[soc-sbmu1]:[soc-sbmu5]])-MIN(Table2[[#This Row],[soc-sbmu1]:[soc-sbmu5]])</f>
        <v>1.9000000000000057</v>
      </c>
      <c r="U110" s="75"/>
      <c r="V110" s="75"/>
    </row>
    <row r="111" spans="1:22">
      <c r="A111" t="s">
        <v>240</v>
      </c>
      <c r="B111" t="s">
        <v>523</v>
      </c>
      <c r="C111" s="75">
        <v>85</v>
      </c>
      <c r="D111" s="75">
        <v>1399.8</v>
      </c>
      <c r="E111" s="75">
        <v>85.4</v>
      </c>
      <c r="F111" s="75">
        <v>83.8</v>
      </c>
      <c r="G111" s="75">
        <v>84.2</v>
      </c>
      <c r="H111" s="75">
        <v>83.1</v>
      </c>
      <c r="I111" s="75">
        <v>82.8</v>
      </c>
      <c r="J111" s="83">
        <v>1400.3</v>
      </c>
      <c r="K111" s="83">
        <v>1400.4</v>
      </c>
      <c r="L111" s="83">
        <v>1398.6</v>
      </c>
      <c r="M111" s="83">
        <v>1399.4</v>
      </c>
      <c r="N111" s="83">
        <v>1400.3</v>
      </c>
      <c r="O111" s="75">
        <v>0</v>
      </c>
      <c r="P111" s="75">
        <v>0</v>
      </c>
      <c r="Q111" s="75">
        <v>1</v>
      </c>
      <c r="R111" s="75">
        <v>25</v>
      </c>
      <c r="S111" s="75">
        <f>MAX(Table2[[#This Row],[volt-sbmu1]:[volt-sbmu5]])-MIN(Table2[[#This Row],[volt-sbmu1]:[volt-sbmu5]])</f>
        <v>1.8000000000001819</v>
      </c>
      <c r="T111" s="75">
        <f>MAX(Table2[[#This Row],[soc-sbmu1]:[soc-sbmu5]])-MIN(Table2[[#This Row],[soc-sbmu1]:[soc-sbmu5]])</f>
        <v>2.6000000000000085</v>
      </c>
      <c r="U111" s="75"/>
      <c r="V111" s="75"/>
    </row>
    <row r="112" spans="1:22">
      <c r="A112" t="s">
        <v>241</v>
      </c>
      <c r="B112" t="s">
        <v>524</v>
      </c>
      <c r="C112" s="75">
        <v>84.7</v>
      </c>
      <c r="D112" s="75">
        <v>1399.8</v>
      </c>
      <c r="E112" s="75">
        <v>83.9</v>
      </c>
      <c r="F112" s="75">
        <v>83.7</v>
      </c>
      <c r="G112" s="75">
        <v>84.9</v>
      </c>
      <c r="H112" s="75">
        <v>84</v>
      </c>
      <c r="I112" s="75">
        <v>84.7</v>
      </c>
      <c r="J112" s="83">
        <v>1399.7</v>
      </c>
      <c r="K112" s="83">
        <v>1400.1</v>
      </c>
      <c r="L112" s="83">
        <v>1400.5</v>
      </c>
      <c r="M112" s="83">
        <v>1400.2</v>
      </c>
      <c r="N112" s="83">
        <v>1399.8</v>
      </c>
      <c r="O112" s="75">
        <v>0</v>
      </c>
      <c r="P112" s="75">
        <v>0</v>
      </c>
      <c r="Q112" s="75">
        <v>1</v>
      </c>
      <c r="R112" s="75">
        <v>25</v>
      </c>
      <c r="S112" s="75">
        <f>MAX(Table2[[#This Row],[volt-sbmu1]:[volt-sbmu5]])-MIN(Table2[[#This Row],[volt-sbmu1]:[volt-sbmu5]])</f>
        <v>0.79999999999995453</v>
      </c>
      <c r="T112" s="75">
        <f>MAX(Table2[[#This Row],[soc-sbmu1]:[soc-sbmu5]])-MIN(Table2[[#This Row],[soc-sbmu1]:[soc-sbmu5]])</f>
        <v>1.2000000000000028</v>
      </c>
      <c r="U112" s="75"/>
      <c r="V112" s="75"/>
    </row>
    <row r="113" spans="1:22">
      <c r="A113" t="s">
        <v>242</v>
      </c>
      <c r="B113" t="s">
        <v>525</v>
      </c>
      <c r="C113" s="75">
        <v>85.3</v>
      </c>
      <c r="D113" s="75">
        <v>1400.7</v>
      </c>
      <c r="E113" s="75">
        <v>83.6</v>
      </c>
      <c r="F113" s="75">
        <v>83.7</v>
      </c>
      <c r="G113" s="75">
        <v>85.7</v>
      </c>
      <c r="H113" s="75">
        <v>83.8</v>
      </c>
      <c r="I113" s="75">
        <v>83.3</v>
      </c>
      <c r="J113" s="83">
        <v>1400.3</v>
      </c>
      <c r="K113" s="83">
        <v>1400.9</v>
      </c>
      <c r="L113" s="83">
        <v>1399.2</v>
      </c>
      <c r="M113" s="83">
        <v>1402</v>
      </c>
      <c r="N113" s="83">
        <v>1399.1</v>
      </c>
      <c r="O113" s="75">
        <v>0</v>
      </c>
      <c r="P113" s="75">
        <v>0</v>
      </c>
      <c r="Q113" s="75">
        <v>1</v>
      </c>
      <c r="R113" s="75">
        <v>26</v>
      </c>
      <c r="S113" s="75">
        <f>MAX(Table2[[#This Row],[volt-sbmu1]:[volt-sbmu5]])-MIN(Table2[[#This Row],[volt-sbmu1]:[volt-sbmu5]])</f>
        <v>2.9000000000000909</v>
      </c>
      <c r="T113" s="75">
        <f>MAX(Table2[[#This Row],[soc-sbmu1]:[soc-sbmu5]])-MIN(Table2[[#This Row],[soc-sbmu1]:[soc-sbmu5]])</f>
        <v>2.4000000000000057</v>
      </c>
      <c r="U113" s="75"/>
      <c r="V113" s="75"/>
    </row>
    <row r="114" spans="1:22">
      <c r="A114" t="s">
        <v>243</v>
      </c>
      <c r="B114" t="s">
        <v>526</v>
      </c>
      <c r="C114" s="75">
        <v>84.4</v>
      </c>
      <c r="D114" s="75">
        <v>1400.6</v>
      </c>
      <c r="E114" s="75">
        <v>84.6</v>
      </c>
      <c r="F114" s="75">
        <v>84.1</v>
      </c>
      <c r="G114" s="75">
        <v>84.2</v>
      </c>
      <c r="H114" s="75">
        <v>84.1</v>
      </c>
      <c r="I114" s="75">
        <v>83.8</v>
      </c>
      <c r="J114" s="83">
        <v>1400.8</v>
      </c>
      <c r="K114" s="83">
        <v>1401.2</v>
      </c>
      <c r="L114" s="83">
        <v>1401.5</v>
      </c>
      <c r="M114" s="83">
        <v>1400.4</v>
      </c>
      <c r="N114" s="83">
        <v>1401.7</v>
      </c>
      <c r="O114" s="75">
        <v>0</v>
      </c>
      <c r="P114" s="75">
        <v>0</v>
      </c>
      <c r="Q114" s="75">
        <v>1</v>
      </c>
      <c r="R114" s="75">
        <v>28</v>
      </c>
      <c r="S114" s="75">
        <f>MAX(Table2[[#This Row],[volt-sbmu1]:[volt-sbmu5]])-MIN(Table2[[#This Row],[volt-sbmu1]:[volt-sbmu5]])</f>
        <v>1.2999999999999545</v>
      </c>
      <c r="T114" s="75">
        <f>MAX(Table2[[#This Row],[soc-sbmu1]:[soc-sbmu5]])-MIN(Table2[[#This Row],[soc-sbmu1]:[soc-sbmu5]])</f>
        <v>0.79999999999999716</v>
      </c>
      <c r="U114" s="75"/>
      <c r="V114" s="75"/>
    </row>
    <row r="115" spans="1:22">
      <c r="A115" t="s">
        <v>244</v>
      </c>
      <c r="B115" t="s">
        <v>527</v>
      </c>
      <c r="C115" s="75">
        <v>85</v>
      </c>
      <c r="D115" s="75">
        <v>1399.7</v>
      </c>
      <c r="E115" s="75">
        <v>85.4</v>
      </c>
      <c r="F115" s="75">
        <v>82.8</v>
      </c>
      <c r="G115" s="75">
        <v>83.1</v>
      </c>
      <c r="H115" s="75">
        <v>82.9</v>
      </c>
      <c r="I115" s="75">
        <v>83.2</v>
      </c>
      <c r="J115" s="83">
        <v>1402.1</v>
      </c>
      <c r="K115" s="83">
        <v>1399.2</v>
      </c>
      <c r="L115" s="83">
        <v>1400.5</v>
      </c>
      <c r="M115" s="83">
        <v>1399.2</v>
      </c>
      <c r="N115" s="83">
        <v>1399.6</v>
      </c>
      <c r="O115" s="75">
        <v>0</v>
      </c>
      <c r="P115" s="75">
        <v>0</v>
      </c>
      <c r="Q115" s="75">
        <v>1</v>
      </c>
      <c r="R115" s="75">
        <v>26</v>
      </c>
      <c r="S115" s="75">
        <f>MAX(Table2[[#This Row],[volt-sbmu1]:[volt-sbmu5]])-MIN(Table2[[#This Row],[volt-sbmu1]:[volt-sbmu5]])</f>
        <v>2.8999999999998636</v>
      </c>
      <c r="T115" s="75">
        <f>MAX(Table2[[#This Row],[soc-sbmu1]:[soc-sbmu5]])-MIN(Table2[[#This Row],[soc-sbmu1]:[soc-sbmu5]])</f>
        <v>2.6000000000000085</v>
      </c>
      <c r="U115" s="75"/>
      <c r="V115" s="75"/>
    </row>
    <row r="116" spans="1:22">
      <c r="A116" t="s">
        <v>245</v>
      </c>
      <c r="B116" t="s">
        <v>528</v>
      </c>
      <c r="C116" s="75">
        <v>84.8</v>
      </c>
      <c r="D116" s="75">
        <v>1399.7</v>
      </c>
      <c r="E116" s="75">
        <v>85.2</v>
      </c>
      <c r="F116" s="75">
        <v>83.1</v>
      </c>
      <c r="G116" s="75">
        <v>83</v>
      </c>
      <c r="H116" s="75">
        <v>82.8</v>
      </c>
      <c r="I116" s="75">
        <v>82.9</v>
      </c>
      <c r="J116" s="83">
        <v>1400.2</v>
      </c>
      <c r="K116" s="83">
        <v>1399.6</v>
      </c>
      <c r="L116" s="83">
        <v>1400</v>
      </c>
      <c r="M116" s="83">
        <v>1399.6</v>
      </c>
      <c r="N116" s="83">
        <v>1400.5</v>
      </c>
      <c r="O116" s="75">
        <v>0</v>
      </c>
      <c r="P116" s="75">
        <v>0</v>
      </c>
      <c r="Q116" s="75">
        <v>1</v>
      </c>
      <c r="R116" s="75">
        <v>26</v>
      </c>
      <c r="S116" s="75">
        <f>MAX(Table2[[#This Row],[volt-sbmu1]:[volt-sbmu5]])-MIN(Table2[[#This Row],[volt-sbmu1]:[volt-sbmu5]])</f>
        <v>0.90000000000009095</v>
      </c>
      <c r="T116" s="75">
        <f>MAX(Table2[[#This Row],[soc-sbmu1]:[soc-sbmu5]])-MIN(Table2[[#This Row],[soc-sbmu1]:[soc-sbmu5]])</f>
        <v>2.4000000000000057</v>
      </c>
      <c r="U116" s="75"/>
      <c r="V116" s="75"/>
    </row>
    <row r="117" spans="1:22">
      <c r="A117" t="s">
        <v>246</v>
      </c>
      <c r="B117" t="s">
        <v>529</v>
      </c>
      <c r="C117" s="75">
        <v>84.3</v>
      </c>
      <c r="D117" s="75">
        <v>1400.3</v>
      </c>
      <c r="E117" s="75">
        <v>84.5</v>
      </c>
      <c r="F117" s="75">
        <v>83.6</v>
      </c>
      <c r="G117" s="75">
        <v>84.5</v>
      </c>
      <c r="H117" s="75">
        <v>84.4</v>
      </c>
      <c r="I117" s="75">
        <v>84.4</v>
      </c>
      <c r="J117" s="83">
        <v>1400.2</v>
      </c>
      <c r="K117" s="83">
        <v>1400.2</v>
      </c>
      <c r="L117" s="83">
        <v>1400.4</v>
      </c>
      <c r="M117" s="83">
        <v>1399.8</v>
      </c>
      <c r="N117" s="83">
        <v>1400.1</v>
      </c>
      <c r="O117" s="75">
        <v>0</v>
      </c>
      <c r="P117" s="75">
        <v>0</v>
      </c>
      <c r="Q117" s="75">
        <v>1</v>
      </c>
      <c r="R117" s="75">
        <v>26</v>
      </c>
      <c r="S117" s="75">
        <f>MAX(Table2[[#This Row],[volt-sbmu1]:[volt-sbmu5]])-MIN(Table2[[#This Row],[volt-sbmu1]:[volt-sbmu5]])</f>
        <v>0.60000000000013642</v>
      </c>
      <c r="T117" s="75">
        <f>MAX(Table2[[#This Row],[soc-sbmu1]:[soc-sbmu5]])-MIN(Table2[[#This Row],[soc-sbmu1]:[soc-sbmu5]])</f>
        <v>0.90000000000000568</v>
      </c>
      <c r="U117" s="75"/>
      <c r="V117" s="75"/>
    </row>
    <row r="118" spans="1:22">
      <c r="A118" t="s">
        <v>247</v>
      </c>
      <c r="B118" t="s">
        <v>530</v>
      </c>
      <c r="C118" s="75">
        <v>84.8</v>
      </c>
      <c r="D118" s="75">
        <v>1399.7</v>
      </c>
      <c r="E118" s="75">
        <v>84.6</v>
      </c>
      <c r="F118" s="75">
        <v>85.2</v>
      </c>
      <c r="G118" s="75">
        <v>83</v>
      </c>
      <c r="H118" s="75">
        <v>84.1</v>
      </c>
      <c r="I118" s="75">
        <v>83.1</v>
      </c>
      <c r="J118" s="83">
        <v>1400.7</v>
      </c>
      <c r="K118" s="83">
        <v>1400.7</v>
      </c>
      <c r="L118" s="83">
        <v>1399.6</v>
      </c>
      <c r="M118" s="83">
        <v>1398.8</v>
      </c>
      <c r="N118" s="83">
        <v>1399.6</v>
      </c>
      <c r="O118" s="75">
        <v>0</v>
      </c>
      <c r="P118" s="75">
        <v>0</v>
      </c>
      <c r="Q118" s="75">
        <v>1</v>
      </c>
      <c r="R118" s="75">
        <v>28</v>
      </c>
      <c r="S118" s="75">
        <f>MAX(Table2[[#This Row],[volt-sbmu1]:[volt-sbmu5]])-MIN(Table2[[#This Row],[volt-sbmu1]:[volt-sbmu5]])</f>
        <v>1.9000000000000909</v>
      </c>
      <c r="T118" s="75">
        <f>MAX(Table2[[#This Row],[soc-sbmu1]:[soc-sbmu5]])-MIN(Table2[[#This Row],[soc-sbmu1]:[soc-sbmu5]])</f>
        <v>2.2000000000000028</v>
      </c>
      <c r="U118" s="75"/>
      <c r="V118" s="75"/>
    </row>
    <row r="119" spans="1:22">
      <c r="A119" t="s">
        <v>248</v>
      </c>
      <c r="B119" t="s">
        <v>531</v>
      </c>
      <c r="C119" s="75">
        <v>99.7</v>
      </c>
      <c r="D119" s="75">
        <v>1385.2</v>
      </c>
      <c r="E119" s="75">
        <v>99.8</v>
      </c>
      <c r="F119" s="75">
        <v>98.3</v>
      </c>
      <c r="G119" s="75">
        <v>99.8</v>
      </c>
      <c r="H119" s="75">
        <v>99.8</v>
      </c>
      <c r="I119" s="75">
        <v>99.8</v>
      </c>
      <c r="J119" s="83">
        <v>1385.5</v>
      </c>
      <c r="K119" s="83">
        <v>1387.1</v>
      </c>
      <c r="L119" s="83">
        <v>1384.2</v>
      </c>
      <c r="M119" s="83">
        <v>1384.3</v>
      </c>
      <c r="N119" s="83">
        <v>1383.4</v>
      </c>
      <c r="O119" s="75">
        <v>0</v>
      </c>
      <c r="P119" s="75">
        <v>0</v>
      </c>
      <c r="Q119" s="75">
        <v>2</v>
      </c>
      <c r="R119" s="75">
        <v>26</v>
      </c>
      <c r="S119" s="75">
        <f>MAX(Table2[[#This Row],[volt-sbmu1]:[volt-sbmu5]])-MIN(Table2[[#This Row],[volt-sbmu1]:[volt-sbmu5]])</f>
        <v>3.6999999999998181</v>
      </c>
      <c r="T119" s="75">
        <f>MAX(Table2[[#This Row],[soc-sbmu1]:[soc-sbmu5]])-MIN(Table2[[#This Row],[soc-sbmu1]:[soc-sbmu5]])</f>
        <v>1.5</v>
      </c>
      <c r="U119" s="75"/>
      <c r="V119" s="75"/>
    </row>
    <row r="120" spans="1:22">
      <c r="A120" t="s">
        <v>249</v>
      </c>
      <c r="B120" t="s">
        <v>532</v>
      </c>
      <c r="C120" s="75">
        <v>86</v>
      </c>
      <c r="D120" s="75">
        <v>1400.8</v>
      </c>
      <c r="E120" s="75">
        <v>84.6</v>
      </c>
      <c r="F120" s="75">
        <v>84.8</v>
      </c>
      <c r="G120" s="75">
        <v>84.8</v>
      </c>
      <c r="H120" s="75">
        <v>84.2</v>
      </c>
      <c r="I120" s="75">
        <v>86.3</v>
      </c>
      <c r="J120" s="83">
        <v>1401</v>
      </c>
      <c r="K120" s="83">
        <v>1400.3</v>
      </c>
      <c r="L120" s="83">
        <v>1400.3</v>
      </c>
      <c r="M120" s="83">
        <v>1400.8</v>
      </c>
      <c r="N120" s="83">
        <v>1401</v>
      </c>
      <c r="O120" s="75">
        <v>0</v>
      </c>
      <c r="P120" s="75">
        <v>0</v>
      </c>
      <c r="Q120" s="75">
        <v>1</v>
      </c>
      <c r="R120" s="75">
        <v>26</v>
      </c>
      <c r="S120" s="75">
        <f>MAX(Table2[[#This Row],[volt-sbmu1]:[volt-sbmu5]])-MIN(Table2[[#This Row],[volt-sbmu1]:[volt-sbmu5]])</f>
        <v>0.70000000000004547</v>
      </c>
      <c r="T120" s="75">
        <f>MAX(Table2[[#This Row],[soc-sbmu1]:[soc-sbmu5]])-MIN(Table2[[#This Row],[soc-sbmu1]:[soc-sbmu5]])</f>
        <v>2.0999999999999943</v>
      </c>
      <c r="U120" s="75"/>
      <c r="V120" s="75"/>
    </row>
    <row r="121" spans="1:22">
      <c r="A121" t="s">
        <v>250</v>
      </c>
      <c r="B121" t="s">
        <v>533</v>
      </c>
      <c r="C121" s="75">
        <v>85.8</v>
      </c>
      <c r="D121" s="75">
        <v>1401.2</v>
      </c>
      <c r="E121" s="75">
        <v>85.9</v>
      </c>
      <c r="F121" s="75">
        <v>85.9</v>
      </c>
      <c r="G121" s="75">
        <v>85.7</v>
      </c>
      <c r="H121" s="75">
        <v>85.4</v>
      </c>
      <c r="I121" s="75">
        <v>85.9</v>
      </c>
      <c r="J121" s="83">
        <v>1400.2</v>
      </c>
      <c r="K121" s="83">
        <v>1401.2</v>
      </c>
      <c r="L121" s="83">
        <v>1401.2</v>
      </c>
      <c r="M121" s="83">
        <v>1401</v>
      </c>
      <c r="N121" s="83">
        <v>1400.7</v>
      </c>
      <c r="O121" s="75">
        <v>0</v>
      </c>
      <c r="P121" s="75">
        <v>0</v>
      </c>
      <c r="Q121" s="75">
        <v>1</v>
      </c>
      <c r="R121" s="75">
        <v>26</v>
      </c>
      <c r="S121" s="75">
        <f>MAX(Table2[[#This Row],[volt-sbmu1]:[volt-sbmu5]])-MIN(Table2[[#This Row],[volt-sbmu1]:[volt-sbmu5]])</f>
        <v>1</v>
      </c>
      <c r="T121" s="75">
        <f>MAX(Table2[[#This Row],[soc-sbmu1]:[soc-sbmu5]])-MIN(Table2[[#This Row],[soc-sbmu1]:[soc-sbmu5]])</f>
        <v>0.5</v>
      </c>
      <c r="U121" s="75"/>
      <c r="V121" s="75"/>
    </row>
    <row r="122" spans="1:22">
      <c r="A122" t="s">
        <v>251</v>
      </c>
      <c r="B122" t="s">
        <v>534</v>
      </c>
      <c r="C122" s="75">
        <v>86.1</v>
      </c>
      <c r="D122" s="75">
        <v>1400.8</v>
      </c>
      <c r="E122" s="75">
        <v>84.5</v>
      </c>
      <c r="F122" s="75">
        <v>86.4</v>
      </c>
      <c r="G122" s="75">
        <v>85.6</v>
      </c>
      <c r="H122" s="75">
        <v>84.6</v>
      </c>
      <c r="I122" s="75">
        <v>84.5</v>
      </c>
      <c r="J122" s="83">
        <v>1401.1</v>
      </c>
      <c r="K122" s="83">
        <v>1401.1</v>
      </c>
      <c r="L122" s="83">
        <v>1400.5</v>
      </c>
      <c r="M122" s="83">
        <v>1401.7</v>
      </c>
      <c r="N122" s="83">
        <v>1400</v>
      </c>
      <c r="O122" s="75">
        <v>0</v>
      </c>
      <c r="P122" s="75">
        <v>0</v>
      </c>
      <c r="Q122" s="75">
        <v>1</v>
      </c>
      <c r="R122" s="75">
        <v>28</v>
      </c>
      <c r="S122" s="75">
        <f>MAX(Table2[[#This Row],[volt-sbmu1]:[volt-sbmu5]])-MIN(Table2[[#This Row],[volt-sbmu1]:[volt-sbmu5]])</f>
        <v>1.7000000000000455</v>
      </c>
      <c r="T122" s="75">
        <f>MAX(Table2[[#This Row],[soc-sbmu1]:[soc-sbmu5]])-MIN(Table2[[#This Row],[soc-sbmu1]:[soc-sbmu5]])</f>
        <v>1.9000000000000057</v>
      </c>
      <c r="U122" s="75"/>
      <c r="V122" s="75"/>
    </row>
    <row r="123" spans="1:22">
      <c r="A123" t="s">
        <v>252</v>
      </c>
      <c r="B123" t="s">
        <v>535</v>
      </c>
      <c r="C123" s="75">
        <v>84.7</v>
      </c>
      <c r="D123" s="75">
        <v>1399.7</v>
      </c>
      <c r="E123" s="75">
        <v>85.2</v>
      </c>
      <c r="F123" s="75">
        <v>83.1</v>
      </c>
      <c r="G123" s="75">
        <v>83.1</v>
      </c>
      <c r="H123" s="75">
        <v>83</v>
      </c>
      <c r="I123" s="75">
        <v>82.4</v>
      </c>
      <c r="J123" s="83">
        <v>1399.5</v>
      </c>
      <c r="K123" s="83">
        <v>1399.9</v>
      </c>
      <c r="L123" s="83">
        <v>1399.5</v>
      </c>
      <c r="M123" s="83">
        <v>1399.6</v>
      </c>
      <c r="N123" s="83">
        <v>1399.8</v>
      </c>
      <c r="O123" s="75">
        <v>0</v>
      </c>
      <c r="P123" s="75">
        <v>0</v>
      </c>
      <c r="Q123" s="75">
        <v>1</v>
      </c>
      <c r="R123" s="75">
        <v>25</v>
      </c>
      <c r="S123" s="75">
        <f>MAX(Table2[[#This Row],[volt-sbmu1]:[volt-sbmu5]])-MIN(Table2[[#This Row],[volt-sbmu1]:[volt-sbmu5]])</f>
        <v>0.40000000000009095</v>
      </c>
      <c r="T123" s="75">
        <f>MAX(Table2[[#This Row],[soc-sbmu1]:[soc-sbmu5]])-MIN(Table2[[#This Row],[soc-sbmu1]:[soc-sbmu5]])</f>
        <v>2.7999999999999972</v>
      </c>
      <c r="U123" s="75"/>
      <c r="V123" s="75"/>
    </row>
    <row r="124" spans="1:22">
      <c r="A124" t="s">
        <v>253</v>
      </c>
      <c r="B124" t="s">
        <v>536</v>
      </c>
      <c r="C124" s="75">
        <v>84.4</v>
      </c>
      <c r="D124" s="75">
        <v>1400.5</v>
      </c>
      <c r="E124" s="75">
        <v>84.4</v>
      </c>
      <c r="F124" s="75">
        <v>83.4</v>
      </c>
      <c r="G124" s="75">
        <v>84.6</v>
      </c>
      <c r="H124" s="75">
        <v>84.4</v>
      </c>
      <c r="I124" s="75">
        <v>83.9</v>
      </c>
      <c r="J124" s="83">
        <v>1400.9</v>
      </c>
      <c r="K124" s="83">
        <v>1399.9</v>
      </c>
      <c r="L124" s="83">
        <v>1401.1</v>
      </c>
      <c r="M124" s="83">
        <v>1401.1</v>
      </c>
      <c r="N124" s="83">
        <v>1402.9</v>
      </c>
      <c r="O124" s="75">
        <v>0</v>
      </c>
      <c r="P124" s="75">
        <v>0</v>
      </c>
      <c r="Q124" s="75">
        <v>1</v>
      </c>
      <c r="R124" s="75">
        <v>26</v>
      </c>
      <c r="S124" s="75">
        <f>MAX(Table2[[#This Row],[volt-sbmu1]:[volt-sbmu5]])-MIN(Table2[[#This Row],[volt-sbmu1]:[volt-sbmu5]])</f>
        <v>3</v>
      </c>
      <c r="T124" s="75">
        <f>MAX(Table2[[#This Row],[soc-sbmu1]:[soc-sbmu5]])-MIN(Table2[[#This Row],[soc-sbmu1]:[soc-sbmu5]])</f>
        <v>1.1999999999999886</v>
      </c>
      <c r="U124" s="75"/>
      <c r="V124" s="75"/>
    </row>
    <row r="125" spans="1:22">
      <c r="A125" t="s">
        <v>254</v>
      </c>
      <c r="B125" t="s">
        <v>537</v>
      </c>
      <c r="C125" s="75">
        <v>85</v>
      </c>
      <c r="D125" s="75">
        <v>1398.7</v>
      </c>
      <c r="E125" s="75">
        <v>83.3</v>
      </c>
      <c r="F125" s="75">
        <v>85.4</v>
      </c>
      <c r="G125" s="75">
        <v>82.8</v>
      </c>
      <c r="H125" s="75">
        <v>83</v>
      </c>
      <c r="I125" s="75">
        <v>82.9</v>
      </c>
      <c r="J125" s="83">
        <v>1398.2</v>
      </c>
      <c r="K125" s="83">
        <v>1398.4</v>
      </c>
      <c r="L125" s="83">
        <v>1397.9</v>
      </c>
      <c r="M125" s="83">
        <v>1399</v>
      </c>
      <c r="N125" s="83">
        <v>1398.7</v>
      </c>
      <c r="O125" s="75">
        <v>0</v>
      </c>
      <c r="P125" s="75">
        <v>0</v>
      </c>
      <c r="Q125" s="75">
        <v>1</v>
      </c>
      <c r="R125" s="75">
        <v>26</v>
      </c>
      <c r="S125" s="75">
        <f>MAX(Table2[[#This Row],[volt-sbmu1]:[volt-sbmu5]])-MIN(Table2[[#This Row],[volt-sbmu1]:[volt-sbmu5]])</f>
        <v>1.0999999999999091</v>
      </c>
      <c r="T125" s="75">
        <f>MAX(Table2[[#This Row],[soc-sbmu1]:[soc-sbmu5]])-MIN(Table2[[#This Row],[soc-sbmu1]:[soc-sbmu5]])</f>
        <v>2.6000000000000085</v>
      </c>
      <c r="U125" s="75"/>
      <c r="V125" s="75"/>
    </row>
    <row r="126" spans="1:22">
      <c r="A126" t="s">
        <v>255</v>
      </c>
      <c r="B126" t="s">
        <v>538</v>
      </c>
      <c r="C126" s="75">
        <v>84.8</v>
      </c>
      <c r="D126" s="75">
        <v>1399.9</v>
      </c>
      <c r="E126" s="75">
        <v>85.2</v>
      </c>
      <c r="F126" s="75">
        <v>83.6</v>
      </c>
      <c r="G126" s="75">
        <v>83</v>
      </c>
      <c r="H126" s="75">
        <v>83</v>
      </c>
      <c r="I126" s="75">
        <v>82.9</v>
      </c>
      <c r="J126" s="83">
        <v>1400.2</v>
      </c>
      <c r="K126" s="83">
        <v>1399.3</v>
      </c>
      <c r="L126" s="83">
        <v>1399.6</v>
      </c>
      <c r="M126" s="83">
        <v>1400.2</v>
      </c>
      <c r="N126" s="83">
        <v>1400.7</v>
      </c>
      <c r="O126" s="75">
        <v>0</v>
      </c>
      <c r="P126" s="75">
        <v>0</v>
      </c>
      <c r="Q126" s="75">
        <v>1</v>
      </c>
      <c r="R126" s="75">
        <v>28</v>
      </c>
      <c r="S126" s="75">
        <f>MAX(Table2[[#This Row],[volt-sbmu1]:[volt-sbmu5]])-MIN(Table2[[#This Row],[volt-sbmu1]:[volt-sbmu5]])</f>
        <v>1.4000000000000909</v>
      </c>
      <c r="T126" s="75">
        <f>MAX(Table2[[#This Row],[soc-sbmu1]:[soc-sbmu5]])-MIN(Table2[[#This Row],[soc-sbmu1]:[soc-sbmu5]])</f>
        <v>2.2999999999999972</v>
      </c>
      <c r="U126" s="75"/>
      <c r="V126" s="75"/>
    </row>
    <row r="127" spans="1:22">
      <c r="A127" t="s">
        <v>256</v>
      </c>
      <c r="B127" t="s">
        <v>539</v>
      </c>
      <c r="C127" s="75">
        <v>98.9</v>
      </c>
      <c r="D127" s="75">
        <v>1383.1</v>
      </c>
      <c r="E127" s="75">
        <v>98.9</v>
      </c>
      <c r="F127" s="75">
        <v>98.8</v>
      </c>
      <c r="G127" s="75">
        <v>99</v>
      </c>
      <c r="H127" s="75">
        <v>98.9</v>
      </c>
      <c r="I127" s="75">
        <v>98.9</v>
      </c>
      <c r="J127" s="83">
        <v>1382.8</v>
      </c>
      <c r="K127" s="83">
        <v>1381.9</v>
      </c>
      <c r="L127" s="83">
        <v>1382.9</v>
      </c>
      <c r="M127" s="83">
        <v>1383.3</v>
      </c>
      <c r="N127" s="83">
        <v>1383</v>
      </c>
      <c r="O127" s="75">
        <v>0</v>
      </c>
      <c r="P127" s="75">
        <v>0</v>
      </c>
      <c r="Q127" s="75">
        <v>2</v>
      </c>
      <c r="R127" s="75">
        <v>26</v>
      </c>
      <c r="S127" s="75">
        <f>MAX(Table2[[#This Row],[volt-sbmu1]:[volt-sbmu5]])-MIN(Table2[[#This Row],[volt-sbmu1]:[volt-sbmu5]])</f>
        <v>1.3999999999998636</v>
      </c>
      <c r="T127" s="75">
        <f>MAX(Table2[[#This Row],[soc-sbmu1]:[soc-sbmu5]])-MIN(Table2[[#This Row],[soc-sbmu1]:[soc-sbmu5]])</f>
        <v>0.20000000000000284</v>
      </c>
      <c r="U127" s="75"/>
      <c r="V127" s="75"/>
    </row>
    <row r="128" spans="1:22">
      <c r="A128" t="s">
        <v>257</v>
      </c>
      <c r="B128" t="s">
        <v>540</v>
      </c>
      <c r="C128" s="75">
        <v>86.8</v>
      </c>
      <c r="D128" s="75">
        <v>1400.9</v>
      </c>
      <c r="E128" s="75">
        <v>85.3</v>
      </c>
      <c r="F128" s="75">
        <v>85.1</v>
      </c>
      <c r="G128" s="75">
        <v>84.8</v>
      </c>
      <c r="H128" s="75">
        <v>87.2</v>
      </c>
      <c r="I128" s="75">
        <v>85</v>
      </c>
      <c r="J128" s="83">
        <v>1399.8</v>
      </c>
      <c r="K128" s="83">
        <v>1402.3</v>
      </c>
      <c r="L128" s="83">
        <v>1401.3</v>
      </c>
      <c r="M128" s="83">
        <v>1400.4</v>
      </c>
      <c r="N128" s="83">
        <v>1400.8</v>
      </c>
      <c r="O128" s="75">
        <v>0</v>
      </c>
      <c r="P128" s="75">
        <v>0</v>
      </c>
      <c r="Q128" s="75">
        <v>1</v>
      </c>
      <c r="R128" s="75">
        <v>25</v>
      </c>
      <c r="S128" s="75">
        <f>MAX(Table2[[#This Row],[volt-sbmu1]:[volt-sbmu5]])-MIN(Table2[[#This Row],[volt-sbmu1]:[volt-sbmu5]])</f>
        <v>2.5</v>
      </c>
      <c r="T128" s="75">
        <f>MAX(Table2[[#This Row],[soc-sbmu1]:[soc-sbmu5]])-MIN(Table2[[#This Row],[soc-sbmu1]:[soc-sbmu5]])</f>
        <v>2.4000000000000057</v>
      </c>
      <c r="U128" s="75"/>
      <c r="V128" s="75"/>
    </row>
    <row r="129" spans="1:22">
      <c r="A129" t="s">
        <v>258</v>
      </c>
      <c r="B129" t="s">
        <v>541</v>
      </c>
      <c r="C129" s="75">
        <v>86.8</v>
      </c>
      <c r="D129" s="75">
        <v>1400.8</v>
      </c>
      <c r="E129" s="75">
        <v>87.2</v>
      </c>
      <c r="F129" s="75">
        <v>85.5</v>
      </c>
      <c r="G129" s="75">
        <v>84.4</v>
      </c>
      <c r="H129" s="75">
        <v>84.6</v>
      </c>
      <c r="I129" s="75">
        <v>85.7</v>
      </c>
      <c r="J129" s="83">
        <v>1401.8</v>
      </c>
      <c r="K129" s="83">
        <v>1402.1</v>
      </c>
      <c r="L129" s="83">
        <v>1400.5</v>
      </c>
      <c r="M129" s="83">
        <v>1400</v>
      </c>
      <c r="N129" s="83">
        <v>1400.7</v>
      </c>
      <c r="O129" s="75">
        <v>0</v>
      </c>
      <c r="P129" s="75">
        <v>0</v>
      </c>
      <c r="Q129" s="75">
        <v>1</v>
      </c>
      <c r="R129" s="75">
        <v>26</v>
      </c>
      <c r="S129" s="75">
        <f>MAX(Table2[[#This Row],[volt-sbmu1]:[volt-sbmu5]])-MIN(Table2[[#This Row],[volt-sbmu1]:[volt-sbmu5]])</f>
        <v>2.0999999999999091</v>
      </c>
      <c r="T129" s="75">
        <f>MAX(Table2[[#This Row],[soc-sbmu1]:[soc-sbmu5]])-MIN(Table2[[#This Row],[soc-sbmu1]:[soc-sbmu5]])</f>
        <v>2.7999999999999972</v>
      </c>
      <c r="U129" s="75"/>
      <c r="V129" s="75"/>
    </row>
    <row r="130" spans="1:22">
      <c r="A130" t="s">
        <v>259</v>
      </c>
      <c r="B130" t="s">
        <v>542</v>
      </c>
      <c r="C130" s="75">
        <v>86.6</v>
      </c>
      <c r="D130" s="75">
        <v>1400.5</v>
      </c>
      <c r="E130" s="75">
        <v>85.2</v>
      </c>
      <c r="F130" s="75">
        <v>85.2</v>
      </c>
      <c r="G130" s="75">
        <v>84.9</v>
      </c>
      <c r="H130" s="75">
        <v>86.9</v>
      </c>
      <c r="I130" s="75">
        <v>85.5</v>
      </c>
      <c r="J130" s="83">
        <v>1401.2</v>
      </c>
      <c r="K130" s="83">
        <v>1400.3</v>
      </c>
      <c r="L130" s="83">
        <v>1401.1</v>
      </c>
      <c r="M130" s="83">
        <v>1400.6</v>
      </c>
      <c r="N130" s="83">
        <v>1399.8</v>
      </c>
      <c r="O130" s="75">
        <v>0</v>
      </c>
      <c r="P130" s="75">
        <v>0</v>
      </c>
      <c r="Q130" s="75">
        <v>1</v>
      </c>
      <c r="R130" s="75">
        <v>29</v>
      </c>
      <c r="S130" s="75">
        <f>MAX(Table2[[#This Row],[volt-sbmu1]:[volt-sbmu5]])-MIN(Table2[[#This Row],[volt-sbmu1]:[volt-sbmu5]])</f>
        <v>1.4000000000000909</v>
      </c>
      <c r="T130" s="75">
        <f>MAX(Table2[[#This Row],[soc-sbmu1]:[soc-sbmu5]])-MIN(Table2[[#This Row],[soc-sbmu1]:[soc-sbmu5]])</f>
        <v>2</v>
      </c>
      <c r="U130" s="75"/>
      <c r="V130" s="75"/>
    </row>
    <row r="131" spans="1:22">
      <c r="A131" t="s">
        <v>260</v>
      </c>
      <c r="B131" t="s">
        <v>543</v>
      </c>
      <c r="C131" s="75">
        <v>84.7</v>
      </c>
      <c r="D131" s="75">
        <v>1400.1</v>
      </c>
      <c r="E131" s="75">
        <v>85.1</v>
      </c>
      <c r="F131" s="75">
        <v>82.5</v>
      </c>
      <c r="G131" s="75">
        <v>83.4</v>
      </c>
      <c r="H131" s="75">
        <v>83.8</v>
      </c>
      <c r="I131" s="75">
        <v>83.7</v>
      </c>
      <c r="J131" s="83">
        <v>1398.6</v>
      </c>
      <c r="K131" s="83">
        <v>1400.1</v>
      </c>
      <c r="L131" s="83">
        <v>1400</v>
      </c>
      <c r="M131" s="83">
        <v>1400.6</v>
      </c>
      <c r="N131" s="83">
        <v>1400.4</v>
      </c>
      <c r="O131" s="75">
        <v>0</v>
      </c>
      <c r="P131" s="75">
        <v>0</v>
      </c>
      <c r="Q131" s="75">
        <v>1</v>
      </c>
      <c r="R131" s="75">
        <v>25</v>
      </c>
      <c r="S131" s="75">
        <f>MAX(Table2[[#This Row],[volt-sbmu1]:[volt-sbmu5]])-MIN(Table2[[#This Row],[volt-sbmu1]:[volt-sbmu5]])</f>
        <v>2</v>
      </c>
      <c r="T131" s="75">
        <f>MAX(Table2[[#This Row],[soc-sbmu1]:[soc-sbmu5]])-MIN(Table2[[#This Row],[soc-sbmu1]:[soc-sbmu5]])</f>
        <v>2.5999999999999943</v>
      </c>
      <c r="U131" s="75"/>
      <c r="V131" s="75"/>
    </row>
    <row r="132" spans="1:22">
      <c r="A132" t="s">
        <v>261</v>
      </c>
      <c r="B132" t="s">
        <v>544</v>
      </c>
      <c r="C132" s="75">
        <v>84.8</v>
      </c>
      <c r="D132" s="75">
        <v>1399.7</v>
      </c>
      <c r="E132" s="75">
        <v>84.2</v>
      </c>
      <c r="F132" s="75">
        <v>83.5</v>
      </c>
      <c r="G132" s="75">
        <v>85.2</v>
      </c>
      <c r="H132" s="75">
        <v>83</v>
      </c>
      <c r="I132" s="75">
        <v>83.1</v>
      </c>
      <c r="J132" s="83">
        <v>1398.9</v>
      </c>
      <c r="K132" s="83">
        <v>1399.9</v>
      </c>
      <c r="L132" s="83">
        <v>1398.5</v>
      </c>
      <c r="M132" s="83">
        <v>1399.2</v>
      </c>
      <c r="N132" s="83">
        <v>1400.9</v>
      </c>
      <c r="O132" s="75">
        <v>0</v>
      </c>
      <c r="P132" s="75">
        <v>0</v>
      </c>
      <c r="Q132" s="75">
        <v>1</v>
      </c>
      <c r="R132" s="75">
        <v>25</v>
      </c>
      <c r="S132" s="75">
        <f>MAX(Table2[[#This Row],[volt-sbmu1]:[volt-sbmu5]])-MIN(Table2[[#This Row],[volt-sbmu1]:[volt-sbmu5]])</f>
        <v>2.4000000000000909</v>
      </c>
      <c r="T132" s="75">
        <f>MAX(Table2[[#This Row],[soc-sbmu1]:[soc-sbmu5]])-MIN(Table2[[#This Row],[soc-sbmu1]:[soc-sbmu5]])</f>
        <v>2.2000000000000028</v>
      </c>
      <c r="U132" s="75"/>
      <c r="V132" s="75"/>
    </row>
    <row r="133" spans="1:22">
      <c r="A133" t="s">
        <v>262</v>
      </c>
      <c r="B133" t="s">
        <v>545</v>
      </c>
      <c r="C133" s="75">
        <v>84.7</v>
      </c>
      <c r="D133" s="75">
        <v>1400.1</v>
      </c>
      <c r="E133" s="75">
        <v>83.8</v>
      </c>
      <c r="F133" s="75">
        <v>84.2</v>
      </c>
      <c r="G133" s="75">
        <v>84.2</v>
      </c>
      <c r="H133" s="75">
        <v>84.8</v>
      </c>
      <c r="I133" s="75">
        <v>84.9</v>
      </c>
      <c r="J133" s="83">
        <v>1399.8</v>
      </c>
      <c r="K133" s="83">
        <v>1399.9</v>
      </c>
      <c r="L133" s="83">
        <v>1400</v>
      </c>
      <c r="M133" s="83">
        <v>1400.5</v>
      </c>
      <c r="N133" s="83">
        <v>1400.3</v>
      </c>
      <c r="O133" s="75">
        <v>0</v>
      </c>
      <c r="P133" s="75">
        <v>0</v>
      </c>
      <c r="Q133" s="75">
        <v>1</v>
      </c>
      <c r="R133" s="75">
        <v>26</v>
      </c>
      <c r="S133" s="75">
        <f>MAX(Table2[[#This Row],[volt-sbmu1]:[volt-sbmu5]])-MIN(Table2[[#This Row],[volt-sbmu1]:[volt-sbmu5]])</f>
        <v>0.70000000000004547</v>
      </c>
      <c r="T133" s="75">
        <f>MAX(Table2[[#This Row],[soc-sbmu1]:[soc-sbmu5]])-MIN(Table2[[#This Row],[soc-sbmu1]:[soc-sbmu5]])</f>
        <v>1.1000000000000085</v>
      </c>
      <c r="U133" s="75"/>
      <c r="V133" s="75"/>
    </row>
    <row r="134" spans="1:22">
      <c r="A134" t="s">
        <v>263</v>
      </c>
      <c r="B134" t="s">
        <v>546</v>
      </c>
      <c r="C134" s="75">
        <v>84.5</v>
      </c>
      <c r="D134" s="75">
        <v>1400.7</v>
      </c>
      <c r="E134" s="75">
        <v>84.6</v>
      </c>
      <c r="F134" s="75">
        <v>83.5</v>
      </c>
      <c r="G134" s="75">
        <v>84.2</v>
      </c>
      <c r="H134" s="75">
        <v>84.3</v>
      </c>
      <c r="I134" s="75">
        <v>84.7</v>
      </c>
      <c r="J134" s="83">
        <v>1400.4</v>
      </c>
      <c r="K134" s="83">
        <v>1400.9</v>
      </c>
      <c r="L134" s="83">
        <v>1400</v>
      </c>
      <c r="M134" s="83">
        <v>1399.6</v>
      </c>
      <c r="N134" s="83">
        <v>1402.1</v>
      </c>
      <c r="O134" s="75">
        <v>0</v>
      </c>
      <c r="P134" s="75">
        <v>0</v>
      </c>
      <c r="Q134" s="75">
        <v>1</v>
      </c>
      <c r="R134" s="75">
        <v>27</v>
      </c>
      <c r="S134" s="75">
        <f>MAX(Table2[[#This Row],[volt-sbmu1]:[volt-sbmu5]])-MIN(Table2[[#This Row],[volt-sbmu1]:[volt-sbmu5]])</f>
        <v>2.5</v>
      </c>
      <c r="T134" s="75">
        <f>MAX(Table2[[#This Row],[soc-sbmu1]:[soc-sbmu5]])-MIN(Table2[[#This Row],[soc-sbmu1]:[soc-sbmu5]])</f>
        <v>1.2000000000000028</v>
      </c>
      <c r="U134" s="75"/>
      <c r="V134" s="75"/>
    </row>
    <row r="135" spans="1:22">
      <c r="A135" t="s">
        <v>264</v>
      </c>
      <c r="B135" t="s">
        <v>547</v>
      </c>
      <c r="C135" s="75">
        <v>84.5</v>
      </c>
      <c r="D135" s="75">
        <v>1399.9</v>
      </c>
      <c r="E135" s="75">
        <v>82.5</v>
      </c>
      <c r="F135" s="75">
        <v>83.5</v>
      </c>
      <c r="G135" s="75">
        <v>84.9</v>
      </c>
      <c r="H135" s="75">
        <v>83.4</v>
      </c>
      <c r="I135" s="75">
        <v>83.7</v>
      </c>
      <c r="J135" s="83">
        <v>1399.2</v>
      </c>
      <c r="K135" s="83">
        <v>1400.5</v>
      </c>
      <c r="L135" s="83">
        <v>1400.2</v>
      </c>
      <c r="M135" s="83">
        <v>1399.9</v>
      </c>
      <c r="N135" s="83">
        <v>1399.3</v>
      </c>
      <c r="O135" s="75">
        <v>0</v>
      </c>
      <c r="P135" s="75">
        <v>0</v>
      </c>
      <c r="Q135" s="75">
        <v>1</v>
      </c>
      <c r="R135" s="75">
        <v>25</v>
      </c>
      <c r="S135" s="75">
        <f>MAX(Table2[[#This Row],[volt-sbmu1]:[volt-sbmu5]])-MIN(Table2[[#This Row],[volt-sbmu1]:[volt-sbmu5]])</f>
        <v>1.2999999999999545</v>
      </c>
      <c r="T135" s="75">
        <f>MAX(Table2[[#This Row],[soc-sbmu1]:[soc-sbmu5]])-MIN(Table2[[#This Row],[soc-sbmu1]:[soc-sbmu5]])</f>
        <v>2.4000000000000057</v>
      </c>
      <c r="U135" s="75"/>
      <c r="V135" s="75"/>
    </row>
    <row r="136" spans="1:22">
      <c r="A136" t="s">
        <v>265</v>
      </c>
      <c r="B136" t="s">
        <v>548</v>
      </c>
      <c r="C136" s="75">
        <v>84.9</v>
      </c>
      <c r="D136" s="75">
        <v>1400.2</v>
      </c>
      <c r="E136" s="75">
        <v>82.9</v>
      </c>
      <c r="F136" s="75">
        <v>83.6</v>
      </c>
      <c r="G136" s="75">
        <v>85.3</v>
      </c>
      <c r="H136" s="75">
        <v>83.1</v>
      </c>
      <c r="I136" s="75">
        <v>83.6</v>
      </c>
      <c r="J136" s="83">
        <v>1400.4</v>
      </c>
      <c r="K136" s="83">
        <v>1400.3</v>
      </c>
      <c r="L136" s="83">
        <v>1399.6</v>
      </c>
      <c r="M136" s="83">
        <v>1400</v>
      </c>
      <c r="N136" s="83">
        <v>1400.7</v>
      </c>
      <c r="O136" s="75">
        <v>0</v>
      </c>
      <c r="P136" s="75">
        <v>0</v>
      </c>
      <c r="Q136" s="75">
        <v>1</v>
      </c>
      <c r="R136" s="75">
        <v>25</v>
      </c>
      <c r="S136" s="75">
        <f>MAX(Table2[[#This Row],[volt-sbmu1]:[volt-sbmu5]])-MIN(Table2[[#This Row],[volt-sbmu1]:[volt-sbmu5]])</f>
        <v>1.1000000000001364</v>
      </c>
      <c r="T136" s="75">
        <f>MAX(Table2[[#This Row],[soc-sbmu1]:[soc-sbmu5]])-MIN(Table2[[#This Row],[soc-sbmu1]:[soc-sbmu5]])</f>
        <v>2.3999999999999915</v>
      </c>
      <c r="U136" s="75"/>
      <c r="V136" s="75"/>
    </row>
    <row r="137" spans="1:22">
      <c r="A137" t="s">
        <v>266</v>
      </c>
      <c r="B137" t="s">
        <v>549</v>
      </c>
      <c r="C137" s="75">
        <v>83.9</v>
      </c>
      <c r="D137" s="75">
        <v>1399.4</v>
      </c>
      <c r="E137" s="75">
        <v>84.2</v>
      </c>
      <c r="F137" s="75">
        <v>83.9</v>
      </c>
      <c r="G137" s="75">
        <v>82.8</v>
      </c>
      <c r="H137" s="75">
        <v>84</v>
      </c>
      <c r="I137" s="75">
        <v>83.8</v>
      </c>
      <c r="J137" s="83">
        <v>1399.9</v>
      </c>
      <c r="K137" s="83">
        <v>1400.1</v>
      </c>
      <c r="L137" s="83">
        <v>1399.8</v>
      </c>
      <c r="M137" s="83">
        <v>1399.7</v>
      </c>
      <c r="N137" s="83">
        <v>1400</v>
      </c>
      <c r="O137" s="75">
        <v>0</v>
      </c>
      <c r="P137" s="75">
        <v>0</v>
      </c>
      <c r="Q137" s="75">
        <v>1</v>
      </c>
      <c r="R137" s="75">
        <v>26</v>
      </c>
      <c r="S137" s="75">
        <f>MAX(Table2[[#This Row],[volt-sbmu1]:[volt-sbmu5]])-MIN(Table2[[#This Row],[volt-sbmu1]:[volt-sbmu5]])</f>
        <v>0.39999999999986358</v>
      </c>
      <c r="T137" s="75">
        <f>MAX(Table2[[#This Row],[soc-sbmu1]:[soc-sbmu5]])-MIN(Table2[[#This Row],[soc-sbmu1]:[soc-sbmu5]])</f>
        <v>1.4000000000000057</v>
      </c>
      <c r="U137" s="75"/>
      <c r="V137" s="75"/>
    </row>
    <row r="138" spans="1:22">
      <c r="A138" t="s">
        <v>267</v>
      </c>
      <c r="B138" t="s">
        <v>550</v>
      </c>
      <c r="C138" s="75">
        <v>85.2</v>
      </c>
      <c r="D138" s="75">
        <v>1399.7</v>
      </c>
      <c r="E138" s="75">
        <v>82.9</v>
      </c>
      <c r="F138" s="75">
        <v>84.5</v>
      </c>
      <c r="G138" s="75">
        <v>83.1</v>
      </c>
      <c r="H138" s="75">
        <v>85.6</v>
      </c>
      <c r="I138" s="75">
        <v>84.7</v>
      </c>
      <c r="J138" s="83">
        <v>1399.7</v>
      </c>
      <c r="K138" s="83">
        <v>1399.7</v>
      </c>
      <c r="L138" s="83">
        <v>1400.3</v>
      </c>
      <c r="M138" s="83">
        <v>1398.8</v>
      </c>
      <c r="N138" s="83">
        <v>1400.3</v>
      </c>
      <c r="O138" s="75">
        <v>0</v>
      </c>
      <c r="P138" s="75">
        <v>0</v>
      </c>
      <c r="Q138" s="75">
        <v>1</v>
      </c>
      <c r="R138" s="75">
        <v>28</v>
      </c>
      <c r="S138" s="75">
        <f>MAX(Table2[[#This Row],[volt-sbmu1]:[volt-sbmu5]])-MIN(Table2[[#This Row],[volt-sbmu1]:[volt-sbmu5]])</f>
        <v>1.5</v>
      </c>
      <c r="T138" s="75">
        <f>MAX(Table2[[#This Row],[soc-sbmu1]:[soc-sbmu5]])-MIN(Table2[[#This Row],[soc-sbmu1]:[soc-sbmu5]])</f>
        <v>2.6999999999999886</v>
      </c>
      <c r="U138" s="75"/>
      <c r="V138" s="75"/>
    </row>
    <row r="139" spans="1:22">
      <c r="A139" t="s">
        <v>268</v>
      </c>
      <c r="B139" t="s">
        <v>551</v>
      </c>
      <c r="C139" s="75">
        <v>93.2</v>
      </c>
      <c r="D139" s="75">
        <v>1400.3</v>
      </c>
      <c r="E139" s="75">
        <v>93.4</v>
      </c>
      <c r="F139" s="75">
        <v>91.1</v>
      </c>
      <c r="G139" s="75">
        <v>91.4</v>
      </c>
      <c r="H139" s="75">
        <v>91.4</v>
      </c>
      <c r="I139" s="75">
        <v>92.3</v>
      </c>
      <c r="J139" s="83">
        <v>1400.6</v>
      </c>
      <c r="K139" s="83">
        <v>1401.6</v>
      </c>
      <c r="L139" s="83">
        <v>1400.5</v>
      </c>
      <c r="M139" s="83">
        <v>1401.1</v>
      </c>
      <c r="N139" s="83">
        <v>1400.1</v>
      </c>
      <c r="O139" s="75">
        <v>0</v>
      </c>
      <c r="P139" s="75">
        <v>0</v>
      </c>
      <c r="Q139" s="75">
        <v>1</v>
      </c>
      <c r="R139" s="75">
        <v>26</v>
      </c>
      <c r="S139" s="75">
        <f>MAX(Table2[[#This Row],[volt-sbmu1]:[volt-sbmu5]])-MIN(Table2[[#This Row],[volt-sbmu1]:[volt-sbmu5]])</f>
        <v>1.5</v>
      </c>
      <c r="T139" s="75">
        <f>MAX(Table2[[#This Row],[soc-sbmu1]:[soc-sbmu5]])-MIN(Table2[[#This Row],[soc-sbmu1]:[soc-sbmu5]])</f>
        <v>2.3000000000000114</v>
      </c>
      <c r="U139" s="75"/>
      <c r="V139" s="75"/>
    </row>
    <row r="140" spans="1:22">
      <c r="A140" t="s">
        <v>269</v>
      </c>
      <c r="B140" t="s">
        <v>552</v>
      </c>
      <c r="C140" s="75">
        <v>92.6</v>
      </c>
      <c r="D140" s="75">
        <v>1399</v>
      </c>
      <c r="E140" s="75">
        <v>92</v>
      </c>
      <c r="F140" s="75">
        <v>91.9</v>
      </c>
      <c r="G140" s="75">
        <v>91.9</v>
      </c>
      <c r="H140" s="75">
        <v>92.7</v>
      </c>
      <c r="I140" s="75">
        <v>91.5</v>
      </c>
      <c r="J140" s="83">
        <v>1398.7</v>
      </c>
      <c r="K140" s="83">
        <v>1398.7</v>
      </c>
      <c r="L140" s="83">
        <v>1399.7</v>
      </c>
      <c r="M140" s="83">
        <v>1399.1</v>
      </c>
      <c r="N140" s="83">
        <v>1398.2</v>
      </c>
      <c r="O140" s="75">
        <v>0</v>
      </c>
      <c r="P140" s="75">
        <v>0</v>
      </c>
      <c r="Q140" s="75">
        <v>1</v>
      </c>
      <c r="R140" s="75">
        <v>26</v>
      </c>
      <c r="S140" s="75">
        <f>MAX(Table2[[#This Row],[volt-sbmu1]:[volt-sbmu5]])-MIN(Table2[[#This Row],[volt-sbmu1]:[volt-sbmu5]])</f>
        <v>1.5</v>
      </c>
      <c r="T140" s="75">
        <f>MAX(Table2[[#This Row],[soc-sbmu1]:[soc-sbmu5]])-MIN(Table2[[#This Row],[soc-sbmu1]:[soc-sbmu5]])</f>
        <v>1.2000000000000028</v>
      </c>
      <c r="U140" s="75"/>
      <c r="V140" s="75"/>
    </row>
    <row r="141" spans="1:22">
      <c r="A141" t="s">
        <v>270</v>
      </c>
      <c r="B141" t="s">
        <v>553</v>
      </c>
      <c r="C141" s="75">
        <v>92.8</v>
      </c>
      <c r="D141" s="75">
        <v>1400.2</v>
      </c>
      <c r="E141" s="75">
        <v>92.9</v>
      </c>
      <c r="F141" s="75">
        <v>92.7</v>
      </c>
      <c r="G141" s="75">
        <v>92</v>
      </c>
      <c r="H141" s="75">
        <v>92.7</v>
      </c>
      <c r="I141" s="75">
        <v>92.5</v>
      </c>
      <c r="J141" s="83">
        <v>1400.9</v>
      </c>
      <c r="K141" s="83">
        <v>1401.2</v>
      </c>
      <c r="L141" s="83">
        <v>1398.9</v>
      </c>
      <c r="M141" s="83">
        <v>1400.6</v>
      </c>
      <c r="N141" s="83">
        <v>1399.9</v>
      </c>
      <c r="O141" s="75">
        <v>0</v>
      </c>
      <c r="P141" s="75">
        <v>0</v>
      </c>
      <c r="Q141" s="75">
        <v>1</v>
      </c>
      <c r="R141" s="75">
        <v>25</v>
      </c>
      <c r="S141" s="75">
        <f>MAX(Table2[[#This Row],[volt-sbmu1]:[volt-sbmu5]])-MIN(Table2[[#This Row],[volt-sbmu1]:[volt-sbmu5]])</f>
        <v>2.2999999999999545</v>
      </c>
      <c r="T141" s="75">
        <f>MAX(Table2[[#This Row],[soc-sbmu1]:[soc-sbmu5]])-MIN(Table2[[#This Row],[soc-sbmu1]:[soc-sbmu5]])</f>
        <v>0.90000000000000568</v>
      </c>
      <c r="U141" s="75"/>
      <c r="V141" s="75"/>
    </row>
    <row r="142" spans="1:22">
      <c r="A142" t="s">
        <v>271</v>
      </c>
      <c r="B142" t="s">
        <v>554</v>
      </c>
      <c r="C142" s="75">
        <v>93.3</v>
      </c>
      <c r="D142" s="75">
        <v>1400</v>
      </c>
      <c r="E142" s="75">
        <v>93.5</v>
      </c>
      <c r="F142" s="75">
        <v>91.7</v>
      </c>
      <c r="G142" s="75">
        <v>91.2</v>
      </c>
      <c r="H142" s="75">
        <v>91.4</v>
      </c>
      <c r="I142" s="75">
        <v>92.3</v>
      </c>
      <c r="J142" s="83">
        <v>1400.7</v>
      </c>
      <c r="K142" s="83">
        <v>1399.1</v>
      </c>
      <c r="L142" s="83">
        <v>1399.6</v>
      </c>
      <c r="M142" s="83">
        <v>1400.6</v>
      </c>
      <c r="N142" s="83">
        <v>1399.6</v>
      </c>
      <c r="O142" s="75">
        <v>0</v>
      </c>
      <c r="P142" s="75">
        <v>0</v>
      </c>
      <c r="Q142" s="75">
        <v>1</v>
      </c>
      <c r="R142" s="75">
        <v>28</v>
      </c>
      <c r="S142" s="75">
        <f>MAX(Table2[[#This Row],[volt-sbmu1]:[volt-sbmu5]])-MIN(Table2[[#This Row],[volt-sbmu1]:[volt-sbmu5]])</f>
        <v>1.6000000000001364</v>
      </c>
      <c r="T142" s="75">
        <f>MAX(Table2[[#This Row],[soc-sbmu1]:[soc-sbmu5]])-MIN(Table2[[#This Row],[soc-sbmu1]:[soc-sbmu5]])</f>
        <v>2.2999999999999972</v>
      </c>
      <c r="U142" s="75"/>
      <c r="V142" s="75"/>
    </row>
    <row r="143" spans="1:22">
      <c r="A143" t="s">
        <v>272</v>
      </c>
      <c r="B143" t="s">
        <v>555</v>
      </c>
      <c r="C143" s="75">
        <v>85</v>
      </c>
      <c r="D143" s="75">
        <v>1400.6</v>
      </c>
      <c r="E143" s="75">
        <v>84.1</v>
      </c>
      <c r="F143" s="75">
        <v>83.5</v>
      </c>
      <c r="G143" s="75">
        <v>84.1</v>
      </c>
      <c r="H143" s="75">
        <v>83.1</v>
      </c>
      <c r="I143" s="75">
        <v>85.4</v>
      </c>
      <c r="J143" s="83">
        <v>1400</v>
      </c>
      <c r="K143" s="83">
        <v>1400.1</v>
      </c>
      <c r="L143" s="83">
        <v>1400.9</v>
      </c>
      <c r="M143" s="83">
        <v>1400.7</v>
      </c>
      <c r="N143" s="83">
        <v>1399.3</v>
      </c>
      <c r="O143" s="75">
        <v>0</v>
      </c>
      <c r="P143" s="75">
        <v>0</v>
      </c>
      <c r="Q143" s="75">
        <v>1</v>
      </c>
      <c r="R143" s="75">
        <v>25</v>
      </c>
      <c r="S143" s="75">
        <f>MAX(Table2[[#This Row],[volt-sbmu1]:[volt-sbmu5]])-MIN(Table2[[#This Row],[volt-sbmu1]:[volt-sbmu5]])</f>
        <v>1.6000000000001364</v>
      </c>
      <c r="T143" s="75">
        <f>MAX(Table2[[#This Row],[soc-sbmu1]:[soc-sbmu5]])-MIN(Table2[[#This Row],[soc-sbmu1]:[soc-sbmu5]])</f>
        <v>2.3000000000000114</v>
      </c>
      <c r="U143" s="75"/>
      <c r="V143" s="75"/>
    </row>
    <row r="144" spans="1:22">
      <c r="A144" t="s">
        <v>273</v>
      </c>
      <c r="B144" t="s">
        <v>556</v>
      </c>
      <c r="C144" s="75">
        <v>84.4</v>
      </c>
      <c r="D144" s="75">
        <v>1400.7</v>
      </c>
      <c r="E144" s="75">
        <v>84.7</v>
      </c>
      <c r="F144" s="75">
        <v>84</v>
      </c>
      <c r="G144" s="75">
        <v>83.3</v>
      </c>
      <c r="H144" s="75">
        <v>83.9</v>
      </c>
      <c r="I144" s="75">
        <v>84.5</v>
      </c>
      <c r="J144" s="83">
        <v>1400.5</v>
      </c>
      <c r="K144" s="83">
        <v>1401.9</v>
      </c>
      <c r="L144" s="83">
        <v>1399.8</v>
      </c>
      <c r="M144" s="83">
        <v>1401.1</v>
      </c>
      <c r="N144" s="83">
        <v>1400</v>
      </c>
      <c r="O144" s="75">
        <v>0</v>
      </c>
      <c r="P144" s="75">
        <v>0</v>
      </c>
      <c r="Q144" s="75">
        <v>1</v>
      </c>
      <c r="R144" s="75">
        <v>25</v>
      </c>
      <c r="S144" s="75">
        <f>MAX(Table2[[#This Row],[volt-sbmu1]:[volt-sbmu5]])-MIN(Table2[[#This Row],[volt-sbmu1]:[volt-sbmu5]])</f>
        <v>2.1000000000001364</v>
      </c>
      <c r="T144" s="75">
        <f>MAX(Table2[[#This Row],[soc-sbmu1]:[soc-sbmu5]])-MIN(Table2[[#This Row],[soc-sbmu1]:[soc-sbmu5]])</f>
        <v>1.4000000000000057</v>
      </c>
      <c r="U144" s="75"/>
      <c r="V144" s="75"/>
    </row>
    <row r="145" spans="1:22">
      <c r="A145" t="s">
        <v>274</v>
      </c>
      <c r="B145" t="s">
        <v>557</v>
      </c>
      <c r="C145" s="75">
        <v>84.6</v>
      </c>
      <c r="D145" s="75">
        <v>1400.5</v>
      </c>
      <c r="E145" s="75">
        <v>82.9</v>
      </c>
      <c r="F145" s="75">
        <v>83.7</v>
      </c>
      <c r="G145" s="75">
        <v>85</v>
      </c>
      <c r="H145" s="75">
        <v>83.5</v>
      </c>
      <c r="I145" s="75">
        <v>82.5</v>
      </c>
      <c r="J145" s="83">
        <v>1400.7</v>
      </c>
      <c r="K145" s="83">
        <v>1399.9</v>
      </c>
      <c r="L145" s="83">
        <v>1400.4</v>
      </c>
      <c r="M145" s="83">
        <v>1400.4</v>
      </c>
      <c r="N145" s="83">
        <v>1400.3</v>
      </c>
      <c r="O145" s="75">
        <v>0</v>
      </c>
      <c r="P145" s="75">
        <v>0</v>
      </c>
      <c r="Q145" s="75">
        <v>1</v>
      </c>
      <c r="R145" s="75">
        <v>25</v>
      </c>
      <c r="S145" s="75">
        <f>MAX(Table2[[#This Row],[volt-sbmu1]:[volt-sbmu5]])-MIN(Table2[[#This Row],[volt-sbmu1]:[volt-sbmu5]])</f>
        <v>0.79999999999995453</v>
      </c>
      <c r="T145" s="75">
        <f>MAX(Table2[[#This Row],[soc-sbmu1]:[soc-sbmu5]])-MIN(Table2[[#This Row],[soc-sbmu1]:[soc-sbmu5]])</f>
        <v>2.5</v>
      </c>
      <c r="U145" s="75"/>
      <c r="V145" s="75"/>
    </row>
    <row r="146" spans="1:22">
      <c r="A146" t="s">
        <v>275</v>
      </c>
      <c r="B146" t="s">
        <v>558</v>
      </c>
      <c r="C146" s="75">
        <v>85</v>
      </c>
      <c r="D146" s="75">
        <v>1399.6</v>
      </c>
      <c r="E146" s="75">
        <v>83.7</v>
      </c>
      <c r="F146" s="75">
        <v>85.5</v>
      </c>
      <c r="G146" s="75">
        <v>83</v>
      </c>
      <c r="H146" s="75">
        <v>83.6</v>
      </c>
      <c r="I146" s="75">
        <v>82.3</v>
      </c>
      <c r="J146" s="83">
        <v>1400.1</v>
      </c>
      <c r="K146" s="83">
        <v>1399.6</v>
      </c>
      <c r="L146" s="83">
        <v>1399.7</v>
      </c>
      <c r="M146" s="83">
        <v>1398.1</v>
      </c>
      <c r="N146" s="83">
        <v>1399.9</v>
      </c>
      <c r="O146" s="75">
        <v>0</v>
      </c>
      <c r="P146" s="75">
        <v>0</v>
      </c>
      <c r="Q146" s="75">
        <v>1</v>
      </c>
      <c r="R146" s="75">
        <v>29</v>
      </c>
      <c r="S146" s="75">
        <f>MAX(Table2[[#This Row],[volt-sbmu1]:[volt-sbmu5]])-MIN(Table2[[#This Row],[volt-sbmu1]:[volt-sbmu5]])</f>
        <v>2</v>
      </c>
      <c r="T146" s="75">
        <f>MAX(Table2[[#This Row],[soc-sbmu1]:[soc-sbmu5]])-MIN(Table2[[#This Row],[soc-sbmu1]:[soc-sbmu5]])</f>
        <v>3.2000000000000028</v>
      </c>
      <c r="U146" s="75"/>
      <c r="V146" s="75"/>
    </row>
    <row r="147" spans="1:22">
      <c r="A147" t="s">
        <v>276</v>
      </c>
      <c r="B147" t="s">
        <v>400</v>
      </c>
      <c r="C147" s="75">
        <v>85.8</v>
      </c>
      <c r="D147" s="75">
        <v>1403</v>
      </c>
      <c r="E147" s="75">
        <v>85</v>
      </c>
      <c r="F147" s="75">
        <v>86</v>
      </c>
      <c r="G147" s="75">
        <v>84.9</v>
      </c>
      <c r="H147" s="75">
        <v>84.9</v>
      </c>
      <c r="I147" s="75">
        <v>85.5</v>
      </c>
      <c r="J147" s="83">
        <v>1401.7</v>
      </c>
      <c r="K147" s="83">
        <v>1402.1</v>
      </c>
      <c r="L147" s="83">
        <v>1400.6</v>
      </c>
      <c r="M147" s="83">
        <v>1402.2</v>
      </c>
      <c r="N147" s="83">
        <v>1403.4</v>
      </c>
      <c r="O147" s="75">
        <v>0</v>
      </c>
      <c r="P147" s="75">
        <v>0</v>
      </c>
      <c r="Q147" s="75">
        <v>1</v>
      </c>
      <c r="R147" s="75">
        <v>25</v>
      </c>
      <c r="S147" s="75">
        <f>MAX(Table2[[#This Row],[volt-sbmu1]:[volt-sbmu5]])-MIN(Table2[[#This Row],[volt-sbmu1]:[volt-sbmu5]])</f>
        <v>2.8000000000001819</v>
      </c>
      <c r="T147" s="75">
        <f>MAX(Table2[[#This Row],[soc-sbmu1]:[soc-sbmu5]])-MIN(Table2[[#This Row],[soc-sbmu1]:[soc-sbmu5]])</f>
        <v>1.0999999999999943</v>
      </c>
      <c r="U147" s="75"/>
      <c r="V147" s="75"/>
    </row>
    <row r="148" spans="1:22">
      <c r="A148" t="s">
        <v>277</v>
      </c>
      <c r="B148" t="s">
        <v>401</v>
      </c>
      <c r="C148" s="75">
        <v>85.9</v>
      </c>
      <c r="D148" s="75">
        <v>1400.8</v>
      </c>
      <c r="E148" s="75">
        <v>85.8</v>
      </c>
      <c r="F148" s="75">
        <v>85.9</v>
      </c>
      <c r="G148" s="75">
        <v>85.6</v>
      </c>
      <c r="H148" s="75">
        <v>85.5</v>
      </c>
      <c r="I148" s="75">
        <v>86</v>
      </c>
      <c r="J148" s="83">
        <v>1400.8</v>
      </c>
      <c r="K148" s="83">
        <v>1400</v>
      </c>
      <c r="L148" s="83">
        <v>1401</v>
      </c>
      <c r="M148" s="83">
        <v>1401.7</v>
      </c>
      <c r="N148" s="83">
        <v>1401.4</v>
      </c>
      <c r="O148" s="75">
        <v>0</v>
      </c>
      <c r="P148" s="75">
        <v>0</v>
      </c>
      <c r="Q148" s="75">
        <v>1</v>
      </c>
      <c r="R148" s="75">
        <v>25</v>
      </c>
      <c r="S148" s="75">
        <f>MAX(Table2[[#This Row],[volt-sbmu1]:[volt-sbmu5]])-MIN(Table2[[#This Row],[volt-sbmu1]:[volt-sbmu5]])</f>
        <v>1.7000000000000455</v>
      </c>
      <c r="T148" s="75">
        <f>MAX(Table2[[#This Row],[soc-sbmu1]:[soc-sbmu5]])-MIN(Table2[[#This Row],[soc-sbmu1]:[soc-sbmu5]])</f>
        <v>0.5</v>
      </c>
      <c r="U148" s="75"/>
      <c r="V148" s="75"/>
    </row>
    <row r="149" spans="1:22">
      <c r="A149" t="s">
        <v>278</v>
      </c>
      <c r="B149" t="s">
        <v>402</v>
      </c>
      <c r="C149" s="75">
        <v>99.8</v>
      </c>
      <c r="D149" s="75">
        <v>1384.5</v>
      </c>
      <c r="E149" s="75">
        <v>99.9</v>
      </c>
      <c r="F149" s="75">
        <v>98.7</v>
      </c>
      <c r="G149" s="75">
        <v>99.9</v>
      </c>
      <c r="H149" s="75">
        <v>99.9</v>
      </c>
      <c r="I149" s="75">
        <v>99.9</v>
      </c>
      <c r="J149" s="83">
        <v>1384.4</v>
      </c>
      <c r="K149" s="83">
        <v>1384.2</v>
      </c>
      <c r="L149" s="83">
        <v>1385.5</v>
      </c>
      <c r="M149" s="83">
        <v>1384.4</v>
      </c>
      <c r="N149" s="83">
        <v>1384.3</v>
      </c>
      <c r="O149" s="75">
        <v>0</v>
      </c>
      <c r="P149" s="75">
        <v>0</v>
      </c>
      <c r="Q149" s="75">
        <v>2</v>
      </c>
      <c r="R149" s="75">
        <v>26</v>
      </c>
      <c r="S149" s="75">
        <f>MAX(Table2[[#This Row],[volt-sbmu1]:[volt-sbmu5]])-MIN(Table2[[#This Row],[volt-sbmu1]:[volt-sbmu5]])</f>
        <v>1.2999999999999545</v>
      </c>
      <c r="T149" s="75">
        <f>MAX(Table2[[#This Row],[soc-sbmu1]:[soc-sbmu5]])-MIN(Table2[[#This Row],[soc-sbmu1]:[soc-sbmu5]])</f>
        <v>1.2000000000000028</v>
      </c>
      <c r="U149" s="75"/>
      <c r="V149" s="75"/>
    </row>
    <row r="150" spans="1:22">
      <c r="A150" t="s">
        <v>279</v>
      </c>
      <c r="B150" t="s">
        <v>403</v>
      </c>
      <c r="C150" s="75">
        <v>86.4</v>
      </c>
      <c r="D150" s="75">
        <v>1400.7</v>
      </c>
      <c r="E150" s="75">
        <v>85.5</v>
      </c>
      <c r="F150" s="75">
        <v>85.8</v>
      </c>
      <c r="G150" s="75">
        <v>85.7</v>
      </c>
      <c r="H150" s="75">
        <v>84.6</v>
      </c>
      <c r="I150" s="75">
        <v>86.7</v>
      </c>
      <c r="J150" s="83">
        <v>1400.3</v>
      </c>
      <c r="K150" s="83">
        <v>1400</v>
      </c>
      <c r="L150" s="83">
        <v>1400.6</v>
      </c>
      <c r="M150" s="83">
        <v>1399.9</v>
      </c>
      <c r="N150" s="83">
        <v>1400.6</v>
      </c>
      <c r="O150" s="75">
        <v>0</v>
      </c>
      <c r="P150" s="75">
        <v>0</v>
      </c>
      <c r="Q150" s="75">
        <v>1</v>
      </c>
      <c r="R150" s="75">
        <v>27</v>
      </c>
      <c r="S150" s="75">
        <f>MAX(Table2[[#This Row],[volt-sbmu1]:[volt-sbmu5]])-MIN(Table2[[#This Row],[volt-sbmu1]:[volt-sbmu5]])</f>
        <v>0.6999999999998181</v>
      </c>
      <c r="T150" s="75">
        <f>MAX(Table2[[#This Row],[soc-sbmu1]:[soc-sbmu5]])-MIN(Table2[[#This Row],[soc-sbmu1]:[soc-sbmu5]])</f>
        <v>2.1000000000000085</v>
      </c>
      <c r="U150" s="75"/>
      <c r="V150" s="75"/>
    </row>
    <row r="151" spans="1:22">
      <c r="A151" t="s">
        <v>280</v>
      </c>
      <c r="B151" t="s">
        <v>559</v>
      </c>
      <c r="C151" s="75">
        <v>84.3</v>
      </c>
      <c r="D151" s="75">
        <v>1401</v>
      </c>
      <c r="E151" s="75">
        <v>84</v>
      </c>
      <c r="F151" s="75">
        <v>84.5</v>
      </c>
      <c r="G151" s="75">
        <v>84.4</v>
      </c>
      <c r="H151" s="75">
        <v>84.1</v>
      </c>
      <c r="I151" s="75">
        <v>84</v>
      </c>
      <c r="J151" s="83">
        <v>1401</v>
      </c>
      <c r="K151" s="83">
        <v>1400.9</v>
      </c>
      <c r="L151" s="83">
        <v>1400.7</v>
      </c>
      <c r="M151" s="83">
        <v>1400.5</v>
      </c>
      <c r="N151" s="83">
        <v>1401</v>
      </c>
      <c r="O151" s="75">
        <v>0</v>
      </c>
      <c r="P151" s="75">
        <v>0</v>
      </c>
      <c r="Q151" s="75">
        <v>1</v>
      </c>
      <c r="R151" s="75">
        <v>25</v>
      </c>
      <c r="S151" s="75">
        <f>MAX(Table2[[#This Row],[volt-sbmu1]:[volt-sbmu5]])-MIN(Table2[[#This Row],[volt-sbmu1]:[volt-sbmu5]])</f>
        <v>0.5</v>
      </c>
      <c r="T151" s="75">
        <f>MAX(Table2[[#This Row],[soc-sbmu1]:[soc-sbmu5]])-MIN(Table2[[#This Row],[soc-sbmu1]:[soc-sbmu5]])</f>
        <v>0.5</v>
      </c>
      <c r="U151" s="75"/>
      <c r="V151" s="75"/>
    </row>
    <row r="152" spans="1:22">
      <c r="A152" t="s">
        <v>281</v>
      </c>
      <c r="B152" t="s">
        <v>560</v>
      </c>
      <c r="C152" s="75">
        <v>85</v>
      </c>
      <c r="D152" s="75">
        <v>1400.2</v>
      </c>
      <c r="E152" s="75">
        <v>83.5</v>
      </c>
      <c r="F152" s="75">
        <v>85.3</v>
      </c>
      <c r="G152" s="75">
        <v>83.8</v>
      </c>
      <c r="H152" s="75">
        <v>84.3</v>
      </c>
      <c r="I152" s="75">
        <v>83.3</v>
      </c>
      <c r="J152" s="83">
        <v>1399</v>
      </c>
      <c r="K152" s="83">
        <v>1399.4</v>
      </c>
      <c r="L152" s="83">
        <v>1399.7</v>
      </c>
      <c r="M152" s="83">
        <v>1399.1</v>
      </c>
      <c r="N152" s="83">
        <v>1400.2</v>
      </c>
      <c r="O152" s="75">
        <v>0</v>
      </c>
      <c r="P152" s="75">
        <v>0</v>
      </c>
      <c r="Q152" s="75">
        <v>1</v>
      </c>
      <c r="R152" s="75">
        <v>25</v>
      </c>
      <c r="S152" s="75">
        <f>MAX(Table2[[#This Row],[volt-sbmu1]:[volt-sbmu5]])-MIN(Table2[[#This Row],[volt-sbmu1]:[volt-sbmu5]])</f>
        <v>1.2000000000000455</v>
      </c>
      <c r="T152" s="75">
        <f>MAX(Table2[[#This Row],[soc-sbmu1]:[soc-sbmu5]])-MIN(Table2[[#This Row],[soc-sbmu1]:[soc-sbmu5]])</f>
        <v>2</v>
      </c>
      <c r="U152" s="75"/>
      <c r="V152" s="75"/>
    </row>
    <row r="153" spans="1:22">
      <c r="A153" t="s">
        <v>282</v>
      </c>
      <c r="B153" t="s">
        <v>561</v>
      </c>
      <c r="C153" s="75">
        <v>85.2</v>
      </c>
      <c r="D153" s="75">
        <v>1400</v>
      </c>
      <c r="E153" s="75">
        <v>85.6</v>
      </c>
      <c r="F153" s="75">
        <v>83.7</v>
      </c>
      <c r="G153" s="75">
        <v>83.2</v>
      </c>
      <c r="H153" s="75">
        <v>83.2</v>
      </c>
      <c r="I153" s="75">
        <v>83.2</v>
      </c>
      <c r="J153" s="83">
        <v>1400.3</v>
      </c>
      <c r="K153" s="83">
        <v>1400.3</v>
      </c>
      <c r="L153" s="83">
        <v>1399.6</v>
      </c>
      <c r="M153" s="83">
        <v>1400.6</v>
      </c>
      <c r="N153" s="83">
        <v>1399.3</v>
      </c>
      <c r="O153" s="75">
        <v>0</v>
      </c>
      <c r="P153" s="75">
        <v>0</v>
      </c>
      <c r="Q153" s="75">
        <v>1</v>
      </c>
      <c r="R153" s="75">
        <v>25</v>
      </c>
      <c r="S153" s="75">
        <f>MAX(Table2[[#This Row],[volt-sbmu1]:[volt-sbmu5]])-MIN(Table2[[#This Row],[volt-sbmu1]:[volt-sbmu5]])</f>
        <v>1.2999999999999545</v>
      </c>
      <c r="T153" s="75">
        <f>MAX(Table2[[#This Row],[soc-sbmu1]:[soc-sbmu5]])-MIN(Table2[[#This Row],[soc-sbmu1]:[soc-sbmu5]])</f>
        <v>2.3999999999999915</v>
      </c>
      <c r="U153" s="75"/>
      <c r="V153" s="75"/>
    </row>
    <row r="154" spans="1:22">
      <c r="A154" t="s">
        <v>283</v>
      </c>
      <c r="B154" t="s">
        <v>562</v>
      </c>
      <c r="C154" s="75">
        <v>84.5</v>
      </c>
      <c r="D154" s="75">
        <v>1399.9</v>
      </c>
      <c r="E154" s="75">
        <v>84.1</v>
      </c>
      <c r="F154" s="75">
        <v>84.6</v>
      </c>
      <c r="G154" s="75">
        <v>84.8</v>
      </c>
      <c r="H154" s="75">
        <v>84.5</v>
      </c>
      <c r="I154" s="75">
        <v>83.5</v>
      </c>
      <c r="J154" s="83">
        <v>1401</v>
      </c>
      <c r="K154" s="83">
        <v>1401</v>
      </c>
      <c r="L154" s="83">
        <v>1399.4</v>
      </c>
      <c r="M154" s="83">
        <v>1399.2</v>
      </c>
      <c r="N154" s="83">
        <v>1399.6</v>
      </c>
      <c r="O154" s="75">
        <v>0</v>
      </c>
      <c r="P154" s="75">
        <v>0</v>
      </c>
      <c r="Q154" s="75">
        <v>1</v>
      </c>
      <c r="R154" s="75">
        <v>27</v>
      </c>
      <c r="S154" s="75">
        <f>MAX(Table2[[#This Row],[volt-sbmu1]:[volt-sbmu5]])-MIN(Table2[[#This Row],[volt-sbmu1]:[volt-sbmu5]])</f>
        <v>1.7999999999999545</v>
      </c>
      <c r="T154" s="75">
        <f>MAX(Table2[[#This Row],[soc-sbmu1]:[soc-sbmu5]])-MIN(Table2[[#This Row],[soc-sbmu1]:[soc-sbmu5]])</f>
        <v>1.2999999999999972</v>
      </c>
      <c r="U154" s="75"/>
      <c r="V154" s="75"/>
    </row>
    <row r="155" spans="1:22">
      <c r="A155" t="s">
        <v>131</v>
      </c>
      <c r="B155" t="s">
        <v>563</v>
      </c>
      <c r="C155" s="75">
        <v>84.8</v>
      </c>
      <c r="D155" s="75">
        <v>1399.6</v>
      </c>
      <c r="E155" s="75">
        <v>83.1</v>
      </c>
      <c r="F155" s="75">
        <v>84.9</v>
      </c>
      <c r="G155" s="75">
        <v>83.4</v>
      </c>
      <c r="H155" s="75">
        <v>83.9</v>
      </c>
      <c r="I155" s="75">
        <v>85.2</v>
      </c>
      <c r="J155" s="83">
        <v>1400.4</v>
      </c>
      <c r="K155" s="83">
        <v>1398.7</v>
      </c>
      <c r="L155" s="83">
        <v>1400.3</v>
      </c>
      <c r="M155" s="83">
        <v>1399.1</v>
      </c>
      <c r="N155" s="83">
        <v>1399.9</v>
      </c>
      <c r="O155" s="75">
        <v>0</v>
      </c>
      <c r="P155" s="75">
        <v>0</v>
      </c>
      <c r="Q155" s="75">
        <v>1</v>
      </c>
      <c r="R155" s="75">
        <v>26</v>
      </c>
      <c r="S155" s="75">
        <f>MAX(Table2[[#This Row],[volt-sbmu1]:[volt-sbmu5]])-MIN(Table2[[#This Row],[volt-sbmu1]:[volt-sbmu5]])</f>
        <v>1.7000000000000455</v>
      </c>
      <c r="T155" s="75">
        <f>MAX(Table2[[#This Row],[soc-sbmu1]:[soc-sbmu5]])-MIN(Table2[[#This Row],[soc-sbmu1]:[soc-sbmu5]])</f>
        <v>2.1000000000000085</v>
      </c>
      <c r="U155" s="75"/>
      <c r="V155" s="75"/>
    </row>
    <row r="156" spans="1:22">
      <c r="A156" t="s">
        <v>284</v>
      </c>
      <c r="B156" t="s">
        <v>564</v>
      </c>
      <c r="C156" s="75">
        <v>84.4</v>
      </c>
      <c r="D156" s="75">
        <v>1399.5</v>
      </c>
      <c r="E156" s="75">
        <v>84.7</v>
      </c>
      <c r="F156" s="75">
        <v>83.1</v>
      </c>
      <c r="G156" s="75">
        <v>84.4</v>
      </c>
      <c r="H156" s="75">
        <v>83.3</v>
      </c>
      <c r="I156" s="75">
        <v>83.4</v>
      </c>
      <c r="J156" s="83">
        <v>1399.5</v>
      </c>
      <c r="K156" s="83">
        <v>1399.5</v>
      </c>
      <c r="L156" s="83">
        <v>1399.3</v>
      </c>
      <c r="M156" s="83">
        <v>1399.9</v>
      </c>
      <c r="N156" s="83">
        <v>1399.4</v>
      </c>
      <c r="O156" s="75">
        <v>0</v>
      </c>
      <c r="P156" s="75">
        <v>0</v>
      </c>
      <c r="Q156" s="75">
        <v>1</v>
      </c>
      <c r="R156" s="75">
        <v>25</v>
      </c>
      <c r="S156" s="75">
        <f>MAX(Table2[[#This Row],[volt-sbmu1]:[volt-sbmu5]])-MIN(Table2[[#This Row],[volt-sbmu1]:[volt-sbmu5]])</f>
        <v>0.60000000000013642</v>
      </c>
      <c r="T156" s="75">
        <f>MAX(Table2[[#This Row],[soc-sbmu1]:[soc-sbmu5]])-MIN(Table2[[#This Row],[soc-sbmu1]:[soc-sbmu5]])</f>
        <v>1.6000000000000085</v>
      </c>
      <c r="U156" s="75"/>
      <c r="V156" s="75"/>
    </row>
    <row r="157" spans="1:22">
      <c r="A157" t="s">
        <v>285</v>
      </c>
      <c r="B157" t="s">
        <v>565</v>
      </c>
      <c r="C157" s="75">
        <v>84.8</v>
      </c>
      <c r="D157" s="75">
        <v>1400.2</v>
      </c>
      <c r="E157" s="75">
        <v>84.4</v>
      </c>
      <c r="F157" s="75">
        <v>84.6</v>
      </c>
      <c r="G157" s="75">
        <v>85.2</v>
      </c>
      <c r="H157" s="75">
        <v>83.4</v>
      </c>
      <c r="I157" s="75">
        <v>84.1</v>
      </c>
      <c r="J157" s="83">
        <v>1399.3</v>
      </c>
      <c r="K157" s="83">
        <v>1401</v>
      </c>
      <c r="L157" s="83">
        <v>1399.8</v>
      </c>
      <c r="M157" s="83">
        <v>1399.4</v>
      </c>
      <c r="N157" s="83">
        <v>1399.5</v>
      </c>
      <c r="O157" s="75">
        <v>0</v>
      </c>
      <c r="P157" s="75">
        <v>0</v>
      </c>
      <c r="Q157" s="75">
        <v>1</v>
      </c>
      <c r="R157" s="75">
        <v>26</v>
      </c>
      <c r="S157" s="75">
        <f>MAX(Table2[[#This Row],[volt-sbmu1]:[volt-sbmu5]])-MIN(Table2[[#This Row],[volt-sbmu1]:[volt-sbmu5]])</f>
        <v>1.7000000000000455</v>
      </c>
      <c r="T157" s="75">
        <f>MAX(Table2[[#This Row],[soc-sbmu1]:[soc-sbmu5]])-MIN(Table2[[#This Row],[soc-sbmu1]:[soc-sbmu5]])</f>
        <v>1.7999999999999972</v>
      </c>
      <c r="U157" s="75"/>
      <c r="V157" s="75"/>
    </row>
    <row r="158" spans="1:22">
      <c r="A158" t="s">
        <v>286</v>
      </c>
      <c r="B158" t="s">
        <v>566</v>
      </c>
      <c r="C158" s="75">
        <v>84.7</v>
      </c>
      <c r="D158" s="75">
        <v>1399.9</v>
      </c>
      <c r="E158" s="75">
        <v>85</v>
      </c>
      <c r="F158" s="75">
        <v>84.9</v>
      </c>
      <c r="G158" s="75">
        <v>83.7</v>
      </c>
      <c r="H158" s="75">
        <v>83.6</v>
      </c>
      <c r="I158" s="75">
        <v>83.7</v>
      </c>
      <c r="J158" s="83">
        <v>1400.1</v>
      </c>
      <c r="K158" s="83">
        <v>1400.5</v>
      </c>
      <c r="L158" s="83">
        <v>1400</v>
      </c>
      <c r="M158" s="83">
        <v>1399.9</v>
      </c>
      <c r="N158" s="83">
        <v>1399.5</v>
      </c>
      <c r="O158" s="75">
        <v>0</v>
      </c>
      <c r="P158" s="75">
        <v>0</v>
      </c>
      <c r="Q158" s="75">
        <v>1</v>
      </c>
      <c r="R158" s="75">
        <v>30</v>
      </c>
      <c r="S158" s="75">
        <f>MAX(Table2[[#This Row],[volt-sbmu1]:[volt-sbmu5]])-MIN(Table2[[#This Row],[volt-sbmu1]:[volt-sbmu5]])</f>
        <v>1</v>
      </c>
      <c r="T158" s="75">
        <f>MAX(Table2[[#This Row],[soc-sbmu1]:[soc-sbmu5]])-MIN(Table2[[#This Row],[soc-sbmu1]:[soc-sbmu5]])</f>
        <v>1.4000000000000057</v>
      </c>
      <c r="U158" s="75"/>
      <c r="V158" s="75"/>
    </row>
    <row r="159" spans="1:22">
      <c r="A159" t="s">
        <v>287</v>
      </c>
      <c r="B159" t="s">
        <v>567</v>
      </c>
      <c r="C159" s="75">
        <v>84.8</v>
      </c>
      <c r="D159" s="75">
        <v>1398.6</v>
      </c>
      <c r="E159" s="75">
        <v>85.2</v>
      </c>
      <c r="F159" s="75">
        <v>84.3</v>
      </c>
      <c r="G159" s="75">
        <v>83.2</v>
      </c>
      <c r="H159" s="75">
        <v>84.1</v>
      </c>
      <c r="I159" s="75">
        <v>83</v>
      </c>
      <c r="J159" s="83">
        <v>1398.6</v>
      </c>
      <c r="K159" s="83">
        <v>1398.6</v>
      </c>
      <c r="L159" s="83">
        <v>1399.1</v>
      </c>
      <c r="M159" s="83">
        <v>1398.5</v>
      </c>
      <c r="N159" s="83">
        <v>1399.1</v>
      </c>
      <c r="O159" s="75">
        <v>0</v>
      </c>
      <c r="P159" s="75">
        <v>0</v>
      </c>
      <c r="Q159" s="75">
        <v>1</v>
      </c>
      <c r="R159" s="75">
        <v>26</v>
      </c>
      <c r="S159" s="75">
        <f>MAX(Table2[[#This Row],[volt-sbmu1]:[volt-sbmu5]])-MIN(Table2[[#This Row],[volt-sbmu1]:[volt-sbmu5]])</f>
        <v>0.59999999999990905</v>
      </c>
      <c r="T159" s="75">
        <f>MAX(Table2[[#This Row],[soc-sbmu1]:[soc-sbmu5]])-MIN(Table2[[#This Row],[soc-sbmu1]:[soc-sbmu5]])</f>
        <v>2.2000000000000028</v>
      </c>
      <c r="U159" s="75"/>
      <c r="V159" s="75"/>
    </row>
    <row r="160" spans="1:22">
      <c r="A160" t="s">
        <v>288</v>
      </c>
      <c r="B160" t="s">
        <v>568</v>
      </c>
      <c r="C160" s="75">
        <v>84.6</v>
      </c>
      <c r="D160" s="75">
        <v>1399.3</v>
      </c>
      <c r="E160" s="75">
        <v>84.9</v>
      </c>
      <c r="F160" s="75">
        <v>84.4</v>
      </c>
      <c r="G160" s="75">
        <v>83.5</v>
      </c>
      <c r="H160" s="75">
        <v>84.9</v>
      </c>
      <c r="I160" s="75">
        <v>83.3</v>
      </c>
      <c r="J160" s="83">
        <v>1399.6</v>
      </c>
      <c r="K160" s="83">
        <v>1400.2</v>
      </c>
      <c r="L160" s="83">
        <v>1398.3</v>
      </c>
      <c r="M160" s="83">
        <v>1398.1</v>
      </c>
      <c r="N160" s="83">
        <v>1398.7</v>
      </c>
      <c r="O160" s="75">
        <v>0</v>
      </c>
      <c r="P160" s="75">
        <v>0</v>
      </c>
      <c r="Q160" s="75">
        <v>1</v>
      </c>
      <c r="R160" s="75">
        <v>25</v>
      </c>
      <c r="S160" s="75">
        <f>MAX(Table2[[#This Row],[volt-sbmu1]:[volt-sbmu5]])-MIN(Table2[[#This Row],[volt-sbmu1]:[volt-sbmu5]])</f>
        <v>2.1000000000001364</v>
      </c>
      <c r="T160" s="75">
        <f>MAX(Table2[[#This Row],[soc-sbmu1]:[soc-sbmu5]])-MIN(Table2[[#This Row],[soc-sbmu1]:[soc-sbmu5]])</f>
        <v>1.6000000000000085</v>
      </c>
      <c r="U160" s="75"/>
      <c r="V160" s="75"/>
    </row>
    <row r="161" spans="1:22">
      <c r="A161" t="s">
        <v>289</v>
      </c>
      <c r="B161" t="s">
        <v>569</v>
      </c>
      <c r="C161" s="75">
        <v>84.3</v>
      </c>
      <c r="D161" s="75">
        <v>1401.1</v>
      </c>
      <c r="E161" s="75">
        <v>83.5</v>
      </c>
      <c r="F161" s="75">
        <v>84.3</v>
      </c>
      <c r="G161" s="75">
        <v>84.5</v>
      </c>
      <c r="H161" s="75">
        <v>84.3</v>
      </c>
      <c r="I161" s="75">
        <v>83.5</v>
      </c>
      <c r="J161" s="83">
        <v>1400.7</v>
      </c>
      <c r="K161" s="83">
        <v>1400</v>
      </c>
      <c r="L161" s="83">
        <v>1401.6</v>
      </c>
      <c r="M161" s="83">
        <v>1399.7</v>
      </c>
      <c r="N161" s="83">
        <v>1401.3</v>
      </c>
      <c r="O161" s="75">
        <v>0</v>
      </c>
      <c r="P161" s="75">
        <v>0</v>
      </c>
      <c r="Q161" s="75">
        <v>1</v>
      </c>
      <c r="R161" s="75">
        <v>26</v>
      </c>
      <c r="S161" s="75">
        <f>MAX(Table2[[#This Row],[volt-sbmu1]:[volt-sbmu5]])-MIN(Table2[[#This Row],[volt-sbmu1]:[volt-sbmu5]])</f>
        <v>1.8999999999998636</v>
      </c>
      <c r="T161" s="75">
        <f>MAX(Table2[[#This Row],[soc-sbmu1]:[soc-sbmu5]])-MIN(Table2[[#This Row],[soc-sbmu1]:[soc-sbmu5]])</f>
        <v>1</v>
      </c>
      <c r="U161" s="75"/>
      <c r="V161" s="75"/>
    </row>
    <row r="162" spans="1:22">
      <c r="A162" t="s">
        <v>290</v>
      </c>
      <c r="B162" t="s">
        <v>570</v>
      </c>
      <c r="C162" s="75">
        <v>85</v>
      </c>
      <c r="D162" s="75">
        <v>1399.6</v>
      </c>
      <c r="E162" s="75">
        <v>82.5</v>
      </c>
      <c r="F162" s="75">
        <v>83</v>
      </c>
      <c r="G162" s="75">
        <v>85.5</v>
      </c>
      <c r="H162" s="75">
        <v>82.9</v>
      </c>
      <c r="I162" s="75">
        <v>82.9</v>
      </c>
      <c r="J162" s="83">
        <v>1400.5</v>
      </c>
      <c r="K162" s="83">
        <v>1399.7</v>
      </c>
      <c r="L162" s="83">
        <v>1399.6</v>
      </c>
      <c r="M162" s="83">
        <v>1399.6</v>
      </c>
      <c r="N162" s="83">
        <v>1399.2</v>
      </c>
      <c r="O162" s="75">
        <v>0</v>
      </c>
      <c r="P162" s="75">
        <v>0</v>
      </c>
      <c r="Q162" s="75">
        <v>1</v>
      </c>
      <c r="R162" s="75">
        <v>28</v>
      </c>
      <c r="S162" s="75">
        <f>MAX(Table2[[#This Row],[volt-sbmu1]:[volt-sbmu5]])-MIN(Table2[[#This Row],[volt-sbmu1]:[volt-sbmu5]])</f>
        <v>1.2999999999999545</v>
      </c>
      <c r="T162" s="75">
        <f>MAX(Table2[[#This Row],[soc-sbmu1]:[soc-sbmu5]])-MIN(Table2[[#This Row],[soc-sbmu1]:[soc-sbmu5]])</f>
        <v>3</v>
      </c>
      <c r="U162" s="75"/>
      <c r="V162" s="75"/>
    </row>
    <row r="163" spans="1:22">
      <c r="A163" t="s">
        <v>291</v>
      </c>
      <c r="B163" t="s">
        <v>571</v>
      </c>
      <c r="C163" s="75">
        <v>84.7</v>
      </c>
      <c r="D163" s="75">
        <v>1400.1</v>
      </c>
      <c r="E163" s="75">
        <v>83.7</v>
      </c>
      <c r="F163" s="75">
        <v>85</v>
      </c>
      <c r="G163" s="75">
        <v>83.6</v>
      </c>
      <c r="H163" s="75">
        <v>84.2</v>
      </c>
      <c r="I163" s="75">
        <v>83.3</v>
      </c>
      <c r="J163" s="83">
        <v>1400.3</v>
      </c>
      <c r="K163" s="83">
        <v>1399.6</v>
      </c>
      <c r="L163" s="83">
        <v>1400.9</v>
      </c>
      <c r="M163" s="83">
        <v>1400.8</v>
      </c>
      <c r="N163" s="83">
        <v>1398.8</v>
      </c>
      <c r="O163" s="75">
        <v>0</v>
      </c>
      <c r="P163" s="75">
        <v>0</v>
      </c>
      <c r="Q163" s="75">
        <v>1</v>
      </c>
      <c r="R163" s="75">
        <v>25</v>
      </c>
      <c r="S163" s="75">
        <f>MAX(Table2[[#This Row],[volt-sbmu1]:[volt-sbmu5]])-MIN(Table2[[#This Row],[volt-sbmu1]:[volt-sbmu5]])</f>
        <v>2.1000000000001364</v>
      </c>
      <c r="T163" s="75">
        <f>MAX(Table2[[#This Row],[soc-sbmu1]:[soc-sbmu5]])-MIN(Table2[[#This Row],[soc-sbmu1]:[soc-sbmu5]])</f>
        <v>1.7000000000000028</v>
      </c>
      <c r="U163" s="75"/>
      <c r="V163" s="75"/>
    </row>
    <row r="164" spans="1:22">
      <c r="A164" t="s">
        <v>292</v>
      </c>
      <c r="B164" t="s">
        <v>572</v>
      </c>
      <c r="C164" s="75">
        <v>84.3</v>
      </c>
      <c r="D164" s="75">
        <v>1399.3</v>
      </c>
      <c r="E164" s="75">
        <v>84.5</v>
      </c>
      <c r="F164" s="75">
        <v>83.9</v>
      </c>
      <c r="G164" s="75">
        <v>84.2</v>
      </c>
      <c r="H164" s="75">
        <v>84.2</v>
      </c>
      <c r="I164" s="75">
        <v>83.5</v>
      </c>
      <c r="J164" s="83">
        <v>1399.6</v>
      </c>
      <c r="K164" s="83">
        <v>1399.9</v>
      </c>
      <c r="L164" s="83">
        <v>1399.5</v>
      </c>
      <c r="M164" s="83">
        <v>1399</v>
      </c>
      <c r="N164" s="83">
        <v>1398</v>
      </c>
      <c r="O164" s="75">
        <v>0</v>
      </c>
      <c r="P164" s="75">
        <v>0</v>
      </c>
      <c r="Q164" s="75">
        <v>1</v>
      </c>
      <c r="R164" s="75">
        <v>26</v>
      </c>
      <c r="S164" s="75">
        <f>MAX(Table2[[#This Row],[volt-sbmu1]:[volt-sbmu5]])-MIN(Table2[[#This Row],[volt-sbmu1]:[volt-sbmu5]])</f>
        <v>1.9000000000000909</v>
      </c>
      <c r="T164" s="75">
        <f>MAX(Table2[[#This Row],[soc-sbmu1]:[soc-sbmu5]])-MIN(Table2[[#This Row],[soc-sbmu1]:[soc-sbmu5]])</f>
        <v>1</v>
      </c>
      <c r="U164" s="75"/>
      <c r="V164" s="75"/>
    </row>
    <row r="165" spans="1:22">
      <c r="A165" t="s">
        <v>293</v>
      </c>
      <c r="B165" t="s">
        <v>573</v>
      </c>
      <c r="C165" s="75">
        <v>84.9</v>
      </c>
      <c r="D165" s="75">
        <v>1398.7</v>
      </c>
      <c r="E165" s="75">
        <v>85.4</v>
      </c>
      <c r="F165" s="75">
        <v>83.6</v>
      </c>
      <c r="G165" s="75">
        <v>82.6</v>
      </c>
      <c r="H165" s="75">
        <v>83.6</v>
      </c>
      <c r="I165" s="75">
        <v>83.7</v>
      </c>
      <c r="J165" s="83">
        <v>1398.9</v>
      </c>
      <c r="K165" s="83">
        <v>1398.3</v>
      </c>
      <c r="L165" s="83">
        <v>1399.7</v>
      </c>
      <c r="M165" s="83">
        <v>1398.3</v>
      </c>
      <c r="N165" s="83">
        <v>1397.2</v>
      </c>
      <c r="O165" s="75">
        <v>0</v>
      </c>
      <c r="P165" s="75">
        <v>0</v>
      </c>
      <c r="Q165" s="75">
        <v>1</v>
      </c>
      <c r="R165" s="75">
        <v>26</v>
      </c>
      <c r="S165" s="75">
        <f>MAX(Table2[[#This Row],[volt-sbmu1]:[volt-sbmu5]])-MIN(Table2[[#This Row],[volt-sbmu1]:[volt-sbmu5]])</f>
        <v>2.5</v>
      </c>
      <c r="T165" s="75">
        <f>MAX(Table2[[#This Row],[soc-sbmu1]:[soc-sbmu5]])-MIN(Table2[[#This Row],[soc-sbmu1]:[soc-sbmu5]])</f>
        <v>2.8000000000000114</v>
      </c>
      <c r="U165" s="75"/>
      <c r="V165" s="75"/>
    </row>
    <row r="166" spans="1:22">
      <c r="A166" t="s">
        <v>294</v>
      </c>
      <c r="B166" t="s">
        <v>574</v>
      </c>
      <c r="C166" s="75">
        <v>84.8</v>
      </c>
      <c r="D166" s="75">
        <v>1400.4</v>
      </c>
      <c r="E166" s="75">
        <v>84.4</v>
      </c>
      <c r="F166" s="75">
        <v>83.7</v>
      </c>
      <c r="G166" s="75">
        <v>83.7</v>
      </c>
      <c r="H166" s="75">
        <v>84</v>
      </c>
      <c r="I166" s="75">
        <v>85</v>
      </c>
      <c r="J166" s="83">
        <v>1400.4</v>
      </c>
      <c r="K166" s="83">
        <v>1400.6</v>
      </c>
      <c r="L166" s="83">
        <v>1399.8</v>
      </c>
      <c r="M166" s="83">
        <v>1401.1</v>
      </c>
      <c r="N166" s="83">
        <v>1400.7</v>
      </c>
      <c r="O166" s="75">
        <v>0</v>
      </c>
      <c r="P166" s="75">
        <v>0</v>
      </c>
      <c r="Q166" s="75">
        <v>1</v>
      </c>
      <c r="R166" s="75">
        <v>30</v>
      </c>
      <c r="S166" s="75">
        <f>MAX(Table2[[#This Row],[volt-sbmu1]:[volt-sbmu5]])-MIN(Table2[[#This Row],[volt-sbmu1]:[volt-sbmu5]])</f>
        <v>1.2999999999999545</v>
      </c>
      <c r="T166" s="75">
        <f>MAX(Table2[[#This Row],[soc-sbmu1]:[soc-sbmu5]])-MIN(Table2[[#This Row],[soc-sbmu1]:[soc-sbmu5]])</f>
        <v>1.2999999999999972</v>
      </c>
      <c r="U166" s="75"/>
      <c r="V166" s="75"/>
    </row>
    <row r="167" spans="1:22">
      <c r="A167" t="s">
        <v>295</v>
      </c>
      <c r="B167" t="s">
        <v>575</v>
      </c>
      <c r="C167" s="75">
        <v>84.8</v>
      </c>
      <c r="D167" s="75">
        <v>1399.3</v>
      </c>
      <c r="E167" s="75">
        <v>85.2</v>
      </c>
      <c r="F167" s="75">
        <v>83.6</v>
      </c>
      <c r="G167" s="75">
        <v>83</v>
      </c>
      <c r="H167" s="75">
        <v>83.4</v>
      </c>
      <c r="I167" s="75">
        <v>83</v>
      </c>
      <c r="J167" s="83">
        <v>1398.8</v>
      </c>
      <c r="K167" s="83">
        <v>1398.2</v>
      </c>
      <c r="L167" s="83">
        <v>1399.2</v>
      </c>
      <c r="M167" s="83">
        <v>1398.9</v>
      </c>
      <c r="N167" s="83">
        <v>1399.4</v>
      </c>
      <c r="O167" s="75">
        <v>0</v>
      </c>
      <c r="P167" s="75">
        <v>0</v>
      </c>
      <c r="Q167" s="75">
        <v>1</v>
      </c>
      <c r="R167" s="75">
        <v>25</v>
      </c>
      <c r="S167" s="75">
        <f>MAX(Table2[[#This Row],[volt-sbmu1]:[volt-sbmu5]])-MIN(Table2[[#This Row],[volt-sbmu1]:[volt-sbmu5]])</f>
        <v>1.2000000000000455</v>
      </c>
      <c r="T167" s="75">
        <f>MAX(Table2[[#This Row],[soc-sbmu1]:[soc-sbmu5]])-MIN(Table2[[#This Row],[soc-sbmu1]:[soc-sbmu5]])</f>
        <v>2.2000000000000028</v>
      </c>
      <c r="U167" s="75"/>
      <c r="V167" s="75"/>
    </row>
    <row r="168" spans="1:22">
      <c r="A168" t="s">
        <v>296</v>
      </c>
      <c r="B168" t="s">
        <v>576</v>
      </c>
      <c r="C168" s="75">
        <v>84.9</v>
      </c>
      <c r="D168" s="75">
        <v>1399.1</v>
      </c>
      <c r="E168" s="75">
        <v>85.2</v>
      </c>
      <c r="F168" s="75">
        <v>83.6</v>
      </c>
      <c r="G168" s="75">
        <v>84.7</v>
      </c>
      <c r="H168" s="75">
        <v>84.7</v>
      </c>
      <c r="I168" s="75">
        <v>84</v>
      </c>
      <c r="J168" s="83">
        <v>1398.7</v>
      </c>
      <c r="K168" s="83">
        <v>1398.9</v>
      </c>
      <c r="L168" s="83">
        <v>1399.9</v>
      </c>
      <c r="M168" s="83">
        <v>1398.1</v>
      </c>
      <c r="N168" s="83">
        <v>1398.9</v>
      </c>
      <c r="O168" s="75">
        <v>0</v>
      </c>
      <c r="P168" s="75">
        <v>0</v>
      </c>
      <c r="Q168" s="75">
        <v>1</v>
      </c>
      <c r="R168" s="75">
        <v>26</v>
      </c>
      <c r="S168" s="75">
        <f>MAX(Table2[[#This Row],[volt-sbmu1]:[volt-sbmu5]])-MIN(Table2[[#This Row],[volt-sbmu1]:[volt-sbmu5]])</f>
        <v>1.8000000000001819</v>
      </c>
      <c r="T168" s="75">
        <f>MAX(Table2[[#This Row],[soc-sbmu1]:[soc-sbmu5]])-MIN(Table2[[#This Row],[soc-sbmu1]:[soc-sbmu5]])</f>
        <v>1.6000000000000085</v>
      </c>
      <c r="U168" s="75"/>
      <c r="V168" s="75"/>
    </row>
    <row r="169" spans="1:22">
      <c r="A169" t="s">
        <v>297</v>
      </c>
      <c r="B169" t="s">
        <v>577</v>
      </c>
      <c r="C169" s="75">
        <v>83.9</v>
      </c>
      <c r="D169" s="75">
        <v>1400.5</v>
      </c>
      <c r="E169" s="75">
        <v>83.6</v>
      </c>
      <c r="F169" s="75">
        <v>84.2</v>
      </c>
      <c r="G169" s="75">
        <v>83.9</v>
      </c>
      <c r="H169" s="75">
        <v>83.4</v>
      </c>
      <c r="I169" s="75">
        <v>83.7</v>
      </c>
      <c r="J169" s="83">
        <v>1402</v>
      </c>
      <c r="K169" s="83">
        <v>1400.8</v>
      </c>
      <c r="L169" s="83">
        <v>1400.8</v>
      </c>
      <c r="M169" s="83">
        <v>1399.5</v>
      </c>
      <c r="N169" s="83">
        <v>1400.4</v>
      </c>
      <c r="O169" s="75">
        <v>0</v>
      </c>
      <c r="P169" s="75">
        <v>0</v>
      </c>
      <c r="Q169" s="75">
        <v>1</v>
      </c>
      <c r="R169" s="75">
        <v>25</v>
      </c>
      <c r="S169" s="75">
        <f>MAX(Table2[[#This Row],[volt-sbmu1]:[volt-sbmu5]])-MIN(Table2[[#This Row],[volt-sbmu1]:[volt-sbmu5]])</f>
        <v>2.5</v>
      </c>
      <c r="T169" s="75">
        <f>MAX(Table2[[#This Row],[soc-sbmu1]:[soc-sbmu5]])-MIN(Table2[[#This Row],[soc-sbmu1]:[soc-sbmu5]])</f>
        <v>0.79999999999999716</v>
      </c>
      <c r="U169" s="75"/>
      <c r="V169" s="75"/>
    </row>
    <row r="170" spans="1:22">
      <c r="A170" t="s">
        <v>298</v>
      </c>
      <c r="B170" t="s">
        <v>578</v>
      </c>
      <c r="C170" s="75">
        <v>84.5</v>
      </c>
      <c r="D170" s="75">
        <v>1400.3</v>
      </c>
      <c r="E170" s="75">
        <v>84.6</v>
      </c>
      <c r="F170" s="75">
        <v>83</v>
      </c>
      <c r="G170" s="75">
        <v>84.8</v>
      </c>
      <c r="H170" s="75">
        <v>83.6</v>
      </c>
      <c r="I170" s="75">
        <v>84.5</v>
      </c>
      <c r="J170" s="83">
        <v>1399.3</v>
      </c>
      <c r="K170" s="83">
        <v>1399.3</v>
      </c>
      <c r="L170" s="83">
        <v>1400.4</v>
      </c>
      <c r="M170" s="83">
        <v>1400.5</v>
      </c>
      <c r="N170" s="83">
        <v>1399.6</v>
      </c>
      <c r="O170" s="75">
        <v>0</v>
      </c>
      <c r="P170" s="75">
        <v>0</v>
      </c>
      <c r="Q170" s="75">
        <v>1</v>
      </c>
      <c r="R170" s="75">
        <v>27</v>
      </c>
      <c r="S170" s="75">
        <f>MAX(Table2[[#This Row],[volt-sbmu1]:[volt-sbmu5]])-MIN(Table2[[#This Row],[volt-sbmu1]:[volt-sbmu5]])</f>
        <v>1.2000000000000455</v>
      </c>
      <c r="T170" s="75">
        <f>MAX(Table2[[#This Row],[soc-sbmu1]:[soc-sbmu5]])-MIN(Table2[[#This Row],[soc-sbmu1]:[soc-sbmu5]])</f>
        <v>1.7999999999999972</v>
      </c>
      <c r="U170" s="75"/>
      <c r="V170" s="75"/>
    </row>
    <row r="171" spans="1:22">
      <c r="A171" t="s">
        <v>299</v>
      </c>
      <c r="B171" t="s">
        <v>579</v>
      </c>
      <c r="C171" s="75">
        <v>85</v>
      </c>
      <c r="D171" s="75">
        <v>1401</v>
      </c>
      <c r="E171" s="75">
        <v>84.6</v>
      </c>
      <c r="F171" s="75">
        <v>84.5</v>
      </c>
      <c r="G171" s="75">
        <v>84</v>
      </c>
      <c r="H171" s="75">
        <v>85.4</v>
      </c>
      <c r="I171" s="75">
        <v>83</v>
      </c>
      <c r="J171" s="83">
        <v>1400.3</v>
      </c>
      <c r="K171" s="83">
        <v>1402.4</v>
      </c>
      <c r="L171" s="83">
        <v>1400.2</v>
      </c>
      <c r="M171" s="83">
        <v>1400</v>
      </c>
      <c r="N171" s="83">
        <v>1400</v>
      </c>
      <c r="O171" s="75">
        <v>0</v>
      </c>
      <c r="P171" s="75">
        <v>0</v>
      </c>
      <c r="Q171" s="75">
        <v>1</v>
      </c>
      <c r="R171" s="75">
        <v>25</v>
      </c>
      <c r="S171" s="75">
        <f>MAX(Table2[[#This Row],[volt-sbmu1]:[volt-sbmu5]])-MIN(Table2[[#This Row],[volt-sbmu1]:[volt-sbmu5]])</f>
        <v>2.4000000000000909</v>
      </c>
      <c r="T171" s="75">
        <f>MAX(Table2[[#This Row],[soc-sbmu1]:[soc-sbmu5]])-MIN(Table2[[#This Row],[soc-sbmu1]:[soc-sbmu5]])</f>
        <v>2.4000000000000057</v>
      </c>
      <c r="U171" s="75"/>
      <c r="V171" s="75"/>
    </row>
    <row r="172" spans="1:22">
      <c r="A172" t="s">
        <v>300</v>
      </c>
      <c r="B172" t="s">
        <v>580</v>
      </c>
      <c r="C172" s="75">
        <v>85</v>
      </c>
      <c r="D172" s="75">
        <v>1400.3</v>
      </c>
      <c r="E172" s="75">
        <v>83.3</v>
      </c>
      <c r="F172" s="75">
        <v>83.4</v>
      </c>
      <c r="G172" s="75">
        <v>83.1</v>
      </c>
      <c r="H172" s="75">
        <v>85.4</v>
      </c>
      <c r="I172" s="75">
        <v>82.9</v>
      </c>
      <c r="J172" s="83">
        <v>1397.7</v>
      </c>
      <c r="K172" s="83">
        <v>1400.8</v>
      </c>
      <c r="L172" s="83">
        <v>1399.9</v>
      </c>
      <c r="M172" s="83">
        <v>1399.8</v>
      </c>
      <c r="N172" s="83">
        <v>1400.2</v>
      </c>
      <c r="O172" s="75">
        <v>0</v>
      </c>
      <c r="P172" s="75">
        <v>0</v>
      </c>
      <c r="Q172" s="75">
        <v>1</v>
      </c>
      <c r="R172" s="75">
        <v>26</v>
      </c>
      <c r="S172" s="75">
        <f>MAX(Table2[[#This Row],[volt-sbmu1]:[volt-sbmu5]])-MIN(Table2[[#This Row],[volt-sbmu1]:[volt-sbmu5]])</f>
        <v>3.0999999999999091</v>
      </c>
      <c r="T172" s="75">
        <f>MAX(Table2[[#This Row],[soc-sbmu1]:[soc-sbmu5]])-MIN(Table2[[#This Row],[soc-sbmu1]:[soc-sbmu5]])</f>
        <v>2.5</v>
      </c>
      <c r="U172" s="75"/>
      <c r="V172" s="75"/>
    </row>
    <row r="173" spans="1:22">
      <c r="A173" t="s">
        <v>301</v>
      </c>
      <c r="B173" t="s">
        <v>581</v>
      </c>
      <c r="C173" s="75">
        <v>84.5</v>
      </c>
      <c r="D173" s="75">
        <v>1399.5</v>
      </c>
      <c r="E173" s="75">
        <v>83.5</v>
      </c>
      <c r="F173" s="75">
        <v>84.7</v>
      </c>
      <c r="G173" s="75">
        <v>83.5</v>
      </c>
      <c r="H173" s="75">
        <v>84.5</v>
      </c>
      <c r="I173" s="75">
        <v>83.5</v>
      </c>
      <c r="J173" s="83">
        <v>1400.1</v>
      </c>
      <c r="K173" s="83">
        <v>1399.3</v>
      </c>
      <c r="L173" s="83">
        <v>1399.8</v>
      </c>
      <c r="M173" s="83">
        <v>1400.6</v>
      </c>
      <c r="N173" s="83">
        <v>1399.3</v>
      </c>
      <c r="O173" s="75">
        <v>0</v>
      </c>
      <c r="P173" s="75">
        <v>0</v>
      </c>
      <c r="Q173" s="75">
        <v>1</v>
      </c>
      <c r="R173" s="75">
        <v>25</v>
      </c>
      <c r="S173" s="75">
        <f>MAX(Table2[[#This Row],[volt-sbmu1]:[volt-sbmu5]])-MIN(Table2[[#This Row],[volt-sbmu1]:[volt-sbmu5]])</f>
        <v>1.2999999999999545</v>
      </c>
      <c r="T173" s="75">
        <f>MAX(Table2[[#This Row],[soc-sbmu1]:[soc-sbmu5]])-MIN(Table2[[#This Row],[soc-sbmu1]:[soc-sbmu5]])</f>
        <v>1.2000000000000028</v>
      </c>
      <c r="U173" s="75"/>
      <c r="V173" s="75"/>
    </row>
    <row r="174" spans="1:22">
      <c r="A174" t="s">
        <v>302</v>
      </c>
      <c r="B174" t="s">
        <v>582</v>
      </c>
      <c r="C174" s="75">
        <v>85</v>
      </c>
      <c r="D174" s="75">
        <v>1399.9</v>
      </c>
      <c r="E174" s="75">
        <v>84.2</v>
      </c>
      <c r="F174" s="75">
        <v>85.4</v>
      </c>
      <c r="G174" s="75">
        <v>84</v>
      </c>
      <c r="H174" s="75">
        <v>84.4</v>
      </c>
      <c r="I174" s="75">
        <v>83</v>
      </c>
      <c r="J174" s="83">
        <v>1400.4</v>
      </c>
      <c r="K174" s="83">
        <v>1400.3</v>
      </c>
      <c r="L174" s="83">
        <v>1399.1</v>
      </c>
      <c r="M174" s="83">
        <v>1399.9</v>
      </c>
      <c r="N174" s="83">
        <v>1400.1</v>
      </c>
      <c r="O174" s="75">
        <v>0</v>
      </c>
      <c r="P174" s="75">
        <v>0</v>
      </c>
      <c r="Q174" s="75">
        <v>1</v>
      </c>
      <c r="R174" s="75">
        <v>30</v>
      </c>
      <c r="S174" s="75">
        <f>MAX(Table2[[#This Row],[volt-sbmu1]:[volt-sbmu5]])-MIN(Table2[[#This Row],[volt-sbmu1]:[volt-sbmu5]])</f>
        <v>1.3000000000001819</v>
      </c>
      <c r="T174" s="75">
        <f>MAX(Table2[[#This Row],[soc-sbmu1]:[soc-sbmu5]])-MIN(Table2[[#This Row],[soc-sbmu1]:[soc-sbmu5]])</f>
        <v>2.4000000000000057</v>
      </c>
      <c r="U174" s="75"/>
      <c r="V174" s="75"/>
    </row>
    <row r="175" spans="1:22">
      <c r="A175" t="s">
        <v>303</v>
      </c>
      <c r="B175" t="s">
        <v>583</v>
      </c>
      <c r="C175" s="75">
        <v>84.8</v>
      </c>
      <c r="D175" s="75">
        <v>1399.3</v>
      </c>
      <c r="E175" s="75">
        <v>84.2</v>
      </c>
      <c r="F175" s="75">
        <v>83.4</v>
      </c>
      <c r="G175" s="75">
        <v>85.2</v>
      </c>
      <c r="H175" s="75">
        <v>84.2</v>
      </c>
      <c r="I175" s="75">
        <v>83.2</v>
      </c>
      <c r="J175" s="83">
        <v>1399.3</v>
      </c>
      <c r="K175" s="83">
        <v>1399.3</v>
      </c>
      <c r="L175" s="83">
        <v>1399</v>
      </c>
      <c r="M175" s="83">
        <v>1398.7</v>
      </c>
      <c r="N175" s="83">
        <v>1399</v>
      </c>
      <c r="O175" s="75">
        <v>0</v>
      </c>
      <c r="P175" s="75">
        <v>0</v>
      </c>
      <c r="Q175" s="75">
        <v>1</v>
      </c>
      <c r="R175" s="75">
        <v>25</v>
      </c>
      <c r="S175" s="75">
        <f>MAX(Table2[[#This Row],[volt-sbmu1]:[volt-sbmu5]])-MIN(Table2[[#This Row],[volt-sbmu1]:[volt-sbmu5]])</f>
        <v>0.59999999999990905</v>
      </c>
      <c r="T175" s="75">
        <f>MAX(Table2[[#This Row],[soc-sbmu1]:[soc-sbmu5]])-MIN(Table2[[#This Row],[soc-sbmu1]:[soc-sbmu5]])</f>
        <v>2</v>
      </c>
      <c r="U175" s="75"/>
      <c r="V175" s="75"/>
    </row>
    <row r="176" spans="1:22">
      <c r="A176" t="s">
        <v>304</v>
      </c>
      <c r="B176" t="s">
        <v>584</v>
      </c>
      <c r="C176" s="75">
        <v>85.2</v>
      </c>
      <c r="D176" s="75">
        <v>1400.6</v>
      </c>
      <c r="E176" s="75">
        <v>83.7</v>
      </c>
      <c r="F176" s="75">
        <v>83</v>
      </c>
      <c r="G176" s="75">
        <v>82.8</v>
      </c>
      <c r="H176" s="75">
        <v>84.4</v>
      </c>
      <c r="I176" s="75">
        <v>85.7</v>
      </c>
      <c r="J176" s="83">
        <v>1400.8</v>
      </c>
      <c r="K176" s="83">
        <v>1400.6</v>
      </c>
      <c r="L176" s="83">
        <v>1399.8</v>
      </c>
      <c r="M176" s="83">
        <v>1400.2</v>
      </c>
      <c r="N176" s="83">
        <v>1399.9</v>
      </c>
      <c r="O176" s="75">
        <v>0</v>
      </c>
      <c r="P176" s="75">
        <v>0</v>
      </c>
      <c r="Q176" s="75">
        <v>1</v>
      </c>
      <c r="R176" s="75">
        <v>26</v>
      </c>
      <c r="S176" s="75">
        <f>MAX(Table2[[#This Row],[volt-sbmu1]:[volt-sbmu5]])-MIN(Table2[[#This Row],[volt-sbmu1]:[volt-sbmu5]])</f>
        <v>1</v>
      </c>
      <c r="T176" s="75">
        <f>MAX(Table2[[#This Row],[soc-sbmu1]:[soc-sbmu5]])-MIN(Table2[[#This Row],[soc-sbmu1]:[soc-sbmu5]])</f>
        <v>2.9000000000000057</v>
      </c>
      <c r="U176" s="75"/>
      <c r="V176" s="75"/>
    </row>
    <row r="177" spans="1:22">
      <c r="A177" t="s">
        <v>305</v>
      </c>
      <c r="B177" t="s">
        <v>585</v>
      </c>
      <c r="C177" s="75">
        <v>84.5</v>
      </c>
      <c r="D177" s="75">
        <v>1399.4</v>
      </c>
      <c r="E177" s="75">
        <v>84.5</v>
      </c>
      <c r="F177" s="75">
        <v>83.2</v>
      </c>
      <c r="G177" s="75">
        <v>84.8</v>
      </c>
      <c r="H177" s="75">
        <v>84.3</v>
      </c>
      <c r="I177" s="75">
        <v>83.9</v>
      </c>
      <c r="J177" s="83">
        <v>1399</v>
      </c>
      <c r="K177" s="83">
        <v>1399.1</v>
      </c>
      <c r="L177" s="83">
        <v>1400.1</v>
      </c>
      <c r="M177" s="83">
        <v>1400</v>
      </c>
      <c r="N177" s="83">
        <v>1399.1</v>
      </c>
      <c r="O177" s="75">
        <v>0</v>
      </c>
      <c r="P177" s="75">
        <v>0</v>
      </c>
      <c r="Q177" s="75">
        <v>1</v>
      </c>
      <c r="R177" s="75">
        <v>25</v>
      </c>
      <c r="S177" s="75">
        <f>MAX(Table2[[#This Row],[volt-sbmu1]:[volt-sbmu5]])-MIN(Table2[[#This Row],[volt-sbmu1]:[volt-sbmu5]])</f>
        <v>1.0999999999999091</v>
      </c>
      <c r="T177" s="75">
        <f>MAX(Table2[[#This Row],[soc-sbmu1]:[soc-sbmu5]])-MIN(Table2[[#This Row],[soc-sbmu1]:[soc-sbmu5]])</f>
        <v>1.5999999999999943</v>
      </c>
      <c r="U177" s="75"/>
      <c r="V177" s="75"/>
    </row>
    <row r="178" spans="1:22">
      <c r="A178" t="s">
        <v>306</v>
      </c>
      <c r="B178" t="s">
        <v>586</v>
      </c>
      <c r="C178" s="75">
        <v>84.9</v>
      </c>
      <c r="D178" s="75">
        <v>1400.1</v>
      </c>
      <c r="E178" s="75">
        <v>84.7</v>
      </c>
      <c r="F178" s="75">
        <v>85.2</v>
      </c>
      <c r="G178" s="75">
        <v>84.1</v>
      </c>
      <c r="H178" s="75">
        <v>83.3</v>
      </c>
      <c r="I178" s="75">
        <v>83.3</v>
      </c>
      <c r="J178" s="83">
        <v>1399.4</v>
      </c>
      <c r="K178" s="83">
        <v>1399.4</v>
      </c>
      <c r="L178" s="83">
        <v>1400.3</v>
      </c>
      <c r="M178" s="83">
        <v>1398.5</v>
      </c>
      <c r="N178" s="83">
        <v>1400.1</v>
      </c>
      <c r="O178" s="75">
        <v>0</v>
      </c>
      <c r="P178" s="75">
        <v>0</v>
      </c>
      <c r="Q178" s="75">
        <v>1</v>
      </c>
      <c r="R178" s="75">
        <v>27</v>
      </c>
      <c r="S178" s="75">
        <f>MAX(Table2[[#This Row],[volt-sbmu1]:[volt-sbmu5]])-MIN(Table2[[#This Row],[volt-sbmu1]:[volt-sbmu5]])</f>
        <v>1.7999999999999545</v>
      </c>
      <c r="T178" s="75">
        <f>MAX(Table2[[#This Row],[soc-sbmu1]:[soc-sbmu5]])-MIN(Table2[[#This Row],[soc-sbmu1]:[soc-sbmu5]])</f>
        <v>1.9000000000000057</v>
      </c>
      <c r="U178" s="75"/>
      <c r="V178" s="75"/>
    </row>
    <row r="179" spans="1:22">
      <c r="A179" t="s">
        <v>307</v>
      </c>
      <c r="B179" t="s">
        <v>587</v>
      </c>
      <c r="C179" s="75">
        <v>88.7</v>
      </c>
      <c r="D179" s="75">
        <v>1400.2</v>
      </c>
      <c r="E179" s="75">
        <v>88.5</v>
      </c>
      <c r="F179" s="75">
        <v>88.6</v>
      </c>
      <c r="G179" s="75">
        <v>88.7</v>
      </c>
      <c r="H179" s="75">
        <v>88.3</v>
      </c>
      <c r="I179" s="75">
        <v>88.8</v>
      </c>
      <c r="J179" s="83">
        <v>1400.2</v>
      </c>
      <c r="K179" s="83">
        <v>1401.9</v>
      </c>
      <c r="L179" s="83">
        <v>1398.8</v>
      </c>
      <c r="M179" s="83">
        <v>1399.8</v>
      </c>
      <c r="N179" s="83">
        <v>1401.3</v>
      </c>
      <c r="O179" s="75">
        <v>0</v>
      </c>
      <c r="P179" s="75">
        <v>0</v>
      </c>
      <c r="Q179" s="75">
        <v>1</v>
      </c>
      <c r="R179" s="75">
        <v>25</v>
      </c>
      <c r="S179" s="75">
        <f>MAX(Table2[[#This Row],[volt-sbmu1]:[volt-sbmu5]])-MIN(Table2[[#This Row],[volt-sbmu1]:[volt-sbmu5]])</f>
        <v>3.1000000000001364</v>
      </c>
      <c r="T179" s="75">
        <f>MAX(Table2[[#This Row],[soc-sbmu1]:[soc-sbmu5]])-MIN(Table2[[#This Row],[soc-sbmu1]:[soc-sbmu5]])</f>
        <v>0.5</v>
      </c>
      <c r="U179" s="75"/>
      <c r="V179" s="75"/>
    </row>
    <row r="180" spans="1:22">
      <c r="A180" t="s">
        <v>308</v>
      </c>
      <c r="B180" t="s">
        <v>588</v>
      </c>
      <c r="C180" s="75">
        <v>89.1</v>
      </c>
      <c r="D180" s="75">
        <v>1400.3</v>
      </c>
      <c r="E180" s="75">
        <v>88.5</v>
      </c>
      <c r="F180" s="75">
        <v>88.4</v>
      </c>
      <c r="G180" s="75">
        <v>88.1</v>
      </c>
      <c r="H180" s="75">
        <v>89.3</v>
      </c>
      <c r="I180" s="75">
        <v>88.2</v>
      </c>
      <c r="J180" s="83">
        <v>1400.2</v>
      </c>
      <c r="K180" s="83">
        <v>1400.1</v>
      </c>
      <c r="L180" s="83">
        <v>1400.2</v>
      </c>
      <c r="M180" s="83">
        <v>1400.2</v>
      </c>
      <c r="N180" s="83">
        <v>1399.9</v>
      </c>
      <c r="O180" s="75">
        <v>0</v>
      </c>
      <c r="P180" s="75">
        <v>0</v>
      </c>
      <c r="Q180" s="75">
        <v>1</v>
      </c>
      <c r="R180" s="75">
        <v>26</v>
      </c>
      <c r="S180" s="75">
        <f>MAX(Table2[[#This Row],[volt-sbmu1]:[volt-sbmu5]])-MIN(Table2[[#This Row],[volt-sbmu1]:[volt-sbmu5]])</f>
        <v>0.29999999999995453</v>
      </c>
      <c r="T180" s="75">
        <f>MAX(Table2[[#This Row],[soc-sbmu1]:[soc-sbmu5]])-MIN(Table2[[#This Row],[soc-sbmu1]:[soc-sbmu5]])</f>
        <v>1.2000000000000028</v>
      </c>
      <c r="U180" s="75"/>
      <c r="V180" s="75"/>
    </row>
    <row r="181" spans="1:22">
      <c r="A181" t="s">
        <v>309</v>
      </c>
      <c r="B181" t="s">
        <v>589</v>
      </c>
      <c r="C181" s="75">
        <v>89.4</v>
      </c>
      <c r="D181" s="75">
        <v>1400.8</v>
      </c>
      <c r="E181" s="75">
        <v>89.5</v>
      </c>
      <c r="F181" s="75">
        <v>88.9</v>
      </c>
      <c r="G181" s="75">
        <v>88.6</v>
      </c>
      <c r="H181" s="75">
        <v>88.7</v>
      </c>
      <c r="I181" s="75">
        <v>89.1</v>
      </c>
      <c r="J181" s="83">
        <v>1401.4</v>
      </c>
      <c r="K181" s="83">
        <v>1401.5</v>
      </c>
      <c r="L181" s="83">
        <v>1399.6</v>
      </c>
      <c r="M181" s="83">
        <v>1401</v>
      </c>
      <c r="N181" s="83">
        <v>1399.7</v>
      </c>
      <c r="O181" s="75">
        <v>0</v>
      </c>
      <c r="P181" s="75">
        <v>0</v>
      </c>
      <c r="Q181" s="75">
        <v>1</v>
      </c>
      <c r="R181" s="75">
        <v>26</v>
      </c>
      <c r="S181" s="75">
        <f>MAX(Table2[[#This Row],[volt-sbmu1]:[volt-sbmu5]])-MIN(Table2[[#This Row],[volt-sbmu1]:[volt-sbmu5]])</f>
        <v>1.9000000000000909</v>
      </c>
      <c r="T181" s="75">
        <f>MAX(Table2[[#This Row],[soc-sbmu1]:[soc-sbmu5]])-MIN(Table2[[#This Row],[soc-sbmu1]:[soc-sbmu5]])</f>
        <v>0.90000000000000568</v>
      </c>
      <c r="U181" s="75"/>
      <c r="V181" s="75"/>
    </row>
    <row r="182" spans="1:22">
      <c r="A182" t="s">
        <v>310</v>
      </c>
      <c r="B182" t="s">
        <v>590</v>
      </c>
      <c r="C182" s="75">
        <v>89.1</v>
      </c>
      <c r="D182" s="75">
        <v>1400.2</v>
      </c>
      <c r="E182" s="75">
        <v>89.2</v>
      </c>
      <c r="F182" s="75">
        <v>88.9</v>
      </c>
      <c r="G182" s="75">
        <v>89</v>
      </c>
      <c r="H182" s="75">
        <v>89.1</v>
      </c>
      <c r="I182" s="75">
        <v>89</v>
      </c>
      <c r="J182" s="83">
        <v>1401.7</v>
      </c>
      <c r="K182" s="83">
        <v>1400.1</v>
      </c>
      <c r="L182" s="83">
        <v>1400.3</v>
      </c>
      <c r="M182" s="83">
        <v>1400.2</v>
      </c>
      <c r="N182" s="83">
        <v>1399.8</v>
      </c>
      <c r="O182" s="75">
        <v>0</v>
      </c>
      <c r="P182" s="75">
        <v>0</v>
      </c>
      <c r="Q182" s="75">
        <v>1</v>
      </c>
      <c r="R182" s="75">
        <v>29</v>
      </c>
      <c r="S182" s="75">
        <f>MAX(Table2[[#This Row],[volt-sbmu1]:[volt-sbmu5]])-MIN(Table2[[#This Row],[volt-sbmu1]:[volt-sbmu5]])</f>
        <v>1.9000000000000909</v>
      </c>
      <c r="T182" s="75">
        <f>MAX(Table2[[#This Row],[soc-sbmu1]:[soc-sbmu5]])-MIN(Table2[[#This Row],[soc-sbmu1]:[soc-sbmu5]])</f>
        <v>0.29999999999999716</v>
      </c>
      <c r="U182" s="75"/>
      <c r="V182" s="75"/>
    </row>
    <row r="183" spans="1:22">
      <c r="A183" t="s">
        <v>311</v>
      </c>
      <c r="B183" t="s">
        <v>591</v>
      </c>
      <c r="C183" s="75">
        <v>88</v>
      </c>
      <c r="D183" s="75">
        <v>1401.5</v>
      </c>
      <c r="E183" s="75">
        <v>77.8</v>
      </c>
      <c r="F183" s="75">
        <v>76.8</v>
      </c>
      <c r="G183" s="75">
        <v>88.6</v>
      </c>
      <c r="H183" s="75">
        <v>89.6</v>
      </c>
      <c r="I183" s="75">
        <v>87.2</v>
      </c>
      <c r="J183" s="83">
        <v>1401.7</v>
      </c>
      <c r="K183" s="83">
        <v>1402.5</v>
      </c>
      <c r="L183" s="83">
        <v>1401.5</v>
      </c>
      <c r="M183" s="83">
        <v>1401.7</v>
      </c>
      <c r="N183" s="83">
        <v>1400.2</v>
      </c>
      <c r="O183" s="75">
        <v>0</v>
      </c>
      <c r="P183" s="75">
        <v>0</v>
      </c>
      <c r="Q183" s="75">
        <v>1</v>
      </c>
      <c r="R183" s="75">
        <v>25</v>
      </c>
      <c r="S183" s="75">
        <f>MAX(Table2[[#This Row],[volt-sbmu1]:[volt-sbmu5]])-MIN(Table2[[#This Row],[volt-sbmu1]:[volt-sbmu5]])</f>
        <v>2.2999999999999545</v>
      </c>
      <c r="T183" s="75">
        <f>MAX(Table2[[#This Row],[soc-sbmu1]:[soc-sbmu5]])-MIN(Table2[[#This Row],[soc-sbmu1]:[soc-sbmu5]])</f>
        <v>12.799999999999997</v>
      </c>
      <c r="U183" s="75"/>
      <c r="V183" s="75"/>
    </row>
    <row r="184" spans="1:22">
      <c r="A184" t="s">
        <v>312</v>
      </c>
      <c r="B184" t="s">
        <v>592</v>
      </c>
      <c r="C184" s="75">
        <v>84.1</v>
      </c>
      <c r="D184" s="75">
        <v>1400.1</v>
      </c>
      <c r="E184" s="75">
        <v>83.4</v>
      </c>
      <c r="F184" s="75">
        <v>82.8</v>
      </c>
      <c r="G184" s="75">
        <v>84.4</v>
      </c>
      <c r="H184" s="75">
        <v>83.3</v>
      </c>
      <c r="I184" s="75">
        <v>83.2</v>
      </c>
      <c r="J184" s="83">
        <v>1400.9</v>
      </c>
      <c r="K184" s="83">
        <v>1399.6</v>
      </c>
      <c r="L184" s="83">
        <v>1399.8</v>
      </c>
      <c r="M184" s="83">
        <v>1398.8</v>
      </c>
      <c r="N184" s="83">
        <v>1398.3</v>
      </c>
      <c r="O184" s="75">
        <v>0</v>
      </c>
      <c r="P184" s="75">
        <v>0</v>
      </c>
      <c r="Q184" s="75">
        <v>1</v>
      </c>
      <c r="R184" s="75">
        <v>25</v>
      </c>
      <c r="S184" s="75">
        <f>MAX(Table2[[#This Row],[volt-sbmu1]:[volt-sbmu5]])-MIN(Table2[[#This Row],[volt-sbmu1]:[volt-sbmu5]])</f>
        <v>2.6000000000001364</v>
      </c>
      <c r="T184" s="75">
        <f>MAX(Table2[[#This Row],[soc-sbmu1]:[soc-sbmu5]])-MIN(Table2[[#This Row],[soc-sbmu1]:[soc-sbmu5]])</f>
        <v>1.6000000000000085</v>
      </c>
      <c r="U184" s="75"/>
      <c r="V184" s="75"/>
    </row>
    <row r="185" spans="1:22">
      <c r="A185" t="s">
        <v>313</v>
      </c>
      <c r="B185" t="s">
        <v>593</v>
      </c>
      <c r="C185" s="75">
        <v>84</v>
      </c>
      <c r="D185" s="75">
        <v>1399.4</v>
      </c>
      <c r="E185" s="75">
        <v>84.2</v>
      </c>
      <c r="F185" s="75">
        <v>83.5</v>
      </c>
      <c r="G185" s="75">
        <v>83</v>
      </c>
      <c r="H185" s="75">
        <v>83.9</v>
      </c>
      <c r="I185" s="75">
        <v>83.7</v>
      </c>
      <c r="J185" s="83">
        <v>1399.6</v>
      </c>
      <c r="K185" s="83">
        <v>1398.6</v>
      </c>
      <c r="L185" s="83">
        <v>1399.4</v>
      </c>
      <c r="M185" s="83">
        <v>1398.9</v>
      </c>
      <c r="N185" s="83">
        <v>1399.7</v>
      </c>
      <c r="O185" s="75">
        <v>0</v>
      </c>
      <c r="P185" s="75">
        <v>0</v>
      </c>
      <c r="Q185" s="75">
        <v>1</v>
      </c>
      <c r="R185" s="75">
        <v>25</v>
      </c>
      <c r="S185" s="75">
        <f>MAX(Table2[[#This Row],[volt-sbmu1]:[volt-sbmu5]])-MIN(Table2[[#This Row],[volt-sbmu1]:[volt-sbmu5]])</f>
        <v>1.1000000000001364</v>
      </c>
      <c r="T185" s="75">
        <f>MAX(Table2[[#This Row],[soc-sbmu1]:[soc-sbmu5]])-MIN(Table2[[#This Row],[soc-sbmu1]:[soc-sbmu5]])</f>
        <v>1.2000000000000028</v>
      </c>
      <c r="U185" s="75"/>
      <c r="V185" s="75"/>
    </row>
    <row r="186" spans="1:22">
      <c r="A186" t="s">
        <v>314</v>
      </c>
      <c r="B186" t="s">
        <v>594</v>
      </c>
      <c r="C186" s="75">
        <v>84.2</v>
      </c>
      <c r="D186" s="75">
        <v>1400.2</v>
      </c>
      <c r="E186" s="75">
        <v>83.4</v>
      </c>
      <c r="F186" s="75">
        <v>84</v>
      </c>
      <c r="G186" s="75">
        <v>83.1</v>
      </c>
      <c r="H186" s="75">
        <v>82.5</v>
      </c>
      <c r="I186" s="75">
        <v>84.6</v>
      </c>
      <c r="J186" s="83">
        <v>1400.2</v>
      </c>
      <c r="K186" s="83">
        <v>1400.4</v>
      </c>
      <c r="L186" s="83">
        <v>1399.6</v>
      </c>
      <c r="M186" s="83">
        <v>1399.4</v>
      </c>
      <c r="N186" s="83">
        <v>1399.5</v>
      </c>
      <c r="O186" s="75">
        <v>0</v>
      </c>
      <c r="P186" s="75">
        <v>0</v>
      </c>
      <c r="Q186" s="75">
        <v>1</v>
      </c>
      <c r="R186" s="75">
        <v>27</v>
      </c>
      <c r="S186" s="75">
        <f>MAX(Table2[[#This Row],[volt-sbmu1]:[volt-sbmu5]])-MIN(Table2[[#This Row],[volt-sbmu1]:[volt-sbmu5]])</f>
        <v>1</v>
      </c>
      <c r="T186" s="75">
        <f>MAX(Table2[[#This Row],[soc-sbmu1]:[soc-sbmu5]])-MIN(Table2[[#This Row],[soc-sbmu1]:[soc-sbmu5]])</f>
        <v>2.0999999999999943</v>
      </c>
      <c r="U186" s="75"/>
      <c r="V186" s="75"/>
    </row>
    <row r="187" spans="1:22">
      <c r="A187" t="s">
        <v>315</v>
      </c>
      <c r="B187" t="s">
        <v>595</v>
      </c>
      <c r="C187" s="75">
        <v>85</v>
      </c>
      <c r="D187" s="75">
        <v>1400</v>
      </c>
      <c r="E187" s="75">
        <v>84</v>
      </c>
      <c r="F187" s="75">
        <v>84.7</v>
      </c>
      <c r="G187" s="75">
        <v>85.4</v>
      </c>
      <c r="H187" s="75">
        <v>83</v>
      </c>
      <c r="I187" s="75">
        <v>83.7</v>
      </c>
      <c r="J187" s="83">
        <v>1399.7</v>
      </c>
      <c r="K187" s="83">
        <v>1398.1</v>
      </c>
      <c r="L187" s="83">
        <v>1399.7</v>
      </c>
      <c r="M187" s="83">
        <v>1403.4</v>
      </c>
      <c r="N187" s="83">
        <v>1399.6</v>
      </c>
      <c r="O187" s="75">
        <v>0</v>
      </c>
      <c r="P187" s="75">
        <v>0</v>
      </c>
      <c r="Q187" s="75">
        <v>1</v>
      </c>
      <c r="R187" s="75">
        <v>26</v>
      </c>
      <c r="S187" s="75">
        <f>MAX(Table2[[#This Row],[volt-sbmu1]:[volt-sbmu5]])-MIN(Table2[[#This Row],[volt-sbmu1]:[volt-sbmu5]])</f>
        <v>5.3000000000001819</v>
      </c>
      <c r="T187" s="75">
        <f>MAX(Table2[[#This Row],[soc-sbmu1]:[soc-sbmu5]])-MIN(Table2[[#This Row],[soc-sbmu1]:[soc-sbmu5]])</f>
        <v>2.4000000000000057</v>
      </c>
      <c r="U187" s="75"/>
      <c r="V187" s="75"/>
    </row>
    <row r="188" spans="1:22">
      <c r="A188" t="s">
        <v>316</v>
      </c>
      <c r="B188" t="s">
        <v>596</v>
      </c>
      <c r="C188" s="75">
        <v>84.9</v>
      </c>
      <c r="D188" s="75">
        <v>1399.8</v>
      </c>
      <c r="E188" s="75">
        <v>83.1</v>
      </c>
      <c r="F188" s="75">
        <v>85.3</v>
      </c>
      <c r="G188" s="75">
        <v>84.4</v>
      </c>
      <c r="H188" s="75">
        <v>83.5</v>
      </c>
      <c r="I188" s="75">
        <v>83.2</v>
      </c>
      <c r="J188" s="83">
        <v>1399.5</v>
      </c>
      <c r="K188" s="83">
        <v>1399.3</v>
      </c>
      <c r="L188" s="83">
        <v>1399.9</v>
      </c>
      <c r="M188" s="83">
        <v>1400.4</v>
      </c>
      <c r="N188" s="83">
        <v>1399.6</v>
      </c>
      <c r="O188" s="75">
        <v>0</v>
      </c>
      <c r="P188" s="75">
        <v>0</v>
      </c>
      <c r="Q188" s="75">
        <v>1</v>
      </c>
      <c r="R188" s="75">
        <v>26</v>
      </c>
      <c r="S188" s="75">
        <f>MAX(Table2[[#This Row],[volt-sbmu1]:[volt-sbmu5]])-MIN(Table2[[#This Row],[volt-sbmu1]:[volt-sbmu5]])</f>
        <v>1.1000000000001364</v>
      </c>
      <c r="T188" s="75">
        <f>MAX(Table2[[#This Row],[soc-sbmu1]:[soc-sbmu5]])-MIN(Table2[[#This Row],[soc-sbmu1]:[soc-sbmu5]])</f>
        <v>2.2000000000000028</v>
      </c>
      <c r="U188" s="75"/>
      <c r="V188" s="75"/>
    </row>
    <row r="189" spans="1:22">
      <c r="A189" t="s">
        <v>317</v>
      </c>
      <c r="B189" t="s">
        <v>597</v>
      </c>
      <c r="C189" s="75">
        <v>84.5</v>
      </c>
      <c r="D189" s="75">
        <v>1399.7</v>
      </c>
      <c r="E189" s="75">
        <v>82.6</v>
      </c>
      <c r="F189" s="75">
        <v>84</v>
      </c>
      <c r="G189" s="75">
        <v>84.9</v>
      </c>
      <c r="H189" s="75">
        <v>82.8</v>
      </c>
      <c r="I189" s="75">
        <v>83.1</v>
      </c>
      <c r="J189" s="83">
        <v>1399.6</v>
      </c>
      <c r="K189" s="83">
        <v>1401.2</v>
      </c>
      <c r="L189" s="83">
        <v>1400.2</v>
      </c>
      <c r="M189" s="83">
        <v>1398.7</v>
      </c>
      <c r="N189" s="83">
        <v>1400.3</v>
      </c>
      <c r="O189" s="75">
        <v>0</v>
      </c>
      <c r="P189" s="75">
        <v>0</v>
      </c>
      <c r="Q189" s="75">
        <v>1</v>
      </c>
      <c r="R189" s="75">
        <v>25</v>
      </c>
      <c r="S189" s="75">
        <f>MAX(Table2[[#This Row],[volt-sbmu1]:[volt-sbmu5]])-MIN(Table2[[#This Row],[volt-sbmu1]:[volt-sbmu5]])</f>
        <v>2.5</v>
      </c>
      <c r="T189" s="75">
        <f>MAX(Table2[[#This Row],[soc-sbmu1]:[soc-sbmu5]])-MIN(Table2[[#This Row],[soc-sbmu1]:[soc-sbmu5]])</f>
        <v>2.3000000000000114</v>
      </c>
      <c r="U189" s="75"/>
      <c r="V189" s="75"/>
    </row>
    <row r="190" spans="1:22">
      <c r="A190" t="s">
        <v>318</v>
      </c>
      <c r="B190" t="s">
        <v>598</v>
      </c>
      <c r="C190" s="75">
        <v>84.7</v>
      </c>
      <c r="D190" s="75">
        <v>1400.1</v>
      </c>
      <c r="E190" s="75">
        <v>83.4</v>
      </c>
      <c r="F190" s="75">
        <v>83.7</v>
      </c>
      <c r="G190" s="75">
        <v>84.3</v>
      </c>
      <c r="H190" s="75">
        <v>82.8</v>
      </c>
      <c r="I190" s="75">
        <v>85.1</v>
      </c>
      <c r="J190" s="83">
        <v>1399.2</v>
      </c>
      <c r="K190" s="83">
        <v>1398.9</v>
      </c>
      <c r="L190" s="83">
        <v>1401.1</v>
      </c>
      <c r="M190" s="83">
        <v>1400.3</v>
      </c>
      <c r="N190" s="83">
        <v>1400.1</v>
      </c>
      <c r="O190" s="75">
        <v>0</v>
      </c>
      <c r="P190" s="75">
        <v>0</v>
      </c>
      <c r="Q190" s="75">
        <v>1</v>
      </c>
      <c r="R190" s="75">
        <v>30</v>
      </c>
      <c r="S190" s="75">
        <f>MAX(Table2[[#This Row],[volt-sbmu1]:[volt-sbmu5]])-MIN(Table2[[#This Row],[volt-sbmu1]:[volt-sbmu5]])</f>
        <v>2.1999999999998181</v>
      </c>
      <c r="T190" s="75">
        <f>MAX(Table2[[#This Row],[soc-sbmu1]:[soc-sbmu5]])-MIN(Table2[[#This Row],[soc-sbmu1]:[soc-sbmu5]])</f>
        <v>2.2999999999999972</v>
      </c>
      <c r="U190" s="75"/>
      <c r="V190" s="75"/>
    </row>
    <row r="191" spans="1:22">
      <c r="A191" t="s">
        <v>319</v>
      </c>
      <c r="B191" t="s">
        <v>599</v>
      </c>
      <c r="C191" s="75">
        <v>84.8</v>
      </c>
      <c r="D191" s="75">
        <v>1400</v>
      </c>
      <c r="E191" s="75">
        <v>84.2</v>
      </c>
      <c r="F191" s="75">
        <v>83.6</v>
      </c>
      <c r="G191" s="75">
        <v>81.5</v>
      </c>
      <c r="H191" s="75">
        <v>83.8</v>
      </c>
      <c r="I191" s="75">
        <v>85.5</v>
      </c>
      <c r="J191" s="83">
        <v>1398.9</v>
      </c>
      <c r="K191" s="83">
        <v>1400.2</v>
      </c>
      <c r="L191" s="83">
        <v>1401.4</v>
      </c>
      <c r="M191" s="83">
        <v>1400</v>
      </c>
      <c r="N191" s="83">
        <v>1399.5</v>
      </c>
      <c r="O191" s="75">
        <v>0</v>
      </c>
      <c r="P191" s="75">
        <v>0</v>
      </c>
      <c r="Q191" s="75">
        <v>1</v>
      </c>
      <c r="R191" s="75">
        <v>25</v>
      </c>
      <c r="S191" s="75">
        <f>MAX(Table2[[#This Row],[volt-sbmu1]:[volt-sbmu5]])-MIN(Table2[[#This Row],[volt-sbmu1]:[volt-sbmu5]])</f>
        <v>2.5</v>
      </c>
      <c r="T191" s="75">
        <f>MAX(Table2[[#This Row],[soc-sbmu1]:[soc-sbmu5]])-MIN(Table2[[#This Row],[soc-sbmu1]:[soc-sbmu5]])</f>
        <v>4</v>
      </c>
      <c r="U191" s="75"/>
      <c r="V191" s="75"/>
    </row>
    <row r="192" spans="1:22">
      <c r="A192" t="s">
        <v>320</v>
      </c>
      <c r="B192" t="s">
        <v>600</v>
      </c>
      <c r="C192" s="75">
        <v>85.1</v>
      </c>
      <c r="D192" s="75">
        <v>1400.1</v>
      </c>
      <c r="E192" s="75">
        <v>85.5</v>
      </c>
      <c r="F192" s="75">
        <v>84.4</v>
      </c>
      <c r="G192" s="75">
        <v>84.6</v>
      </c>
      <c r="H192" s="75">
        <v>84.3</v>
      </c>
      <c r="I192" s="75">
        <v>83.2</v>
      </c>
      <c r="J192" s="83">
        <v>1401.6</v>
      </c>
      <c r="K192" s="83">
        <v>1399.8</v>
      </c>
      <c r="L192" s="83">
        <v>1399.5</v>
      </c>
      <c r="M192" s="83">
        <v>1398.4</v>
      </c>
      <c r="N192" s="83">
        <v>1399.9</v>
      </c>
      <c r="O192" s="75">
        <v>0</v>
      </c>
      <c r="P192" s="75">
        <v>0</v>
      </c>
      <c r="Q192" s="75">
        <v>1</v>
      </c>
      <c r="R192" s="75">
        <v>25</v>
      </c>
      <c r="S192" s="75">
        <f>MAX(Table2[[#This Row],[volt-sbmu1]:[volt-sbmu5]])-MIN(Table2[[#This Row],[volt-sbmu1]:[volt-sbmu5]])</f>
        <v>3.1999999999998181</v>
      </c>
      <c r="T192" s="75">
        <f>MAX(Table2[[#This Row],[soc-sbmu1]:[soc-sbmu5]])-MIN(Table2[[#This Row],[soc-sbmu1]:[soc-sbmu5]])</f>
        <v>2.2999999999999972</v>
      </c>
      <c r="U192" s="75"/>
      <c r="V192" s="75"/>
    </row>
    <row r="193" spans="1:22">
      <c r="A193" t="s">
        <v>321</v>
      </c>
      <c r="B193" t="s">
        <v>601</v>
      </c>
      <c r="C193" s="75">
        <v>84.7</v>
      </c>
      <c r="D193" s="75">
        <v>1400.3</v>
      </c>
      <c r="E193" s="75">
        <v>84.8</v>
      </c>
      <c r="F193" s="75">
        <v>84.7</v>
      </c>
      <c r="G193" s="75">
        <v>84.4</v>
      </c>
      <c r="H193" s="75">
        <v>84.7</v>
      </c>
      <c r="I193" s="75">
        <v>84.5</v>
      </c>
      <c r="J193" s="83">
        <v>1400.3</v>
      </c>
      <c r="K193" s="83">
        <v>1400.7</v>
      </c>
      <c r="L193" s="83">
        <v>1399.2</v>
      </c>
      <c r="M193" s="83">
        <v>1400.5</v>
      </c>
      <c r="N193" s="83">
        <v>1400.2</v>
      </c>
      <c r="O193" s="75">
        <v>0</v>
      </c>
      <c r="P193" s="75">
        <v>0</v>
      </c>
      <c r="Q193" s="75">
        <v>1</v>
      </c>
      <c r="R193" s="75">
        <v>26</v>
      </c>
      <c r="S193" s="75">
        <f>MAX(Table2[[#This Row],[volt-sbmu1]:[volt-sbmu5]])-MIN(Table2[[#This Row],[volt-sbmu1]:[volt-sbmu5]])</f>
        <v>1.5</v>
      </c>
      <c r="T193" s="75">
        <f>MAX(Table2[[#This Row],[soc-sbmu1]:[soc-sbmu5]])-MIN(Table2[[#This Row],[soc-sbmu1]:[soc-sbmu5]])</f>
        <v>0.39999999999999147</v>
      </c>
      <c r="U193" s="75"/>
      <c r="V193" s="75"/>
    </row>
    <row r="194" spans="1:22">
      <c r="A194" t="s">
        <v>322</v>
      </c>
      <c r="B194" t="s">
        <v>602</v>
      </c>
      <c r="C194" s="75">
        <v>84.9</v>
      </c>
      <c r="D194" s="75">
        <v>1399.8</v>
      </c>
      <c r="E194" s="75">
        <v>85.4</v>
      </c>
      <c r="F194" s="75">
        <v>84.4</v>
      </c>
      <c r="G194" s="75">
        <v>84.5</v>
      </c>
      <c r="H194" s="75">
        <v>82.7</v>
      </c>
      <c r="I194" s="75">
        <v>83.6</v>
      </c>
      <c r="J194" s="83">
        <v>1399.8</v>
      </c>
      <c r="K194" s="83">
        <v>1398.9</v>
      </c>
      <c r="L194" s="83">
        <v>1399.4</v>
      </c>
      <c r="M194" s="83">
        <v>1398.9</v>
      </c>
      <c r="N194" s="83">
        <v>1400.1</v>
      </c>
      <c r="O194" s="75">
        <v>0</v>
      </c>
      <c r="P194" s="75">
        <v>0</v>
      </c>
      <c r="Q194" s="75">
        <v>1</v>
      </c>
      <c r="R194" s="75">
        <v>27</v>
      </c>
      <c r="S194" s="75">
        <f>MAX(Table2[[#This Row],[volt-sbmu1]:[volt-sbmu5]])-MIN(Table2[[#This Row],[volt-sbmu1]:[volt-sbmu5]])</f>
        <v>1.1999999999998181</v>
      </c>
      <c r="T194" s="75">
        <f>MAX(Table2[[#This Row],[soc-sbmu1]:[soc-sbmu5]])-MIN(Table2[[#This Row],[soc-sbmu1]:[soc-sbmu5]])</f>
        <v>2.7000000000000028</v>
      </c>
      <c r="U194" s="75"/>
      <c r="V194" s="75"/>
    </row>
    <row r="195" spans="1:22">
      <c r="A195" t="s">
        <v>323</v>
      </c>
      <c r="B195" t="s">
        <v>603</v>
      </c>
      <c r="C195" s="75">
        <v>84.7</v>
      </c>
      <c r="D195" s="75">
        <v>1399.3</v>
      </c>
      <c r="E195" s="75">
        <v>83.9</v>
      </c>
      <c r="F195" s="75">
        <v>85.2</v>
      </c>
      <c r="G195" s="75">
        <v>82.5</v>
      </c>
      <c r="H195" s="75">
        <v>83.5</v>
      </c>
      <c r="I195" s="75">
        <v>83</v>
      </c>
      <c r="J195" s="83">
        <v>1399.7</v>
      </c>
      <c r="K195" s="83">
        <v>1399.3</v>
      </c>
      <c r="L195" s="83">
        <v>1398.9</v>
      </c>
      <c r="M195" s="83">
        <v>1400.3</v>
      </c>
      <c r="N195" s="83">
        <v>1399.4</v>
      </c>
      <c r="O195" s="75">
        <v>0</v>
      </c>
      <c r="P195" s="75">
        <v>0</v>
      </c>
      <c r="Q195" s="75">
        <v>1</v>
      </c>
      <c r="R195" s="75">
        <v>25</v>
      </c>
      <c r="S195" s="75">
        <f>MAX(Table2[[#This Row],[volt-sbmu1]:[volt-sbmu5]])-MIN(Table2[[#This Row],[volt-sbmu1]:[volt-sbmu5]])</f>
        <v>1.3999999999998636</v>
      </c>
      <c r="T195" s="75">
        <f>MAX(Table2[[#This Row],[soc-sbmu1]:[soc-sbmu5]])-MIN(Table2[[#This Row],[soc-sbmu1]:[soc-sbmu5]])</f>
        <v>2.7000000000000028</v>
      </c>
      <c r="U195" s="75"/>
      <c r="V195" s="75"/>
    </row>
    <row r="196" spans="1:22">
      <c r="A196" t="s">
        <v>324</v>
      </c>
      <c r="B196" t="s">
        <v>604</v>
      </c>
      <c r="C196" s="75">
        <v>83.8</v>
      </c>
      <c r="D196" s="75">
        <v>1400.4</v>
      </c>
      <c r="E196" s="75">
        <v>83.3</v>
      </c>
      <c r="F196" s="75">
        <v>83.7</v>
      </c>
      <c r="G196" s="75">
        <v>83.5</v>
      </c>
      <c r="H196" s="75">
        <v>83.6</v>
      </c>
      <c r="I196" s="75">
        <v>84</v>
      </c>
      <c r="J196" s="83">
        <v>1399.2</v>
      </c>
      <c r="K196" s="83">
        <v>1399.3</v>
      </c>
      <c r="L196" s="83">
        <v>1401.8</v>
      </c>
      <c r="M196" s="83">
        <v>1400.7</v>
      </c>
      <c r="N196" s="83">
        <v>1399.7</v>
      </c>
      <c r="O196" s="75">
        <v>0</v>
      </c>
      <c r="P196" s="75">
        <v>0</v>
      </c>
      <c r="Q196" s="75">
        <v>1</v>
      </c>
      <c r="R196" s="75">
        <v>26</v>
      </c>
      <c r="S196" s="75">
        <f>MAX(Table2[[#This Row],[volt-sbmu1]:[volt-sbmu5]])-MIN(Table2[[#This Row],[volt-sbmu1]:[volt-sbmu5]])</f>
        <v>2.5999999999999091</v>
      </c>
      <c r="T196" s="75">
        <f>MAX(Table2[[#This Row],[soc-sbmu1]:[soc-sbmu5]])-MIN(Table2[[#This Row],[soc-sbmu1]:[soc-sbmu5]])</f>
        <v>0.70000000000000284</v>
      </c>
      <c r="U196" s="75"/>
      <c r="V196" s="75"/>
    </row>
    <row r="197" spans="1:22">
      <c r="A197" t="s">
        <v>325</v>
      </c>
      <c r="B197" t="s">
        <v>605</v>
      </c>
      <c r="C197" s="75">
        <v>84.4</v>
      </c>
      <c r="D197" s="75">
        <v>1399.6</v>
      </c>
      <c r="E197" s="75">
        <v>84.7</v>
      </c>
      <c r="F197" s="75">
        <v>83.1</v>
      </c>
      <c r="G197" s="75">
        <v>83.4</v>
      </c>
      <c r="H197" s="75">
        <v>83.6</v>
      </c>
      <c r="I197" s="75">
        <v>83.7</v>
      </c>
      <c r="J197" s="83">
        <v>1399</v>
      </c>
      <c r="K197" s="83">
        <v>1399</v>
      </c>
      <c r="L197" s="83">
        <v>1400.2</v>
      </c>
      <c r="M197" s="83">
        <v>1399.8</v>
      </c>
      <c r="N197" s="83">
        <v>1399.6</v>
      </c>
      <c r="O197" s="75">
        <v>0</v>
      </c>
      <c r="P197" s="75">
        <v>0</v>
      </c>
      <c r="Q197" s="75">
        <v>1</v>
      </c>
      <c r="R197" s="75">
        <v>27</v>
      </c>
      <c r="S197" s="75">
        <f>MAX(Table2[[#This Row],[volt-sbmu1]:[volt-sbmu5]])-MIN(Table2[[#This Row],[volt-sbmu1]:[volt-sbmu5]])</f>
        <v>1.2000000000000455</v>
      </c>
      <c r="T197" s="75">
        <f>MAX(Table2[[#This Row],[soc-sbmu1]:[soc-sbmu5]])-MIN(Table2[[#This Row],[soc-sbmu1]:[soc-sbmu5]])</f>
        <v>1.6000000000000085</v>
      </c>
      <c r="U197" s="75"/>
      <c r="V197" s="75"/>
    </row>
    <row r="198" spans="1:22">
      <c r="A198" t="s">
        <v>326</v>
      </c>
      <c r="B198" t="s">
        <v>606</v>
      </c>
      <c r="C198" s="75">
        <v>86.7</v>
      </c>
      <c r="D198" s="75">
        <v>1397.9</v>
      </c>
      <c r="E198" s="75">
        <v>80.400000000000006</v>
      </c>
      <c r="F198" s="75">
        <v>80.599999999999994</v>
      </c>
      <c r="G198" s="75">
        <v>81.900000000000006</v>
      </c>
      <c r="H198" s="75">
        <v>87.7</v>
      </c>
      <c r="I198" s="75">
        <v>82.7</v>
      </c>
      <c r="J198" s="83">
        <v>1397.2</v>
      </c>
      <c r="K198" s="83">
        <v>1398.7</v>
      </c>
      <c r="L198" s="83">
        <v>1398.2</v>
      </c>
      <c r="M198" s="83">
        <v>1397.8</v>
      </c>
      <c r="N198" s="83">
        <v>1397.5</v>
      </c>
      <c r="O198" s="75">
        <v>0</v>
      </c>
      <c r="P198" s="75">
        <v>0</v>
      </c>
      <c r="Q198" s="75">
        <v>1</v>
      </c>
      <c r="R198" s="75">
        <v>30</v>
      </c>
      <c r="S198" s="75">
        <f>MAX(Table2[[#This Row],[volt-sbmu1]:[volt-sbmu5]])-MIN(Table2[[#This Row],[volt-sbmu1]:[volt-sbmu5]])</f>
        <v>1.5</v>
      </c>
      <c r="T198" s="75">
        <f>MAX(Table2[[#This Row],[soc-sbmu1]:[soc-sbmu5]])-MIN(Table2[[#This Row],[soc-sbmu1]:[soc-sbmu5]])</f>
        <v>7.2999999999999972</v>
      </c>
      <c r="U198" s="75"/>
      <c r="V198" s="75"/>
    </row>
    <row r="199" spans="1:22">
      <c r="A199" t="s">
        <v>327</v>
      </c>
      <c r="B199" t="s">
        <v>607</v>
      </c>
      <c r="C199" s="75">
        <v>85.1</v>
      </c>
      <c r="D199" s="75">
        <v>1399.3</v>
      </c>
      <c r="E199" s="75">
        <v>84.6</v>
      </c>
      <c r="F199" s="75">
        <v>85.6</v>
      </c>
      <c r="G199" s="75">
        <v>82.3</v>
      </c>
      <c r="H199" s="75">
        <v>82.8</v>
      </c>
      <c r="I199" s="75">
        <v>83.8</v>
      </c>
      <c r="J199" s="83">
        <v>1399.3</v>
      </c>
      <c r="K199" s="83">
        <v>1399.5</v>
      </c>
      <c r="L199" s="83">
        <v>1400</v>
      </c>
      <c r="M199" s="83">
        <v>1399.4</v>
      </c>
      <c r="N199" s="83">
        <v>1399.7</v>
      </c>
      <c r="O199" s="75">
        <v>0</v>
      </c>
      <c r="P199" s="75">
        <v>0</v>
      </c>
      <c r="Q199" s="75">
        <v>1</v>
      </c>
      <c r="R199" s="75">
        <v>26</v>
      </c>
      <c r="S199" s="75">
        <f>MAX(Table2[[#This Row],[volt-sbmu1]:[volt-sbmu5]])-MIN(Table2[[#This Row],[volt-sbmu1]:[volt-sbmu5]])</f>
        <v>0.70000000000004547</v>
      </c>
      <c r="T199" s="75">
        <f>MAX(Table2[[#This Row],[soc-sbmu1]:[soc-sbmu5]])-MIN(Table2[[#This Row],[soc-sbmu1]:[soc-sbmu5]])</f>
        <v>3.2999999999999972</v>
      </c>
      <c r="U199" s="75"/>
      <c r="V199" s="75"/>
    </row>
    <row r="200" spans="1:22">
      <c r="A200" t="s">
        <v>328</v>
      </c>
      <c r="B200" t="s">
        <v>608</v>
      </c>
      <c r="C200" s="75">
        <v>84.8</v>
      </c>
      <c r="D200" s="75">
        <v>1400.6</v>
      </c>
      <c r="E200" s="75">
        <v>85.1</v>
      </c>
      <c r="F200" s="75">
        <v>84.9</v>
      </c>
      <c r="G200" s="75">
        <v>85</v>
      </c>
      <c r="H200" s="75">
        <v>83.4</v>
      </c>
      <c r="I200" s="75">
        <v>84.9</v>
      </c>
      <c r="J200" s="83">
        <v>1400</v>
      </c>
      <c r="K200" s="83">
        <v>1400</v>
      </c>
      <c r="L200" s="83">
        <v>1400.4</v>
      </c>
      <c r="M200" s="83">
        <v>1400.1</v>
      </c>
      <c r="N200" s="83">
        <v>1401</v>
      </c>
      <c r="O200" s="75">
        <v>0</v>
      </c>
      <c r="P200" s="75">
        <v>0</v>
      </c>
      <c r="Q200" s="75">
        <v>1</v>
      </c>
      <c r="R200" s="75">
        <v>26</v>
      </c>
      <c r="S200" s="75">
        <f>MAX(Table2[[#This Row],[volt-sbmu1]:[volt-sbmu5]])-MIN(Table2[[#This Row],[volt-sbmu1]:[volt-sbmu5]])</f>
        <v>1</v>
      </c>
      <c r="T200" s="75">
        <f>MAX(Table2[[#This Row],[soc-sbmu1]:[soc-sbmu5]])-MIN(Table2[[#This Row],[soc-sbmu1]:[soc-sbmu5]])</f>
        <v>1.6999999999999886</v>
      </c>
      <c r="U200" s="75"/>
      <c r="V200" s="75"/>
    </row>
    <row r="201" spans="1:22">
      <c r="A201" t="s">
        <v>329</v>
      </c>
      <c r="B201" t="s">
        <v>609</v>
      </c>
      <c r="C201" s="75">
        <v>84.5</v>
      </c>
      <c r="D201" s="75">
        <v>1398.4</v>
      </c>
      <c r="E201" s="75">
        <v>82.6</v>
      </c>
      <c r="F201" s="75">
        <v>82.7</v>
      </c>
      <c r="G201" s="75">
        <v>85</v>
      </c>
      <c r="H201" s="75">
        <v>82.8</v>
      </c>
      <c r="I201" s="75">
        <v>82.3</v>
      </c>
      <c r="J201" s="83">
        <v>1397.8</v>
      </c>
      <c r="K201" s="83">
        <v>1399</v>
      </c>
      <c r="L201" s="83">
        <v>1397</v>
      </c>
      <c r="M201" s="83">
        <v>1398.1</v>
      </c>
      <c r="N201" s="83">
        <v>1397.9</v>
      </c>
      <c r="O201" s="75">
        <v>0</v>
      </c>
      <c r="P201" s="75">
        <v>0</v>
      </c>
      <c r="Q201" s="75">
        <v>1</v>
      </c>
      <c r="R201" s="75">
        <v>26</v>
      </c>
      <c r="S201" s="75">
        <f>MAX(Table2[[#This Row],[volt-sbmu1]:[volt-sbmu5]])-MIN(Table2[[#This Row],[volt-sbmu1]:[volt-sbmu5]])</f>
        <v>2</v>
      </c>
      <c r="T201" s="75">
        <f>MAX(Table2[[#This Row],[soc-sbmu1]:[soc-sbmu5]])-MIN(Table2[[#This Row],[soc-sbmu1]:[soc-sbmu5]])</f>
        <v>2.7000000000000028</v>
      </c>
      <c r="U201" s="75"/>
      <c r="V201" s="75"/>
    </row>
    <row r="202" spans="1:22">
      <c r="A202" t="s">
        <v>330</v>
      </c>
      <c r="B202" t="s">
        <v>610</v>
      </c>
      <c r="C202" s="75">
        <v>84.3</v>
      </c>
      <c r="D202" s="75">
        <v>1399.7</v>
      </c>
      <c r="E202" s="75">
        <v>83.5</v>
      </c>
      <c r="F202" s="75">
        <v>82.8</v>
      </c>
      <c r="G202" s="75">
        <v>84.8</v>
      </c>
      <c r="H202" s="75">
        <v>83.1</v>
      </c>
      <c r="I202" s="75">
        <v>82.2</v>
      </c>
      <c r="J202" s="83">
        <v>1399</v>
      </c>
      <c r="K202" s="83">
        <v>1398.7</v>
      </c>
      <c r="L202" s="83">
        <v>1399.7</v>
      </c>
      <c r="M202" s="83">
        <v>1399.4</v>
      </c>
      <c r="N202" s="83">
        <v>1399.8</v>
      </c>
      <c r="O202" s="75">
        <v>0</v>
      </c>
      <c r="P202" s="75">
        <v>0</v>
      </c>
      <c r="Q202" s="75">
        <v>1</v>
      </c>
      <c r="R202" s="75">
        <v>27</v>
      </c>
      <c r="S202" s="75">
        <f>MAX(Table2[[#This Row],[volt-sbmu1]:[volt-sbmu5]])-MIN(Table2[[#This Row],[volt-sbmu1]:[volt-sbmu5]])</f>
        <v>1.0999999999999091</v>
      </c>
      <c r="T202" s="75">
        <f>MAX(Table2[[#This Row],[soc-sbmu1]:[soc-sbmu5]])-MIN(Table2[[#This Row],[soc-sbmu1]:[soc-sbmu5]])</f>
        <v>2.5999999999999943</v>
      </c>
      <c r="U202" s="75"/>
      <c r="V202" s="75"/>
    </row>
    <row r="203" spans="1:22">
      <c r="A203" t="s">
        <v>331</v>
      </c>
      <c r="B203" t="s">
        <v>611</v>
      </c>
      <c r="C203" s="75">
        <v>85</v>
      </c>
      <c r="D203" s="75">
        <v>1399.2</v>
      </c>
      <c r="E203" s="75">
        <v>84.8</v>
      </c>
      <c r="F203" s="75">
        <v>83.2</v>
      </c>
      <c r="G203" s="75">
        <v>83.3</v>
      </c>
      <c r="H203" s="75">
        <v>83.5</v>
      </c>
      <c r="I203" s="75">
        <v>85.4</v>
      </c>
      <c r="J203" s="83">
        <v>1399.7</v>
      </c>
      <c r="K203" s="83">
        <v>1398.8</v>
      </c>
      <c r="L203" s="83">
        <v>1399.2</v>
      </c>
      <c r="M203" s="83">
        <v>1399.8</v>
      </c>
      <c r="N203" s="83">
        <v>1399.9</v>
      </c>
      <c r="O203" s="75">
        <v>0</v>
      </c>
      <c r="P203" s="75">
        <v>0</v>
      </c>
      <c r="Q203" s="75">
        <v>1</v>
      </c>
      <c r="R203" s="75">
        <v>26</v>
      </c>
      <c r="S203" s="75">
        <f>MAX(Table2[[#This Row],[volt-sbmu1]:[volt-sbmu5]])-MIN(Table2[[#This Row],[volt-sbmu1]:[volt-sbmu5]])</f>
        <v>1.1000000000001364</v>
      </c>
      <c r="T203" s="75">
        <f>MAX(Table2[[#This Row],[soc-sbmu1]:[soc-sbmu5]])-MIN(Table2[[#This Row],[soc-sbmu1]:[soc-sbmu5]])</f>
        <v>2.2000000000000028</v>
      </c>
      <c r="U203" s="75"/>
      <c r="V203" s="75"/>
    </row>
    <row r="204" spans="1:22">
      <c r="A204" t="s">
        <v>332</v>
      </c>
      <c r="B204" t="s">
        <v>612</v>
      </c>
      <c r="C204" s="75">
        <v>84.4</v>
      </c>
      <c r="D204" s="75">
        <v>1400</v>
      </c>
      <c r="E204" s="75">
        <v>84.9</v>
      </c>
      <c r="F204" s="75">
        <v>82.3</v>
      </c>
      <c r="G204" s="75">
        <v>83.8</v>
      </c>
      <c r="H204" s="75">
        <v>83.6</v>
      </c>
      <c r="I204" s="75">
        <v>83.5</v>
      </c>
      <c r="J204" s="83">
        <v>1399.5</v>
      </c>
      <c r="K204" s="83">
        <v>1401.4</v>
      </c>
      <c r="L204" s="83">
        <v>1399.3</v>
      </c>
      <c r="M204" s="83">
        <v>1400.3</v>
      </c>
      <c r="N204" s="83">
        <v>1399.4</v>
      </c>
      <c r="O204" s="75">
        <v>0</v>
      </c>
      <c r="P204" s="75">
        <v>0</v>
      </c>
      <c r="Q204" s="75">
        <v>1</v>
      </c>
      <c r="R204" s="75">
        <v>25</v>
      </c>
      <c r="S204" s="75">
        <f>MAX(Table2[[#This Row],[volt-sbmu1]:[volt-sbmu5]])-MIN(Table2[[#This Row],[volt-sbmu1]:[volt-sbmu5]])</f>
        <v>2.1000000000001364</v>
      </c>
      <c r="T204" s="75">
        <f>MAX(Table2[[#This Row],[soc-sbmu1]:[soc-sbmu5]])-MIN(Table2[[#This Row],[soc-sbmu1]:[soc-sbmu5]])</f>
        <v>2.6000000000000085</v>
      </c>
      <c r="U204" s="75"/>
      <c r="V204" s="75"/>
    </row>
    <row r="205" spans="1:22">
      <c r="A205" t="s">
        <v>333</v>
      </c>
      <c r="B205" t="s">
        <v>613</v>
      </c>
      <c r="C205" s="75">
        <v>84.7</v>
      </c>
      <c r="D205" s="75">
        <v>1399.2</v>
      </c>
      <c r="E205" s="75">
        <v>83.6</v>
      </c>
      <c r="F205" s="75">
        <v>84</v>
      </c>
      <c r="G205" s="75">
        <v>85</v>
      </c>
      <c r="H205" s="75">
        <v>83.3</v>
      </c>
      <c r="I205" s="75">
        <v>84</v>
      </c>
      <c r="J205" s="83">
        <v>1398.8</v>
      </c>
      <c r="K205" s="83">
        <v>1398.9</v>
      </c>
      <c r="L205" s="83">
        <v>1399.8</v>
      </c>
      <c r="M205" s="83">
        <v>1399.1</v>
      </c>
      <c r="N205" s="83">
        <v>1399.2</v>
      </c>
      <c r="O205" s="75">
        <v>0</v>
      </c>
      <c r="P205" s="75">
        <v>0</v>
      </c>
      <c r="Q205" s="75">
        <v>1</v>
      </c>
      <c r="R205" s="75">
        <v>25</v>
      </c>
      <c r="S205" s="75">
        <f>MAX(Table2[[#This Row],[volt-sbmu1]:[volt-sbmu5]])-MIN(Table2[[#This Row],[volt-sbmu1]:[volt-sbmu5]])</f>
        <v>1</v>
      </c>
      <c r="T205" s="75">
        <f>MAX(Table2[[#This Row],[soc-sbmu1]:[soc-sbmu5]])-MIN(Table2[[#This Row],[soc-sbmu1]:[soc-sbmu5]])</f>
        <v>1.7000000000000028</v>
      </c>
      <c r="U205" s="75"/>
      <c r="V205" s="75"/>
    </row>
    <row r="206" spans="1:22">
      <c r="A206" t="s">
        <v>334</v>
      </c>
      <c r="B206" t="s">
        <v>614</v>
      </c>
      <c r="C206" s="75">
        <v>84.6</v>
      </c>
      <c r="D206" s="75">
        <v>1399.4</v>
      </c>
      <c r="E206" s="75">
        <v>82.7</v>
      </c>
      <c r="F206" s="75">
        <v>83.5</v>
      </c>
      <c r="G206" s="75">
        <v>85.1</v>
      </c>
      <c r="H206" s="75">
        <v>82.6</v>
      </c>
      <c r="I206" s="75">
        <v>82.4</v>
      </c>
      <c r="J206" s="83">
        <v>1399.1</v>
      </c>
      <c r="K206" s="83">
        <v>1399.6</v>
      </c>
      <c r="L206" s="83">
        <v>1399.9</v>
      </c>
      <c r="M206" s="83">
        <v>1400.2</v>
      </c>
      <c r="N206" s="83">
        <v>1397.9</v>
      </c>
      <c r="O206" s="75">
        <v>0</v>
      </c>
      <c r="P206" s="75">
        <v>0</v>
      </c>
      <c r="Q206" s="75">
        <v>1</v>
      </c>
      <c r="R206" s="75">
        <v>30</v>
      </c>
      <c r="S206" s="75">
        <f>MAX(Table2[[#This Row],[volt-sbmu1]:[volt-sbmu5]])-MIN(Table2[[#This Row],[volt-sbmu1]:[volt-sbmu5]])</f>
        <v>2.2999999999999545</v>
      </c>
      <c r="T206" s="75">
        <f>MAX(Table2[[#This Row],[soc-sbmu1]:[soc-sbmu5]])-MIN(Table2[[#This Row],[soc-sbmu1]:[soc-sbmu5]])</f>
        <v>2.6999999999999886</v>
      </c>
      <c r="U206" s="75"/>
      <c r="V206" s="75"/>
    </row>
    <row r="207" spans="1:22">
      <c r="A207" t="s">
        <v>335</v>
      </c>
      <c r="B207" t="s">
        <v>615</v>
      </c>
      <c r="C207" s="75">
        <v>84.8</v>
      </c>
      <c r="D207" s="75">
        <v>1400.2</v>
      </c>
      <c r="E207" s="75">
        <v>84.6</v>
      </c>
      <c r="F207" s="75">
        <v>84.6</v>
      </c>
      <c r="G207" s="75">
        <v>84.7</v>
      </c>
      <c r="H207" s="75">
        <v>84.4</v>
      </c>
      <c r="I207" s="75">
        <v>84.9</v>
      </c>
      <c r="J207" s="83">
        <v>1400.6</v>
      </c>
      <c r="K207" s="83">
        <v>1400.8</v>
      </c>
      <c r="L207" s="83">
        <v>1399.5</v>
      </c>
      <c r="M207" s="83">
        <v>1399.3</v>
      </c>
      <c r="N207" s="83">
        <v>1399.5</v>
      </c>
      <c r="O207" s="75">
        <v>0</v>
      </c>
      <c r="P207" s="75">
        <v>0</v>
      </c>
      <c r="Q207" s="75">
        <v>1</v>
      </c>
      <c r="R207" s="75">
        <v>25</v>
      </c>
      <c r="S207" s="75">
        <f>MAX(Table2[[#This Row],[volt-sbmu1]:[volt-sbmu5]])-MIN(Table2[[#This Row],[volt-sbmu1]:[volt-sbmu5]])</f>
        <v>1.5</v>
      </c>
      <c r="T207" s="75">
        <f>MAX(Table2[[#This Row],[soc-sbmu1]:[soc-sbmu5]])-MIN(Table2[[#This Row],[soc-sbmu1]:[soc-sbmu5]])</f>
        <v>0.5</v>
      </c>
      <c r="U207" s="75"/>
      <c r="V207" s="75"/>
    </row>
    <row r="208" spans="1:22">
      <c r="A208" t="s">
        <v>336</v>
      </c>
      <c r="B208" t="s">
        <v>616</v>
      </c>
      <c r="C208" s="75">
        <v>85.1</v>
      </c>
      <c r="D208" s="75">
        <v>1400.3</v>
      </c>
      <c r="E208" s="75">
        <v>83.8</v>
      </c>
      <c r="F208" s="75">
        <v>85.4</v>
      </c>
      <c r="G208" s="75">
        <v>84.6</v>
      </c>
      <c r="H208" s="75">
        <v>83.8</v>
      </c>
      <c r="I208" s="75">
        <v>83.9</v>
      </c>
      <c r="J208" s="83">
        <v>1400.4</v>
      </c>
      <c r="K208" s="83">
        <v>1400</v>
      </c>
      <c r="L208" s="83">
        <v>1400.4</v>
      </c>
      <c r="M208" s="83">
        <v>1399.1</v>
      </c>
      <c r="N208" s="83">
        <v>1399.8</v>
      </c>
      <c r="O208" s="75">
        <v>0</v>
      </c>
      <c r="P208" s="75">
        <v>0</v>
      </c>
      <c r="Q208" s="75">
        <v>1</v>
      </c>
      <c r="R208" s="75">
        <v>27</v>
      </c>
      <c r="S208" s="75">
        <f>MAX(Table2[[#This Row],[volt-sbmu1]:[volt-sbmu5]])-MIN(Table2[[#This Row],[volt-sbmu1]:[volt-sbmu5]])</f>
        <v>1.3000000000001819</v>
      </c>
      <c r="T208" s="75">
        <f>MAX(Table2[[#This Row],[soc-sbmu1]:[soc-sbmu5]])-MIN(Table2[[#This Row],[soc-sbmu1]:[soc-sbmu5]])</f>
        <v>1.6000000000000085</v>
      </c>
      <c r="U208" s="75"/>
      <c r="V208" s="75"/>
    </row>
    <row r="209" spans="1:22">
      <c r="A209" t="s">
        <v>337</v>
      </c>
      <c r="B209" t="s">
        <v>617</v>
      </c>
      <c r="C209" s="75">
        <v>84.9</v>
      </c>
      <c r="D209" s="75">
        <v>1400.3</v>
      </c>
      <c r="E209" s="75">
        <v>85.1</v>
      </c>
      <c r="F209" s="75">
        <v>85.1</v>
      </c>
      <c r="G209" s="75">
        <v>84</v>
      </c>
      <c r="H209" s="75">
        <v>84.9</v>
      </c>
      <c r="I209" s="75">
        <v>84.7</v>
      </c>
      <c r="J209" s="83">
        <v>1400.6</v>
      </c>
      <c r="K209" s="83">
        <v>1399.9</v>
      </c>
      <c r="L209" s="83">
        <v>1401.1</v>
      </c>
      <c r="M209" s="83">
        <v>1400.4</v>
      </c>
      <c r="N209" s="83">
        <v>1400.7</v>
      </c>
      <c r="O209" s="75">
        <v>0</v>
      </c>
      <c r="P209" s="75">
        <v>0</v>
      </c>
      <c r="Q209" s="75">
        <v>1</v>
      </c>
      <c r="R209" s="75">
        <v>25</v>
      </c>
      <c r="S209" s="75">
        <f>MAX(Table2[[#This Row],[volt-sbmu1]:[volt-sbmu5]])-MIN(Table2[[#This Row],[volt-sbmu1]:[volt-sbmu5]])</f>
        <v>1.1999999999998181</v>
      </c>
      <c r="T209" s="75">
        <f>MAX(Table2[[#This Row],[soc-sbmu1]:[soc-sbmu5]])-MIN(Table2[[#This Row],[soc-sbmu1]:[soc-sbmu5]])</f>
        <v>1.0999999999999943</v>
      </c>
      <c r="U209" s="75"/>
      <c r="V209" s="75"/>
    </row>
    <row r="210" spans="1:22">
      <c r="A210" t="s">
        <v>338</v>
      </c>
      <c r="B210" t="s">
        <v>618</v>
      </c>
      <c r="C210" s="75">
        <v>84.8</v>
      </c>
      <c r="D210" s="75">
        <v>1400.4</v>
      </c>
      <c r="E210" s="75">
        <v>85</v>
      </c>
      <c r="F210" s="75">
        <v>84.8</v>
      </c>
      <c r="G210" s="75">
        <v>84.7</v>
      </c>
      <c r="H210" s="75">
        <v>84.9</v>
      </c>
      <c r="I210" s="75">
        <v>84</v>
      </c>
      <c r="J210" s="83">
        <v>1400.8</v>
      </c>
      <c r="K210" s="83">
        <v>1400.9</v>
      </c>
      <c r="L210" s="83">
        <v>1399.9</v>
      </c>
      <c r="M210" s="83">
        <v>1400.8</v>
      </c>
      <c r="N210" s="83">
        <v>1401</v>
      </c>
      <c r="O210" s="75">
        <v>0</v>
      </c>
      <c r="P210" s="75">
        <v>0</v>
      </c>
      <c r="Q210" s="75">
        <v>1</v>
      </c>
      <c r="R210" s="75">
        <v>27</v>
      </c>
      <c r="S210" s="75">
        <f>MAX(Table2[[#This Row],[volt-sbmu1]:[volt-sbmu5]])-MIN(Table2[[#This Row],[volt-sbmu1]:[volt-sbmu5]])</f>
        <v>1.0999999999999091</v>
      </c>
      <c r="T210" s="75">
        <f>MAX(Table2[[#This Row],[soc-sbmu1]:[soc-sbmu5]])-MIN(Table2[[#This Row],[soc-sbmu1]:[soc-sbmu5]])</f>
        <v>1</v>
      </c>
      <c r="U210" s="75"/>
      <c r="V210" s="75"/>
    </row>
    <row r="211" spans="1:22">
      <c r="A211" t="s">
        <v>339</v>
      </c>
      <c r="B211" t="s">
        <v>619</v>
      </c>
      <c r="C211" s="75">
        <v>85</v>
      </c>
      <c r="D211" s="75">
        <v>1399.6</v>
      </c>
      <c r="E211" s="75">
        <v>85.4</v>
      </c>
      <c r="F211" s="75">
        <v>83.5</v>
      </c>
      <c r="G211" s="75">
        <v>83.6</v>
      </c>
      <c r="H211" s="75">
        <v>83</v>
      </c>
      <c r="I211" s="75">
        <v>83.4</v>
      </c>
      <c r="J211" s="83">
        <v>1399.4</v>
      </c>
      <c r="K211" s="83">
        <v>1399.6</v>
      </c>
      <c r="L211" s="83">
        <v>1399.7</v>
      </c>
      <c r="M211" s="83">
        <v>1399.4</v>
      </c>
      <c r="N211" s="83">
        <v>1398.6</v>
      </c>
      <c r="O211" s="75">
        <v>0</v>
      </c>
      <c r="P211" s="75">
        <v>0</v>
      </c>
      <c r="Q211" s="75">
        <v>1</v>
      </c>
      <c r="R211" s="75">
        <v>26</v>
      </c>
      <c r="S211" s="75">
        <f>MAX(Table2[[#This Row],[volt-sbmu1]:[volt-sbmu5]])-MIN(Table2[[#This Row],[volt-sbmu1]:[volt-sbmu5]])</f>
        <v>1.1000000000001364</v>
      </c>
      <c r="T211" s="75">
        <f>MAX(Table2[[#This Row],[soc-sbmu1]:[soc-sbmu5]])-MIN(Table2[[#This Row],[soc-sbmu1]:[soc-sbmu5]])</f>
        <v>2.4000000000000057</v>
      </c>
      <c r="U211" s="75"/>
      <c r="V211" s="75"/>
    </row>
    <row r="212" spans="1:22">
      <c r="A212" t="s">
        <v>340</v>
      </c>
      <c r="B212" t="s">
        <v>620</v>
      </c>
      <c r="C212" s="75">
        <v>85.1</v>
      </c>
      <c r="D212" s="75">
        <v>1398.7</v>
      </c>
      <c r="E212" s="75">
        <v>85.5</v>
      </c>
      <c r="F212" s="75">
        <v>83.1</v>
      </c>
      <c r="G212" s="75">
        <v>84</v>
      </c>
      <c r="H212" s="75">
        <v>84.1</v>
      </c>
      <c r="I212" s="75">
        <v>83.8</v>
      </c>
      <c r="J212" s="83">
        <v>1399.2</v>
      </c>
      <c r="K212" s="83">
        <v>1398.5</v>
      </c>
      <c r="L212" s="83">
        <v>1397.3</v>
      </c>
      <c r="M212" s="83">
        <v>1398.5</v>
      </c>
      <c r="N212" s="83">
        <v>1398.5</v>
      </c>
      <c r="O212" s="75">
        <v>0</v>
      </c>
      <c r="P212" s="75">
        <v>0</v>
      </c>
      <c r="Q212" s="75">
        <v>1</v>
      </c>
      <c r="R212" s="75">
        <v>25</v>
      </c>
      <c r="S212" s="75">
        <f>MAX(Table2[[#This Row],[volt-sbmu1]:[volt-sbmu5]])-MIN(Table2[[#This Row],[volt-sbmu1]:[volt-sbmu5]])</f>
        <v>1.9000000000000909</v>
      </c>
      <c r="T212" s="75">
        <f>MAX(Table2[[#This Row],[soc-sbmu1]:[soc-sbmu5]])-MIN(Table2[[#This Row],[soc-sbmu1]:[soc-sbmu5]])</f>
        <v>2.4000000000000057</v>
      </c>
      <c r="U212" s="75"/>
      <c r="V212" s="75"/>
    </row>
    <row r="213" spans="1:22">
      <c r="A213" t="s">
        <v>341</v>
      </c>
      <c r="B213" t="s">
        <v>621</v>
      </c>
      <c r="C213" s="75">
        <v>83.8</v>
      </c>
      <c r="D213" s="75">
        <v>1399.2</v>
      </c>
      <c r="E213" s="75">
        <v>82.1</v>
      </c>
      <c r="F213" s="75">
        <v>82.1</v>
      </c>
      <c r="G213" s="75">
        <v>84.2</v>
      </c>
      <c r="H213" s="75">
        <v>81.900000000000006</v>
      </c>
      <c r="I213" s="75">
        <v>81.900000000000006</v>
      </c>
      <c r="J213" s="83">
        <v>1399.6</v>
      </c>
      <c r="K213" s="83">
        <v>1399.7</v>
      </c>
      <c r="L213" s="83">
        <v>1398.9</v>
      </c>
      <c r="M213" s="83">
        <v>1399</v>
      </c>
      <c r="N213" s="83">
        <v>1400</v>
      </c>
      <c r="O213" s="75">
        <v>0</v>
      </c>
      <c r="P213" s="75">
        <v>0</v>
      </c>
      <c r="Q213" s="75">
        <v>1</v>
      </c>
      <c r="R213" s="75">
        <v>26</v>
      </c>
      <c r="S213" s="75">
        <f>MAX(Table2[[#This Row],[volt-sbmu1]:[volt-sbmu5]])-MIN(Table2[[#This Row],[volt-sbmu1]:[volt-sbmu5]])</f>
        <v>1.0999999999999091</v>
      </c>
      <c r="T213" s="75">
        <f>MAX(Table2[[#This Row],[soc-sbmu1]:[soc-sbmu5]])-MIN(Table2[[#This Row],[soc-sbmu1]:[soc-sbmu5]])</f>
        <v>2.2999999999999972</v>
      </c>
      <c r="U213" s="75"/>
      <c r="V213" s="75"/>
    </row>
    <row r="214" spans="1:22">
      <c r="A214" t="s">
        <v>342</v>
      </c>
      <c r="B214" t="s">
        <v>622</v>
      </c>
      <c r="C214" s="75">
        <v>84.9</v>
      </c>
      <c r="D214" s="75">
        <v>1400.2</v>
      </c>
      <c r="E214" s="75">
        <v>83.2</v>
      </c>
      <c r="F214" s="75">
        <v>84.4</v>
      </c>
      <c r="G214" s="75">
        <v>85.3</v>
      </c>
      <c r="H214" s="75">
        <v>84.4</v>
      </c>
      <c r="I214" s="75">
        <v>84.4</v>
      </c>
      <c r="J214" s="83">
        <v>1400</v>
      </c>
      <c r="K214" s="83">
        <v>1399.9</v>
      </c>
      <c r="L214" s="83">
        <v>1400.4</v>
      </c>
      <c r="M214" s="83">
        <v>1399</v>
      </c>
      <c r="N214" s="83">
        <v>1401.7</v>
      </c>
      <c r="O214" s="75">
        <v>0</v>
      </c>
      <c r="P214" s="75">
        <v>0</v>
      </c>
      <c r="Q214" s="75">
        <v>1</v>
      </c>
      <c r="R214" s="75">
        <v>30</v>
      </c>
      <c r="S214" s="75">
        <f>MAX(Table2[[#This Row],[volt-sbmu1]:[volt-sbmu5]])-MIN(Table2[[#This Row],[volt-sbmu1]:[volt-sbmu5]])</f>
        <v>2.7000000000000455</v>
      </c>
      <c r="T214" s="75">
        <f>MAX(Table2[[#This Row],[soc-sbmu1]:[soc-sbmu5]])-MIN(Table2[[#This Row],[soc-sbmu1]:[soc-sbmu5]])</f>
        <v>2.0999999999999943</v>
      </c>
      <c r="U214" s="75"/>
      <c r="V214" s="75"/>
    </row>
    <row r="215" spans="1:22">
      <c r="A215" t="s">
        <v>343</v>
      </c>
      <c r="B215" t="s">
        <v>623</v>
      </c>
      <c r="C215" s="75">
        <v>84.4</v>
      </c>
      <c r="D215" s="75">
        <v>1398.9</v>
      </c>
      <c r="E215" s="75">
        <v>84.3</v>
      </c>
      <c r="F215" s="75">
        <v>83.7</v>
      </c>
      <c r="G215" s="75">
        <v>84.6</v>
      </c>
      <c r="H215" s="75">
        <v>84.3</v>
      </c>
      <c r="I215" s="75">
        <v>84.5</v>
      </c>
      <c r="J215" s="83">
        <v>1399.5</v>
      </c>
      <c r="K215" s="83">
        <v>1398.4</v>
      </c>
      <c r="L215" s="83">
        <v>1399.1</v>
      </c>
      <c r="M215" s="83">
        <v>1398.3</v>
      </c>
      <c r="N215" s="83">
        <v>1398.9</v>
      </c>
      <c r="O215" s="75">
        <v>0</v>
      </c>
      <c r="P215" s="75">
        <v>0</v>
      </c>
      <c r="Q215" s="75">
        <v>1</v>
      </c>
      <c r="R215" s="75">
        <v>24</v>
      </c>
      <c r="S215" s="75">
        <f>MAX(Table2[[#This Row],[volt-sbmu1]:[volt-sbmu5]])-MIN(Table2[[#This Row],[volt-sbmu1]:[volt-sbmu5]])</f>
        <v>1.2000000000000455</v>
      </c>
      <c r="T215" s="75">
        <f>MAX(Table2[[#This Row],[soc-sbmu1]:[soc-sbmu5]])-MIN(Table2[[#This Row],[soc-sbmu1]:[soc-sbmu5]])</f>
        <v>0.89999999999999147</v>
      </c>
      <c r="U215" s="75"/>
      <c r="V215" s="75"/>
    </row>
    <row r="216" spans="1:22">
      <c r="A216" t="s">
        <v>344</v>
      </c>
      <c r="B216" t="s">
        <v>624</v>
      </c>
      <c r="C216" s="75">
        <v>84.1</v>
      </c>
      <c r="D216" s="75">
        <v>1399.3</v>
      </c>
      <c r="E216" s="75">
        <v>84.2</v>
      </c>
      <c r="F216" s="75">
        <v>83.8</v>
      </c>
      <c r="G216" s="75">
        <v>83.5</v>
      </c>
      <c r="H216" s="75">
        <v>84.3</v>
      </c>
      <c r="I216" s="75">
        <v>83.7</v>
      </c>
      <c r="J216" s="83">
        <v>1400</v>
      </c>
      <c r="K216" s="83">
        <v>1398.3</v>
      </c>
      <c r="L216" s="83">
        <v>1398.2</v>
      </c>
      <c r="M216" s="83">
        <v>1400.7</v>
      </c>
      <c r="N216" s="83">
        <v>1399.6</v>
      </c>
      <c r="O216" s="75">
        <v>0</v>
      </c>
      <c r="P216" s="75">
        <v>0</v>
      </c>
      <c r="Q216" s="75">
        <v>1</v>
      </c>
      <c r="R216" s="75">
        <v>25</v>
      </c>
      <c r="S216" s="75">
        <f>MAX(Table2[[#This Row],[volt-sbmu1]:[volt-sbmu5]])-MIN(Table2[[#This Row],[volt-sbmu1]:[volt-sbmu5]])</f>
        <v>2.5</v>
      </c>
      <c r="T216" s="75">
        <f>MAX(Table2[[#This Row],[soc-sbmu1]:[soc-sbmu5]])-MIN(Table2[[#This Row],[soc-sbmu1]:[soc-sbmu5]])</f>
        <v>0.79999999999999716</v>
      </c>
      <c r="U216" s="75"/>
      <c r="V216" s="75"/>
    </row>
    <row r="217" spans="1:22">
      <c r="A217" t="s">
        <v>345</v>
      </c>
      <c r="B217" t="s">
        <v>625</v>
      </c>
      <c r="C217" s="75">
        <v>84.9</v>
      </c>
      <c r="D217" s="75">
        <v>1399.2</v>
      </c>
      <c r="E217" s="75">
        <v>83</v>
      </c>
      <c r="F217" s="75">
        <v>82.7</v>
      </c>
      <c r="G217" s="75">
        <v>85.4</v>
      </c>
      <c r="H217" s="75">
        <v>83.3</v>
      </c>
      <c r="I217" s="75">
        <v>83.2</v>
      </c>
      <c r="J217" s="83">
        <v>1401.9</v>
      </c>
      <c r="K217" s="83">
        <v>1399.2</v>
      </c>
      <c r="L217" s="83">
        <v>1398.6</v>
      </c>
      <c r="M217" s="83">
        <v>1398.7</v>
      </c>
      <c r="N217" s="83">
        <v>1398.3</v>
      </c>
      <c r="O217" s="75">
        <v>0</v>
      </c>
      <c r="P217" s="75">
        <v>0</v>
      </c>
      <c r="Q217" s="75">
        <v>1</v>
      </c>
      <c r="R217" s="75">
        <v>25</v>
      </c>
      <c r="S217" s="75">
        <f>MAX(Table2[[#This Row],[volt-sbmu1]:[volt-sbmu5]])-MIN(Table2[[#This Row],[volt-sbmu1]:[volt-sbmu5]])</f>
        <v>3.6000000000001364</v>
      </c>
      <c r="T217" s="75">
        <f>MAX(Table2[[#This Row],[soc-sbmu1]:[soc-sbmu5]])-MIN(Table2[[#This Row],[soc-sbmu1]:[soc-sbmu5]])</f>
        <v>2.7000000000000028</v>
      </c>
      <c r="U217" s="75"/>
      <c r="V217" s="75"/>
    </row>
    <row r="218" spans="1:22">
      <c r="A218" t="s">
        <v>346</v>
      </c>
      <c r="B218" t="s">
        <v>626</v>
      </c>
      <c r="C218" s="75">
        <v>84.8</v>
      </c>
      <c r="D218" s="75">
        <v>1399.3</v>
      </c>
      <c r="E218" s="75">
        <v>83.3</v>
      </c>
      <c r="F218" s="75">
        <v>85.2</v>
      </c>
      <c r="G218" s="75">
        <v>83.3</v>
      </c>
      <c r="H218" s="75">
        <v>83</v>
      </c>
      <c r="I218" s="75">
        <v>83</v>
      </c>
      <c r="J218" s="83">
        <v>1399.6</v>
      </c>
      <c r="K218" s="83">
        <v>1398.8</v>
      </c>
      <c r="L218" s="83">
        <v>1399.8</v>
      </c>
      <c r="M218" s="83">
        <v>1398.4</v>
      </c>
      <c r="N218" s="83">
        <v>1398.7</v>
      </c>
      <c r="O218" s="75">
        <v>0</v>
      </c>
      <c r="P218" s="75">
        <v>0</v>
      </c>
      <c r="Q218" s="75">
        <v>1</v>
      </c>
      <c r="R218" s="75">
        <v>26</v>
      </c>
      <c r="S218" s="75">
        <f>MAX(Table2[[#This Row],[volt-sbmu1]:[volt-sbmu5]])-MIN(Table2[[#This Row],[volt-sbmu1]:[volt-sbmu5]])</f>
        <v>1.3999999999998636</v>
      </c>
      <c r="T218" s="75">
        <f>MAX(Table2[[#This Row],[soc-sbmu1]:[soc-sbmu5]])-MIN(Table2[[#This Row],[soc-sbmu1]:[soc-sbmu5]])</f>
        <v>2.2000000000000028</v>
      </c>
      <c r="U218" s="75"/>
      <c r="V218" s="75"/>
    </row>
    <row r="219" spans="1:22">
      <c r="A219" t="s">
        <v>347</v>
      </c>
      <c r="B219" t="s">
        <v>407</v>
      </c>
      <c r="C219" s="75">
        <v>84.8</v>
      </c>
      <c r="D219" s="75">
        <v>1399.2</v>
      </c>
      <c r="E219" s="75">
        <v>84.3</v>
      </c>
      <c r="F219" s="75">
        <v>82.8</v>
      </c>
      <c r="G219" s="75">
        <v>84.1</v>
      </c>
      <c r="H219" s="75">
        <v>83.3</v>
      </c>
      <c r="I219" s="75">
        <v>85.2</v>
      </c>
      <c r="J219" s="83">
        <v>1398.3</v>
      </c>
      <c r="K219" s="83">
        <v>1399.9</v>
      </c>
      <c r="L219" s="83">
        <v>1399.3</v>
      </c>
      <c r="M219" s="83">
        <v>1400.7</v>
      </c>
      <c r="N219" s="83">
        <v>1399.7</v>
      </c>
      <c r="O219" s="75">
        <v>0</v>
      </c>
      <c r="P219" s="75">
        <v>0</v>
      </c>
      <c r="Q219" s="75">
        <v>1</v>
      </c>
      <c r="R219" s="75">
        <v>26</v>
      </c>
      <c r="S219" s="75">
        <f>MAX(Table2[[#This Row],[volt-sbmu1]:[volt-sbmu5]])-MIN(Table2[[#This Row],[volt-sbmu1]:[volt-sbmu5]])</f>
        <v>2.4000000000000909</v>
      </c>
      <c r="T219" s="75">
        <f>MAX(Table2[[#This Row],[soc-sbmu1]:[soc-sbmu5]])-MIN(Table2[[#This Row],[soc-sbmu1]:[soc-sbmu5]])</f>
        <v>2.4000000000000057</v>
      </c>
      <c r="U219" s="75"/>
      <c r="V219" s="75"/>
    </row>
    <row r="220" spans="1:22">
      <c r="A220" t="s">
        <v>348</v>
      </c>
      <c r="B220" t="s">
        <v>406</v>
      </c>
      <c r="C220" s="75">
        <v>84.9</v>
      </c>
      <c r="D220" s="75">
        <v>1399.1</v>
      </c>
      <c r="E220" s="75">
        <v>82.7</v>
      </c>
      <c r="F220" s="75">
        <v>83</v>
      </c>
      <c r="G220" s="75">
        <v>83</v>
      </c>
      <c r="H220" s="75">
        <v>85.3</v>
      </c>
      <c r="I220" s="75">
        <v>83.1</v>
      </c>
      <c r="J220" s="83">
        <v>1398.4</v>
      </c>
      <c r="K220" s="83">
        <v>1398.8</v>
      </c>
      <c r="L220" s="83">
        <v>1397.7</v>
      </c>
      <c r="M220" s="83">
        <v>1399.3</v>
      </c>
      <c r="N220" s="83">
        <v>1397.9</v>
      </c>
      <c r="O220" s="75">
        <v>0</v>
      </c>
      <c r="P220" s="75">
        <v>0</v>
      </c>
      <c r="Q220" s="75">
        <v>1</v>
      </c>
      <c r="R220" s="75">
        <v>26</v>
      </c>
      <c r="S220" s="75">
        <f>MAX(Table2[[#This Row],[volt-sbmu1]:[volt-sbmu5]])-MIN(Table2[[#This Row],[volt-sbmu1]:[volt-sbmu5]])</f>
        <v>1.5999999999999091</v>
      </c>
      <c r="T220" s="75">
        <f>MAX(Table2[[#This Row],[soc-sbmu1]:[soc-sbmu5]])-MIN(Table2[[#This Row],[soc-sbmu1]:[soc-sbmu5]])</f>
        <v>2.5999999999999943</v>
      </c>
      <c r="U220" s="75"/>
      <c r="V220" s="75"/>
    </row>
    <row r="221" spans="1:22">
      <c r="A221" t="s">
        <v>349</v>
      </c>
      <c r="B221" t="s">
        <v>405</v>
      </c>
      <c r="C221" s="75">
        <v>84.8</v>
      </c>
      <c r="D221" s="75">
        <v>1400.2</v>
      </c>
      <c r="E221" s="75">
        <v>84.3</v>
      </c>
      <c r="F221" s="75">
        <v>84</v>
      </c>
      <c r="G221" s="75">
        <v>84.4</v>
      </c>
      <c r="H221" s="75">
        <v>85.2</v>
      </c>
      <c r="I221" s="75">
        <v>82.9</v>
      </c>
      <c r="J221" s="83">
        <v>1400.2</v>
      </c>
      <c r="K221" s="83">
        <v>1400</v>
      </c>
      <c r="L221" s="83">
        <v>1400.5</v>
      </c>
      <c r="M221" s="83">
        <v>1401.2</v>
      </c>
      <c r="N221" s="83">
        <v>1399.4</v>
      </c>
      <c r="O221" s="75">
        <v>0</v>
      </c>
      <c r="P221" s="75">
        <v>0</v>
      </c>
      <c r="Q221" s="75">
        <v>1</v>
      </c>
      <c r="R221" s="75">
        <v>27</v>
      </c>
      <c r="S221" s="75">
        <f>MAX(Table2[[#This Row],[volt-sbmu1]:[volt-sbmu5]])-MIN(Table2[[#This Row],[volt-sbmu1]:[volt-sbmu5]])</f>
        <v>1.7999999999999545</v>
      </c>
      <c r="T221" s="75">
        <f>MAX(Table2[[#This Row],[soc-sbmu1]:[soc-sbmu5]])-MIN(Table2[[#This Row],[soc-sbmu1]:[soc-sbmu5]])</f>
        <v>2.2999999999999972</v>
      </c>
      <c r="U221" s="75"/>
      <c r="V221" s="75"/>
    </row>
    <row r="222" spans="1:22">
      <c r="A222" t="s">
        <v>350</v>
      </c>
      <c r="B222" t="s">
        <v>404</v>
      </c>
      <c r="C222" s="75">
        <v>85.2</v>
      </c>
      <c r="D222" s="75">
        <v>1400.1</v>
      </c>
      <c r="E222" s="75">
        <v>84</v>
      </c>
      <c r="F222" s="75">
        <v>84.4</v>
      </c>
      <c r="G222" s="75">
        <v>82.8</v>
      </c>
      <c r="H222" s="75">
        <v>85.7</v>
      </c>
      <c r="I222" s="75">
        <v>83.4</v>
      </c>
      <c r="J222" s="83">
        <v>1400.6</v>
      </c>
      <c r="K222" s="83">
        <v>1399.4</v>
      </c>
      <c r="L222" s="83">
        <v>1399.1</v>
      </c>
      <c r="M222" s="83">
        <v>1400.2</v>
      </c>
      <c r="N222" s="83">
        <v>1400.5</v>
      </c>
      <c r="O222" s="75">
        <v>0</v>
      </c>
      <c r="P222" s="75">
        <v>0</v>
      </c>
      <c r="Q222" s="75">
        <v>1</v>
      </c>
      <c r="R222" s="75">
        <v>27</v>
      </c>
      <c r="S222" s="75">
        <f>MAX(Table2[[#This Row],[volt-sbmu1]:[volt-sbmu5]])-MIN(Table2[[#This Row],[volt-sbmu1]:[volt-sbmu5]])</f>
        <v>1.5</v>
      </c>
      <c r="T222" s="75">
        <f>MAX(Table2[[#This Row],[soc-sbmu1]:[soc-sbmu5]])-MIN(Table2[[#This Row],[soc-sbmu1]:[soc-sbmu5]])</f>
        <v>2.9000000000000057</v>
      </c>
      <c r="U222" s="75"/>
      <c r="V222" s="75"/>
    </row>
    <row r="223" spans="1:22">
      <c r="A223" t="s">
        <v>351</v>
      </c>
      <c r="B223" t="s">
        <v>627</v>
      </c>
      <c r="C223" s="75">
        <v>84.8</v>
      </c>
      <c r="D223" s="75">
        <v>1400.3</v>
      </c>
      <c r="E223" s="75">
        <v>84.1</v>
      </c>
      <c r="F223" s="75">
        <v>84.5</v>
      </c>
      <c r="G223" s="75">
        <v>85</v>
      </c>
      <c r="H223" s="75">
        <v>83.9</v>
      </c>
      <c r="I223" s="75">
        <v>85</v>
      </c>
      <c r="J223" s="83">
        <v>1401.1</v>
      </c>
      <c r="K223" s="83">
        <v>1401.2</v>
      </c>
      <c r="L223" s="83">
        <v>1401.4</v>
      </c>
      <c r="M223" s="83">
        <v>1398.2</v>
      </c>
      <c r="N223" s="83">
        <v>1401</v>
      </c>
      <c r="O223" s="75">
        <v>0</v>
      </c>
      <c r="P223" s="75">
        <v>0</v>
      </c>
      <c r="Q223" s="75">
        <v>1</v>
      </c>
      <c r="R223" s="75">
        <v>27</v>
      </c>
      <c r="S223" s="75">
        <f>MAX(Table2[[#This Row],[volt-sbmu1]:[volt-sbmu5]])-MIN(Table2[[#This Row],[volt-sbmu1]:[volt-sbmu5]])</f>
        <v>3.2000000000000455</v>
      </c>
      <c r="T223" s="75">
        <f>MAX(Table2[[#This Row],[soc-sbmu1]:[soc-sbmu5]])-MIN(Table2[[#This Row],[soc-sbmu1]:[soc-sbmu5]])</f>
        <v>1.0999999999999943</v>
      </c>
      <c r="U223" s="75"/>
      <c r="V223" s="75"/>
    </row>
    <row r="224" spans="1:22">
      <c r="A224" t="s">
        <v>352</v>
      </c>
      <c r="B224" t="s">
        <v>628</v>
      </c>
      <c r="C224" s="75">
        <v>99.6</v>
      </c>
      <c r="D224" s="75">
        <v>1384.1</v>
      </c>
      <c r="E224" s="75">
        <v>99.7</v>
      </c>
      <c r="F224" s="75">
        <v>99.7</v>
      </c>
      <c r="G224" s="75">
        <v>99.7</v>
      </c>
      <c r="H224" s="75">
        <v>98.8</v>
      </c>
      <c r="I224" s="75">
        <v>99.7</v>
      </c>
      <c r="J224" s="83">
        <v>1384.5</v>
      </c>
      <c r="K224" s="83">
        <v>1384.1</v>
      </c>
      <c r="L224" s="83">
        <v>1384.8</v>
      </c>
      <c r="M224" s="83">
        <v>1383.2</v>
      </c>
      <c r="N224" s="83">
        <v>1383.6</v>
      </c>
      <c r="O224" s="75">
        <v>0</v>
      </c>
      <c r="P224" s="75">
        <v>0</v>
      </c>
      <c r="Q224" s="75">
        <v>2</v>
      </c>
      <c r="R224" s="75">
        <v>26</v>
      </c>
      <c r="S224" s="75">
        <f>MAX(Table2[[#This Row],[volt-sbmu1]:[volt-sbmu5]])-MIN(Table2[[#This Row],[volt-sbmu1]:[volt-sbmu5]])</f>
        <v>1.5999999999999091</v>
      </c>
      <c r="T224" s="75">
        <f>MAX(Table2[[#This Row],[soc-sbmu1]:[soc-sbmu5]])-MIN(Table2[[#This Row],[soc-sbmu1]:[soc-sbmu5]])</f>
        <v>0.90000000000000568</v>
      </c>
      <c r="U224" s="75"/>
      <c r="V224" s="75"/>
    </row>
    <row r="225" spans="1:22">
      <c r="A225" t="s">
        <v>353</v>
      </c>
      <c r="B225" t="s">
        <v>629</v>
      </c>
      <c r="C225" s="75">
        <v>85.9</v>
      </c>
      <c r="D225" s="75">
        <v>1400.1</v>
      </c>
      <c r="E225" s="75">
        <v>86.3</v>
      </c>
      <c r="F225" s="75">
        <v>83.8</v>
      </c>
      <c r="G225" s="75">
        <v>84</v>
      </c>
      <c r="H225" s="75">
        <v>84.2</v>
      </c>
      <c r="I225" s="75">
        <v>84.4</v>
      </c>
      <c r="J225" s="83">
        <v>1400</v>
      </c>
      <c r="K225" s="83">
        <v>1400.8</v>
      </c>
      <c r="L225" s="83">
        <v>1399.8</v>
      </c>
      <c r="M225" s="83">
        <v>1400.9</v>
      </c>
      <c r="N225" s="83">
        <v>1400.6</v>
      </c>
      <c r="O225" s="75">
        <v>0</v>
      </c>
      <c r="P225" s="75">
        <v>0</v>
      </c>
      <c r="Q225" s="75">
        <v>1</v>
      </c>
      <c r="R225" s="75">
        <v>27</v>
      </c>
      <c r="S225" s="75">
        <f>MAX(Table2[[#This Row],[volt-sbmu1]:[volt-sbmu5]])-MIN(Table2[[#This Row],[volt-sbmu1]:[volt-sbmu5]])</f>
        <v>1.1000000000001364</v>
      </c>
      <c r="T225" s="75">
        <f>MAX(Table2[[#This Row],[soc-sbmu1]:[soc-sbmu5]])-MIN(Table2[[#This Row],[soc-sbmu1]:[soc-sbmu5]])</f>
        <v>2.5</v>
      </c>
      <c r="U225" s="75"/>
      <c r="V225" s="75"/>
    </row>
    <row r="226" spans="1:22">
      <c r="A226" t="s">
        <v>354</v>
      </c>
      <c r="B226" t="s">
        <v>630</v>
      </c>
      <c r="C226" s="75">
        <v>86.1</v>
      </c>
      <c r="D226" s="75">
        <v>1400.4</v>
      </c>
      <c r="E226" s="75">
        <v>86.6</v>
      </c>
      <c r="F226" s="75">
        <v>84.3</v>
      </c>
      <c r="G226" s="75">
        <v>83.7</v>
      </c>
      <c r="H226" s="75">
        <v>83.9</v>
      </c>
      <c r="I226" s="75">
        <v>83.8</v>
      </c>
      <c r="J226" s="83">
        <v>1399.8</v>
      </c>
      <c r="K226" s="83">
        <v>1400.8</v>
      </c>
      <c r="L226" s="83">
        <v>1400.2</v>
      </c>
      <c r="M226" s="83">
        <v>1399.6</v>
      </c>
      <c r="N226" s="83">
        <v>1399.5</v>
      </c>
      <c r="O226" s="75">
        <v>0</v>
      </c>
      <c r="P226" s="75">
        <v>0</v>
      </c>
      <c r="Q226" s="75">
        <v>1</v>
      </c>
      <c r="R226" s="75">
        <v>29</v>
      </c>
      <c r="S226" s="75">
        <f>MAX(Table2[[#This Row],[volt-sbmu1]:[volt-sbmu5]])-MIN(Table2[[#This Row],[volt-sbmu1]:[volt-sbmu5]])</f>
        <v>1.2999999999999545</v>
      </c>
      <c r="T226" s="75">
        <f>MAX(Table2[[#This Row],[soc-sbmu1]:[soc-sbmu5]])-MIN(Table2[[#This Row],[soc-sbmu1]:[soc-sbmu5]])</f>
        <v>2.8999999999999915</v>
      </c>
      <c r="U226" s="75"/>
      <c r="V226" s="75"/>
    </row>
    <row r="227" spans="1:22">
      <c r="A227" t="s">
        <v>355</v>
      </c>
      <c r="B227" t="s">
        <v>631</v>
      </c>
      <c r="C227" s="75">
        <v>85.5</v>
      </c>
      <c r="D227" s="75">
        <v>1399.1</v>
      </c>
      <c r="E227" s="75">
        <v>83.4</v>
      </c>
      <c r="F227" s="75">
        <v>85.9</v>
      </c>
      <c r="G227" s="75">
        <v>83.9</v>
      </c>
      <c r="H227" s="75">
        <v>83.5</v>
      </c>
      <c r="I227" s="75">
        <v>83.3</v>
      </c>
      <c r="J227" s="83">
        <v>1399.6</v>
      </c>
      <c r="K227" s="83">
        <v>1400.1</v>
      </c>
      <c r="L227" s="83">
        <v>1399.3</v>
      </c>
      <c r="M227" s="83">
        <v>1399.2</v>
      </c>
      <c r="N227" s="83">
        <v>1397.1</v>
      </c>
      <c r="O227" s="75">
        <v>0</v>
      </c>
      <c r="P227" s="75">
        <v>0</v>
      </c>
      <c r="Q227" s="75">
        <v>1</v>
      </c>
      <c r="R227" s="75">
        <v>25</v>
      </c>
      <c r="S227" s="75">
        <f>MAX(Table2[[#This Row],[volt-sbmu1]:[volt-sbmu5]])-MIN(Table2[[#This Row],[volt-sbmu1]:[volt-sbmu5]])</f>
        <v>3</v>
      </c>
      <c r="T227" s="75">
        <f>MAX(Table2[[#This Row],[soc-sbmu1]:[soc-sbmu5]])-MIN(Table2[[#This Row],[soc-sbmu1]:[soc-sbmu5]])</f>
        <v>2.6000000000000085</v>
      </c>
      <c r="U227" s="75"/>
      <c r="V227" s="75"/>
    </row>
    <row r="228" spans="1:22">
      <c r="A228" t="s">
        <v>356</v>
      </c>
      <c r="B228" t="s">
        <v>632</v>
      </c>
      <c r="C228" s="75">
        <v>84.9</v>
      </c>
      <c r="D228" s="75">
        <v>1400.3</v>
      </c>
      <c r="E228" s="75">
        <v>84.4</v>
      </c>
      <c r="F228" s="75">
        <v>84.4</v>
      </c>
      <c r="G228" s="75">
        <v>85.1</v>
      </c>
      <c r="H228" s="75">
        <v>84.6</v>
      </c>
      <c r="I228" s="75">
        <v>84</v>
      </c>
      <c r="J228" s="83">
        <v>1401.4</v>
      </c>
      <c r="K228" s="83">
        <v>1399.6</v>
      </c>
      <c r="L228" s="83">
        <v>1399.3</v>
      </c>
      <c r="M228" s="83">
        <v>1400.2</v>
      </c>
      <c r="N228" s="83">
        <v>1400.8</v>
      </c>
      <c r="O228" s="75">
        <v>0</v>
      </c>
      <c r="P228" s="75">
        <v>0</v>
      </c>
      <c r="Q228" s="75">
        <v>1</v>
      </c>
      <c r="R228" s="75">
        <v>26</v>
      </c>
      <c r="S228" s="75">
        <f>MAX(Table2[[#This Row],[volt-sbmu1]:[volt-sbmu5]])-MIN(Table2[[#This Row],[volt-sbmu1]:[volt-sbmu5]])</f>
        <v>2.1000000000001364</v>
      </c>
      <c r="T228" s="75">
        <f>MAX(Table2[[#This Row],[soc-sbmu1]:[soc-sbmu5]])-MIN(Table2[[#This Row],[soc-sbmu1]:[soc-sbmu5]])</f>
        <v>1.0999999999999943</v>
      </c>
      <c r="U228" s="75"/>
      <c r="V228" s="75"/>
    </row>
    <row r="229" spans="1:22">
      <c r="A229" t="s">
        <v>357</v>
      </c>
      <c r="B229" t="s">
        <v>633</v>
      </c>
      <c r="C229" s="75">
        <v>84.1</v>
      </c>
      <c r="D229" s="75">
        <v>1399.6</v>
      </c>
      <c r="E229" s="75">
        <v>84.5</v>
      </c>
      <c r="F229" s="75">
        <v>82.6</v>
      </c>
      <c r="G229" s="75">
        <v>83.2</v>
      </c>
      <c r="H229" s="75">
        <v>83.3</v>
      </c>
      <c r="I229" s="75">
        <v>83.8</v>
      </c>
      <c r="J229" s="83">
        <v>1400.6</v>
      </c>
      <c r="K229" s="83">
        <v>1400</v>
      </c>
      <c r="L229" s="83">
        <v>1400.4</v>
      </c>
      <c r="M229" s="83">
        <v>1398.9</v>
      </c>
      <c r="N229" s="83">
        <v>1400</v>
      </c>
      <c r="O229" s="75">
        <v>0</v>
      </c>
      <c r="P229" s="75">
        <v>0</v>
      </c>
      <c r="Q229" s="75">
        <v>1</v>
      </c>
      <c r="R229" s="75">
        <v>26</v>
      </c>
      <c r="S229" s="75">
        <f>MAX(Table2[[#This Row],[volt-sbmu1]:[volt-sbmu5]])-MIN(Table2[[#This Row],[volt-sbmu1]:[volt-sbmu5]])</f>
        <v>1.6999999999998181</v>
      </c>
      <c r="T229" s="75">
        <f>MAX(Table2[[#This Row],[soc-sbmu1]:[soc-sbmu5]])-MIN(Table2[[#This Row],[soc-sbmu1]:[soc-sbmu5]])</f>
        <v>1.9000000000000057</v>
      </c>
      <c r="U229" s="75"/>
      <c r="V229" s="75"/>
    </row>
    <row r="230" spans="1:22">
      <c r="A230" t="s">
        <v>358</v>
      </c>
      <c r="B230" t="s">
        <v>634</v>
      </c>
      <c r="C230" s="75">
        <v>84.1</v>
      </c>
      <c r="D230" s="75">
        <v>1399.8</v>
      </c>
      <c r="E230" s="75">
        <v>84.3</v>
      </c>
      <c r="F230" s="75">
        <v>84.3</v>
      </c>
      <c r="G230" s="75">
        <v>84.1</v>
      </c>
      <c r="H230" s="75">
        <v>83.7</v>
      </c>
      <c r="I230" s="75">
        <v>83.1</v>
      </c>
      <c r="J230" s="83">
        <v>1399.7</v>
      </c>
      <c r="K230" s="83">
        <v>1399.1</v>
      </c>
      <c r="L230" s="83">
        <v>1399.3</v>
      </c>
      <c r="M230" s="83">
        <v>1400.2</v>
      </c>
      <c r="N230" s="83">
        <v>1400.8</v>
      </c>
      <c r="O230" s="75">
        <v>0</v>
      </c>
      <c r="P230" s="75">
        <v>0</v>
      </c>
      <c r="Q230" s="75">
        <v>1</v>
      </c>
      <c r="R230" s="75">
        <v>27</v>
      </c>
      <c r="S230" s="75">
        <f>MAX(Table2[[#This Row],[volt-sbmu1]:[volt-sbmu5]])-MIN(Table2[[#This Row],[volt-sbmu1]:[volt-sbmu5]])</f>
        <v>1.7000000000000455</v>
      </c>
      <c r="T230" s="75">
        <f>MAX(Table2[[#This Row],[soc-sbmu1]:[soc-sbmu5]])-MIN(Table2[[#This Row],[soc-sbmu1]:[soc-sbmu5]])</f>
        <v>1.2000000000000028</v>
      </c>
      <c r="U230" s="75"/>
      <c r="V230" s="75"/>
    </row>
    <row r="231" spans="1:22">
      <c r="A231" t="s">
        <v>359</v>
      </c>
      <c r="B231" t="s">
        <v>635</v>
      </c>
      <c r="C231" s="75">
        <v>87.8</v>
      </c>
      <c r="D231" s="75">
        <v>1402</v>
      </c>
      <c r="E231" s="75">
        <v>88.9</v>
      </c>
      <c r="F231" s="75">
        <v>88.6</v>
      </c>
      <c r="G231" s="75">
        <v>89.3</v>
      </c>
      <c r="H231" s="75">
        <v>77.2</v>
      </c>
      <c r="I231" s="75">
        <v>77.400000000000006</v>
      </c>
      <c r="J231" s="83">
        <v>1401.7</v>
      </c>
      <c r="K231" s="83">
        <v>1400.9</v>
      </c>
      <c r="L231" s="83">
        <v>1400.9</v>
      </c>
      <c r="M231" s="83">
        <v>1403.3</v>
      </c>
      <c r="N231" s="83">
        <v>1401.9</v>
      </c>
      <c r="O231" s="75">
        <v>0</v>
      </c>
      <c r="P231" s="75">
        <v>0</v>
      </c>
      <c r="Q231" s="75">
        <v>1</v>
      </c>
      <c r="R231" s="75">
        <v>26</v>
      </c>
      <c r="S231" s="75">
        <f>MAX(Table2[[#This Row],[volt-sbmu1]:[volt-sbmu5]])-MIN(Table2[[#This Row],[volt-sbmu1]:[volt-sbmu5]])</f>
        <v>2.3999999999998636</v>
      </c>
      <c r="T231" s="75">
        <f>MAX(Table2[[#This Row],[soc-sbmu1]:[soc-sbmu5]])-MIN(Table2[[#This Row],[soc-sbmu1]:[soc-sbmu5]])</f>
        <v>12.099999999999994</v>
      </c>
      <c r="U231" s="75"/>
      <c r="V231" s="75"/>
    </row>
    <row r="232" spans="1:22">
      <c r="A232" t="s">
        <v>360</v>
      </c>
      <c r="B232" t="s">
        <v>636</v>
      </c>
      <c r="C232" s="75">
        <v>84.5</v>
      </c>
      <c r="D232" s="75">
        <v>1400.2</v>
      </c>
      <c r="E232" s="75">
        <v>84.9</v>
      </c>
      <c r="F232" s="75">
        <v>82.8</v>
      </c>
      <c r="G232" s="75">
        <v>82.6</v>
      </c>
      <c r="H232" s="75">
        <v>83.1</v>
      </c>
      <c r="I232" s="75">
        <v>82.6</v>
      </c>
      <c r="J232" s="83">
        <v>1401</v>
      </c>
      <c r="K232" s="83">
        <v>1399.2</v>
      </c>
      <c r="L232" s="83">
        <v>1398.8</v>
      </c>
      <c r="M232" s="83">
        <v>1399.9</v>
      </c>
      <c r="N232" s="83">
        <v>1401.1</v>
      </c>
      <c r="O232" s="75">
        <v>0</v>
      </c>
      <c r="P232" s="75">
        <v>0</v>
      </c>
      <c r="Q232" s="75">
        <v>1</v>
      </c>
      <c r="R232" s="75">
        <v>27</v>
      </c>
      <c r="S232" s="75">
        <f>MAX(Table2[[#This Row],[volt-sbmu1]:[volt-sbmu5]])-MIN(Table2[[#This Row],[volt-sbmu1]:[volt-sbmu5]])</f>
        <v>2.2999999999999545</v>
      </c>
      <c r="T232" s="75">
        <f>MAX(Table2[[#This Row],[soc-sbmu1]:[soc-sbmu5]])-MIN(Table2[[#This Row],[soc-sbmu1]:[soc-sbmu5]])</f>
        <v>2.3000000000000114</v>
      </c>
      <c r="U232" s="75"/>
      <c r="V232" s="75"/>
    </row>
    <row r="233" spans="1:22">
      <c r="A233" t="s">
        <v>361</v>
      </c>
      <c r="B233" t="s">
        <v>637</v>
      </c>
      <c r="C233" s="75">
        <v>84.3</v>
      </c>
      <c r="D233" s="75">
        <v>1399</v>
      </c>
      <c r="E233" s="75">
        <v>85</v>
      </c>
      <c r="F233" s="75">
        <v>84.1</v>
      </c>
      <c r="G233" s="75">
        <v>85</v>
      </c>
      <c r="H233" s="75">
        <v>81</v>
      </c>
      <c r="I233" s="75">
        <v>83.5</v>
      </c>
      <c r="J233" s="83">
        <v>1398.4</v>
      </c>
      <c r="K233" s="83">
        <v>1399</v>
      </c>
      <c r="L233" s="83">
        <v>1399.5</v>
      </c>
      <c r="M233" s="83">
        <v>1398.3</v>
      </c>
      <c r="N233" s="83">
        <v>1399</v>
      </c>
      <c r="O233" s="75">
        <v>0</v>
      </c>
      <c r="P233" s="75">
        <v>0</v>
      </c>
      <c r="Q233" s="75">
        <v>1</v>
      </c>
      <c r="R233" s="75">
        <v>28</v>
      </c>
      <c r="S233" s="75">
        <f>MAX(Table2[[#This Row],[volt-sbmu1]:[volt-sbmu5]])-MIN(Table2[[#This Row],[volt-sbmu1]:[volt-sbmu5]])</f>
        <v>1.2000000000000455</v>
      </c>
      <c r="T233" s="75">
        <f>MAX(Table2[[#This Row],[soc-sbmu1]:[soc-sbmu5]])-MIN(Table2[[#This Row],[soc-sbmu1]:[soc-sbmu5]])</f>
        <v>4</v>
      </c>
      <c r="U233" s="75"/>
      <c r="V233" s="75"/>
    </row>
    <row r="234" spans="1:22">
      <c r="A234" t="s">
        <v>362</v>
      </c>
      <c r="B234" t="s">
        <v>638</v>
      </c>
      <c r="C234" s="75">
        <v>83.8</v>
      </c>
      <c r="D234" s="75">
        <v>1400.5</v>
      </c>
      <c r="E234" s="75">
        <v>83.5</v>
      </c>
      <c r="F234" s="75">
        <v>83.8</v>
      </c>
      <c r="G234" s="75">
        <v>83.4</v>
      </c>
      <c r="H234" s="75">
        <v>83.9</v>
      </c>
      <c r="I234" s="75">
        <v>83.4</v>
      </c>
      <c r="J234" s="83">
        <v>1400.3</v>
      </c>
      <c r="K234" s="83">
        <v>1399.6</v>
      </c>
      <c r="L234" s="83">
        <v>1400.5</v>
      </c>
      <c r="M234" s="83">
        <v>1400.6</v>
      </c>
      <c r="N234" s="83">
        <v>1399.5</v>
      </c>
      <c r="O234" s="75">
        <v>0</v>
      </c>
      <c r="P234" s="75">
        <v>0</v>
      </c>
      <c r="Q234" s="75">
        <v>1</v>
      </c>
      <c r="R234" s="75">
        <v>29</v>
      </c>
      <c r="S234" s="75">
        <f>MAX(Table2[[#This Row],[volt-sbmu1]:[volt-sbmu5]])-MIN(Table2[[#This Row],[volt-sbmu1]:[volt-sbmu5]])</f>
        <v>1.0999999999999091</v>
      </c>
      <c r="T234" s="75">
        <f>MAX(Table2[[#This Row],[soc-sbmu1]:[soc-sbmu5]])-MIN(Table2[[#This Row],[soc-sbmu1]:[soc-sbmu5]])</f>
        <v>0.5</v>
      </c>
      <c r="U234" s="75"/>
      <c r="V234" s="75"/>
    </row>
    <row r="235" spans="1:22">
      <c r="A235" t="s">
        <v>363</v>
      </c>
      <c r="B235" t="s">
        <v>639</v>
      </c>
      <c r="C235" s="75">
        <v>84</v>
      </c>
      <c r="D235" s="75">
        <v>1399.6</v>
      </c>
      <c r="E235" s="75">
        <v>83.8</v>
      </c>
      <c r="F235" s="75">
        <v>84.2</v>
      </c>
      <c r="G235" s="75">
        <v>83.5</v>
      </c>
      <c r="H235" s="75">
        <v>83.7</v>
      </c>
      <c r="I235" s="75">
        <v>83.4</v>
      </c>
      <c r="J235" s="83">
        <v>1399.4</v>
      </c>
      <c r="K235" s="83">
        <v>1398.7</v>
      </c>
      <c r="L235" s="83">
        <v>1400.2</v>
      </c>
      <c r="M235" s="83">
        <v>1402.9</v>
      </c>
      <c r="N235" s="83">
        <v>1399.7</v>
      </c>
      <c r="O235" s="75">
        <v>0</v>
      </c>
      <c r="P235" s="75">
        <v>0</v>
      </c>
      <c r="Q235" s="75">
        <v>1</v>
      </c>
      <c r="R235" s="75">
        <v>26</v>
      </c>
      <c r="S235" s="75">
        <f>MAX(Table2[[#This Row],[volt-sbmu1]:[volt-sbmu5]])-MIN(Table2[[#This Row],[volt-sbmu1]:[volt-sbmu5]])</f>
        <v>4.2000000000000455</v>
      </c>
      <c r="T235" s="75">
        <f>MAX(Table2[[#This Row],[soc-sbmu1]:[soc-sbmu5]])-MIN(Table2[[#This Row],[soc-sbmu1]:[soc-sbmu5]])</f>
        <v>0.79999999999999716</v>
      </c>
      <c r="U235" s="75"/>
      <c r="V235" s="75"/>
    </row>
    <row r="236" spans="1:22">
      <c r="A236" t="s">
        <v>364</v>
      </c>
      <c r="B236" t="s">
        <v>640</v>
      </c>
      <c r="C236" s="75">
        <v>86.6</v>
      </c>
      <c r="D236" s="75">
        <v>1397.5</v>
      </c>
      <c r="E236" s="75">
        <v>84.4</v>
      </c>
      <c r="F236" s="75">
        <v>87.5</v>
      </c>
      <c r="G236" s="75">
        <v>81.900000000000006</v>
      </c>
      <c r="H236" s="75">
        <v>81.400000000000006</v>
      </c>
      <c r="I236" s="75">
        <v>81.400000000000006</v>
      </c>
      <c r="J236" s="83">
        <v>1396.5</v>
      </c>
      <c r="K236" s="83">
        <v>1396.1</v>
      </c>
      <c r="L236" s="83">
        <v>1397.8</v>
      </c>
      <c r="M236" s="83">
        <v>1397.1</v>
      </c>
      <c r="N236" s="83">
        <v>1398.2</v>
      </c>
      <c r="O236" s="75">
        <v>0</v>
      </c>
      <c r="P236" s="75">
        <v>0</v>
      </c>
      <c r="Q236" s="75">
        <v>1</v>
      </c>
      <c r="R236" s="75">
        <v>26</v>
      </c>
      <c r="S236" s="75">
        <f>MAX(Table2[[#This Row],[volt-sbmu1]:[volt-sbmu5]])-MIN(Table2[[#This Row],[volt-sbmu1]:[volt-sbmu5]])</f>
        <v>2.1000000000001364</v>
      </c>
      <c r="T236" s="75">
        <f>MAX(Table2[[#This Row],[soc-sbmu1]:[soc-sbmu5]])-MIN(Table2[[#This Row],[soc-sbmu1]:[soc-sbmu5]])</f>
        <v>6.0999999999999943</v>
      </c>
      <c r="U236" s="75"/>
      <c r="V236" s="75"/>
    </row>
    <row r="237" spans="1:22">
      <c r="A237" t="s">
        <v>365</v>
      </c>
      <c r="B237" t="s">
        <v>641</v>
      </c>
      <c r="C237" s="75">
        <v>84.5</v>
      </c>
      <c r="D237" s="75">
        <v>1400.4</v>
      </c>
      <c r="E237" s="75">
        <v>83.3</v>
      </c>
      <c r="F237" s="75">
        <v>84.4</v>
      </c>
      <c r="G237" s="75">
        <v>84.4</v>
      </c>
      <c r="H237" s="75">
        <v>84.5</v>
      </c>
      <c r="I237" s="75">
        <v>84.8</v>
      </c>
      <c r="J237" s="83">
        <v>1400.1</v>
      </c>
      <c r="K237" s="83">
        <v>1401.5</v>
      </c>
      <c r="L237" s="83">
        <v>1399.9</v>
      </c>
      <c r="M237" s="83">
        <v>1400.5</v>
      </c>
      <c r="N237" s="83">
        <v>1400.1</v>
      </c>
      <c r="O237" s="75">
        <v>0</v>
      </c>
      <c r="P237" s="75">
        <v>0</v>
      </c>
      <c r="Q237" s="75">
        <v>1</v>
      </c>
      <c r="R237" s="75">
        <v>26</v>
      </c>
      <c r="S237" s="75">
        <f>MAX(Table2[[#This Row],[volt-sbmu1]:[volt-sbmu5]])-MIN(Table2[[#This Row],[volt-sbmu1]:[volt-sbmu5]])</f>
        <v>1.5999999999999091</v>
      </c>
      <c r="T237" s="75">
        <f>MAX(Table2[[#This Row],[soc-sbmu1]:[soc-sbmu5]])-MIN(Table2[[#This Row],[soc-sbmu1]:[soc-sbmu5]])</f>
        <v>1.5</v>
      </c>
      <c r="U237" s="75"/>
      <c r="V237" s="75"/>
    </row>
    <row r="238" spans="1:22">
      <c r="A238" t="s">
        <v>366</v>
      </c>
      <c r="B238" t="s">
        <v>642</v>
      </c>
      <c r="C238" s="75">
        <v>84</v>
      </c>
      <c r="D238" s="75">
        <v>1400.8</v>
      </c>
      <c r="E238" s="75">
        <v>84.1</v>
      </c>
      <c r="F238" s="75">
        <v>84</v>
      </c>
      <c r="G238" s="75">
        <v>84</v>
      </c>
      <c r="H238" s="75">
        <v>83.9</v>
      </c>
      <c r="I238" s="75">
        <v>84.1</v>
      </c>
      <c r="J238" s="83">
        <v>1401.5</v>
      </c>
      <c r="K238" s="83">
        <v>1400.2</v>
      </c>
      <c r="L238" s="83">
        <v>1400.2</v>
      </c>
      <c r="M238" s="83">
        <v>1400.6</v>
      </c>
      <c r="N238" s="83">
        <v>1399.4</v>
      </c>
      <c r="O238" s="75">
        <v>0</v>
      </c>
      <c r="P238" s="75">
        <v>0</v>
      </c>
      <c r="Q238" s="75">
        <v>1</v>
      </c>
      <c r="R238" s="75">
        <v>27</v>
      </c>
      <c r="S238" s="75">
        <f>MAX(Table2[[#This Row],[volt-sbmu1]:[volt-sbmu5]])-MIN(Table2[[#This Row],[volt-sbmu1]:[volt-sbmu5]])</f>
        <v>2.0999999999999091</v>
      </c>
      <c r="T238" s="75">
        <f>MAX(Table2[[#This Row],[soc-sbmu1]:[soc-sbmu5]])-MIN(Table2[[#This Row],[soc-sbmu1]:[soc-sbmu5]])</f>
        <v>0.19999999999998863</v>
      </c>
      <c r="U238" s="75"/>
      <c r="V238" s="75"/>
    </row>
    <row r="239" spans="1:22">
      <c r="A239" t="s">
        <v>367</v>
      </c>
      <c r="B239" t="s">
        <v>643</v>
      </c>
      <c r="C239" s="75">
        <v>85</v>
      </c>
      <c r="D239" s="75">
        <v>1399.3</v>
      </c>
      <c r="E239" s="75">
        <v>84.3</v>
      </c>
      <c r="F239" s="75">
        <v>85</v>
      </c>
      <c r="G239" s="75">
        <v>85.5</v>
      </c>
      <c r="H239" s="75">
        <v>83</v>
      </c>
      <c r="I239" s="75">
        <v>82.8</v>
      </c>
      <c r="J239" s="83">
        <v>1399.9</v>
      </c>
      <c r="K239" s="83">
        <v>1399.3</v>
      </c>
      <c r="L239" s="83">
        <v>1398.3</v>
      </c>
      <c r="M239" s="83">
        <v>1400.2</v>
      </c>
      <c r="N239" s="83">
        <v>1398.4</v>
      </c>
      <c r="O239" s="75">
        <v>0</v>
      </c>
      <c r="P239" s="75">
        <v>0</v>
      </c>
      <c r="Q239" s="75">
        <v>1</v>
      </c>
      <c r="R239" s="75">
        <v>26</v>
      </c>
      <c r="S239" s="75">
        <f>MAX(Table2[[#This Row],[volt-sbmu1]:[volt-sbmu5]])-MIN(Table2[[#This Row],[volt-sbmu1]:[volt-sbmu5]])</f>
        <v>1.9000000000000909</v>
      </c>
      <c r="T239" s="75">
        <f>MAX(Table2[[#This Row],[soc-sbmu1]:[soc-sbmu5]])-MIN(Table2[[#This Row],[soc-sbmu1]:[soc-sbmu5]])</f>
        <v>2.7000000000000028</v>
      </c>
      <c r="U239" s="75"/>
      <c r="V239" s="75"/>
    </row>
    <row r="240" spans="1:22">
      <c r="A240" t="s">
        <v>368</v>
      </c>
      <c r="B240" t="s">
        <v>644</v>
      </c>
      <c r="C240" s="75">
        <v>84.6</v>
      </c>
      <c r="D240" s="75">
        <v>1399.2</v>
      </c>
      <c r="E240" s="75">
        <v>82.6</v>
      </c>
      <c r="F240" s="75">
        <v>85</v>
      </c>
      <c r="G240" s="75">
        <v>82.7</v>
      </c>
      <c r="H240" s="75">
        <v>83.9</v>
      </c>
      <c r="I240" s="75">
        <v>84.7</v>
      </c>
      <c r="J240" s="83">
        <v>1397.8</v>
      </c>
      <c r="K240" s="83">
        <v>1399.2</v>
      </c>
      <c r="L240" s="83">
        <v>1398.5</v>
      </c>
      <c r="M240" s="83">
        <v>1398.7</v>
      </c>
      <c r="N240" s="83">
        <v>1399.9</v>
      </c>
      <c r="O240" s="75">
        <v>0</v>
      </c>
      <c r="P240" s="75">
        <v>0</v>
      </c>
      <c r="Q240" s="75">
        <v>1</v>
      </c>
      <c r="R240" s="75">
        <v>26</v>
      </c>
      <c r="S240" s="75">
        <f>MAX(Table2[[#This Row],[volt-sbmu1]:[volt-sbmu5]])-MIN(Table2[[#This Row],[volt-sbmu1]:[volt-sbmu5]])</f>
        <v>2.1000000000001364</v>
      </c>
      <c r="T240" s="75">
        <f>MAX(Table2[[#This Row],[soc-sbmu1]:[soc-sbmu5]])-MIN(Table2[[#This Row],[soc-sbmu1]:[soc-sbmu5]])</f>
        <v>2.4000000000000057</v>
      </c>
      <c r="U240" s="75"/>
      <c r="V240" s="75"/>
    </row>
    <row r="241" spans="1:22">
      <c r="A241" t="s">
        <v>369</v>
      </c>
      <c r="B241" t="s">
        <v>645</v>
      </c>
      <c r="C241" s="75">
        <v>84.7</v>
      </c>
      <c r="D241" s="75">
        <v>1399.9</v>
      </c>
      <c r="E241" s="75">
        <v>82.9</v>
      </c>
      <c r="F241" s="75">
        <v>82.8</v>
      </c>
      <c r="G241" s="75">
        <v>85.1</v>
      </c>
      <c r="H241" s="75">
        <v>82.7</v>
      </c>
      <c r="I241" s="75">
        <v>83.1</v>
      </c>
      <c r="J241" s="83">
        <v>1400.6</v>
      </c>
      <c r="K241" s="83">
        <v>1400.6</v>
      </c>
      <c r="L241" s="83">
        <v>1399.7</v>
      </c>
      <c r="M241" s="83">
        <v>1398.6</v>
      </c>
      <c r="N241" s="83">
        <v>1400.3</v>
      </c>
      <c r="O241" s="75">
        <v>0</v>
      </c>
      <c r="P241" s="75">
        <v>0</v>
      </c>
      <c r="Q241" s="75">
        <v>1</v>
      </c>
      <c r="R241" s="75">
        <v>26</v>
      </c>
      <c r="S241" s="75">
        <f>MAX(Table2[[#This Row],[volt-sbmu1]:[volt-sbmu5]])-MIN(Table2[[#This Row],[volt-sbmu1]:[volt-sbmu5]])</f>
        <v>2</v>
      </c>
      <c r="T241" s="75">
        <f>MAX(Table2[[#This Row],[soc-sbmu1]:[soc-sbmu5]])-MIN(Table2[[#This Row],[soc-sbmu1]:[soc-sbmu5]])</f>
        <v>2.3999999999999915</v>
      </c>
      <c r="U241" s="75"/>
      <c r="V241" s="75"/>
    </row>
    <row r="242" spans="1:22">
      <c r="A242" t="s">
        <v>370</v>
      </c>
      <c r="B242" t="s">
        <v>646</v>
      </c>
      <c r="C242" s="75">
        <v>84.6</v>
      </c>
      <c r="D242" s="75">
        <v>1400</v>
      </c>
      <c r="E242" s="75">
        <v>84.9</v>
      </c>
      <c r="F242" s="75">
        <v>83.6</v>
      </c>
      <c r="G242" s="75">
        <v>84</v>
      </c>
      <c r="H242" s="75">
        <v>83.6</v>
      </c>
      <c r="I242" s="75">
        <v>83.3</v>
      </c>
      <c r="J242" s="83">
        <v>1400.3</v>
      </c>
      <c r="K242" s="83">
        <v>1399.3</v>
      </c>
      <c r="L242" s="83">
        <v>1398.2</v>
      </c>
      <c r="M242" s="83">
        <v>1398.5</v>
      </c>
      <c r="N242" s="83">
        <v>1401.5</v>
      </c>
      <c r="O242" s="75">
        <v>0</v>
      </c>
      <c r="P242" s="75">
        <v>0</v>
      </c>
      <c r="Q242" s="75">
        <v>1</v>
      </c>
      <c r="R242" s="75">
        <v>29</v>
      </c>
      <c r="S242" s="75">
        <f>MAX(Table2[[#This Row],[volt-sbmu1]:[volt-sbmu5]])-MIN(Table2[[#This Row],[volt-sbmu1]:[volt-sbmu5]])</f>
        <v>3.2999999999999545</v>
      </c>
      <c r="T242" s="75">
        <f>MAX(Table2[[#This Row],[soc-sbmu1]:[soc-sbmu5]])-MIN(Table2[[#This Row],[soc-sbmu1]:[soc-sbmu5]])</f>
        <v>1.6000000000000085</v>
      </c>
      <c r="U242" s="75"/>
      <c r="V242" s="75"/>
    </row>
    <row r="243" spans="1:22">
      <c r="A243" t="s">
        <v>371</v>
      </c>
      <c r="B243" t="s">
        <v>647</v>
      </c>
      <c r="C243" s="75">
        <v>85.5</v>
      </c>
      <c r="D243" s="75">
        <v>1399.8</v>
      </c>
      <c r="E243" s="75">
        <v>84</v>
      </c>
      <c r="F243" s="75">
        <v>85.9</v>
      </c>
      <c r="G243" s="75">
        <v>83.5</v>
      </c>
      <c r="H243" s="75">
        <v>83.9</v>
      </c>
      <c r="I243" s="75">
        <v>84</v>
      </c>
      <c r="J243" s="83">
        <v>1399.7</v>
      </c>
      <c r="K243" s="83">
        <v>1399.6</v>
      </c>
      <c r="L243" s="83">
        <v>1399.5</v>
      </c>
      <c r="M243" s="83">
        <v>1398.8</v>
      </c>
      <c r="N243" s="83">
        <v>1399.2</v>
      </c>
      <c r="O243" s="75">
        <v>0</v>
      </c>
      <c r="P243" s="75">
        <v>0</v>
      </c>
      <c r="Q243" s="75">
        <v>1</v>
      </c>
      <c r="R243" s="75">
        <v>25</v>
      </c>
      <c r="S243" s="75">
        <f>MAX(Table2[[#This Row],[volt-sbmu1]:[volt-sbmu5]])-MIN(Table2[[#This Row],[volt-sbmu1]:[volt-sbmu5]])</f>
        <v>0.90000000000009095</v>
      </c>
      <c r="T243" s="75">
        <f>MAX(Table2[[#This Row],[soc-sbmu1]:[soc-sbmu5]])-MIN(Table2[[#This Row],[soc-sbmu1]:[soc-sbmu5]])</f>
        <v>2.4000000000000057</v>
      </c>
      <c r="U243" s="75"/>
      <c r="V243" s="75"/>
    </row>
    <row r="244" spans="1:22">
      <c r="A244" t="s">
        <v>372</v>
      </c>
      <c r="B244" t="s">
        <v>648</v>
      </c>
      <c r="C244" s="75">
        <v>84.2</v>
      </c>
      <c r="D244" s="75">
        <v>1397.7</v>
      </c>
      <c r="E244" s="75">
        <v>81.2</v>
      </c>
      <c r="F244" s="75">
        <v>82.8</v>
      </c>
      <c r="G244" s="75">
        <v>82.9</v>
      </c>
      <c r="H244" s="75">
        <v>84.8</v>
      </c>
      <c r="I244" s="75">
        <v>83.1</v>
      </c>
      <c r="J244" s="83">
        <v>1398</v>
      </c>
      <c r="K244" s="83">
        <v>1398.4</v>
      </c>
      <c r="L244" s="83">
        <v>1397.4</v>
      </c>
      <c r="M244" s="83">
        <v>1397.3</v>
      </c>
      <c r="N244" s="83">
        <v>1398.2</v>
      </c>
      <c r="O244" s="75">
        <v>0</v>
      </c>
      <c r="P244" s="75">
        <v>0</v>
      </c>
      <c r="Q244" s="75">
        <v>1</v>
      </c>
      <c r="R244" s="75">
        <v>26</v>
      </c>
      <c r="S244" s="75">
        <f>MAX(Table2[[#This Row],[volt-sbmu1]:[volt-sbmu5]])-MIN(Table2[[#This Row],[volt-sbmu1]:[volt-sbmu5]])</f>
        <v>1.1000000000001364</v>
      </c>
      <c r="T244" s="75">
        <f>MAX(Table2[[#This Row],[soc-sbmu1]:[soc-sbmu5]])-MIN(Table2[[#This Row],[soc-sbmu1]:[soc-sbmu5]])</f>
        <v>3.5999999999999943</v>
      </c>
      <c r="U244" s="75"/>
      <c r="V244" s="75"/>
    </row>
    <row r="245" spans="1:22">
      <c r="A245" t="s">
        <v>373</v>
      </c>
      <c r="B245" t="s">
        <v>649</v>
      </c>
      <c r="C245" s="75">
        <v>84.7</v>
      </c>
      <c r="D245" s="75">
        <v>1398</v>
      </c>
      <c r="E245" s="75">
        <v>84.2</v>
      </c>
      <c r="F245" s="75">
        <v>82.4</v>
      </c>
      <c r="G245" s="75">
        <v>85.2</v>
      </c>
      <c r="H245" s="75">
        <v>82.8</v>
      </c>
      <c r="I245" s="75">
        <v>82.7</v>
      </c>
      <c r="J245" s="83">
        <v>1397.7</v>
      </c>
      <c r="K245" s="83">
        <v>1399.5</v>
      </c>
      <c r="L245" s="83">
        <v>1399</v>
      </c>
      <c r="M245" s="83">
        <v>1398</v>
      </c>
      <c r="N245" s="83">
        <v>1398.5</v>
      </c>
      <c r="O245" s="75">
        <v>0</v>
      </c>
      <c r="P245" s="75">
        <v>0</v>
      </c>
      <c r="Q245" s="75">
        <v>1</v>
      </c>
      <c r="R245" s="75">
        <v>26</v>
      </c>
      <c r="S245" s="75">
        <f>MAX(Table2[[#This Row],[volt-sbmu1]:[volt-sbmu5]])-MIN(Table2[[#This Row],[volt-sbmu1]:[volt-sbmu5]])</f>
        <v>1.7999999999999545</v>
      </c>
      <c r="T245" s="75">
        <f>MAX(Table2[[#This Row],[soc-sbmu1]:[soc-sbmu5]])-MIN(Table2[[#This Row],[soc-sbmu1]:[soc-sbmu5]])</f>
        <v>2.7999999999999972</v>
      </c>
      <c r="U245" s="75"/>
      <c r="V245" s="75"/>
    </row>
    <row r="246" spans="1:22">
      <c r="A246" t="s">
        <v>374</v>
      </c>
      <c r="B246" t="s">
        <v>650</v>
      </c>
      <c r="C246" s="75">
        <v>84.5</v>
      </c>
      <c r="D246" s="75">
        <v>1399.3</v>
      </c>
      <c r="E246" s="75">
        <v>82.8</v>
      </c>
      <c r="F246" s="75">
        <v>83</v>
      </c>
      <c r="G246" s="75">
        <v>82.7</v>
      </c>
      <c r="H246" s="75">
        <v>84.9</v>
      </c>
      <c r="I246" s="75">
        <v>83.1</v>
      </c>
      <c r="J246" s="83">
        <v>1400.1</v>
      </c>
      <c r="K246" s="83">
        <v>1399.8</v>
      </c>
      <c r="L246" s="83">
        <v>1398.4</v>
      </c>
      <c r="M246" s="83">
        <v>1399.6</v>
      </c>
      <c r="N246" s="83">
        <v>1399.1</v>
      </c>
      <c r="O246" s="75">
        <v>0</v>
      </c>
      <c r="P246" s="75">
        <v>0</v>
      </c>
      <c r="Q246" s="75">
        <v>1</v>
      </c>
      <c r="R246" s="75">
        <v>27</v>
      </c>
      <c r="S246" s="75">
        <f>MAX(Table2[[#This Row],[volt-sbmu1]:[volt-sbmu5]])-MIN(Table2[[#This Row],[volt-sbmu1]:[volt-sbmu5]])</f>
        <v>1.6999999999998181</v>
      </c>
      <c r="T246" s="75">
        <f>MAX(Table2[[#This Row],[soc-sbmu1]:[soc-sbmu5]])-MIN(Table2[[#This Row],[soc-sbmu1]:[soc-sbmu5]])</f>
        <v>2.2000000000000028</v>
      </c>
      <c r="U246" s="75"/>
      <c r="V246" s="75"/>
    </row>
    <row r="247" spans="1:22">
      <c r="A247" t="s">
        <v>118</v>
      </c>
      <c r="B247" t="s">
        <v>651</v>
      </c>
      <c r="C247" s="75">
        <v>59.5</v>
      </c>
      <c r="D247" s="75">
        <v>0</v>
      </c>
      <c r="E247" s="75">
        <v>59.1</v>
      </c>
      <c r="F247" s="75">
        <v>59.6</v>
      </c>
      <c r="G247" s="75">
        <v>59.4</v>
      </c>
      <c r="H247" s="75">
        <v>59.7</v>
      </c>
      <c r="I247" s="75">
        <v>59.8</v>
      </c>
      <c r="J247" s="83">
        <v>1383.2</v>
      </c>
      <c r="K247" s="83">
        <v>1382.5</v>
      </c>
      <c r="L247" s="83">
        <v>1383.6</v>
      </c>
      <c r="M247" s="83">
        <v>1383.8</v>
      </c>
      <c r="N247" s="83">
        <v>1383.2</v>
      </c>
      <c r="O247" s="75">
        <v>0</v>
      </c>
      <c r="P247" s="75">
        <v>128</v>
      </c>
      <c r="Q247" s="75">
        <v>5</v>
      </c>
      <c r="R247" s="75">
        <v>24</v>
      </c>
      <c r="S247" s="75">
        <f>MAX(Table2[[#This Row],[volt-sbmu1]:[volt-sbmu5]])-MIN(Table2[[#This Row],[volt-sbmu1]:[volt-sbmu5]])</f>
        <v>1.2999999999999545</v>
      </c>
      <c r="T247" s="75">
        <f>MAX(Table2[[#This Row],[soc-sbmu1]:[soc-sbmu5]])-MIN(Table2[[#This Row],[soc-sbmu1]:[soc-sbmu5]])</f>
        <v>0.69999999999999574</v>
      </c>
      <c r="U247" s="75"/>
      <c r="V247" s="75"/>
    </row>
    <row r="248" spans="1:22">
      <c r="A248" t="s">
        <v>375</v>
      </c>
      <c r="B248" t="s">
        <v>652</v>
      </c>
      <c r="C248" s="75">
        <v>57.7</v>
      </c>
      <c r="D248" s="75">
        <v>0</v>
      </c>
      <c r="E248" s="75">
        <v>56.5</v>
      </c>
      <c r="F248" s="75">
        <v>58.6</v>
      </c>
      <c r="G248" s="75">
        <v>57.1</v>
      </c>
      <c r="H248" s="75">
        <v>57.2</v>
      </c>
      <c r="I248" s="75">
        <v>57</v>
      </c>
      <c r="J248" s="83">
        <v>1376.1</v>
      </c>
      <c r="K248" s="83">
        <v>1375.3</v>
      </c>
      <c r="L248" s="83">
        <v>1374.6</v>
      </c>
      <c r="M248" s="83">
        <v>1377.6</v>
      </c>
      <c r="N248" s="83">
        <v>1375.5</v>
      </c>
      <c r="O248" s="75">
        <v>0</v>
      </c>
      <c r="P248" s="75">
        <v>128</v>
      </c>
      <c r="Q248" s="75">
        <v>5</v>
      </c>
      <c r="R248" s="75">
        <v>26</v>
      </c>
      <c r="S248" s="75">
        <f>MAX(Table2[[#This Row],[volt-sbmu1]:[volt-sbmu5]])-MIN(Table2[[#This Row],[volt-sbmu1]:[volt-sbmu5]])</f>
        <v>3</v>
      </c>
      <c r="T248" s="75">
        <f>MAX(Table2[[#This Row],[soc-sbmu1]:[soc-sbmu5]])-MIN(Table2[[#This Row],[soc-sbmu1]:[soc-sbmu5]])</f>
        <v>2.1000000000000014</v>
      </c>
      <c r="U248" s="75"/>
      <c r="V248" s="75"/>
    </row>
    <row r="249" spans="1:22">
      <c r="A249" t="s">
        <v>376</v>
      </c>
      <c r="B249" t="s">
        <v>653</v>
      </c>
      <c r="C249" s="75">
        <v>67.3</v>
      </c>
      <c r="D249" s="75">
        <v>0</v>
      </c>
      <c r="E249" s="75">
        <v>66</v>
      </c>
      <c r="F249" s="75">
        <v>66.8</v>
      </c>
      <c r="G249" s="75">
        <v>68</v>
      </c>
      <c r="H249" s="75">
        <v>67.400000000000006</v>
      </c>
      <c r="I249" s="75">
        <v>66.900000000000006</v>
      </c>
      <c r="J249" s="83">
        <v>1386.9</v>
      </c>
      <c r="K249" s="83">
        <v>1383.8</v>
      </c>
      <c r="L249" s="83">
        <v>1384.1</v>
      </c>
      <c r="M249" s="83">
        <v>1384.9</v>
      </c>
      <c r="N249" s="83">
        <v>1384.3</v>
      </c>
      <c r="O249" s="75">
        <v>0</v>
      </c>
      <c r="P249" s="75">
        <v>128</v>
      </c>
      <c r="Q249" s="75">
        <v>5</v>
      </c>
      <c r="R249" s="75">
        <v>26</v>
      </c>
      <c r="S249" s="75">
        <f>MAX(Table2[[#This Row],[volt-sbmu1]:[volt-sbmu5]])-MIN(Table2[[#This Row],[volt-sbmu1]:[volt-sbmu5]])</f>
        <v>3.1000000000001364</v>
      </c>
      <c r="T249" s="75">
        <f>MAX(Table2[[#This Row],[soc-sbmu1]:[soc-sbmu5]])-MIN(Table2[[#This Row],[soc-sbmu1]:[soc-sbmu5]])</f>
        <v>2</v>
      </c>
      <c r="U249" s="75"/>
      <c r="V249" s="75"/>
    </row>
    <row r="250" spans="1:22">
      <c r="A250" t="s">
        <v>377</v>
      </c>
      <c r="B250" t="s">
        <v>654</v>
      </c>
      <c r="C250" s="75">
        <v>13</v>
      </c>
      <c r="D250" s="75">
        <v>0</v>
      </c>
      <c r="E250" s="75">
        <v>14</v>
      </c>
      <c r="F250" s="75">
        <v>13.7</v>
      </c>
      <c r="G250" s="75">
        <v>14.8</v>
      </c>
      <c r="H250" s="75">
        <v>12.8</v>
      </c>
      <c r="I250" s="75">
        <v>13.7</v>
      </c>
      <c r="J250" s="83">
        <v>1349.2</v>
      </c>
      <c r="K250" s="83">
        <v>1353.7</v>
      </c>
      <c r="L250" s="83">
        <v>1350.1</v>
      </c>
      <c r="M250" s="83">
        <v>1351.6</v>
      </c>
      <c r="N250" s="83">
        <v>1350.1</v>
      </c>
      <c r="O250" s="75">
        <v>0</v>
      </c>
      <c r="P250" s="75">
        <v>128</v>
      </c>
      <c r="Q250" s="75">
        <v>5</v>
      </c>
      <c r="R250" s="75">
        <v>26</v>
      </c>
      <c r="S250" s="75">
        <f>MAX(Table2[[#This Row],[volt-sbmu1]:[volt-sbmu5]])-MIN(Table2[[#This Row],[volt-sbmu1]:[volt-sbmu5]])</f>
        <v>4.5</v>
      </c>
      <c r="T250" s="75">
        <f>MAX(Table2[[#This Row],[soc-sbmu1]:[soc-sbmu5]])-MIN(Table2[[#This Row],[soc-sbmu1]:[soc-sbmu5]])</f>
        <v>2</v>
      </c>
      <c r="U250" s="75"/>
      <c r="V250" s="75"/>
    </row>
    <row r="251" spans="1:22">
      <c r="A251" t="s">
        <v>378</v>
      </c>
      <c r="B251" t="s">
        <v>655</v>
      </c>
      <c r="C251" s="75">
        <v>84.1</v>
      </c>
      <c r="D251" s="75">
        <v>1400.1</v>
      </c>
      <c r="E251" s="75">
        <v>83.8</v>
      </c>
      <c r="F251" s="75">
        <v>83.1</v>
      </c>
      <c r="G251" s="75">
        <v>84.3</v>
      </c>
      <c r="H251" s="75">
        <v>83.4</v>
      </c>
      <c r="I251" s="75">
        <v>84.4</v>
      </c>
      <c r="J251" s="83">
        <v>1400.5</v>
      </c>
      <c r="K251" s="83">
        <v>1400.1</v>
      </c>
      <c r="L251" s="83">
        <v>1401.5</v>
      </c>
      <c r="M251" s="83">
        <v>1399.6</v>
      </c>
      <c r="N251" s="83">
        <v>1400.1</v>
      </c>
      <c r="O251" s="75">
        <v>0</v>
      </c>
      <c r="P251" s="75">
        <v>0</v>
      </c>
      <c r="Q251" s="75">
        <v>1</v>
      </c>
      <c r="R251" s="75">
        <v>25</v>
      </c>
      <c r="S251" s="75">
        <f>MAX(Table2[[#This Row],[volt-sbmu1]:[volt-sbmu5]])-MIN(Table2[[#This Row],[volt-sbmu1]:[volt-sbmu5]])</f>
        <v>1.9000000000000909</v>
      </c>
      <c r="T251" s="75">
        <f>MAX(Table2[[#This Row],[soc-sbmu1]:[soc-sbmu5]])-MIN(Table2[[#This Row],[soc-sbmu1]:[soc-sbmu5]])</f>
        <v>1.3000000000000114</v>
      </c>
      <c r="U251" s="75"/>
      <c r="V251" s="75"/>
    </row>
    <row r="252" spans="1:22">
      <c r="A252" t="s">
        <v>379</v>
      </c>
      <c r="B252" t="s">
        <v>656</v>
      </c>
      <c r="C252" s="75">
        <v>85.1</v>
      </c>
      <c r="D252" s="75">
        <v>1400.2</v>
      </c>
      <c r="E252" s="75">
        <v>85.5</v>
      </c>
      <c r="F252" s="75">
        <v>84.6</v>
      </c>
      <c r="G252" s="75">
        <v>84.3</v>
      </c>
      <c r="H252" s="75">
        <v>83.2</v>
      </c>
      <c r="I252" s="75">
        <v>83.5</v>
      </c>
      <c r="J252" s="83">
        <v>1400.6</v>
      </c>
      <c r="K252" s="83">
        <v>1400.4</v>
      </c>
      <c r="L252" s="83">
        <v>1400.3</v>
      </c>
      <c r="M252" s="83">
        <v>1400.4</v>
      </c>
      <c r="N252" s="83">
        <v>1400.8</v>
      </c>
      <c r="O252" s="75">
        <v>0</v>
      </c>
      <c r="P252" s="75">
        <v>0</v>
      </c>
      <c r="Q252" s="75">
        <v>1</v>
      </c>
      <c r="R252" s="75">
        <v>26</v>
      </c>
      <c r="S252" s="75">
        <f>MAX(Table2[[#This Row],[volt-sbmu1]:[volt-sbmu5]])-MIN(Table2[[#This Row],[volt-sbmu1]:[volt-sbmu5]])</f>
        <v>0.5</v>
      </c>
      <c r="T252" s="75">
        <f>MAX(Table2[[#This Row],[soc-sbmu1]:[soc-sbmu5]])-MIN(Table2[[#This Row],[soc-sbmu1]:[soc-sbmu5]])</f>
        <v>2.2999999999999972</v>
      </c>
      <c r="U252" s="75"/>
      <c r="V252" s="75"/>
    </row>
    <row r="253" spans="1:22">
      <c r="A253" t="s">
        <v>380</v>
      </c>
      <c r="B253" t="s">
        <v>657</v>
      </c>
      <c r="C253" s="75">
        <v>84.9</v>
      </c>
      <c r="D253" s="75">
        <v>1399</v>
      </c>
      <c r="E253" s="75">
        <v>84.1</v>
      </c>
      <c r="F253" s="75">
        <v>85.3</v>
      </c>
      <c r="G253" s="75">
        <v>83.6</v>
      </c>
      <c r="H253" s="75">
        <v>83.4</v>
      </c>
      <c r="I253" s="75">
        <v>83.3</v>
      </c>
      <c r="J253" s="83">
        <v>1400.2</v>
      </c>
      <c r="K253" s="83">
        <v>1397.6</v>
      </c>
      <c r="L253" s="83">
        <v>1400.9</v>
      </c>
      <c r="M253" s="83">
        <v>1399.3</v>
      </c>
      <c r="N253" s="83">
        <v>1399.9</v>
      </c>
      <c r="O253" s="75">
        <v>0</v>
      </c>
      <c r="P253" s="75">
        <v>0</v>
      </c>
      <c r="Q253" s="75">
        <v>1</v>
      </c>
      <c r="R253" s="75">
        <v>25</v>
      </c>
      <c r="S253" s="75">
        <f>MAX(Table2[[#This Row],[volt-sbmu1]:[volt-sbmu5]])-MIN(Table2[[#This Row],[volt-sbmu1]:[volt-sbmu5]])</f>
        <v>3.3000000000001819</v>
      </c>
      <c r="T253" s="75">
        <f>MAX(Table2[[#This Row],[soc-sbmu1]:[soc-sbmu5]])-MIN(Table2[[#This Row],[soc-sbmu1]:[soc-sbmu5]])</f>
        <v>2</v>
      </c>
      <c r="U253" s="75"/>
      <c r="V253" s="75"/>
    </row>
    <row r="254" spans="1:22">
      <c r="A254" t="s">
        <v>381</v>
      </c>
      <c r="B254" t="s">
        <v>658</v>
      </c>
      <c r="C254" s="75">
        <v>85.3</v>
      </c>
      <c r="D254" s="75">
        <v>1398.9</v>
      </c>
      <c r="E254" s="75">
        <v>83.3</v>
      </c>
      <c r="F254" s="75">
        <v>82.9</v>
      </c>
      <c r="G254" s="75">
        <v>85.8</v>
      </c>
      <c r="H254" s="75">
        <v>83</v>
      </c>
      <c r="I254" s="75">
        <v>83.8</v>
      </c>
      <c r="J254" s="83">
        <v>1398.6</v>
      </c>
      <c r="K254" s="83">
        <v>1398.4</v>
      </c>
      <c r="L254" s="83">
        <v>1399.2</v>
      </c>
      <c r="M254" s="83">
        <v>1398.2</v>
      </c>
      <c r="N254" s="83">
        <v>1399.1</v>
      </c>
      <c r="O254" s="75">
        <v>0</v>
      </c>
      <c r="P254" s="75">
        <v>0</v>
      </c>
      <c r="Q254" s="75">
        <v>1</v>
      </c>
      <c r="R254" s="75">
        <v>28</v>
      </c>
      <c r="S254" s="75">
        <f>MAX(Table2[[#This Row],[volt-sbmu1]:[volt-sbmu5]])-MIN(Table2[[#This Row],[volt-sbmu1]:[volt-sbmu5]])</f>
        <v>1</v>
      </c>
      <c r="T254" s="75">
        <f>MAX(Table2[[#This Row],[soc-sbmu1]:[soc-sbmu5]])-MIN(Table2[[#This Row],[soc-sbmu1]:[soc-sbmu5]])</f>
        <v>2.8999999999999915</v>
      </c>
      <c r="U254" s="75"/>
      <c r="V254" s="75"/>
    </row>
    <row r="255" spans="1:22">
      <c r="A255" t="s">
        <v>42</v>
      </c>
      <c r="B255" t="s">
        <v>659</v>
      </c>
      <c r="C255" s="75">
        <v>84.7</v>
      </c>
      <c r="D255" s="75">
        <v>1400.3</v>
      </c>
      <c r="E255" s="75">
        <v>84</v>
      </c>
      <c r="F255" s="75">
        <v>83.6</v>
      </c>
      <c r="G255" s="75">
        <v>83.6</v>
      </c>
      <c r="H255" s="75">
        <v>84.9</v>
      </c>
      <c r="I255" s="75">
        <v>84.3</v>
      </c>
      <c r="J255" s="83">
        <v>1399.2</v>
      </c>
      <c r="K255" s="83">
        <v>1399.5</v>
      </c>
      <c r="L255" s="83">
        <v>1400.7</v>
      </c>
      <c r="M255" s="83">
        <v>1400.6</v>
      </c>
      <c r="N255" s="83">
        <v>1400.8</v>
      </c>
      <c r="O255" s="75">
        <v>0</v>
      </c>
      <c r="P255" s="75">
        <v>0</v>
      </c>
      <c r="Q255" s="75">
        <v>1</v>
      </c>
      <c r="R255" s="75">
        <v>26</v>
      </c>
      <c r="S255" s="75">
        <f>MAX(Table2[[#This Row],[volt-sbmu1]:[volt-sbmu5]])-MIN(Table2[[#This Row],[volt-sbmu1]:[volt-sbmu5]])</f>
        <v>1.5999999999999091</v>
      </c>
      <c r="T255" s="75">
        <f>MAX(Table2[[#This Row],[soc-sbmu1]:[soc-sbmu5]])-MIN(Table2[[#This Row],[soc-sbmu1]:[soc-sbmu5]])</f>
        <v>1.3000000000000114</v>
      </c>
      <c r="U255" s="75"/>
      <c r="V255" s="75"/>
    </row>
    <row r="256" spans="1:22">
      <c r="A256" t="s">
        <v>43</v>
      </c>
      <c r="B256" t="s">
        <v>660</v>
      </c>
      <c r="C256" s="75">
        <v>84.8</v>
      </c>
      <c r="D256" s="75">
        <v>1399.7</v>
      </c>
      <c r="E256" s="75">
        <v>84.2</v>
      </c>
      <c r="F256" s="75">
        <v>85.1</v>
      </c>
      <c r="G256" s="75">
        <v>84.3</v>
      </c>
      <c r="H256" s="75">
        <v>84.3</v>
      </c>
      <c r="I256" s="75">
        <v>83.5</v>
      </c>
      <c r="J256" s="83">
        <v>1398.5</v>
      </c>
      <c r="K256" s="83">
        <v>1400.3</v>
      </c>
      <c r="L256" s="83">
        <v>1399.6</v>
      </c>
      <c r="M256" s="83">
        <v>1400.1</v>
      </c>
      <c r="N256" s="83">
        <v>1399.2</v>
      </c>
      <c r="O256" s="75">
        <v>0</v>
      </c>
      <c r="P256" s="75">
        <v>0</v>
      </c>
      <c r="Q256" s="75">
        <v>1</v>
      </c>
      <c r="R256" s="75">
        <v>26</v>
      </c>
      <c r="S256" s="75">
        <f>MAX(Table2[[#This Row],[volt-sbmu1]:[volt-sbmu5]])-MIN(Table2[[#This Row],[volt-sbmu1]:[volt-sbmu5]])</f>
        <v>1.7999999999999545</v>
      </c>
      <c r="T256" s="75">
        <f>MAX(Table2[[#This Row],[soc-sbmu1]:[soc-sbmu5]])-MIN(Table2[[#This Row],[soc-sbmu1]:[soc-sbmu5]])</f>
        <v>1.5999999999999943</v>
      </c>
      <c r="U256" s="75"/>
      <c r="V256" s="75"/>
    </row>
    <row r="257" spans="1:22">
      <c r="A257" t="s">
        <v>44</v>
      </c>
      <c r="B257" t="s">
        <v>661</v>
      </c>
      <c r="C257" s="75">
        <v>84.3</v>
      </c>
      <c r="D257" s="75">
        <v>1399.6</v>
      </c>
      <c r="E257" s="75">
        <v>83.1</v>
      </c>
      <c r="F257" s="75">
        <v>84.7</v>
      </c>
      <c r="G257" s="75">
        <v>83.7</v>
      </c>
      <c r="H257" s="75">
        <v>82.7</v>
      </c>
      <c r="I257" s="75">
        <v>83.5</v>
      </c>
      <c r="J257" s="83">
        <v>1400</v>
      </c>
      <c r="K257" s="83">
        <v>1400</v>
      </c>
      <c r="L257" s="83">
        <v>1400.4</v>
      </c>
      <c r="M257" s="83">
        <v>1399.7</v>
      </c>
      <c r="N257" s="83">
        <v>1400.2</v>
      </c>
      <c r="O257" s="75">
        <v>0</v>
      </c>
      <c r="P257" s="75">
        <v>0</v>
      </c>
      <c r="Q257" s="75">
        <v>1</v>
      </c>
      <c r="R257" s="75">
        <v>26</v>
      </c>
      <c r="S257" s="75">
        <f>MAX(Table2[[#This Row],[volt-sbmu1]:[volt-sbmu5]])-MIN(Table2[[#This Row],[volt-sbmu1]:[volt-sbmu5]])</f>
        <v>0.70000000000004547</v>
      </c>
      <c r="T257" s="75">
        <f>MAX(Table2[[#This Row],[soc-sbmu1]:[soc-sbmu5]])-MIN(Table2[[#This Row],[soc-sbmu1]:[soc-sbmu5]])</f>
        <v>2</v>
      </c>
      <c r="U257" s="75"/>
      <c r="V257" s="75"/>
    </row>
    <row r="258" spans="1:22">
      <c r="A258" t="s">
        <v>45</v>
      </c>
      <c r="B258" t="s">
        <v>662</v>
      </c>
      <c r="C258" s="75">
        <v>85.6</v>
      </c>
      <c r="D258" s="75">
        <v>1400.6</v>
      </c>
      <c r="E258" s="75">
        <v>85.2</v>
      </c>
      <c r="F258" s="75">
        <v>85.9</v>
      </c>
      <c r="G258" s="75">
        <v>84.5</v>
      </c>
      <c r="H258" s="75">
        <v>85</v>
      </c>
      <c r="I258" s="75">
        <v>85.9</v>
      </c>
      <c r="J258" s="83">
        <v>1400.9</v>
      </c>
      <c r="K258" s="83">
        <v>1399.3</v>
      </c>
      <c r="L258" s="83">
        <v>1401.3</v>
      </c>
      <c r="M258" s="83">
        <v>1399.3</v>
      </c>
      <c r="N258" s="83">
        <v>1400.2</v>
      </c>
      <c r="O258" s="75">
        <v>0</v>
      </c>
      <c r="P258" s="75">
        <v>0</v>
      </c>
      <c r="Q258" s="75">
        <v>1</v>
      </c>
      <c r="R258" s="75">
        <v>30</v>
      </c>
      <c r="S258" s="75">
        <f>MAX(Table2[[#This Row],[volt-sbmu1]:[volt-sbmu5]])-MIN(Table2[[#This Row],[volt-sbmu1]:[volt-sbmu5]])</f>
        <v>2</v>
      </c>
      <c r="T258" s="75">
        <f>MAX(Table2[[#This Row],[soc-sbmu1]:[soc-sbmu5]])-MIN(Table2[[#This Row],[soc-sbmu1]:[soc-sbmu5]])</f>
        <v>1.4000000000000057</v>
      </c>
      <c r="U258" s="75"/>
      <c r="V258" s="75"/>
    </row>
    <row r="259" spans="1:22">
      <c r="A259" t="s">
        <v>46</v>
      </c>
      <c r="B259" t="s">
        <v>663</v>
      </c>
      <c r="C259" s="75">
        <v>84.9</v>
      </c>
      <c r="D259" s="75">
        <v>1399.7</v>
      </c>
      <c r="E259" s="75">
        <v>83.7</v>
      </c>
      <c r="F259" s="75">
        <v>83.4</v>
      </c>
      <c r="G259" s="75">
        <v>84</v>
      </c>
      <c r="H259" s="75">
        <v>82.7</v>
      </c>
      <c r="I259" s="75">
        <v>85.3</v>
      </c>
      <c r="J259" s="83">
        <v>1398.4</v>
      </c>
      <c r="K259" s="83">
        <v>1400.2</v>
      </c>
      <c r="L259" s="83">
        <v>1400</v>
      </c>
      <c r="M259" s="83">
        <v>1399.8</v>
      </c>
      <c r="N259" s="83">
        <v>1399.2</v>
      </c>
      <c r="O259" s="75">
        <v>0</v>
      </c>
      <c r="P259" s="75">
        <v>0</v>
      </c>
      <c r="Q259" s="75">
        <v>1</v>
      </c>
      <c r="R259" s="75">
        <v>26</v>
      </c>
      <c r="S259" s="75">
        <f>MAX(Table2[[#This Row],[volt-sbmu1]:[volt-sbmu5]])-MIN(Table2[[#This Row],[volt-sbmu1]:[volt-sbmu5]])</f>
        <v>1.7999999999999545</v>
      </c>
      <c r="T259" s="75">
        <f>MAX(Table2[[#This Row],[soc-sbmu1]:[soc-sbmu5]])-MIN(Table2[[#This Row],[soc-sbmu1]:[soc-sbmu5]])</f>
        <v>2.5999999999999943</v>
      </c>
      <c r="U259" s="75"/>
      <c r="V259" s="75"/>
    </row>
    <row r="260" spans="1:22">
      <c r="A260" t="s">
        <v>47</v>
      </c>
      <c r="B260" t="s">
        <v>664</v>
      </c>
      <c r="C260" s="75">
        <v>84.7</v>
      </c>
      <c r="D260" s="75">
        <v>1399.8</v>
      </c>
      <c r="E260" s="75">
        <v>84.2</v>
      </c>
      <c r="F260" s="75">
        <v>85</v>
      </c>
      <c r="G260" s="75">
        <v>84</v>
      </c>
      <c r="H260" s="75">
        <v>83.6</v>
      </c>
      <c r="I260" s="75">
        <v>83.5</v>
      </c>
      <c r="J260" s="83">
        <v>1399.4</v>
      </c>
      <c r="K260" s="83">
        <v>1400</v>
      </c>
      <c r="L260" s="83">
        <v>1399.4</v>
      </c>
      <c r="M260" s="83">
        <v>1400.2</v>
      </c>
      <c r="N260" s="83">
        <v>1400.2</v>
      </c>
      <c r="O260" s="75">
        <v>0</v>
      </c>
      <c r="P260" s="75">
        <v>0</v>
      </c>
      <c r="Q260" s="75">
        <v>1</v>
      </c>
      <c r="R260" s="75">
        <v>26</v>
      </c>
      <c r="S260" s="75">
        <f>MAX(Table2[[#This Row],[volt-sbmu1]:[volt-sbmu5]])-MIN(Table2[[#This Row],[volt-sbmu1]:[volt-sbmu5]])</f>
        <v>0.79999999999995453</v>
      </c>
      <c r="T260" s="75">
        <f>MAX(Table2[[#This Row],[soc-sbmu1]:[soc-sbmu5]])-MIN(Table2[[#This Row],[soc-sbmu1]:[soc-sbmu5]])</f>
        <v>1.5</v>
      </c>
      <c r="U260" s="75"/>
      <c r="V260" s="75"/>
    </row>
    <row r="261" spans="1:22">
      <c r="A261" t="s">
        <v>48</v>
      </c>
      <c r="B261" t="s">
        <v>665</v>
      </c>
      <c r="C261" s="75">
        <v>85</v>
      </c>
      <c r="D261" s="75">
        <v>1398.5</v>
      </c>
      <c r="E261" s="75">
        <v>83.4</v>
      </c>
      <c r="F261" s="75">
        <v>85.4</v>
      </c>
      <c r="G261" s="75">
        <v>83.3</v>
      </c>
      <c r="H261" s="75">
        <v>83</v>
      </c>
      <c r="I261" s="75">
        <v>82.8</v>
      </c>
      <c r="J261" s="83">
        <v>1397.4</v>
      </c>
      <c r="K261" s="83">
        <v>1400</v>
      </c>
      <c r="L261" s="83">
        <v>1398.8</v>
      </c>
      <c r="M261" s="83">
        <v>1398.1</v>
      </c>
      <c r="N261" s="83">
        <v>1397.8</v>
      </c>
      <c r="O261" s="75">
        <v>0</v>
      </c>
      <c r="P261" s="75">
        <v>0</v>
      </c>
      <c r="Q261" s="75">
        <v>1</v>
      </c>
      <c r="R261" s="75">
        <v>26</v>
      </c>
      <c r="S261" s="75">
        <f>MAX(Table2[[#This Row],[volt-sbmu1]:[volt-sbmu5]])-MIN(Table2[[#This Row],[volt-sbmu1]:[volt-sbmu5]])</f>
        <v>2.5999999999999091</v>
      </c>
      <c r="T261" s="75">
        <f>MAX(Table2[[#This Row],[soc-sbmu1]:[soc-sbmu5]])-MIN(Table2[[#This Row],[soc-sbmu1]:[soc-sbmu5]])</f>
        <v>2.6000000000000085</v>
      </c>
      <c r="U261" s="75"/>
      <c r="V261" s="75"/>
    </row>
    <row r="262" spans="1:22">
      <c r="A262" t="s">
        <v>49</v>
      </c>
      <c r="B262" t="s">
        <v>666</v>
      </c>
      <c r="C262" s="75">
        <v>84.8</v>
      </c>
      <c r="D262" s="75">
        <v>1400.2</v>
      </c>
      <c r="E262" s="75">
        <v>83</v>
      </c>
      <c r="F262" s="75">
        <v>83.4</v>
      </c>
      <c r="G262" s="75">
        <v>83.9</v>
      </c>
      <c r="H262" s="75">
        <v>83.8</v>
      </c>
      <c r="I262" s="75">
        <v>85.2</v>
      </c>
      <c r="J262" s="83">
        <v>1401.1</v>
      </c>
      <c r="K262" s="83">
        <v>1400.4</v>
      </c>
      <c r="L262" s="83">
        <v>1398.7</v>
      </c>
      <c r="M262" s="83">
        <v>1400.2</v>
      </c>
      <c r="N262" s="83">
        <v>1399.5</v>
      </c>
      <c r="O262" s="75">
        <v>0</v>
      </c>
      <c r="P262" s="75">
        <v>0</v>
      </c>
      <c r="Q262" s="75">
        <v>1</v>
      </c>
      <c r="R262" s="75">
        <v>28</v>
      </c>
      <c r="S262" s="75">
        <f>MAX(Table2[[#This Row],[volt-sbmu1]:[volt-sbmu5]])-MIN(Table2[[#This Row],[volt-sbmu1]:[volt-sbmu5]])</f>
        <v>2.3999999999998636</v>
      </c>
      <c r="T262" s="75">
        <f>MAX(Table2[[#This Row],[soc-sbmu1]:[soc-sbmu5]])-MIN(Table2[[#This Row],[soc-sbmu1]:[soc-sbmu5]])</f>
        <v>2.2000000000000028</v>
      </c>
      <c r="U262" s="75"/>
      <c r="V262" s="75"/>
    </row>
    <row r="263" spans="1:22">
      <c r="A263" t="s">
        <v>50</v>
      </c>
      <c r="B263" t="s">
        <v>667</v>
      </c>
      <c r="C263" s="75">
        <v>85.2</v>
      </c>
      <c r="D263" s="75">
        <v>1399.4</v>
      </c>
      <c r="E263" s="75">
        <v>85.7</v>
      </c>
      <c r="F263" s="75">
        <v>84.2</v>
      </c>
      <c r="G263" s="75">
        <v>84.5</v>
      </c>
      <c r="H263" s="75">
        <v>83.1</v>
      </c>
      <c r="I263" s="75">
        <v>82.9</v>
      </c>
      <c r="J263" s="83">
        <v>1399.3</v>
      </c>
      <c r="K263" s="83">
        <v>1399.4</v>
      </c>
      <c r="L263" s="83">
        <v>1398.4</v>
      </c>
      <c r="M263" s="83">
        <v>1398.9</v>
      </c>
      <c r="N263" s="83">
        <v>1399.6</v>
      </c>
      <c r="O263" s="75">
        <v>0</v>
      </c>
      <c r="P263" s="75">
        <v>64</v>
      </c>
      <c r="Q263" s="75">
        <v>4</v>
      </c>
      <c r="R263" s="75">
        <v>26</v>
      </c>
      <c r="S263" s="75">
        <f>MAX(Table2[[#This Row],[volt-sbmu1]:[volt-sbmu5]])-MIN(Table2[[#This Row],[volt-sbmu1]:[volt-sbmu5]])</f>
        <v>1.1999999999998181</v>
      </c>
      <c r="T263" s="75">
        <f>MAX(Table2[[#This Row],[soc-sbmu1]:[soc-sbmu5]])-MIN(Table2[[#This Row],[soc-sbmu1]:[soc-sbmu5]])</f>
        <v>2.7999999999999972</v>
      </c>
      <c r="U263" s="75"/>
      <c r="V263" s="75"/>
    </row>
    <row r="264" spans="1:22">
      <c r="A264" t="s">
        <v>51</v>
      </c>
      <c r="B264" t="s">
        <v>668</v>
      </c>
      <c r="C264" s="75">
        <v>84.8</v>
      </c>
      <c r="D264" s="75">
        <v>1399.8</v>
      </c>
      <c r="E264" s="75">
        <v>84.2</v>
      </c>
      <c r="F264" s="75">
        <v>85.1</v>
      </c>
      <c r="G264" s="75">
        <v>83.9</v>
      </c>
      <c r="H264" s="75">
        <v>83.6</v>
      </c>
      <c r="I264" s="75">
        <v>83.8</v>
      </c>
      <c r="J264" s="83">
        <v>1399.3</v>
      </c>
      <c r="K264" s="83">
        <v>1399.6</v>
      </c>
      <c r="L264" s="83">
        <v>1400.6</v>
      </c>
      <c r="M264" s="83">
        <v>1401</v>
      </c>
      <c r="N264" s="83">
        <v>1398.9</v>
      </c>
      <c r="O264" s="75">
        <v>0</v>
      </c>
      <c r="P264" s="75">
        <v>64</v>
      </c>
      <c r="Q264" s="75">
        <v>4</v>
      </c>
      <c r="R264" s="75">
        <v>26</v>
      </c>
      <c r="S264" s="75">
        <f>MAX(Table2[[#This Row],[volt-sbmu1]:[volt-sbmu5]])-MIN(Table2[[#This Row],[volt-sbmu1]:[volt-sbmu5]])</f>
        <v>2.0999999999999091</v>
      </c>
      <c r="T264" s="75">
        <f>MAX(Table2[[#This Row],[soc-sbmu1]:[soc-sbmu5]])-MIN(Table2[[#This Row],[soc-sbmu1]:[soc-sbmu5]])</f>
        <v>1.5</v>
      </c>
      <c r="U264" s="75"/>
      <c r="V264" s="75"/>
    </row>
    <row r="265" spans="1:22">
      <c r="A265" t="s">
        <v>52</v>
      </c>
      <c r="B265" t="s">
        <v>669</v>
      </c>
      <c r="C265" s="75">
        <v>84.7</v>
      </c>
      <c r="D265" s="75">
        <v>1399.1</v>
      </c>
      <c r="E265" s="75">
        <v>85</v>
      </c>
      <c r="F265" s="75">
        <v>84.1</v>
      </c>
      <c r="G265" s="75">
        <v>83.7</v>
      </c>
      <c r="H265" s="75">
        <v>83.1</v>
      </c>
      <c r="I265" s="75">
        <v>83.1</v>
      </c>
      <c r="J265" s="83">
        <v>1398.6</v>
      </c>
      <c r="K265" s="83">
        <v>1398.1</v>
      </c>
      <c r="L265" s="83">
        <v>1399.2</v>
      </c>
      <c r="M265" s="83">
        <v>1399.9</v>
      </c>
      <c r="N265" s="83">
        <v>1398.8</v>
      </c>
      <c r="O265" s="75">
        <v>0</v>
      </c>
      <c r="P265" s="75">
        <v>64</v>
      </c>
      <c r="Q265" s="75">
        <v>4</v>
      </c>
      <c r="R265" s="75">
        <v>26</v>
      </c>
      <c r="S265" s="75">
        <f>MAX(Table2[[#This Row],[volt-sbmu1]:[volt-sbmu5]])-MIN(Table2[[#This Row],[volt-sbmu1]:[volt-sbmu5]])</f>
        <v>1.8000000000001819</v>
      </c>
      <c r="T265" s="75">
        <f>MAX(Table2[[#This Row],[soc-sbmu1]:[soc-sbmu5]])-MIN(Table2[[#This Row],[soc-sbmu1]:[soc-sbmu5]])</f>
        <v>1.9000000000000057</v>
      </c>
      <c r="U265" s="75"/>
      <c r="V265" s="75"/>
    </row>
    <row r="266" spans="1:22">
      <c r="A266" t="s">
        <v>53</v>
      </c>
      <c r="B266" t="s">
        <v>670</v>
      </c>
      <c r="C266" s="75">
        <v>84.8</v>
      </c>
      <c r="D266" s="75">
        <v>1400.1</v>
      </c>
      <c r="E266" s="75">
        <v>84.1</v>
      </c>
      <c r="F266" s="75">
        <v>84.4</v>
      </c>
      <c r="G266" s="75">
        <v>83.9</v>
      </c>
      <c r="H266" s="75">
        <v>83.6</v>
      </c>
      <c r="I266" s="75">
        <v>85.1</v>
      </c>
      <c r="J266" s="83">
        <v>1400.1</v>
      </c>
      <c r="K266" s="83">
        <v>1399.9</v>
      </c>
      <c r="L266" s="83">
        <v>1400.1</v>
      </c>
      <c r="M266" s="83">
        <v>1399.4</v>
      </c>
      <c r="N266" s="83">
        <v>1399.2</v>
      </c>
      <c r="O266" s="75">
        <v>0</v>
      </c>
      <c r="P266" s="75">
        <v>64</v>
      </c>
      <c r="Q266" s="75">
        <v>4</v>
      </c>
      <c r="R266" s="75">
        <v>30</v>
      </c>
      <c r="S266" s="75">
        <f>MAX(Table2[[#This Row],[volt-sbmu1]:[volt-sbmu5]])-MIN(Table2[[#This Row],[volt-sbmu1]:[volt-sbmu5]])</f>
        <v>0.89999999999986358</v>
      </c>
      <c r="T266" s="75">
        <f>MAX(Table2[[#This Row],[soc-sbmu1]:[soc-sbmu5]])-MIN(Table2[[#This Row],[soc-sbmu1]:[soc-sbmu5]])</f>
        <v>1.5</v>
      </c>
      <c r="U266" s="75"/>
      <c r="V266" s="75"/>
    </row>
    <row r="267" spans="1:22">
      <c r="A267" t="s">
        <v>54</v>
      </c>
      <c r="B267" t="s">
        <v>671</v>
      </c>
      <c r="C267" s="75">
        <v>99.7</v>
      </c>
      <c r="D267" s="75">
        <v>1392.2</v>
      </c>
      <c r="E267" s="75">
        <v>99.7</v>
      </c>
      <c r="F267" s="75">
        <v>99.8</v>
      </c>
      <c r="G267" s="75">
        <v>99.8</v>
      </c>
      <c r="H267" s="75">
        <v>99.6</v>
      </c>
      <c r="I267" s="75">
        <v>99.8</v>
      </c>
      <c r="J267" s="83">
        <v>1393.4</v>
      </c>
      <c r="K267" s="83">
        <v>1392.8</v>
      </c>
      <c r="L267" s="83">
        <v>1391.3</v>
      </c>
      <c r="M267" s="83">
        <v>1392.4</v>
      </c>
      <c r="N267" s="83">
        <v>1392.1</v>
      </c>
      <c r="O267" s="75">
        <v>0</v>
      </c>
      <c r="P267" s="75">
        <v>0</v>
      </c>
      <c r="Q267" s="75">
        <v>2</v>
      </c>
      <c r="R267" s="75">
        <v>25</v>
      </c>
      <c r="S267" s="75">
        <f>MAX(Table2[[#This Row],[volt-sbmu1]:[volt-sbmu5]])-MIN(Table2[[#This Row],[volt-sbmu1]:[volt-sbmu5]])</f>
        <v>2.1000000000001364</v>
      </c>
      <c r="T267" s="75">
        <f>MAX(Table2[[#This Row],[soc-sbmu1]:[soc-sbmu5]])-MIN(Table2[[#This Row],[soc-sbmu1]:[soc-sbmu5]])</f>
        <v>0.20000000000000284</v>
      </c>
      <c r="U267" s="75"/>
      <c r="V267" s="75"/>
    </row>
    <row r="268" spans="1:22">
      <c r="A268" t="s">
        <v>55</v>
      </c>
      <c r="B268" t="s">
        <v>672</v>
      </c>
      <c r="C268" s="75">
        <v>99.7</v>
      </c>
      <c r="D268" s="75">
        <v>1391</v>
      </c>
      <c r="E268" s="75">
        <v>99.8</v>
      </c>
      <c r="F268" s="75">
        <v>99.8</v>
      </c>
      <c r="G268" s="75">
        <v>99.8</v>
      </c>
      <c r="H268" s="75">
        <v>99.8</v>
      </c>
      <c r="I268" s="75">
        <v>99.6</v>
      </c>
      <c r="J268" s="83">
        <v>1391.8</v>
      </c>
      <c r="K268" s="83">
        <v>1390.3</v>
      </c>
      <c r="L268" s="83">
        <v>1390.5</v>
      </c>
      <c r="M268" s="83">
        <v>1391.3</v>
      </c>
      <c r="N268" s="83">
        <v>1390.8</v>
      </c>
      <c r="O268" s="75">
        <v>0</v>
      </c>
      <c r="P268" s="75">
        <v>0</v>
      </c>
      <c r="Q268" s="75">
        <v>2</v>
      </c>
      <c r="R268" s="75">
        <v>26</v>
      </c>
      <c r="S268" s="75">
        <f>MAX(Table2[[#This Row],[volt-sbmu1]:[volt-sbmu5]])-MIN(Table2[[#This Row],[volt-sbmu1]:[volt-sbmu5]])</f>
        <v>1.5</v>
      </c>
      <c r="T268" s="75">
        <f>MAX(Table2[[#This Row],[soc-sbmu1]:[soc-sbmu5]])-MIN(Table2[[#This Row],[soc-sbmu1]:[soc-sbmu5]])</f>
        <v>0.20000000000000284</v>
      </c>
      <c r="U268" s="75"/>
      <c r="V268" s="75"/>
    </row>
    <row r="269" spans="1:22">
      <c r="A269" t="s">
        <v>56</v>
      </c>
      <c r="B269" t="s">
        <v>673</v>
      </c>
      <c r="C269" s="75">
        <v>100</v>
      </c>
      <c r="D269" s="75">
        <v>0</v>
      </c>
      <c r="E269" s="75">
        <v>99.7</v>
      </c>
      <c r="F269" s="75">
        <v>100</v>
      </c>
      <c r="G269" s="75">
        <v>98.5</v>
      </c>
      <c r="H269" s="75">
        <v>99.9</v>
      </c>
      <c r="I269" s="75">
        <v>100</v>
      </c>
      <c r="J269" s="83">
        <v>1393.7</v>
      </c>
      <c r="K269" s="83">
        <v>1393.4</v>
      </c>
      <c r="L269" s="83">
        <v>1385.9</v>
      </c>
      <c r="M269" s="83">
        <v>1395.1</v>
      </c>
      <c r="N269" s="83">
        <v>1393</v>
      </c>
      <c r="O269" s="75">
        <v>0</v>
      </c>
      <c r="P269" s="75">
        <v>0</v>
      </c>
      <c r="Q269" s="75">
        <v>1</v>
      </c>
      <c r="R269" s="75">
        <v>26</v>
      </c>
      <c r="S269" s="75">
        <f>MAX(Table2[[#This Row],[volt-sbmu1]:[volt-sbmu5]])-MIN(Table2[[#This Row],[volt-sbmu1]:[volt-sbmu5]])</f>
        <v>9.1999999999998181</v>
      </c>
      <c r="T269" s="75">
        <f>MAX(Table2[[#This Row],[soc-sbmu1]:[soc-sbmu5]])-MIN(Table2[[#This Row],[soc-sbmu1]:[soc-sbmu5]])</f>
        <v>1.5</v>
      </c>
      <c r="U269" s="75"/>
      <c r="V269" s="75"/>
    </row>
    <row r="270" spans="1:22">
      <c r="A270" t="s">
        <v>57</v>
      </c>
      <c r="B270" t="s">
        <v>674</v>
      </c>
      <c r="C270" s="75">
        <v>99.7</v>
      </c>
      <c r="D270" s="75">
        <v>1391.4</v>
      </c>
      <c r="E270" s="75">
        <v>99.7</v>
      </c>
      <c r="F270" s="75">
        <v>99.8</v>
      </c>
      <c r="G270" s="75">
        <v>99.8</v>
      </c>
      <c r="H270" s="75">
        <v>99.7</v>
      </c>
      <c r="I270" s="75">
        <v>99.8</v>
      </c>
      <c r="J270" s="83">
        <v>1390.8</v>
      </c>
      <c r="K270" s="83">
        <v>1391.3</v>
      </c>
      <c r="L270" s="83">
        <v>1390.5</v>
      </c>
      <c r="M270" s="83">
        <v>1391.6</v>
      </c>
      <c r="N270" s="83">
        <v>1390.7</v>
      </c>
      <c r="O270" s="75">
        <v>0</v>
      </c>
      <c r="P270" s="75">
        <v>0</v>
      </c>
      <c r="Q270" s="75">
        <v>2</v>
      </c>
      <c r="R270" s="75">
        <v>27</v>
      </c>
      <c r="S270" s="75">
        <f>MAX(Table2[[#This Row],[volt-sbmu1]:[volt-sbmu5]])-MIN(Table2[[#This Row],[volt-sbmu1]:[volt-sbmu5]])</f>
        <v>1.0999999999999091</v>
      </c>
      <c r="T270" s="75">
        <f>MAX(Table2[[#This Row],[soc-sbmu1]:[soc-sbmu5]])-MIN(Table2[[#This Row],[soc-sbmu1]:[soc-sbmu5]])</f>
        <v>9.9999999999994316E-2</v>
      </c>
      <c r="U270" s="75"/>
      <c r="V270" s="75"/>
    </row>
    <row r="271" spans="1:22">
      <c r="A271" t="s">
        <v>58</v>
      </c>
      <c r="B271" t="s">
        <v>675</v>
      </c>
      <c r="C271" s="75">
        <v>84.6</v>
      </c>
      <c r="D271" s="75">
        <v>1400.6</v>
      </c>
      <c r="E271" s="75">
        <v>84.2</v>
      </c>
      <c r="F271" s="75">
        <v>84.8</v>
      </c>
      <c r="G271" s="75">
        <v>84.4</v>
      </c>
      <c r="H271" s="75">
        <v>84.1</v>
      </c>
      <c r="I271" s="75">
        <v>84.8</v>
      </c>
      <c r="J271" s="83">
        <v>1400</v>
      </c>
      <c r="K271" s="83">
        <v>1400.5</v>
      </c>
      <c r="L271" s="83">
        <v>1401.3</v>
      </c>
      <c r="M271" s="83">
        <v>1400.3</v>
      </c>
      <c r="N271" s="83">
        <v>1400.9</v>
      </c>
      <c r="O271" s="75">
        <v>0</v>
      </c>
      <c r="P271" s="75">
        <v>0</v>
      </c>
      <c r="Q271" s="75">
        <v>1</v>
      </c>
      <c r="R271" s="75">
        <v>27</v>
      </c>
      <c r="S271" s="75">
        <f>MAX(Table2[[#This Row],[volt-sbmu1]:[volt-sbmu5]])-MIN(Table2[[#This Row],[volt-sbmu1]:[volt-sbmu5]])</f>
        <v>1.2999999999999545</v>
      </c>
      <c r="T271" s="75">
        <f>MAX(Table2[[#This Row],[soc-sbmu1]:[soc-sbmu5]])-MIN(Table2[[#This Row],[soc-sbmu1]:[soc-sbmu5]])</f>
        <v>0.70000000000000284</v>
      </c>
      <c r="U271" s="75"/>
      <c r="V271" s="75"/>
    </row>
    <row r="272" spans="1:22">
      <c r="A272" t="s">
        <v>59</v>
      </c>
      <c r="B272" t="s">
        <v>676</v>
      </c>
      <c r="C272" s="75">
        <v>84.7</v>
      </c>
      <c r="D272" s="75">
        <v>1399</v>
      </c>
      <c r="E272" s="75">
        <v>83.7</v>
      </c>
      <c r="F272" s="75">
        <v>84.2</v>
      </c>
      <c r="G272" s="75">
        <v>83.1</v>
      </c>
      <c r="H272" s="75">
        <v>85.1</v>
      </c>
      <c r="I272" s="75">
        <v>83.5</v>
      </c>
      <c r="J272" s="83">
        <v>1399</v>
      </c>
      <c r="K272" s="83">
        <v>1398.3</v>
      </c>
      <c r="L272" s="83">
        <v>1399.1</v>
      </c>
      <c r="M272" s="83">
        <v>1399.7</v>
      </c>
      <c r="N272" s="83">
        <v>1400</v>
      </c>
      <c r="O272" s="75">
        <v>0</v>
      </c>
      <c r="P272" s="75">
        <v>0</v>
      </c>
      <c r="Q272" s="75">
        <v>1</v>
      </c>
      <c r="R272" s="75">
        <v>27</v>
      </c>
      <c r="S272" s="75">
        <f>MAX(Table2[[#This Row],[volt-sbmu1]:[volt-sbmu5]])-MIN(Table2[[#This Row],[volt-sbmu1]:[volt-sbmu5]])</f>
        <v>1.7000000000000455</v>
      </c>
      <c r="T272" s="75">
        <f>MAX(Table2[[#This Row],[soc-sbmu1]:[soc-sbmu5]])-MIN(Table2[[#This Row],[soc-sbmu1]:[soc-sbmu5]])</f>
        <v>2</v>
      </c>
      <c r="U272" s="75"/>
      <c r="V272" s="75"/>
    </row>
    <row r="273" spans="1:22">
      <c r="A273" t="s">
        <v>60</v>
      </c>
      <c r="B273" t="s">
        <v>677</v>
      </c>
      <c r="C273" s="75">
        <v>85</v>
      </c>
      <c r="D273" s="75">
        <v>1400.9</v>
      </c>
      <c r="E273" s="75">
        <v>84.3</v>
      </c>
      <c r="F273" s="75">
        <v>84.4</v>
      </c>
      <c r="G273" s="75">
        <v>85.4</v>
      </c>
      <c r="H273" s="75">
        <v>83.2</v>
      </c>
      <c r="I273" s="75">
        <v>83.1</v>
      </c>
      <c r="J273" s="83">
        <v>1401.2</v>
      </c>
      <c r="K273" s="83">
        <v>1400.6</v>
      </c>
      <c r="L273" s="83">
        <v>1400.6</v>
      </c>
      <c r="M273" s="83">
        <v>1400.1</v>
      </c>
      <c r="N273" s="83">
        <v>1399.9</v>
      </c>
      <c r="O273" s="75">
        <v>0</v>
      </c>
      <c r="P273" s="75">
        <v>0</v>
      </c>
      <c r="Q273" s="75">
        <v>1</v>
      </c>
      <c r="R273" s="75">
        <v>27</v>
      </c>
      <c r="S273" s="75">
        <f>MAX(Table2[[#This Row],[volt-sbmu1]:[volt-sbmu5]])-MIN(Table2[[#This Row],[volt-sbmu1]:[volt-sbmu5]])</f>
        <v>1.2999999999999545</v>
      </c>
      <c r="T273" s="75">
        <f>MAX(Table2[[#This Row],[soc-sbmu1]:[soc-sbmu5]])-MIN(Table2[[#This Row],[soc-sbmu1]:[soc-sbmu5]])</f>
        <v>2.3000000000000114</v>
      </c>
      <c r="U273" s="75"/>
      <c r="V273" s="75"/>
    </row>
    <row r="274" spans="1:22">
      <c r="A274" t="s">
        <v>61</v>
      </c>
      <c r="B274" t="s">
        <v>678</v>
      </c>
      <c r="C274" s="75">
        <v>85.1</v>
      </c>
      <c r="D274" s="75">
        <v>1400.2</v>
      </c>
      <c r="E274" s="75">
        <v>84.9</v>
      </c>
      <c r="F274" s="75">
        <v>84.5</v>
      </c>
      <c r="G274" s="75">
        <v>85.3</v>
      </c>
      <c r="H274" s="75">
        <v>84.3</v>
      </c>
      <c r="I274" s="75">
        <v>84.3</v>
      </c>
      <c r="J274" s="83">
        <v>1400.1</v>
      </c>
      <c r="K274" s="83">
        <v>1401.8</v>
      </c>
      <c r="L274" s="83">
        <v>1400.3</v>
      </c>
      <c r="M274" s="83">
        <v>1399.8</v>
      </c>
      <c r="N274" s="83">
        <v>1399.2</v>
      </c>
      <c r="O274" s="75">
        <v>0</v>
      </c>
      <c r="P274" s="75">
        <v>0</v>
      </c>
      <c r="Q274" s="75">
        <v>1</v>
      </c>
      <c r="R274" s="75">
        <v>29</v>
      </c>
      <c r="S274" s="75">
        <f>MAX(Table2[[#This Row],[volt-sbmu1]:[volt-sbmu5]])-MIN(Table2[[#This Row],[volt-sbmu1]:[volt-sbmu5]])</f>
        <v>2.5999999999999091</v>
      </c>
      <c r="T274" s="75">
        <f>MAX(Table2[[#This Row],[soc-sbmu1]:[soc-sbmu5]])-MIN(Table2[[#This Row],[soc-sbmu1]:[soc-sbmu5]])</f>
        <v>1</v>
      </c>
      <c r="U274" s="75"/>
      <c r="V274" s="75"/>
    </row>
    <row r="275" spans="1:22">
      <c r="A275" t="s">
        <v>62</v>
      </c>
      <c r="B275" t="s">
        <v>679</v>
      </c>
      <c r="C275" s="75">
        <v>84</v>
      </c>
      <c r="D275" s="75">
        <v>1399.4</v>
      </c>
      <c r="E275" s="75">
        <v>83.5</v>
      </c>
      <c r="F275" s="75">
        <v>83.3</v>
      </c>
      <c r="G275" s="75">
        <v>84.2</v>
      </c>
      <c r="H275" s="75">
        <v>83.1</v>
      </c>
      <c r="I275" s="75">
        <v>83.2</v>
      </c>
      <c r="J275" s="83">
        <v>1398.7</v>
      </c>
      <c r="K275" s="83">
        <v>1399.4</v>
      </c>
      <c r="L275" s="83">
        <v>1399</v>
      </c>
      <c r="M275" s="83">
        <v>1399.7</v>
      </c>
      <c r="N275" s="83">
        <v>1398.5</v>
      </c>
      <c r="O275" s="75">
        <v>0</v>
      </c>
      <c r="P275" s="75">
        <v>0</v>
      </c>
      <c r="Q275" s="75">
        <v>1</v>
      </c>
      <c r="R275" s="75">
        <v>25</v>
      </c>
      <c r="S275" s="75">
        <f>MAX(Table2[[#This Row],[volt-sbmu1]:[volt-sbmu5]])-MIN(Table2[[#This Row],[volt-sbmu1]:[volt-sbmu5]])</f>
        <v>1.2000000000000455</v>
      </c>
      <c r="T275" s="75">
        <f>MAX(Table2[[#This Row],[soc-sbmu1]:[soc-sbmu5]])-MIN(Table2[[#This Row],[soc-sbmu1]:[soc-sbmu5]])</f>
        <v>1.1000000000000085</v>
      </c>
      <c r="U275" s="75"/>
      <c r="V275" s="75"/>
    </row>
    <row r="276" spans="1:22">
      <c r="A276" t="s">
        <v>63</v>
      </c>
      <c r="B276" t="s">
        <v>680</v>
      </c>
      <c r="C276" s="75">
        <v>84.8</v>
      </c>
      <c r="D276" s="75">
        <v>1399.3</v>
      </c>
      <c r="E276" s="75">
        <v>83.6</v>
      </c>
      <c r="F276" s="75">
        <v>85.2</v>
      </c>
      <c r="G276" s="75">
        <v>83.1</v>
      </c>
      <c r="H276" s="75">
        <v>83.1</v>
      </c>
      <c r="I276" s="75">
        <v>83.9</v>
      </c>
      <c r="J276" s="83">
        <v>1399.7</v>
      </c>
      <c r="K276" s="83">
        <v>1400.1</v>
      </c>
      <c r="L276" s="83">
        <v>1399.9</v>
      </c>
      <c r="M276" s="83">
        <v>1400.6</v>
      </c>
      <c r="N276" s="83">
        <v>1399.8</v>
      </c>
      <c r="O276" s="75">
        <v>0</v>
      </c>
      <c r="P276" s="75">
        <v>0</v>
      </c>
      <c r="Q276" s="75">
        <v>1</v>
      </c>
      <c r="R276" s="75">
        <v>26</v>
      </c>
      <c r="S276" s="75">
        <f>MAX(Table2[[#This Row],[volt-sbmu1]:[volt-sbmu5]])-MIN(Table2[[#This Row],[volt-sbmu1]:[volt-sbmu5]])</f>
        <v>0.89999999999986358</v>
      </c>
      <c r="T276" s="75">
        <f>MAX(Table2[[#This Row],[soc-sbmu1]:[soc-sbmu5]])-MIN(Table2[[#This Row],[soc-sbmu1]:[soc-sbmu5]])</f>
        <v>2.1000000000000085</v>
      </c>
      <c r="U276" s="75"/>
      <c r="V276" s="75"/>
    </row>
    <row r="277" spans="1:22">
      <c r="A277" t="s">
        <v>64</v>
      </c>
      <c r="B277" t="s">
        <v>681</v>
      </c>
      <c r="C277" s="75">
        <v>84.8</v>
      </c>
      <c r="D277" s="75">
        <v>1399.7</v>
      </c>
      <c r="E277" s="75">
        <v>83.1</v>
      </c>
      <c r="F277" s="75">
        <v>85.2</v>
      </c>
      <c r="G277" s="75">
        <v>83.3</v>
      </c>
      <c r="H277" s="75">
        <v>82.7</v>
      </c>
      <c r="I277" s="75">
        <v>82.8</v>
      </c>
      <c r="J277" s="83">
        <v>1398.8</v>
      </c>
      <c r="K277" s="83">
        <v>1400.5</v>
      </c>
      <c r="L277" s="83">
        <v>1400.6</v>
      </c>
      <c r="M277" s="83">
        <v>1399</v>
      </c>
      <c r="N277" s="83">
        <v>1400.3</v>
      </c>
      <c r="O277" s="75">
        <v>0</v>
      </c>
      <c r="P277" s="75">
        <v>0</v>
      </c>
      <c r="Q277" s="75">
        <v>1</v>
      </c>
      <c r="R277" s="75">
        <v>26</v>
      </c>
      <c r="S277" s="75">
        <f>MAX(Table2[[#This Row],[volt-sbmu1]:[volt-sbmu5]])-MIN(Table2[[#This Row],[volt-sbmu1]:[volt-sbmu5]])</f>
        <v>1.7999999999999545</v>
      </c>
      <c r="T277" s="75">
        <f>MAX(Table2[[#This Row],[soc-sbmu1]:[soc-sbmu5]])-MIN(Table2[[#This Row],[soc-sbmu1]:[soc-sbmu5]])</f>
        <v>2.5</v>
      </c>
      <c r="U277" s="75"/>
      <c r="V277" s="75"/>
    </row>
    <row r="278" spans="1:22">
      <c r="A278" t="s">
        <v>65</v>
      </c>
      <c r="B278" t="s">
        <v>682</v>
      </c>
      <c r="C278" s="75">
        <v>85.4</v>
      </c>
      <c r="D278" s="75">
        <v>1400.5</v>
      </c>
      <c r="E278" s="75">
        <v>85.1</v>
      </c>
      <c r="F278" s="75">
        <v>85.9</v>
      </c>
      <c r="G278" s="75">
        <v>83.5</v>
      </c>
      <c r="H278" s="75">
        <v>83.1</v>
      </c>
      <c r="I278" s="75">
        <v>84.6</v>
      </c>
      <c r="J278" s="83">
        <v>1400</v>
      </c>
      <c r="K278" s="83">
        <v>1400.1</v>
      </c>
      <c r="L278" s="83">
        <v>1399.1</v>
      </c>
      <c r="M278" s="83">
        <v>1400.6</v>
      </c>
      <c r="N278" s="83">
        <v>1400.6</v>
      </c>
      <c r="O278" s="75">
        <v>0</v>
      </c>
      <c r="P278" s="75">
        <v>0</v>
      </c>
      <c r="Q278" s="75">
        <v>1</v>
      </c>
      <c r="R278" s="75">
        <v>28</v>
      </c>
      <c r="S278" s="75">
        <f>MAX(Table2[[#This Row],[volt-sbmu1]:[volt-sbmu5]])-MIN(Table2[[#This Row],[volt-sbmu1]:[volt-sbmu5]])</f>
        <v>1.5</v>
      </c>
      <c r="T278" s="75">
        <f>MAX(Table2[[#This Row],[soc-sbmu1]:[soc-sbmu5]])-MIN(Table2[[#This Row],[soc-sbmu1]:[soc-sbmu5]])</f>
        <v>2.8000000000000114</v>
      </c>
      <c r="U278" s="75"/>
      <c r="V278" s="75"/>
    </row>
    <row r="279" spans="1:22">
      <c r="A279" t="s">
        <v>66</v>
      </c>
      <c r="B279" t="s">
        <v>683</v>
      </c>
      <c r="C279" s="75">
        <v>85</v>
      </c>
      <c r="D279" s="75">
        <v>1400.2</v>
      </c>
      <c r="E279" s="75">
        <v>83.7</v>
      </c>
      <c r="F279" s="75">
        <v>83.5</v>
      </c>
      <c r="G279" s="75">
        <v>83.5</v>
      </c>
      <c r="H279" s="75">
        <v>83</v>
      </c>
      <c r="I279" s="75">
        <v>85.4</v>
      </c>
      <c r="J279" s="83">
        <v>1399.1</v>
      </c>
      <c r="K279" s="83">
        <v>1399.6</v>
      </c>
      <c r="L279" s="83">
        <v>1400.8</v>
      </c>
      <c r="M279" s="83">
        <v>1400.2</v>
      </c>
      <c r="N279" s="83">
        <v>1400.3</v>
      </c>
      <c r="O279" s="75">
        <v>0</v>
      </c>
      <c r="P279" s="75">
        <v>0</v>
      </c>
      <c r="Q279" s="75">
        <v>1</v>
      </c>
      <c r="R279" s="75">
        <v>26</v>
      </c>
      <c r="S279" s="75">
        <f>MAX(Table2[[#This Row],[volt-sbmu1]:[volt-sbmu5]])-MIN(Table2[[#This Row],[volt-sbmu1]:[volt-sbmu5]])</f>
        <v>1.7000000000000455</v>
      </c>
      <c r="T279" s="75">
        <f>MAX(Table2[[#This Row],[soc-sbmu1]:[soc-sbmu5]])-MIN(Table2[[#This Row],[soc-sbmu1]:[soc-sbmu5]])</f>
        <v>2.4000000000000057</v>
      </c>
      <c r="U279" s="75"/>
      <c r="V279" s="75"/>
    </row>
    <row r="280" spans="1:22">
      <c r="A280" t="s">
        <v>67</v>
      </c>
      <c r="B280" t="s">
        <v>684</v>
      </c>
      <c r="C280" s="75">
        <v>85.1</v>
      </c>
      <c r="D280" s="75">
        <v>1400</v>
      </c>
      <c r="E280" s="75">
        <v>84.1</v>
      </c>
      <c r="F280" s="75">
        <v>83.2</v>
      </c>
      <c r="G280" s="75">
        <v>85.5</v>
      </c>
      <c r="H280" s="75">
        <v>84.2</v>
      </c>
      <c r="I280" s="75">
        <v>84.1</v>
      </c>
      <c r="J280" s="83">
        <v>1399.3</v>
      </c>
      <c r="K280" s="83">
        <v>1400.4</v>
      </c>
      <c r="L280" s="83">
        <v>1400.4</v>
      </c>
      <c r="M280" s="83">
        <v>1399.2</v>
      </c>
      <c r="N280" s="83">
        <v>1399.6</v>
      </c>
      <c r="O280" s="75">
        <v>0</v>
      </c>
      <c r="P280" s="75">
        <v>0</v>
      </c>
      <c r="Q280" s="75">
        <v>1</v>
      </c>
      <c r="R280" s="75">
        <v>26</v>
      </c>
      <c r="S280" s="75">
        <f>MAX(Table2[[#This Row],[volt-sbmu1]:[volt-sbmu5]])-MIN(Table2[[#This Row],[volt-sbmu1]:[volt-sbmu5]])</f>
        <v>1.2000000000000455</v>
      </c>
      <c r="T280" s="75">
        <f>MAX(Table2[[#This Row],[soc-sbmu1]:[soc-sbmu5]])-MIN(Table2[[#This Row],[soc-sbmu1]:[soc-sbmu5]])</f>
        <v>2.2999999999999972</v>
      </c>
      <c r="U280" s="75"/>
      <c r="V280" s="75"/>
    </row>
    <row r="281" spans="1:22">
      <c r="A281" t="s">
        <v>68</v>
      </c>
      <c r="B281" t="s">
        <v>685</v>
      </c>
      <c r="C281" s="75">
        <v>84.7</v>
      </c>
      <c r="D281" s="75">
        <v>1399.9</v>
      </c>
      <c r="E281" s="75">
        <v>83.6</v>
      </c>
      <c r="F281" s="75">
        <v>84.9</v>
      </c>
      <c r="G281" s="75">
        <v>83.7</v>
      </c>
      <c r="H281" s="75">
        <v>83.8</v>
      </c>
      <c r="I281" s="75">
        <v>83.8</v>
      </c>
      <c r="J281" s="83">
        <v>1400</v>
      </c>
      <c r="K281" s="83">
        <v>1400.2</v>
      </c>
      <c r="L281" s="83">
        <v>1399.4</v>
      </c>
      <c r="M281" s="83">
        <v>1400.5</v>
      </c>
      <c r="N281" s="83">
        <v>1400.1</v>
      </c>
      <c r="O281" s="75">
        <v>0</v>
      </c>
      <c r="P281" s="75">
        <v>0</v>
      </c>
      <c r="Q281" s="75">
        <v>1</v>
      </c>
      <c r="R281" s="75">
        <v>26</v>
      </c>
      <c r="S281" s="75">
        <f>MAX(Table2[[#This Row],[volt-sbmu1]:[volt-sbmu5]])-MIN(Table2[[#This Row],[volt-sbmu1]:[volt-sbmu5]])</f>
        <v>1.0999999999999091</v>
      </c>
      <c r="T281" s="75">
        <f>MAX(Table2[[#This Row],[soc-sbmu1]:[soc-sbmu5]])-MIN(Table2[[#This Row],[soc-sbmu1]:[soc-sbmu5]])</f>
        <v>1.3000000000000114</v>
      </c>
      <c r="U281" s="75"/>
      <c r="V281" s="75"/>
    </row>
    <row r="282" spans="1:22">
      <c r="A282" t="s">
        <v>69</v>
      </c>
      <c r="B282" t="s">
        <v>686</v>
      </c>
      <c r="C282" s="75">
        <v>84.6</v>
      </c>
      <c r="D282" s="75">
        <v>1399.6</v>
      </c>
      <c r="E282" s="75">
        <v>84.9</v>
      </c>
      <c r="F282" s="75">
        <v>83.2</v>
      </c>
      <c r="G282" s="75">
        <v>83.5</v>
      </c>
      <c r="H282" s="75">
        <v>83.7</v>
      </c>
      <c r="I282" s="75">
        <v>83.2</v>
      </c>
      <c r="J282" s="83">
        <v>1400.2</v>
      </c>
      <c r="K282" s="83">
        <v>1399.2</v>
      </c>
      <c r="L282" s="83">
        <v>1400.8</v>
      </c>
      <c r="M282" s="83">
        <v>1399.7</v>
      </c>
      <c r="N282" s="83">
        <v>1398.6</v>
      </c>
      <c r="O282" s="75">
        <v>0</v>
      </c>
      <c r="P282" s="75">
        <v>0</v>
      </c>
      <c r="Q282" s="75">
        <v>1</v>
      </c>
      <c r="R282" s="75">
        <v>30</v>
      </c>
      <c r="S282" s="75">
        <f>MAX(Table2[[#This Row],[volt-sbmu1]:[volt-sbmu5]])-MIN(Table2[[#This Row],[volt-sbmu1]:[volt-sbmu5]])</f>
        <v>2.2000000000000455</v>
      </c>
      <c r="T282" s="75">
        <f>MAX(Table2[[#This Row],[soc-sbmu1]:[soc-sbmu5]])-MIN(Table2[[#This Row],[soc-sbmu1]:[soc-sbmu5]])</f>
        <v>1.7000000000000028</v>
      </c>
      <c r="U282" s="75"/>
      <c r="V282" s="75"/>
    </row>
    <row r="283" spans="1:22">
      <c r="A283" t="s">
        <v>70</v>
      </c>
      <c r="B283" t="s">
        <v>687</v>
      </c>
      <c r="C283" s="75">
        <v>84.8</v>
      </c>
      <c r="D283" s="75">
        <v>1399.7</v>
      </c>
      <c r="E283" s="75">
        <v>83.1</v>
      </c>
      <c r="F283" s="75">
        <v>83.3</v>
      </c>
      <c r="G283" s="75">
        <v>83.4</v>
      </c>
      <c r="H283" s="75">
        <v>83.3</v>
      </c>
      <c r="I283" s="75">
        <v>85.2</v>
      </c>
      <c r="J283" s="83">
        <v>1400.2</v>
      </c>
      <c r="K283" s="83">
        <v>1399.7</v>
      </c>
      <c r="L283" s="83">
        <v>1399.1</v>
      </c>
      <c r="M283" s="83">
        <v>1399.4</v>
      </c>
      <c r="N283" s="83">
        <v>1399.9</v>
      </c>
      <c r="O283" s="75">
        <v>0</v>
      </c>
      <c r="P283" s="75">
        <v>0</v>
      </c>
      <c r="Q283" s="75">
        <v>1</v>
      </c>
      <c r="R283" s="75">
        <v>25</v>
      </c>
      <c r="S283" s="75">
        <f>MAX(Table2[[#This Row],[volt-sbmu1]:[volt-sbmu5]])-MIN(Table2[[#This Row],[volt-sbmu1]:[volt-sbmu5]])</f>
        <v>1.1000000000001364</v>
      </c>
      <c r="T283" s="75">
        <f>MAX(Table2[[#This Row],[soc-sbmu1]:[soc-sbmu5]])-MIN(Table2[[#This Row],[soc-sbmu1]:[soc-sbmu5]])</f>
        <v>2.1000000000000085</v>
      </c>
      <c r="U283" s="75"/>
      <c r="V283" s="75"/>
    </row>
    <row r="284" spans="1:22">
      <c r="A284" t="s">
        <v>71</v>
      </c>
      <c r="B284" t="s">
        <v>688</v>
      </c>
      <c r="C284" s="75">
        <v>84.8</v>
      </c>
      <c r="D284" s="75">
        <v>1399.4</v>
      </c>
      <c r="E284" s="75">
        <v>85.1</v>
      </c>
      <c r="F284" s="75">
        <v>83.4</v>
      </c>
      <c r="G284" s="75">
        <v>84</v>
      </c>
      <c r="H284" s="75">
        <v>83.3</v>
      </c>
      <c r="I284" s="75">
        <v>84</v>
      </c>
      <c r="J284" s="83">
        <v>1397.6</v>
      </c>
      <c r="K284" s="83">
        <v>1399.9</v>
      </c>
      <c r="L284" s="83">
        <v>1399.4</v>
      </c>
      <c r="M284" s="83">
        <v>1400.1</v>
      </c>
      <c r="N284" s="83">
        <v>1400.2</v>
      </c>
      <c r="O284" s="75">
        <v>0</v>
      </c>
      <c r="P284" s="75">
        <v>0</v>
      </c>
      <c r="Q284" s="75">
        <v>1</v>
      </c>
      <c r="R284" s="75">
        <v>25</v>
      </c>
      <c r="S284" s="75">
        <f>MAX(Table2[[#This Row],[volt-sbmu1]:[volt-sbmu5]])-MIN(Table2[[#This Row],[volt-sbmu1]:[volt-sbmu5]])</f>
        <v>2.6000000000001364</v>
      </c>
      <c r="T284" s="75">
        <f>MAX(Table2[[#This Row],[soc-sbmu1]:[soc-sbmu5]])-MIN(Table2[[#This Row],[soc-sbmu1]:[soc-sbmu5]])</f>
        <v>1.7999999999999972</v>
      </c>
      <c r="U284" s="75"/>
      <c r="V284" s="75"/>
    </row>
    <row r="285" spans="1:22">
      <c r="A285" t="s">
        <v>72</v>
      </c>
      <c r="B285" t="s">
        <v>689</v>
      </c>
      <c r="C285" s="75">
        <v>85.1</v>
      </c>
      <c r="D285" s="75">
        <v>1399.9</v>
      </c>
      <c r="E285" s="75">
        <v>85.5</v>
      </c>
      <c r="F285" s="75">
        <v>84.4</v>
      </c>
      <c r="G285" s="75">
        <v>84.6</v>
      </c>
      <c r="H285" s="75">
        <v>84.5</v>
      </c>
      <c r="I285" s="75">
        <v>83.3</v>
      </c>
      <c r="J285" s="83">
        <v>1398.8</v>
      </c>
      <c r="K285" s="83">
        <v>1398.1</v>
      </c>
      <c r="L285" s="83">
        <v>1400.8</v>
      </c>
      <c r="M285" s="83">
        <v>1400</v>
      </c>
      <c r="N285" s="83">
        <v>1399.6</v>
      </c>
      <c r="O285" s="75">
        <v>0</v>
      </c>
      <c r="P285" s="75">
        <v>0</v>
      </c>
      <c r="Q285" s="75">
        <v>1</v>
      </c>
      <c r="R285" s="75">
        <v>25</v>
      </c>
      <c r="S285" s="75">
        <f>MAX(Table2[[#This Row],[volt-sbmu1]:[volt-sbmu5]])-MIN(Table2[[#This Row],[volt-sbmu1]:[volt-sbmu5]])</f>
        <v>2.7000000000000455</v>
      </c>
      <c r="T285" s="75">
        <f>MAX(Table2[[#This Row],[soc-sbmu1]:[soc-sbmu5]])-MIN(Table2[[#This Row],[soc-sbmu1]:[soc-sbmu5]])</f>
        <v>2.2000000000000028</v>
      </c>
      <c r="U285" s="75"/>
      <c r="V285" s="75"/>
    </row>
    <row r="286" spans="1:22">
      <c r="A286" t="s">
        <v>73</v>
      </c>
      <c r="B286" t="s">
        <v>690</v>
      </c>
      <c r="C286" s="75">
        <v>85</v>
      </c>
      <c r="D286" s="75">
        <v>1399.8</v>
      </c>
      <c r="E286" s="75">
        <v>84.2</v>
      </c>
      <c r="F286" s="75">
        <v>84.1</v>
      </c>
      <c r="G286" s="75">
        <v>83.5</v>
      </c>
      <c r="H286" s="75">
        <v>83.3</v>
      </c>
      <c r="I286" s="75">
        <v>85.4</v>
      </c>
      <c r="J286" s="83">
        <v>1400.1</v>
      </c>
      <c r="K286" s="83">
        <v>1400.5</v>
      </c>
      <c r="L286" s="83">
        <v>1399.4</v>
      </c>
      <c r="M286" s="83">
        <v>1399.5</v>
      </c>
      <c r="N286" s="83">
        <v>1398.7</v>
      </c>
      <c r="O286" s="75">
        <v>0</v>
      </c>
      <c r="P286" s="75">
        <v>0</v>
      </c>
      <c r="Q286" s="75">
        <v>1</v>
      </c>
      <c r="R286" s="75">
        <v>28</v>
      </c>
      <c r="S286" s="75">
        <f>MAX(Table2[[#This Row],[volt-sbmu1]:[volt-sbmu5]])-MIN(Table2[[#This Row],[volt-sbmu1]:[volt-sbmu5]])</f>
        <v>1.7999999999999545</v>
      </c>
      <c r="T286" s="75">
        <f>MAX(Table2[[#This Row],[soc-sbmu1]:[soc-sbmu5]])-MIN(Table2[[#This Row],[soc-sbmu1]:[soc-sbmu5]])</f>
        <v>2.1000000000000085</v>
      </c>
      <c r="U286" s="75"/>
      <c r="V286" s="75"/>
    </row>
    <row r="287" spans="1:22">
      <c r="A287" t="s">
        <v>74</v>
      </c>
      <c r="B287" t="s">
        <v>691</v>
      </c>
      <c r="C287" s="75">
        <v>93.6</v>
      </c>
      <c r="D287" s="75">
        <v>1400</v>
      </c>
      <c r="E287" s="75">
        <v>92.5</v>
      </c>
      <c r="F287" s="75">
        <v>93.3</v>
      </c>
      <c r="G287" s="75">
        <v>93.2</v>
      </c>
      <c r="H287" s="75">
        <v>92.8</v>
      </c>
      <c r="I287" s="75">
        <v>93.7</v>
      </c>
      <c r="J287" s="83">
        <v>1401.3</v>
      </c>
      <c r="K287" s="83">
        <v>1399.5</v>
      </c>
      <c r="L287" s="83">
        <v>1399.2</v>
      </c>
      <c r="M287" s="83">
        <v>1400.1</v>
      </c>
      <c r="N287" s="83">
        <v>1399.8</v>
      </c>
      <c r="O287" s="75">
        <v>0</v>
      </c>
      <c r="P287" s="75">
        <v>0</v>
      </c>
      <c r="Q287" s="75">
        <v>1</v>
      </c>
      <c r="R287" s="75">
        <v>25</v>
      </c>
      <c r="S287" s="75">
        <f>MAX(Table2[[#This Row],[volt-sbmu1]:[volt-sbmu5]])-MIN(Table2[[#This Row],[volt-sbmu1]:[volt-sbmu5]])</f>
        <v>2.0999999999999091</v>
      </c>
      <c r="T287" s="75">
        <f>MAX(Table2[[#This Row],[soc-sbmu1]:[soc-sbmu5]])-MIN(Table2[[#This Row],[soc-sbmu1]:[soc-sbmu5]])</f>
        <v>1.2000000000000028</v>
      </c>
      <c r="U287" s="75"/>
      <c r="V287" s="75"/>
    </row>
    <row r="288" spans="1:22">
      <c r="A288" t="s">
        <v>75</v>
      </c>
      <c r="B288" t="s">
        <v>692</v>
      </c>
      <c r="C288" s="75">
        <v>93.7</v>
      </c>
      <c r="D288" s="75">
        <v>1399.1</v>
      </c>
      <c r="E288" s="75">
        <v>93</v>
      </c>
      <c r="F288" s="75">
        <v>93.8</v>
      </c>
      <c r="G288" s="75">
        <v>93.8</v>
      </c>
      <c r="H288" s="75">
        <v>93.2</v>
      </c>
      <c r="I288" s="75">
        <v>92.5</v>
      </c>
      <c r="J288" s="83">
        <v>1398.2</v>
      </c>
      <c r="K288" s="83">
        <v>1398</v>
      </c>
      <c r="L288" s="83">
        <v>1398.4</v>
      </c>
      <c r="M288" s="83">
        <v>1400.1</v>
      </c>
      <c r="N288" s="83">
        <v>1398.4</v>
      </c>
      <c r="O288" s="75">
        <v>0</v>
      </c>
      <c r="P288" s="75">
        <v>0</v>
      </c>
      <c r="Q288" s="75">
        <v>1</v>
      </c>
      <c r="R288" s="75">
        <v>25</v>
      </c>
      <c r="S288" s="75">
        <f>MAX(Table2[[#This Row],[volt-sbmu1]:[volt-sbmu5]])-MIN(Table2[[#This Row],[volt-sbmu1]:[volt-sbmu5]])</f>
        <v>2.0999999999999091</v>
      </c>
      <c r="T288" s="75">
        <f>MAX(Table2[[#This Row],[soc-sbmu1]:[soc-sbmu5]])-MIN(Table2[[#This Row],[soc-sbmu1]:[soc-sbmu5]])</f>
        <v>1.2999999999999972</v>
      </c>
      <c r="U288" s="75"/>
      <c r="V288" s="75"/>
    </row>
    <row r="289" spans="1:22">
      <c r="A289" t="s">
        <v>76</v>
      </c>
      <c r="B289" t="s">
        <v>693</v>
      </c>
      <c r="C289" s="75">
        <v>93.8</v>
      </c>
      <c r="D289" s="75">
        <v>1399.9</v>
      </c>
      <c r="E289" s="75">
        <v>93.9</v>
      </c>
      <c r="F289" s="75">
        <v>93</v>
      </c>
      <c r="G289" s="75">
        <v>92.8</v>
      </c>
      <c r="H289" s="75">
        <v>92.9</v>
      </c>
      <c r="I289" s="75">
        <v>92.9</v>
      </c>
      <c r="J289" s="83">
        <v>1399.5</v>
      </c>
      <c r="K289" s="83">
        <v>1400.3</v>
      </c>
      <c r="L289" s="83">
        <v>1399.3</v>
      </c>
      <c r="M289" s="83">
        <v>1399.1</v>
      </c>
      <c r="N289" s="83">
        <v>1400.1</v>
      </c>
      <c r="O289" s="75">
        <v>0</v>
      </c>
      <c r="P289" s="75">
        <v>0</v>
      </c>
      <c r="Q289" s="75">
        <v>1</v>
      </c>
      <c r="R289" s="75">
        <v>26</v>
      </c>
      <c r="S289" s="75">
        <f>MAX(Table2[[#This Row],[volt-sbmu1]:[volt-sbmu5]])-MIN(Table2[[#This Row],[volt-sbmu1]:[volt-sbmu5]])</f>
        <v>1.2000000000000455</v>
      </c>
      <c r="T289" s="75">
        <f>MAX(Table2[[#This Row],[soc-sbmu1]:[soc-sbmu5]])-MIN(Table2[[#This Row],[soc-sbmu1]:[soc-sbmu5]])</f>
        <v>1.1000000000000085</v>
      </c>
      <c r="U289" s="75"/>
      <c r="V289" s="75"/>
    </row>
    <row r="290" spans="1:22">
      <c r="A290" t="s">
        <v>77</v>
      </c>
      <c r="B290" t="s">
        <v>694</v>
      </c>
      <c r="C290" s="75">
        <v>93.7</v>
      </c>
      <c r="D290" s="75">
        <v>1400.1</v>
      </c>
      <c r="E290" s="75">
        <v>93.9</v>
      </c>
      <c r="F290" s="75">
        <v>92.2</v>
      </c>
      <c r="G290" s="75">
        <v>92.8</v>
      </c>
      <c r="H290" s="75">
        <v>92.6</v>
      </c>
      <c r="I290" s="75">
        <v>92</v>
      </c>
      <c r="J290" s="83">
        <v>1400.8</v>
      </c>
      <c r="K290" s="83">
        <v>1398.6</v>
      </c>
      <c r="L290" s="83">
        <v>1398.4</v>
      </c>
      <c r="M290" s="83">
        <v>1399.1</v>
      </c>
      <c r="N290" s="83">
        <v>1400.7</v>
      </c>
      <c r="O290" s="75">
        <v>0</v>
      </c>
      <c r="P290" s="75">
        <v>64</v>
      </c>
      <c r="Q290" s="75">
        <v>4</v>
      </c>
      <c r="R290" s="75">
        <v>29</v>
      </c>
      <c r="S290" s="75">
        <f>MAX(Table2[[#This Row],[volt-sbmu1]:[volt-sbmu5]])-MIN(Table2[[#This Row],[volt-sbmu1]:[volt-sbmu5]])</f>
        <v>2.3999999999998636</v>
      </c>
      <c r="T290" s="75">
        <f>MAX(Table2[[#This Row],[soc-sbmu1]:[soc-sbmu5]])-MIN(Table2[[#This Row],[soc-sbmu1]:[soc-sbmu5]])</f>
        <v>1.9000000000000057</v>
      </c>
      <c r="U290" s="75"/>
      <c r="V290" s="75"/>
    </row>
  </sheetData>
  <phoneticPr fontId="12" type="noConversion"/>
  <dataValidations count="1">
    <dataValidation type="list" allowBlank="1" showInputMessage="1" showErrorMessage="1" sqref="AB6" xr:uid="{7E7003CD-7EEA-4D52-BB6C-DFEB8C928C98}">
      <formula1>$AF$4:$AJ$4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29</xdr:col>
                    <xdr:colOff>209550</xdr:colOff>
                    <xdr:row>1</xdr:row>
                    <xdr:rowOff>0</xdr:rowOff>
                  </from>
                  <to>
                    <xdr:col>30</xdr:col>
                    <xdr:colOff>419100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G290"/>
  <sheetViews>
    <sheetView tabSelected="1" workbookViewId="0">
      <selection activeCell="AD6" sqref="AD6"/>
    </sheetView>
  </sheetViews>
  <sheetFormatPr defaultRowHeight="13.5"/>
  <cols>
    <col min="1" max="1" width="11.875" bestFit="1" customWidth="1"/>
    <col min="2" max="2" width="3.875" bestFit="1" customWidth="1"/>
    <col min="3" max="4" width="4.25" bestFit="1" customWidth="1"/>
    <col min="5" max="12" width="5.875" bestFit="1" customWidth="1"/>
    <col min="13" max="22" width="7.875" bestFit="1" customWidth="1"/>
    <col min="23" max="23" width="3" customWidth="1"/>
    <col min="24" max="27" width="5.875" bestFit="1" customWidth="1"/>
    <col min="28" max="28" width="9" customWidth="1"/>
  </cols>
  <sheetData>
    <row r="1" spans="1:33" ht="15">
      <c r="A1" s="86" t="s">
        <v>27</v>
      </c>
      <c r="B1" s="86" t="s">
        <v>28</v>
      </c>
      <c r="C1" s="128" t="s">
        <v>779</v>
      </c>
      <c r="D1" s="129" t="s">
        <v>780</v>
      </c>
      <c r="E1" s="129" t="s">
        <v>781</v>
      </c>
      <c r="F1" s="129" t="s">
        <v>782</v>
      </c>
      <c r="G1" s="129" t="s">
        <v>783</v>
      </c>
      <c r="H1" s="129" t="s">
        <v>784</v>
      </c>
      <c r="I1" s="129" t="s">
        <v>785</v>
      </c>
      <c r="J1" s="129" t="s">
        <v>786</v>
      </c>
      <c r="K1" s="129" t="s">
        <v>787</v>
      </c>
      <c r="L1" s="130" t="s">
        <v>788</v>
      </c>
      <c r="M1" s="86" t="s">
        <v>789</v>
      </c>
      <c r="N1" s="86" t="s">
        <v>790</v>
      </c>
      <c r="O1" s="86" t="s">
        <v>791</v>
      </c>
      <c r="P1" s="86" t="s">
        <v>792</v>
      </c>
      <c r="Q1" s="86" t="s">
        <v>793</v>
      </c>
      <c r="R1" s="86" t="s">
        <v>794</v>
      </c>
      <c r="S1" s="86" t="s">
        <v>795</v>
      </c>
      <c r="T1" s="86" t="s">
        <v>796</v>
      </c>
      <c r="U1" s="86" t="s">
        <v>797</v>
      </c>
      <c r="V1" s="86" t="s">
        <v>798</v>
      </c>
      <c r="W1" s="59"/>
      <c r="X1" s="85"/>
      <c r="Z1" s="85"/>
      <c r="AB1" t="str">
        <f>ReadSOC!AB1</f>
        <v>D:\Download\00-CATL\KBESS\HotCommissionTool\data\SocVolt-20250201-055733.csv</v>
      </c>
    </row>
    <row r="2" spans="1:33" ht="15">
      <c r="A2" t="s">
        <v>132</v>
      </c>
      <c r="B2" s="85" t="s">
        <v>408</v>
      </c>
      <c r="C2" s="131">
        <v>117</v>
      </c>
      <c r="D2" s="75">
        <v>639</v>
      </c>
      <c r="E2" s="75">
        <v>129</v>
      </c>
      <c r="F2" s="75">
        <v>626</v>
      </c>
      <c r="G2" s="75">
        <v>128</v>
      </c>
      <c r="H2" s="75">
        <v>627</v>
      </c>
      <c r="I2" s="75">
        <v>124</v>
      </c>
      <c r="J2" s="83">
        <v>641</v>
      </c>
      <c r="K2" s="83">
        <v>131</v>
      </c>
      <c r="L2" s="132">
        <v>625</v>
      </c>
      <c r="M2" s="83">
        <v>20744.099999999999</v>
      </c>
      <c r="N2" s="83">
        <v>19288.099999999999</v>
      </c>
      <c r="O2" s="75">
        <v>20661</v>
      </c>
      <c r="P2" s="75">
        <v>19380.2</v>
      </c>
      <c r="Q2" s="75">
        <v>19912.2</v>
      </c>
      <c r="R2" s="75">
        <v>19222</v>
      </c>
      <c r="S2" s="75">
        <v>20331.3</v>
      </c>
      <c r="T2" s="75">
        <v>18971.5</v>
      </c>
      <c r="U2" s="75">
        <v>16682.8</v>
      </c>
      <c r="V2" s="75">
        <v>16021.3</v>
      </c>
    </row>
    <row r="3" spans="1:33" ht="15">
      <c r="A3" t="s">
        <v>133</v>
      </c>
      <c r="B3" s="85" t="s">
        <v>409</v>
      </c>
      <c r="C3" s="131">
        <v>128</v>
      </c>
      <c r="D3" s="75">
        <v>627</v>
      </c>
      <c r="E3" s="75">
        <v>133</v>
      </c>
      <c r="F3" s="75">
        <v>627</v>
      </c>
      <c r="G3" s="75">
        <v>131</v>
      </c>
      <c r="H3" s="75">
        <v>628</v>
      </c>
      <c r="I3" s="75">
        <v>121</v>
      </c>
      <c r="J3" s="83">
        <v>644</v>
      </c>
      <c r="K3" s="83">
        <v>133</v>
      </c>
      <c r="L3" s="132">
        <v>624</v>
      </c>
      <c r="M3" s="83">
        <v>22506.400000000001</v>
      </c>
      <c r="N3" s="83">
        <v>21147.9</v>
      </c>
      <c r="O3" s="75">
        <v>21721.5</v>
      </c>
      <c r="P3" s="75">
        <v>20831.400000000001</v>
      </c>
      <c r="Q3" s="75">
        <v>22388.3</v>
      </c>
      <c r="R3" s="75">
        <v>21038.799999999999</v>
      </c>
      <c r="S3" s="75">
        <v>21582.799999999999</v>
      </c>
      <c r="T3" s="75">
        <v>20318.2</v>
      </c>
      <c r="U3" s="75">
        <v>20787.599999999999</v>
      </c>
      <c r="V3" s="75">
        <v>20121</v>
      </c>
    </row>
    <row r="4" spans="1:33" ht="15">
      <c r="A4" t="s">
        <v>134</v>
      </c>
      <c r="B4" s="85" t="s">
        <v>410</v>
      </c>
      <c r="C4" s="131">
        <v>131</v>
      </c>
      <c r="D4" s="75">
        <v>637</v>
      </c>
      <c r="E4" s="75">
        <v>134</v>
      </c>
      <c r="F4" s="75">
        <v>627</v>
      </c>
      <c r="G4" s="75">
        <v>126</v>
      </c>
      <c r="H4" s="75">
        <v>642</v>
      </c>
      <c r="I4" s="75">
        <v>134</v>
      </c>
      <c r="J4" s="83">
        <v>627</v>
      </c>
      <c r="K4" s="83">
        <v>116</v>
      </c>
      <c r="L4" s="132">
        <v>641</v>
      </c>
      <c r="M4" s="83">
        <v>20794.3</v>
      </c>
      <c r="N4" s="83">
        <v>19487.2</v>
      </c>
      <c r="O4" s="75">
        <v>20570.2</v>
      </c>
      <c r="P4" s="75">
        <v>19312.400000000001</v>
      </c>
      <c r="Q4" s="75">
        <v>20756.2</v>
      </c>
      <c r="R4" s="75">
        <v>19482.400000000001</v>
      </c>
      <c r="S4" s="75">
        <v>20559.2</v>
      </c>
      <c r="T4" s="75">
        <v>19214</v>
      </c>
      <c r="U4" s="75">
        <v>20607.099999999999</v>
      </c>
      <c r="V4" s="75">
        <v>19358.5</v>
      </c>
      <c r="AB4" t="s">
        <v>799</v>
      </c>
      <c r="AC4">
        <f>MEDIAN(Table25[[CC1]:[DC5]])</f>
        <v>383.5</v>
      </c>
      <c r="AE4" t="s">
        <v>799</v>
      </c>
      <c r="AF4">
        <f>MEDIAN(Table25[[HCC1]:[HDC5]])</f>
        <v>18770.5</v>
      </c>
    </row>
    <row r="5" spans="1:33" ht="15">
      <c r="A5" t="s">
        <v>135</v>
      </c>
      <c r="B5" s="85" t="s">
        <v>411</v>
      </c>
      <c r="C5" s="131">
        <v>132</v>
      </c>
      <c r="D5" s="75">
        <v>632</v>
      </c>
      <c r="E5" s="75">
        <v>128</v>
      </c>
      <c r="F5" s="75">
        <v>631</v>
      </c>
      <c r="G5" s="75">
        <v>132</v>
      </c>
      <c r="H5" s="75">
        <v>629</v>
      </c>
      <c r="I5" s="75">
        <v>123</v>
      </c>
      <c r="J5" s="83">
        <v>645</v>
      </c>
      <c r="K5" s="83">
        <v>132</v>
      </c>
      <c r="L5" s="132">
        <v>625</v>
      </c>
      <c r="M5" s="83">
        <v>21354</v>
      </c>
      <c r="N5" s="83">
        <v>20042.2</v>
      </c>
      <c r="O5" s="75">
        <v>22044.2</v>
      </c>
      <c r="P5" s="75">
        <v>20699.2</v>
      </c>
      <c r="Q5" s="75">
        <v>21429.200000000001</v>
      </c>
      <c r="R5" s="75">
        <v>20156.099999999999</v>
      </c>
      <c r="S5" s="75">
        <v>21864.7</v>
      </c>
      <c r="T5" s="75">
        <v>20516.400000000001</v>
      </c>
      <c r="U5" s="75">
        <v>22061.3</v>
      </c>
      <c r="V5" s="75">
        <v>20729.5</v>
      </c>
      <c r="X5" t="s">
        <v>800</v>
      </c>
    </row>
    <row r="6" spans="1:33" ht="15">
      <c r="A6" t="s">
        <v>136</v>
      </c>
      <c r="B6" s="85" t="s">
        <v>423</v>
      </c>
      <c r="C6" s="131">
        <v>130</v>
      </c>
      <c r="D6" s="75">
        <v>627</v>
      </c>
      <c r="E6" s="75">
        <v>141</v>
      </c>
      <c r="F6" s="75">
        <v>628</v>
      </c>
      <c r="G6" s="75">
        <v>149</v>
      </c>
      <c r="H6" s="75">
        <v>609</v>
      </c>
      <c r="I6" s="75">
        <v>141</v>
      </c>
      <c r="J6" s="83">
        <v>619</v>
      </c>
      <c r="K6" s="83">
        <v>136</v>
      </c>
      <c r="L6" s="132">
        <v>621</v>
      </c>
      <c r="M6" s="83">
        <v>21193.4</v>
      </c>
      <c r="N6" s="83">
        <v>19884.599999999999</v>
      </c>
      <c r="O6" s="75">
        <v>20208.7</v>
      </c>
      <c r="P6" s="75">
        <v>18997.599999999999</v>
      </c>
      <c r="Q6" s="75">
        <v>21033.5</v>
      </c>
      <c r="R6" s="75">
        <v>19743.099999999999</v>
      </c>
      <c r="S6" s="75">
        <v>20259.2</v>
      </c>
      <c r="T6" s="75">
        <v>19085.900000000001</v>
      </c>
      <c r="U6" s="75">
        <v>20555.400000000001</v>
      </c>
      <c r="V6" s="75">
        <v>19322.3</v>
      </c>
      <c r="X6" s="27">
        <f>Table25[[#This Row],[HDC1]]/Table25[[#This Row],[HCC1]]</f>
        <v>0.93824492530693504</v>
      </c>
      <c r="Y6" s="27">
        <f>Table25[[#This Row],[HDC2]]/Table25[[#This Row],[HCC2]]</f>
        <v>0.94007036573357006</v>
      </c>
      <c r="Z6" s="27">
        <f>Table25[[#This Row],[HDC3]]/Table25[[#This Row],[HCC3]]</f>
        <v>0.93865024841324551</v>
      </c>
      <c r="AA6" s="27">
        <f>Table25[[#This Row],[HDC4]]/Table25[[#This Row],[HCC4]]</f>
        <v>0.94208557099984214</v>
      </c>
      <c r="AB6" s="27">
        <f>Table25[[#This Row],[HDC5]]/Table25[[#This Row],[HCC5]]</f>
        <v>0.94001089737976384</v>
      </c>
      <c r="AC6" s="27"/>
      <c r="AD6" s="27">
        <f>AVERAGE(X6:AB289)</f>
        <v>0.93952527865469682</v>
      </c>
      <c r="AE6" s="27"/>
    </row>
    <row r="7" spans="1:33" ht="15">
      <c r="A7" t="s">
        <v>137</v>
      </c>
      <c r="B7" s="85" t="s">
        <v>424</v>
      </c>
      <c r="C7" s="131">
        <v>137</v>
      </c>
      <c r="D7" s="75">
        <v>619</v>
      </c>
      <c r="E7" s="75">
        <v>136</v>
      </c>
      <c r="F7" s="75">
        <v>627</v>
      </c>
      <c r="G7" s="75">
        <v>134</v>
      </c>
      <c r="H7" s="75">
        <v>618</v>
      </c>
      <c r="I7" s="75">
        <v>142</v>
      </c>
      <c r="J7" s="83">
        <v>610</v>
      </c>
      <c r="K7" s="83">
        <v>128</v>
      </c>
      <c r="L7" s="132">
        <v>630</v>
      </c>
      <c r="M7" s="83">
        <v>19216.8</v>
      </c>
      <c r="N7" s="83">
        <v>18016.099999999999</v>
      </c>
      <c r="O7" s="75">
        <v>17303.5</v>
      </c>
      <c r="P7" s="75">
        <v>16310.3</v>
      </c>
      <c r="Q7" s="75">
        <v>18062.5</v>
      </c>
      <c r="R7" s="75">
        <v>16949.400000000001</v>
      </c>
      <c r="S7" s="75">
        <v>19147</v>
      </c>
      <c r="T7" s="75">
        <v>17932.3</v>
      </c>
      <c r="U7" s="75">
        <v>18450</v>
      </c>
      <c r="V7" s="75">
        <v>17492.099999999999</v>
      </c>
      <c r="X7" s="27">
        <f>Table25[[#This Row],[HDC1]]/Table25[[#This Row],[HCC1]]</f>
        <v>0.93751821323009032</v>
      </c>
      <c r="Y7" s="27">
        <f>Table25[[#This Row],[HDC2]]/Table25[[#This Row],[HCC2]]</f>
        <v>0.94260120784812318</v>
      </c>
      <c r="Z7" s="27">
        <f>Table25[[#This Row],[HDC3]]/Table25[[#This Row],[HCC3]]</f>
        <v>0.93837508650519041</v>
      </c>
      <c r="AA7" s="27">
        <f>Table25[[#This Row],[HDC4]]/Table25[[#This Row],[HCC4]]</f>
        <v>0.93655925210215696</v>
      </c>
      <c r="AB7" s="27">
        <f>Table25[[#This Row],[HDC5]]/Table25[[#This Row],[HCC5]]</f>
        <v>0.94808130081300801</v>
      </c>
      <c r="AC7" s="27"/>
      <c r="AE7" s="27"/>
    </row>
    <row r="8" spans="1:33" ht="15">
      <c r="A8" t="s">
        <v>138</v>
      </c>
      <c r="B8" s="85" t="s">
        <v>425</v>
      </c>
      <c r="C8" s="131">
        <v>139</v>
      </c>
      <c r="D8" s="75">
        <v>549</v>
      </c>
      <c r="E8" s="75">
        <v>141</v>
      </c>
      <c r="F8" s="75">
        <v>546</v>
      </c>
      <c r="G8" s="75">
        <v>37</v>
      </c>
      <c r="H8" s="75">
        <v>645</v>
      </c>
      <c r="I8" s="75">
        <v>148</v>
      </c>
      <c r="J8" s="83">
        <v>542</v>
      </c>
      <c r="K8" s="83">
        <v>142</v>
      </c>
      <c r="L8" s="132">
        <v>545</v>
      </c>
      <c r="M8" s="83">
        <v>21022.6</v>
      </c>
      <c r="N8" s="83">
        <v>19757.900000000001</v>
      </c>
      <c r="O8" s="75">
        <v>20105.900000000001</v>
      </c>
      <c r="P8" s="75">
        <v>19179.7</v>
      </c>
      <c r="Q8" s="75">
        <v>20755.7</v>
      </c>
      <c r="R8" s="75">
        <v>19534.8</v>
      </c>
      <c r="S8" s="75">
        <v>20248.099999999999</v>
      </c>
      <c r="T8" s="75">
        <v>19053.599999999999</v>
      </c>
      <c r="U8" s="75">
        <v>20768.7</v>
      </c>
      <c r="V8" s="75">
        <v>19545.599999999999</v>
      </c>
      <c r="X8" s="27">
        <f>Table25[[#This Row],[HDC1]]/Table25[[#This Row],[HCC1]]</f>
        <v>0.93984093309105454</v>
      </c>
      <c r="Y8" s="27">
        <f>Table25[[#This Row],[HDC2]]/Table25[[#This Row],[HCC2]]</f>
        <v>0.95393391989416043</v>
      </c>
      <c r="Z8" s="27">
        <f>Table25[[#This Row],[HDC3]]/Table25[[#This Row],[HCC3]]</f>
        <v>0.94117760422438168</v>
      </c>
      <c r="AA8" s="27">
        <f>Table25[[#This Row],[HDC4]]/Table25[[#This Row],[HCC4]]</f>
        <v>0.94100681051555457</v>
      </c>
      <c r="AB8" s="27">
        <f>Table25[[#This Row],[HDC5]]/Table25[[#This Row],[HCC5]]</f>
        <v>0.94110849499487204</v>
      </c>
      <c r="AC8" s="27"/>
      <c r="AD8" s="27">
        <f>MIN($X$6:$AB$289)</f>
        <v>0.7978899817017383</v>
      </c>
      <c r="AE8" s="27"/>
    </row>
    <row r="9" spans="1:33" ht="15">
      <c r="A9" t="s">
        <v>139</v>
      </c>
      <c r="B9" s="85" t="s">
        <v>426</v>
      </c>
      <c r="C9" s="131">
        <v>131</v>
      </c>
      <c r="D9" s="75">
        <v>627</v>
      </c>
      <c r="E9" s="75">
        <v>140</v>
      </c>
      <c r="F9" s="75">
        <v>614</v>
      </c>
      <c r="G9" s="75">
        <v>143</v>
      </c>
      <c r="H9" s="75">
        <v>616</v>
      </c>
      <c r="I9" s="75">
        <v>139</v>
      </c>
      <c r="J9" s="83">
        <v>613</v>
      </c>
      <c r="K9" s="83">
        <v>139</v>
      </c>
      <c r="L9" s="132">
        <v>617</v>
      </c>
      <c r="M9" s="83">
        <v>21846.799999999999</v>
      </c>
      <c r="N9" s="83">
        <v>20573.400000000001</v>
      </c>
      <c r="O9" s="75">
        <v>21279.200000000001</v>
      </c>
      <c r="P9" s="75">
        <v>19957.099999999999</v>
      </c>
      <c r="Q9" s="75">
        <v>21656.6</v>
      </c>
      <c r="R9" s="75">
        <v>20420.3</v>
      </c>
      <c r="S9" s="75">
        <v>20609.8</v>
      </c>
      <c r="T9" s="75">
        <v>19484.599999999999</v>
      </c>
      <c r="U9" s="75">
        <v>21599</v>
      </c>
      <c r="V9" s="75">
        <v>20249.599999999999</v>
      </c>
      <c r="X9" s="27">
        <f>Table25[[#This Row],[HDC1]]/Table25[[#This Row],[HCC1]]</f>
        <v>0.94171228738304935</v>
      </c>
      <c r="Y9" s="27">
        <f>Table25[[#This Row],[HDC2]]/Table25[[#This Row],[HCC2]]</f>
        <v>0.93786890484604679</v>
      </c>
      <c r="Z9" s="27">
        <f>Table25[[#This Row],[HDC3]]/Table25[[#This Row],[HCC3]]</f>
        <v>0.94291347672303139</v>
      </c>
      <c r="AA9" s="27">
        <f>Table25[[#This Row],[HDC4]]/Table25[[#This Row],[HCC4]]</f>
        <v>0.94540461333928516</v>
      </c>
      <c r="AB9" s="27">
        <f>Table25[[#This Row],[HDC5]]/Table25[[#This Row],[HCC5]]</f>
        <v>0.93752488541136159</v>
      </c>
      <c r="AC9" s="27"/>
      <c r="AD9" s="27">
        <f>MAX($X$6:$AB$289)</f>
        <v>1.1739031468730439</v>
      </c>
      <c r="AE9" s="27"/>
    </row>
    <row r="10" spans="1:33" ht="15">
      <c r="A10" t="s">
        <v>140</v>
      </c>
      <c r="B10" s="85" t="s">
        <v>427</v>
      </c>
      <c r="C10" s="131">
        <v>111</v>
      </c>
      <c r="D10" s="75">
        <v>629</v>
      </c>
      <c r="E10" s="75">
        <v>126</v>
      </c>
      <c r="F10" s="75">
        <v>615</v>
      </c>
      <c r="G10" s="75">
        <v>127</v>
      </c>
      <c r="H10" s="75">
        <v>610</v>
      </c>
      <c r="I10" s="75">
        <v>124</v>
      </c>
      <c r="J10" s="83">
        <v>622</v>
      </c>
      <c r="K10" s="83">
        <v>133</v>
      </c>
      <c r="L10" s="132">
        <v>616</v>
      </c>
      <c r="M10" s="83">
        <v>16766</v>
      </c>
      <c r="N10" s="83">
        <v>15625.6</v>
      </c>
      <c r="O10" s="75">
        <v>17703</v>
      </c>
      <c r="P10" s="75">
        <v>16478.900000000001</v>
      </c>
      <c r="Q10" s="75">
        <v>17643</v>
      </c>
      <c r="R10" s="75">
        <v>16430.099999999999</v>
      </c>
      <c r="S10" s="75">
        <v>19564.400000000001</v>
      </c>
      <c r="T10" s="75">
        <v>18226.2</v>
      </c>
      <c r="U10" s="75">
        <v>16644.599999999999</v>
      </c>
      <c r="V10" s="75">
        <v>15576.5</v>
      </c>
      <c r="X10" s="27">
        <f>Table25[[#This Row],[HDC1]]/Table25[[#This Row],[HCC1]]</f>
        <v>0.9319813909101754</v>
      </c>
      <c r="Y10" s="27">
        <f>Table25[[#This Row],[HDC2]]/Table25[[#This Row],[HCC2]]</f>
        <v>0.93085352765068075</v>
      </c>
      <c r="Z10" s="27">
        <f>Table25[[#This Row],[HDC3]]/Table25[[#This Row],[HCC3]]</f>
        <v>0.93125318823329362</v>
      </c>
      <c r="AA10" s="27">
        <f>Table25[[#This Row],[HDC4]]/Table25[[#This Row],[HCC4]]</f>
        <v>0.93160025352170261</v>
      </c>
      <c r="AB10" s="27">
        <f>Table25[[#This Row],[HDC5]]/Table25[[#This Row],[HCC5]]</f>
        <v>0.93582903764584313</v>
      </c>
      <c r="AC10" s="27"/>
      <c r="AD10" s="27">
        <f>MIN($X$6:$AB$289)</f>
        <v>0.7978899817017383</v>
      </c>
      <c r="AE10" s="27"/>
    </row>
    <row r="11" spans="1:33" ht="15">
      <c r="A11" t="s">
        <v>141</v>
      </c>
      <c r="B11" s="85" t="s">
        <v>428</v>
      </c>
      <c r="C11" s="131">
        <v>132</v>
      </c>
      <c r="D11" s="75">
        <v>628</v>
      </c>
      <c r="E11" s="75">
        <v>133</v>
      </c>
      <c r="F11" s="75">
        <v>620</v>
      </c>
      <c r="G11" s="75">
        <v>118</v>
      </c>
      <c r="H11" s="75">
        <v>633</v>
      </c>
      <c r="I11" s="75">
        <v>131</v>
      </c>
      <c r="J11" s="83">
        <v>624</v>
      </c>
      <c r="K11" s="83">
        <v>130</v>
      </c>
      <c r="L11" s="132">
        <v>644</v>
      </c>
      <c r="M11" s="83">
        <v>16502.3</v>
      </c>
      <c r="N11" s="83">
        <v>15343.4</v>
      </c>
      <c r="O11" s="75">
        <v>20816.400000000001</v>
      </c>
      <c r="P11" s="75">
        <v>19559.2</v>
      </c>
      <c r="Q11" s="75">
        <v>21088.3</v>
      </c>
      <c r="R11" s="75">
        <v>19773.7</v>
      </c>
      <c r="S11" s="75">
        <v>20043.599999999999</v>
      </c>
      <c r="T11" s="75">
        <v>18861.5</v>
      </c>
      <c r="U11" s="75">
        <v>16528.8</v>
      </c>
      <c r="V11" s="75">
        <v>15339.1</v>
      </c>
      <c r="X11" s="27">
        <f>Table25[[#This Row],[HDC1]]/Table25[[#This Row],[HCC1]]</f>
        <v>0.92977342552250297</v>
      </c>
      <c r="Y11" s="27">
        <f>Table25[[#This Row],[HDC2]]/Table25[[#This Row],[HCC2]]</f>
        <v>0.9396053111969408</v>
      </c>
      <c r="Z11" s="27">
        <f>Table25[[#This Row],[HDC3]]/Table25[[#This Row],[HCC3]]</f>
        <v>0.93766211596003479</v>
      </c>
      <c r="AA11" s="27">
        <f>Table25[[#This Row],[HDC4]]/Table25[[#This Row],[HCC4]]</f>
        <v>0.94102356862040759</v>
      </c>
      <c r="AB11" s="27">
        <f>Table25[[#This Row],[HDC5]]/Table25[[#This Row],[HCC5]]</f>
        <v>0.92802260297178263</v>
      </c>
      <c r="AC11" s="27"/>
      <c r="AE11" s="27"/>
      <c r="AG11" s="27"/>
    </row>
    <row r="12" spans="1:33" ht="15">
      <c r="A12" t="s">
        <v>142</v>
      </c>
      <c r="B12" s="85" t="s">
        <v>429</v>
      </c>
      <c r="C12" s="131">
        <v>137</v>
      </c>
      <c r="D12" s="75">
        <v>620</v>
      </c>
      <c r="E12" s="75">
        <v>136</v>
      </c>
      <c r="F12" s="75">
        <v>630</v>
      </c>
      <c r="G12" s="75">
        <v>136</v>
      </c>
      <c r="H12" s="75">
        <v>629</v>
      </c>
      <c r="I12" s="75">
        <v>122</v>
      </c>
      <c r="J12" s="83">
        <v>640</v>
      </c>
      <c r="K12" s="83">
        <v>140</v>
      </c>
      <c r="L12" s="132">
        <v>626</v>
      </c>
      <c r="M12" s="83">
        <v>21156.799999999999</v>
      </c>
      <c r="N12" s="83">
        <v>19874.8</v>
      </c>
      <c r="O12" s="75">
        <v>19953.7</v>
      </c>
      <c r="P12" s="75">
        <v>18744.8</v>
      </c>
      <c r="Q12" s="75">
        <v>20826.099999999999</v>
      </c>
      <c r="R12" s="75">
        <v>19590.5</v>
      </c>
      <c r="S12" s="75">
        <v>20053.5</v>
      </c>
      <c r="T12" s="75">
        <v>18857.5</v>
      </c>
      <c r="U12" s="75">
        <v>19502.5</v>
      </c>
      <c r="V12" s="75">
        <v>18347.7</v>
      </c>
      <c r="X12" s="27">
        <f>Table25[[#This Row],[HDC1]]/Table25[[#This Row],[HCC1]]</f>
        <v>0.93940482492626487</v>
      </c>
      <c r="Y12" s="27">
        <f>Table25[[#This Row],[HDC2]]/Table25[[#This Row],[HCC2]]</f>
        <v>0.93941474513498746</v>
      </c>
      <c r="Z12" s="27">
        <f>Table25[[#This Row],[HDC3]]/Table25[[#This Row],[HCC3]]</f>
        <v>0.94067060083260912</v>
      </c>
      <c r="AA12" s="27">
        <f>Table25[[#This Row],[HDC4]]/Table25[[#This Row],[HCC4]]</f>
        <v>0.94035953823522078</v>
      </c>
      <c r="AB12" s="27">
        <f>Table25[[#This Row],[HDC5]]/Table25[[#This Row],[HCC5]]</f>
        <v>0.94078707857966926</v>
      </c>
      <c r="AC12" s="27"/>
      <c r="AE12" s="27"/>
    </row>
    <row r="13" spans="1:33" ht="15">
      <c r="A13" t="s">
        <v>143</v>
      </c>
      <c r="B13" s="85" t="s">
        <v>430</v>
      </c>
      <c r="C13" s="131">
        <v>135</v>
      </c>
      <c r="D13" s="75">
        <v>632</v>
      </c>
      <c r="E13" s="75">
        <v>135</v>
      </c>
      <c r="F13" s="75">
        <v>626</v>
      </c>
      <c r="G13" s="75">
        <v>129</v>
      </c>
      <c r="H13" s="75">
        <v>636</v>
      </c>
      <c r="I13" s="75">
        <v>135</v>
      </c>
      <c r="J13" s="83">
        <v>626</v>
      </c>
      <c r="K13" s="83">
        <v>127</v>
      </c>
      <c r="L13" s="132">
        <v>637</v>
      </c>
      <c r="M13" s="83">
        <v>16517.5</v>
      </c>
      <c r="N13" s="83">
        <v>15354.6</v>
      </c>
      <c r="O13" s="75">
        <v>20666.2</v>
      </c>
      <c r="P13" s="75">
        <v>19398.3</v>
      </c>
      <c r="Q13" s="75">
        <v>19984.5</v>
      </c>
      <c r="R13" s="75">
        <v>18785.3</v>
      </c>
      <c r="S13" s="75">
        <v>20029.900000000001</v>
      </c>
      <c r="T13" s="75">
        <v>18775.099999999999</v>
      </c>
      <c r="U13" s="75">
        <v>19925</v>
      </c>
      <c r="V13" s="75">
        <v>18764.8</v>
      </c>
      <c r="X13" s="27">
        <f>Table25[[#This Row],[HDC1]]/Table25[[#This Row],[HCC1]]</f>
        <v>0.92959588315423036</v>
      </c>
      <c r="Y13" s="27">
        <f>Table25[[#This Row],[HDC2]]/Table25[[#This Row],[HCC2]]</f>
        <v>0.93864861464613714</v>
      </c>
      <c r="Z13" s="27">
        <f>Table25[[#This Row],[HDC3]]/Table25[[#This Row],[HCC3]]</f>
        <v>0.93999349495859286</v>
      </c>
      <c r="AA13" s="27">
        <f>Table25[[#This Row],[HDC4]]/Table25[[#This Row],[HCC4]]</f>
        <v>0.93735365628385547</v>
      </c>
      <c r="AB13" s="27">
        <f>Table25[[#This Row],[HDC5]]/Table25[[#This Row],[HCC5]]</f>
        <v>0.941771643663739</v>
      </c>
      <c r="AC13" s="27"/>
      <c r="AE13" s="27"/>
    </row>
    <row r="14" spans="1:33" ht="15">
      <c r="A14" t="s">
        <v>144</v>
      </c>
      <c r="B14" s="85" t="s">
        <v>431</v>
      </c>
      <c r="C14" s="131">
        <v>0</v>
      </c>
      <c r="D14" s="75">
        <v>737</v>
      </c>
      <c r="E14" s="75">
        <v>8</v>
      </c>
      <c r="F14" s="75">
        <v>715</v>
      </c>
      <c r="G14" s="75">
        <v>0</v>
      </c>
      <c r="H14" s="75">
        <v>733</v>
      </c>
      <c r="I14" s="75">
        <v>0</v>
      </c>
      <c r="J14" s="83">
        <v>731</v>
      </c>
      <c r="K14" s="83">
        <v>0</v>
      </c>
      <c r="L14" s="132">
        <v>739</v>
      </c>
      <c r="M14" s="83">
        <v>14387.2</v>
      </c>
      <c r="N14" s="83">
        <v>13163</v>
      </c>
      <c r="O14" s="75">
        <v>10660.4</v>
      </c>
      <c r="P14" s="75">
        <v>10052.200000000001</v>
      </c>
      <c r="Q14" s="75">
        <v>13779.7</v>
      </c>
      <c r="R14" s="75">
        <v>13123.3</v>
      </c>
      <c r="S14" s="75">
        <v>14409.6</v>
      </c>
      <c r="T14" s="75">
        <v>13226.6</v>
      </c>
      <c r="U14" s="75">
        <v>14253.8</v>
      </c>
      <c r="V14" s="75">
        <v>13042.7</v>
      </c>
      <c r="X14" s="27">
        <f>Table25[[#This Row],[HDC1]]/Table25[[#This Row],[HCC1]]</f>
        <v>0.91491047597864761</v>
      </c>
      <c r="Y14" s="27">
        <f>Table25[[#This Row],[HDC2]]/Table25[[#This Row],[HCC2]]</f>
        <v>0.94294773179242819</v>
      </c>
      <c r="Z14" s="27">
        <f>Table25[[#This Row],[HDC3]]/Table25[[#This Row],[HCC3]]</f>
        <v>0.95236471040733828</v>
      </c>
      <c r="AA14" s="27">
        <f>Table25[[#This Row],[HDC4]]/Table25[[#This Row],[HCC4]]</f>
        <v>0.91790195425272036</v>
      </c>
      <c r="AB14" s="27">
        <f>Table25[[#This Row],[HDC5]]/Table25[[#This Row],[HCC5]]</f>
        <v>0.91503318413335399</v>
      </c>
      <c r="AC14" s="27"/>
      <c r="AE14" s="27"/>
    </row>
    <row r="15" spans="1:33" ht="15">
      <c r="A15" t="s">
        <v>145</v>
      </c>
      <c r="B15" s="85" t="s">
        <v>432</v>
      </c>
      <c r="C15" s="131">
        <v>0</v>
      </c>
      <c r="D15" s="75">
        <v>760</v>
      </c>
      <c r="E15" s="75">
        <v>0</v>
      </c>
      <c r="F15" s="75">
        <v>752</v>
      </c>
      <c r="G15" s="75">
        <v>0</v>
      </c>
      <c r="H15" s="75">
        <v>754</v>
      </c>
      <c r="I15" s="75">
        <v>0</v>
      </c>
      <c r="J15" s="83">
        <v>756</v>
      </c>
      <c r="K15" s="83">
        <v>1</v>
      </c>
      <c r="L15" s="132">
        <v>757</v>
      </c>
      <c r="M15" s="83">
        <v>14674.8</v>
      </c>
      <c r="N15" s="83">
        <v>13447.4</v>
      </c>
      <c r="O15" s="75">
        <v>14694.8</v>
      </c>
      <c r="P15" s="75">
        <v>13469.4</v>
      </c>
      <c r="Q15" s="75">
        <v>14811.1</v>
      </c>
      <c r="R15" s="75">
        <v>13586.4</v>
      </c>
      <c r="S15" s="75">
        <v>14695.1</v>
      </c>
      <c r="T15" s="75">
        <v>13451.2</v>
      </c>
      <c r="U15" s="75">
        <v>14826.9</v>
      </c>
      <c r="V15" s="75">
        <v>13602.8</v>
      </c>
      <c r="X15" s="27">
        <f>Table25[[#This Row],[HDC1]]/Table25[[#This Row],[HCC1]]</f>
        <v>0.91636001853517601</v>
      </c>
      <c r="Y15" s="27">
        <f>Table25[[#This Row],[HDC2]]/Table25[[#This Row],[HCC2]]</f>
        <v>0.91660995726379402</v>
      </c>
      <c r="Z15" s="27">
        <f>Table25[[#This Row],[HDC3]]/Table25[[#This Row],[HCC3]]</f>
        <v>0.91731201598800893</v>
      </c>
      <c r="AA15" s="27">
        <f>Table25[[#This Row],[HDC4]]/Table25[[#This Row],[HCC4]]</f>
        <v>0.91535273662649452</v>
      </c>
      <c r="AB15" s="27">
        <f>Table25[[#This Row],[HDC5]]/Table25[[#This Row],[HCC5]]</f>
        <v>0.91744059783231824</v>
      </c>
      <c r="AC15" s="27"/>
      <c r="AE15" s="27"/>
    </row>
    <row r="16" spans="1:33" ht="15">
      <c r="A16" t="s">
        <v>146</v>
      </c>
      <c r="B16" s="85" t="s">
        <v>433</v>
      </c>
      <c r="C16" s="131">
        <v>0</v>
      </c>
      <c r="D16" s="75">
        <v>756</v>
      </c>
      <c r="E16" s="75">
        <v>0</v>
      </c>
      <c r="F16" s="75">
        <v>748</v>
      </c>
      <c r="G16" s="75">
        <v>1</v>
      </c>
      <c r="H16" s="75">
        <v>750</v>
      </c>
      <c r="I16" s="75">
        <v>0</v>
      </c>
      <c r="J16" s="83">
        <v>752</v>
      </c>
      <c r="K16" s="83">
        <v>0</v>
      </c>
      <c r="L16" s="132">
        <v>754</v>
      </c>
      <c r="M16" s="83">
        <v>14479.2</v>
      </c>
      <c r="N16" s="83">
        <v>13264.7</v>
      </c>
      <c r="O16" s="75">
        <v>14456.6</v>
      </c>
      <c r="P16" s="75">
        <v>13202.5</v>
      </c>
      <c r="Q16" s="75">
        <v>14325.8</v>
      </c>
      <c r="R16" s="75">
        <v>13134.4</v>
      </c>
      <c r="S16" s="75">
        <v>14268.2</v>
      </c>
      <c r="T16" s="75">
        <v>13116.5</v>
      </c>
      <c r="U16" s="75">
        <v>14319.1</v>
      </c>
      <c r="V16" s="75">
        <v>13101.4</v>
      </c>
      <c r="X16" s="27">
        <f>Table25[[#This Row],[HDC1]]/Table25[[#This Row],[HCC1]]</f>
        <v>0.91612105641195651</v>
      </c>
      <c r="Y16" s="27">
        <f>Table25[[#This Row],[HDC2]]/Table25[[#This Row],[HCC2]]</f>
        <v>0.91325069518420654</v>
      </c>
      <c r="Z16" s="27">
        <f>Table25[[#This Row],[HDC3]]/Table25[[#This Row],[HCC3]]</f>
        <v>0.9168353599798964</v>
      </c>
      <c r="AA16" s="27">
        <f>Table25[[#This Row],[HDC4]]/Table25[[#This Row],[HCC4]]</f>
        <v>0.91928203978077117</v>
      </c>
      <c r="AB16" s="27">
        <f>Table25[[#This Row],[HDC5]]/Table25[[#This Row],[HCC5]]</f>
        <v>0.91495973908974726</v>
      </c>
      <c r="AC16" s="27"/>
      <c r="AE16" s="27"/>
    </row>
    <row r="17" spans="1:31" ht="15">
      <c r="A17" t="s">
        <v>147</v>
      </c>
      <c r="B17" s="85" t="s">
        <v>434</v>
      </c>
      <c r="C17" s="131">
        <v>0</v>
      </c>
      <c r="D17" s="75">
        <v>765</v>
      </c>
      <c r="E17" s="75">
        <v>0</v>
      </c>
      <c r="F17" s="75">
        <v>755</v>
      </c>
      <c r="G17" s="75">
        <v>0</v>
      </c>
      <c r="H17" s="75">
        <v>761</v>
      </c>
      <c r="I17" s="75">
        <v>0</v>
      </c>
      <c r="J17" s="83">
        <v>751</v>
      </c>
      <c r="K17" s="83">
        <v>1</v>
      </c>
      <c r="L17" s="132">
        <v>757</v>
      </c>
      <c r="M17" s="83">
        <v>14511.6</v>
      </c>
      <c r="N17" s="83">
        <v>13314.3</v>
      </c>
      <c r="O17" s="75">
        <v>14420.1</v>
      </c>
      <c r="P17" s="75">
        <v>13228.9</v>
      </c>
      <c r="Q17" s="75">
        <v>14412.4</v>
      </c>
      <c r="R17" s="75">
        <v>13255.4</v>
      </c>
      <c r="S17" s="75">
        <v>14348.9</v>
      </c>
      <c r="T17" s="75">
        <v>13171.1</v>
      </c>
      <c r="U17" s="75">
        <v>14463.4</v>
      </c>
      <c r="V17" s="75">
        <v>13274.6</v>
      </c>
      <c r="X17" s="27">
        <f>Table25[[#This Row],[HDC1]]/Table25[[#This Row],[HCC1]]</f>
        <v>0.91749359133382946</v>
      </c>
      <c r="Y17" s="27">
        <f>Table25[[#This Row],[HDC2]]/Table25[[#This Row],[HCC2]]</f>
        <v>0.91739308326571933</v>
      </c>
      <c r="Z17" s="27">
        <f>Table25[[#This Row],[HDC3]]/Table25[[#This Row],[HCC3]]</f>
        <v>0.91972190613638261</v>
      </c>
      <c r="AA17" s="27">
        <f>Table25[[#This Row],[HDC4]]/Table25[[#This Row],[HCC4]]</f>
        <v>0.91791705287513337</v>
      </c>
      <c r="AB17" s="27">
        <f>Table25[[#This Row],[HDC5]]/Table25[[#This Row],[HCC5]]</f>
        <v>0.91780632493051428</v>
      </c>
      <c r="AC17" s="27"/>
      <c r="AE17" s="27"/>
    </row>
    <row r="18" spans="1:31" ht="15">
      <c r="A18" t="s">
        <v>148</v>
      </c>
      <c r="B18" s="85" t="s">
        <v>435</v>
      </c>
      <c r="C18" s="131">
        <v>116</v>
      </c>
      <c r="D18" s="75">
        <v>630</v>
      </c>
      <c r="E18" s="75">
        <v>122</v>
      </c>
      <c r="F18" s="75">
        <v>617</v>
      </c>
      <c r="G18" s="75">
        <v>121</v>
      </c>
      <c r="H18" s="75">
        <v>646</v>
      </c>
      <c r="I18" s="75">
        <v>121</v>
      </c>
      <c r="J18" s="83">
        <v>621</v>
      </c>
      <c r="K18" s="83">
        <v>122</v>
      </c>
      <c r="L18" s="132">
        <v>616</v>
      </c>
      <c r="M18" s="83">
        <v>20275</v>
      </c>
      <c r="N18" s="83">
        <v>18966.7</v>
      </c>
      <c r="O18" s="75">
        <v>19352</v>
      </c>
      <c r="P18" s="75">
        <v>18088</v>
      </c>
      <c r="Q18" s="75">
        <v>19958</v>
      </c>
      <c r="R18" s="75">
        <v>18704.599999999999</v>
      </c>
      <c r="S18" s="75">
        <v>19878.099999999999</v>
      </c>
      <c r="T18" s="75">
        <v>18583.5</v>
      </c>
      <c r="U18" s="75">
        <v>19663.8</v>
      </c>
      <c r="V18" s="75">
        <v>18388.099999999999</v>
      </c>
      <c r="X18" s="27">
        <f>Table25[[#This Row],[HDC1]]/Table25[[#This Row],[HCC1]]</f>
        <v>0.93547225647348953</v>
      </c>
      <c r="Y18" s="27">
        <f>Table25[[#This Row],[HDC2]]/Table25[[#This Row],[HCC2]]</f>
        <v>0.93468375361719724</v>
      </c>
      <c r="Z18" s="27">
        <f>Table25[[#This Row],[HDC3]]/Table25[[#This Row],[HCC3]]</f>
        <v>0.93719811604369163</v>
      </c>
      <c r="AA18" s="27">
        <f>Table25[[#This Row],[HDC4]]/Table25[[#This Row],[HCC4]]</f>
        <v>0.93487305124735265</v>
      </c>
      <c r="AB18" s="27">
        <f>Table25[[#This Row],[HDC5]]/Table25[[#This Row],[HCC5]]</f>
        <v>0.93512444186779764</v>
      </c>
      <c r="AC18" s="27"/>
      <c r="AE18" s="27"/>
    </row>
    <row r="19" spans="1:31" ht="15">
      <c r="A19" t="s">
        <v>149</v>
      </c>
      <c r="B19" s="85" t="s">
        <v>436</v>
      </c>
      <c r="C19" s="131">
        <v>131</v>
      </c>
      <c r="D19" s="75">
        <v>626</v>
      </c>
      <c r="E19" s="75">
        <v>133</v>
      </c>
      <c r="F19" s="75">
        <v>619</v>
      </c>
      <c r="G19" s="75">
        <v>134</v>
      </c>
      <c r="H19" s="75">
        <v>623</v>
      </c>
      <c r="I19" s="75">
        <v>128</v>
      </c>
      <c r="J19" s="83">
        <v>625</v>
      </c>
      <c r="K19" s="83">
        <v>116</v>
      </c>
      <c r="L19" s="132">
        <v>637</v>
      </c>
      <c r="M19" s="83">
        <v>21133.1</v>
      </c>
      <c r="N19" s="83">
        <v>19819.2</v>
      </c>
      <c r="O19" s="75">
        <v>16655.7</v>
      </c>
      <c r="P19" s="75">
        <v>15988.3</v>
      </c>
      <c r="Q19" s="75">
        <v>20414.2</v>
      </c>
      <c r="R19" s="75">
        <v>19196.5</v>
      </c>
      <c r="S19" s="75">
        <v>21031.4</v>
      </c>
      <c r="T19" s="75">
        <v>19718.7</v>
      </c>
      <c r="U19" s="75">
        <v>21013.5</v>
      </c>
      <c r="V19" s="75">
        <v>19698.599999999999</v>
      </c>
      <c r="X19" s="27">
        <f>Table25[[#This Row],[HDC1]]/Table25[[#This Row],[HCC1]]</f>
        <v>0.93782738926139575</v>
      </c>
      <c r="Y19" s="27">
        <f>Table25[[#This Row],[HDC2]]/Table25[[#This Row],[HCC2]]</f>
        <v>0.95992963369897388</v>
      </c>
      <c r="Z19" s="27">
        <f>Table25[[#This Row],[HDC3]]/Table25[[#This Row],[HCC3]]</f>
        <v>0.94035034436813592</v>
      </c>
      <c r="AA19" s="27">
        <f>Table25[[#This Row],[HDC4]]/Table25[[#This Row],[HCC4]]</f>
        <v>0.93758380326559332</v>
      </c>
      <c r="AB19" s="27">
        <f>Table25[[#This Row],[HDC5]]/Table25[[#This Row],[HCC5]]</f>
        <v>0.93742594046684269</v>
      </c>
      <c r="AC19" s="27"/>
      <c r="AE19" s="27"/>
    </row>
    <row r="20" spans="1:31" ht="15">
      <c r="A20" t="s">
        <v>150</v>
      </c>
      <c r="B20" s="85" t="s">
        <v>437</v>
      </c>
      <c r="C20" s="131">
        <v>135</v>
      </c>
      <c r="D20" s="75">
        <v>613</v>
      </c>
      <c r="E20" s="75">
        <v>126</v>
      </c>
      <c r="F20" s="75">
        <v>626</v>
      </c>
      <c r="G20" s="75">
        <v>135</v>
      </c>
      <c r="H20" s="75">
        <v>621</v>
      </c>
      <c r="I20" s="75">
        <v>134</v>
      </c>
      <c r="J20" s="83">
        <v>620</v>
      </c>
      <c r="K20" s="83">
        <v>123</v>
      </c>
      <c r="L20" s="132">
        <v>640</v>
      </c>
      <c r="M20" s="83">
        <v>24031.4</v>
      </c>
      <c r="N20" s="83">
        <v>22570.2</v>
      </c>
      <c r="O20" s="75">
        <v>23836.5</v>
      </c>
      <c r="P20" s="75">
        <v>22355.7</v>
      </c>
      <c r="Q20" s="75">
        <v>23408.9</v>
      </c>
      <c r="R20" s="75">
        <v>21998.5</v>
      </c>
      <c r="S20" s="75">
        <v>23970.799999999999</v>
      </c>
      <c r="T20" s="75">
        <v>22562.5</v>
      </c>
      <c r="U20" s="75">
        <v>23294.400000000001</v>
      </c>
      <c r="V20" s="75">
        <v>21877.1</v>
      </c>
      <c r="X20" s="27">
        <f>Table25[[#This Row],[HDC1]]/Table25[[#This Row],[HCC1]]</f>
        <v>0.93919621828108224</v>
      </c>
      <c r="Y20" s="27">
        <f>Table25[[#This Row],[HDC2]]/Table25[[#This Row],[HCC2]]</f>
        <v>0.93787678560191301</v>
      </c>
      <c r="Z20" s="27">
        <f>Table25[[#This Row],[HDC3]]/Table25[[#This Row],[HCC3]]</f>
        <v>0.93974941154859903</v>
      </c>
      <c r="AA20" s="27">
        <f>Table25[[#This Row],[HDC4]]/Table25[[#This Row],[HCC4]]</f>
        <v>0.94124935337994564</v>
      </c>
      <c r="AB20" s="27">
        <f>Table25[[#This Row],[HDC5]]/Table25[[#This Row],[HCC5]]</f>
        <v>0.93915705062160848</v>
      </c>
      <c r="AC20" s="27"/>
      <c r="AE20" s="27"/>
    </row>
    <row r="21" spans="1:31" ht="15">
      <c r="A21" t="s">
        <v>151</v>
      </c>
      <c r="B21" s="85" t="s">
        <v>438</v>
      </c>
      <c r="C21" s="131">
        <v>126</v>
      </c>
      <c r="D21" s="75">
        <v>628</v>
      </c>
      <c r="E21" s="75">
        <v>124</v>
      </c>
      <c r="F21" s="75">
        <v>633</v>
      </c>
      <c r="G21" s="75">
        <v>125</v>
      </c>
      <c r="H21" s="75">
        <v>629</v>
      </c>
      <c r="I21" s="75">
        <v>122</v>
      </c>
      <c r="J21" s="83">
        <v>633</v>
      </c>
      <c r="K21" s="83">
        <v>129</v>
      </c>
      <c r="L21" s="132">
        <v>626</v>
      </c>
      <c r="M21" s="83">
        <v>21866.6</v>
      </c>
      <c r="N21" s="83">
        <v>20574.099999999999</v>
      </c>
      <c r="O21" s="75">
        <v>20876</v>
      </c>
      <c r="P21" s="75">
        <v>19613.7</v>
      </c>
      <c r="Q21" s="75">
        <v>20929.3</v>
      </c>
      <c r="R21" s="75">
        <v>19671.599999999999</v>
      </c>
      <c r="S21" s="75">
        <v>18002.400000000001</v>
      </c>
      <c r="T21" s="75">
        <v>17312.900000000001</v>
      </c>
      <c r="U21" s="75">
        <v>21744.7</v>
      </c>
      <c r="V21" s="75">
        <v>20468</v>
      </c>
      <c r="X21" s="27">
        <f>Table25[[#This Row],[HDC1]]/Table25[[#This Row],[HCC1]]</f>
        <v>0.94089158808411</v>
      </c>
      <c r="Y21" s="27">
        <f>Table25[[#This Row],[HDC2]]/Table25[[#This Row],[HCC2]]</f>
        <v>0.93953343552404678</v>
      </c>
      <c r="Z21" s="27">
        <f>Table25[[#This Row],[HDC3]]/Table25[[#This Row],[HCC3]]</f>
        <v>0.93990721142130884</v>
      </c>
      <c r="AA21" s="27">
        <f>Table25[[#This Row],[HDC4]]/Table25[[#This Row],[HCC4]]</f>
        <v>0.96169955117095496</v>
      </c>
      <c r="AB21" s="27">
        <f>Table25[[#This Row],[HDC5]]/Table25[[#This Row],[HCC5]]</f>
        <v>0.9412868423109999</v>
      </c>
      <c r="AC21" s="27"/>
      <c r="AE21" s="27"/>
    </row>
    <row r="22" spans="1:31" ht="15">
      <c r="A22" t="s">
        <v>152</v>
      </c>
      <c r="B22" s="85" t="s">
        <v>439</v>
      </c>
      <c r="C22" s="131">
        <v>137</v>
      </c>
      <c r="D22" s="75">
        <v>636</v>
      </c>
      <c r="E22" s="75">
        <v>136</v>
      </c>
      <c r="F22" s="75">
        <v>637</v>
      </c>
      <c r="G22" s="75">
        <v>135</v>
      </c>
      <c r="H22" s="75">
        <v>638</v>
      </c>
      <c r="I22" s="75">
        <v>138</v>
      </c>
      <c r="J22" s="83">
        <v>635</v>
      </c>
      <c r="K22" s="83">
        <v>119</v>
      </c>
      <c r="L22" s="132">
        <v>644</v>
      </c>
      <c r="M22" s="83">
        <v>14067.2</v>
      </c>
      <c r="N22" s="83">
        <v>12986.3</v>
      </c>
      <c r="O22" s="75">
        <v>13938.3</v>
      </c>
      <c r="P22" s="75">
        <v>12799.5</v>
      </c>
      <c r="Q22" s="75">
        <v>6498.9</v>
      </c>
      <c r="R22" s="75">
        <v>5696.2</v>
      </c>
      <c r="S22" s="75">
        <v>13830</v>
      </c>
      <c r="T22" s="75">
        <v>12731.9</v>
      </c>
      <c r="U22" s="75">
        <v>13341.2</v>
      </c>
      <c r="V22" s="75">
        <v>12345.3</v>
      </c>
      <c r="X22" s="27">
        <f>Table25[[#This Row],[HDC1]]/Table25[[#This Row],[HCC1]]</f>
        <v>0.92316168107370322</v>
      </c>
      <c r="Y22" s="27">
        <f>Table25[[#This Row],[HDC2]]/Table25[[#This Row],[HCC2]]</f>
        <v>0.91829706635672936</v>
      </c>
      <c r="Z22" s="27">
        <f>Table25[[#This Row],[HDC3]]/Table25[[#This Row],[HCC3]]</f>
        <v>0.87648679007216612</v>
      </c>
      <c r="AA22" s="27">
        <f>Table25[[#This Row],[HDC4]]/Table25[[#This Row],[HCC4]]</f>
        <v>0.92060014461315975</v>
      </c>
      <c r="AB22" s="27">
        <f>Table25[[#This Row],[HDC5]]/Table25[[#This Row],[HCC5]]</f>
        <v>0.92535154258987184</v>
      </c>
      <c r="AC22" s="27"/>
      <c r="AE22" s="27"/>
    </row>
    <row r="23" spans="1:31" ht="15">
      <c r="A23" t="s">
        <v>153</v>
      </c>
      <c r="B23" s="85" t="s">
        <v>440</v>
      </c>
      <c r="C23" s="131">
        <v>123</v>
      </c>
      <c r="D23" s="75">
        <v>646</v>
      </c>
      <c r="E23" s="75">
        <v>128</v>
      </c>
      <c r="F23" s="75">
        <v>640</v>
      </c>
      <c r="G23" s="75">
        <v>134</v>
      </c>
      <c r="H23" s="75">
        <v>628</v>
      </c>
      <c r="I23" s="75">
        <v>119</v>
      </c>
      <c r="J23" s="83">
        <v>641</v>
      </c>
      <c r="K23" s="83">
        <v>127</v>
      </c>
      <c r="L23" s="132">
        <v>635</v>
      </c>
      <c r="M23" s="83">
        <v>13519.1</v>
      </c>
      <c r="N23" s="83">
        <v>13035.7</v>
      </c>
      <c r="O23" s="75">
        <v>16294.2</v>
      </c>
      <c r="P23" s="75">
        <v>15093</v>
      </c>
      <c r="Q23" s="75">
        <v>14357.9</v>
      </c>
      <c r="R23" s="75">
        <v>13272.8</v>
      </c>
      <c r="S23" s="75">
        <v>16398.7</v>
      </c>
      <c r="T23" s="75">
        <v>15180.3</v>
      </c>
      <c r="U23" s="75">
        <v>16291.4</v>
      </c>
      <c r="V23" s="75">
        <v>15096.4</v>
      </c>
      <c r="X23" s="27">
        <f>Table25[[#This Row],[HDC1]]/Table25[[#This Row],[HCC1]]</f>
        <v>0.96424318186861557</v>
      </c>
      <c r="Y23" s="27">
        <f>Table25[[#This Row],[HDC2]]/Table25[[#This Row],[HCC2]]</f>
        <v>0.92628051699377689</v>
      </c>
      <c r="Z23" s="27">
        <f>Table25[[#This Row],[HDC3]]/Table25[[#This Row],[HCC3]]</f>
        <v>0.92442488107592335</v>
      </c>
      <c r="AA23" s="27">
        <f>Table25[[#This Row],[HDC4]]/Table25[[#This Row],[HCC4]]</f>
        <v>0.92570142755218388</v>
      </c>
      <c r="AB23" s="27">
        <f>Table25[[#This Row],[HDC5]]/Table25[[#This Row],[HCC5]]</f>
        <v>0.92664841572854384</v>
      </c>
      <c r="AC23" s="27"/>
      <c r="AE23" s="27"/>
    </row>
    <row r="24" spans="1:31" ht="15">
      <c r="A24" t="s">
        <v>154</v>
      </c>
      <c r="B24" s="85" t="s">
        <v>441</v>
      </c>
      <c r="C24" s="131">
        <v>132</v>
      </c>
      <c r="D24" s="75">
        <v>626</v>
      </c>
      <c r="E24" s="75">
        <v>130</v>
      </c>
      <c r="F24" s="75">
        <v>625</v>
      </c>
      <c r="G24" s="75">
        <v>114</v>
      </c>
      <c r="H24" s="75">
        <v>642</v>
      </c>
      <c r="I24" s="75">
        <v>131</v>
      </c>
      <c r="J24" s="83">
        <v>624</v>
      </c>
      <c r="K24" s="83">
        <v>133</v>
      </c>
      <c r="L24" s="132">
        <v>620</v>
      </c>
      <c r="M24" s="83">
        <v>6704.4</v>
      </c>
      <c r="N24" s="83">
        <v>5860.8</v>
      </c>
      <c r="O24" s="75">
        <v>6773.6</v>
      </c>
      <c r="P24" s="75">
        <v>5923.8</v>
      </c>
      <c r="Q24" s="75">
        <v>6795.4</v>
      </c>
      <c r="R24" s="75">
        <v>5966.7</v>
      </c>
      <c r="S24" s="75">
        <v>6740.5</v>
      </c>
      <c r="T24" s="75">
        <v>5904.8</v>
      </c>
      <c r="U24" s="75">
        <v>6841.4</v>
      </c>
      <c r="V24" s="75">
        <v>6014.8</v>
      </c>
      <c r="X24" s="27">
        <f>Table25[[#This Row],[HDC1]]/Table25[[#This Row],[HCC1]]</f>
        <v>0.8741721854304636</v>
      </c>
      <c r="Y24" s="27">
        <f>Table25[[#This Row],[HDC2]]/Table25[[#This Row],[HCC2]]</f>
        <v>0.87454234085272231</v>
      </c>
      <c r="Z24" s="27">
        <f>Table25[[#This Row],[HDC3]]/Table25[[#This Row],[HCC3]]</f>
        <v>0.8780498572563793</v>
      </c>
      <c r="AA24" s="27">
        <f>Table25[[#This Row],[HDC4]]/Table25[[#This Row],[HCC4]]</f>
        <v>0.87601809954751131</v>
      </c>
      <c r="AB24" s="27">
        <f>Table25[[#This Row],[HDC5]]/Table25[[#This Row],[HCC5]]</f>
        <v>0.8791767766831351</v>
      </c>
      <c r="AC24" s="27"/>
      <c r="AE24" s="27"/>
    </row>
    <row r="25" spans="1:31" ht="15">
      <c r="A25" t="s">
        <v>155</v>
      </c>
      <c r="B25" s="85" t="s">
        <v>442</v>
      </c>
      <c r="C25" s="131">
        <v>126</v>
      </c>
      <c r="D25" s="75">
        <v>644</v>
      </c>
      <c r="E25" s="75">
        <v>121</v>
      </c>
      <c r="F25" s="75">
        <v>620</v>
      </c>
      <c r="G25" s="75">
        <v>128</v>
      </c>
      <c r="H25" s="75">
        <v>609</v>
      </c>
      <c r="I25" s="75">
        <v>124</v>
      </c>
      <c r="J25" s="83">
        <v>646</v>
      </c>
      <c r="K25" s="83">
        <v>125</v>
      </c>
      <c r="L25" s="132">
        <v>643</v>
      </c>
      <c r="M25" s="83">
        <v>14413.1</v>
      </c>
      <c r="N25" s="83">
        <v>13293</v>
      </c>
      <c r="O25" s="75">
        <v>10211.700000000001</v>
      </c>
      <c r="P25" s="75">
        <v>9829</v>
      </c>
      <c r="Q25" s="75">
        <v>14295.5</v>
      </c>
      <c r="R25" s="75">
        <v>13177.9</v>
      </c>
      <c r="S25" s="75">
        <v>14194.2</v>
      </c>
      <c r="T25" s="75">
        <v>13080.5</v>
      </c>
      <c r="U25" s="75">
        <v>14361.1</v>
      </c>
      <c r="V25" s="75">
        <v>13236.1</v>
      </c>
      <c r="X25" s="27">
        <f>Table25[[#This Row],[HDC1]]/Table25[[#This Row],[HCC1]]</f>
        <v>0.92228597595243211</v>
      </c>
      <c r="Y25" s="27">
        <f>Table25[[#This Row],[HDC2]]/Table25[[#This Row],[HCC2]]</f>
        <v>0.9625233800444587</v>
      </c>
      <c r="Z25" s="27">
        <f>Table25[[#This Row],[HDC3]]/Table25[[#This Row],[HCC3]]</f>
        <v>0.9218215522367178</v>
      </c>
      <c r="AA25" s="27">
        <f>Table25[[#This Row],[HDC4]]/Table25[[#This Row],[HCC4]]</f>
        <v>0.92153837482915557</v>
      </c>
      <c r="AB25" s="27">
        <f>Table25[[#This Row],[HDC5]]/Table25[[#This Row],[HCC5]]</f>
        <v>0.92166338233143696</v>
      </c>
      <c r="AC25" s="27"/>
      <c r="AE25" s="27"/>
    </row>
    <row r="26" spans="1:31" ht="15">
      <c r="A26" t="s">
        <v>156</v>
      </c>
      <c r="B26" s="85" t="s">
        <v>443</v>
      </c>
      <c r="C26" s="131">
        <v>31</v>
      </c>
      <c r="D26" s="75">
        <v>723</v>
      </c>
      <c r="E26" s="75">
        <v>31</v>
      </c>
      <c r="F26" s="75">
        <v>722</v>
      </c>
      <c r="G26" s="75">
        <v>30</v>
      </c>
      <c r="H26" s="75">
        <v>721</v>
      </c>
      <c r="I26" s="75">
        <v>24</v>
      </c>
      <c r="J26" s="83">
        <v>703</v>
      </c>
      <c r="K26" s="83">
        <v>31</v>
      </c>
      <c r="L26" s="132">
        <v>722</v>
      </c>
      <c r="M26" s="83">
        <v>7113</v>
      </c>
      <c r="N26" s="83">
        <v>6154.6</v>
      </c>
      <c r="O26" s="75">
        <v>7098.7</v>
      </c>
      <c r="P26" s="75">
        <v>6143.1</v>
      </c>
      <c r="Q26" s="75">
        <v>7005.8</v>
      </c>
      <c r="R26" s="75">
        <v>6053.4</v>
      </c>
      <c r="S26" s="75">
        <v>6986.6</v>
      </c>
      <c r="T26" s="75">
        <v>6044.1</v>
      </c>
      <c r="U26" s="75">
        <v>6625</v>
      </c>
      <c r="V26" s="75">
        <v>5673.5</v>
      </c>
      <c r="X26" s="27">
        <f>Table25[[#This Row],[HDC1]]/Table25[[#This Row],[HCC1]]</f>
        <v>0.86526079010262902</v>
      </c>
      <c r="Y26" s="27">
        <f>Table25[[#This Row],[HDC2]]/Table25[[#This Row],[HCC2]]</f>
        <v>0.86538380266809423</v>
      </c>
      <c r="Z26" s="27">
        <f>Table25[[#This Row],[HDC3]]/Table25[[#This Row],[HCC3]]</f>
        <v>0.86405549687401861</v>
      </c>
      <c r="AA26" s="27">
        <f>Table25[[#This Row],[HDC4]]/Table25[[#This Row],[HCC4]]</f>
        <v>0.86509890361549258</v>
      </c>
      <c r="AB26" s="27">
        <f>Table25[[#This Row],[HDC5]]/Table25[[#This Row],[HCC5]]</f>
        <v>0.85637735849056607</v>
      </c>
      <c r="AC26" s="27"/>
      <c r="AE26" s="27"/>
    </row>
    <row r="27" spans="1:31" ht="15">
      <c r="A27" t="s">
        <v>157</v>
      </c>
      <c r="B27" s="85" t="s">
        <v>444</v>
      </c>
      <c r="C27" s="131">
        <v>124</v>
      </c>
      <c r="D27" s="75">
        <v>640</v>
      </c>
      <c r="E27" s="75">
        <v>108</v>
      </c>
      <c r="F27" s="75">
        <v>638</v>
      </c>
      <c r="G27" s="75">
        <v>124</v>
      </c>
      <c r="H27" s="75">
        <v>625</v>
      </c>
      <c r="I27" s="75">
        <v>122</v>
      </c>
      <c r="J27" s="83">
        <v>631</v>
      </c>
      <c r="K27" s="83">
        <v>123</v>
      </c>
      <c r="L27" s="132">
        <v>638</v>
      </c>
      <c r="M27" s="83">
        <v>9007.6</v>
      </c>
      <c r="N27" s="83">
        <v>8057.9</v>
      </c>
      <c r="O27" s="75">
        <v>8482.1</v>
      </c>
      <c r="P27" s="75">
        <v>7581.5</v>
      </c>
      <c r="Q27" s="75">
        <v>8928.6</v>
      </c>
      <c r="R27" s="75">
        <v>7999.7</v>
      </c>
      <c r="S27" s="75">
        <v>8678.7999999999993</v>
      </c>
      <c r="T27" s="75">
        <v>7746.2</v>
      </c>
      <c r="U27" s="75">
        <v>8936</v>
      </c>
      <c r="V27" s="75">
        <v>7997.1</v>
      </c>
      <c r="X27" s="27">
        <f>Table25[[#This Row],[HDC1]]/Table25[[#This Row],[HCC1]]</f>
        <v>0.89456681024912288</v>
      </c>
      <c r="Y27" s="27">
        <f>Table25[[#This Row],[HDC2]]/Table25[[#This Row],[HCC2]]</f>
        <v>0.89382346352907882</v>
      </c>
      <c r="Z27" s="27">
        <f>Table25[[#This Row],[HDC3]]/Table25[[#This Row],[HCC3]]</f>
        <v>0.89596353291669462</v>
      </c>
      <c r="AA27" s="27">
        <f>Table25[[#This Row],[HDC4]]/Table25[[#This Row],[HCC4]]</f>
        <v>0.89254274784532428</v>
      </c>
      <c r="AB27" s="27">
        <f>Table25[[#This Row],[HDC5]]/Table25[[#This Row],[HCC5]]</f>
        <v>0.89493061772605198</v>
      </c>
      <c r="AC27" s="27"/>
      <c r="AE27" s="27"/>
    </row>
    <row r="28" spans="1:31" ht="15">
      <c r="A28" t="s">
        <v>158</v>
      </c>
      <c r="B28" s="85" t="s">
        <v>445</v>
      </c>
      <c r="C28" s="131">
        <v>118</v>
      </c>
      <c r="D28" s="75">
        <v>633</v>
      </c>
      <c r="E28" s="75">
        <v>120</v>
      </c>
      <c r="F28" s="75">
        <v>648</v>
      </c>
      <c r="G28" s="75">
        <v>121</v>
      </c>
      <c r="H28" s="75">
        <v>633</v>
      </c>
      <c r="I28" s="75">
        <v>117</v>
      </c>
      <c r="J28" s="83">
        <v>641</v>
      </c>
      <c r="K28" s="83">
        <v>121</v>
      </c>
      <c r="L28" s="132">
        <v>636</v>
      </c>
      <c r="M28" s="83">
        <v>6951.1</v>
      </c>
      <c r="N28" s="83">
        <v>6042.1</v>
      </c>
      <c r="O28" s="75">
        <v>6873.7</v>
      </c>
      <c r="P28" s="75">
        <v>5966.2</v>
      </c>
      <c r="Q28" s="75">
        <v>7066.7</v>
      </c>
      <c r="R28" s="75">
        <v>6191.9</v>
      </c>
      <c r="S28" s="75">
        <v>7636.9</v>
      </c>
      <c r="T28" s="75">
        <v>6706.2</v>
      </c>
      <c r="U28" s="75">
        <v>5304.4</v>
      </c>
      <c r="V28" s="75">
        <v>5226.7</v>
      </c>
      <c r="X28" s="27">
        <f>Table25[[#This Row],[HDC1]]/Table25[[#This Row],[HCC1]]</f>
        <v>0.86922933060954377</v>
      </c>
      <c r="Y28" s="27">
        <f>Table25[[#This Row],[HDC2]]/Table25[[#This Row],[HCC2]]</f>
        <v>0.86797503527939823</v>
      </c>
      <c r="Z28" s="27">
        <f>Table25[[#This Row],[HDC3]]/Table25[[#This Row],[HCC3]]</f>
        <v>0.8762081310937212</v>
      </c>
      <c r="AA28" s="27">
        <f>Table25[[#This Row],[HDC4]]/Table25[[#This Row],[HCC4]]</f>
        <v>0.87813117888148329</v>
      </c>
      <c r="AB28" s="27">
        <f>Table25[[#This Row],[HDC5]]/Table25[[#This Row],[HCC5]]</f>
        <v>0.98535178342508112</v>
      </c>
      <c r="AC28" s="27"/>
      <c r="AE28" s="27"/>
    </row>
    <row r="29" spans="1:31" ht="15">
      <c r="A29" t="s">
        <v>159</v>
      </c>
      <c r="B29" s="85" t="s">
        <v>446</v>
      </c>
      <c r="C29" s="131">
        <v>122</v>
      </c>
      <c r="D29" s="75">
        <v>628</v>
      </c>
      <c r="E29" s="75">
        <v>121</v>
      </c>
      <c r="F29" s="75">
        <v>639</v>
      </c>
      <c r="G29" s="75">
        <v>105</v>
      </c>
      <c r="H29" s="75">
        <v>644</v>
      </c>
      <c r="I29" s="75">
        <v>124</v>
      </c>
      <c r="J29" s="83">
        <v>633</v>
      </c>
      <c r="K29" s="83">
        <v>125</v>
      </c>
      <c r="L29" s="132">
        <v>628</v>
      </c>
      <c r="M29" s="83">
        <v>4267.3999999999996</v>
      </c>
      <c r="N29" s="83">
        <v>3497.2</v>
      </c>
      <c r="O29" s="75">
        <v>4237.3</v>
      </c>
      <c r="P29" s="75">
        <v>3478.6</v>
      </c>
      <c r="Q29" s="75">
        <v>4269.6000000000004</v>
      </c>
      <c r="R29" s="75">
        <v>3502</v>
      </c>
      <c r="S29" s="75">
        <v>4234</v>
      </c>
      <c r="T29" s="75">
        <v>3486.7</v>
      </c>
      <c r="U29" s="75">
        <v>4235.3</v>
      </c>
      <c r="V29" s="75">
        <v>3479.2</v>
      </c>
      <c r="X29" s="27">
        <f>Table25[[#This Row],[HDC1]]/Table25[[#This Row],[HCC1]]</f>
        <v>0.81951539579134836</v>
      </c>
      <c r="Y29" s="27">
        <f>Table25[[#This Row],[HDC2]]/Table25[[#This Row],[HCC2]]</f>
        <v>0.82094730134755622</v>
      </c>
      <c r="Z29" s="27">
        <f>Table25[[#This Row],[HDC3]]/Table25[[#This Row],[HCC3]]</f>
        <v>0.82021735057148204</v>
      </c>
      <c r="AA29" s="27">
        <f>Table25[[#This Row],[HDC4]]/Table25[[#This Row],[HCC4]]</f>
        <v>0.82350023618327817</v>
      </c>
      <c r="AB29" s="27">
        <f>Table25[[#This Row],[HDC5]]/Table25[[#This Row],[HCC5]]</f>
        <v>0.82147663683800431</v>
      </c>
      <c r="AC29" s="27"/>
      <c r="AE29" s="27"/>
    </row>
    <row r="30" spans="1:31" ht="15">
      <c r="A30" t="s">
        <v>160</v>
      </c>
      <c r="B30" s="85" t="s">
        <v>447</v>
      </c>
      <c r="C30" s="131">
        <v>116</v>
      </c>
      <c r="D30" s="75">
        <v>641</v>
      </c>
      <c r="E30" s="75">
        <v>134</v>
      </c>
      <c r="F30" s="75">
        <v>623</v>
      </c>
      <c r="G30" s="75">
        <v>135</v>
      </c>
      <c r="H30" s="75">
        <v>624</v>
      </c>
      <c r="I30" s="75">
        <v>133</v>
      </c>
      <c r="J30" s="83">
        <v>624</v>
      </c>
      <c r="K30" s="83">
        <v>135</v>
      </c>
      <c r="L30" s="132">
        <v>625</v>
      </c>
      <c r="M30" s="83">
        <v>20953.2</v>
      </c>
      <c r="N30" s="83">
        <v>19662.099999999999</v>
      </c>
      <c r="O30" s="75">
        <v>21264.1</v>
      </c>
      <c r="P30" s="75">
        <v>19911.900000000001</v>
      </c>
      <c r="Q30" s="75">
        <v>18108.099999999999</v>
      </c>
      <c r="R30" s="75">
        <v>17111.3</v>
      </c>
      <c r="S30" s="75">
        <v>20724.8</v>
      </c>
      <c r="T30" s="75">
        <v>19439.2</v>
      </c>
      <c r="U30" s="75">
        <v>17236.900000000001</v>
      </c>
      <c r="V30" s="75">
        <v>16705.599999999999</v>
      </c>
      <c r="X30" s="27">
        <f>Table25[[#This Row],[HDC1]]/Table25[[#This Row],[HCC1]]</f>
        <v>0.93838172689613031</v>
      </c>
      <c r="Y30" s="27">
        <f>Table25[[#This Row],[HDC2]]/Table25[[#This Row],[HCC2]]</f>
        <v>0.93640925315437773</v>
      </c>
      <c r="Z30" s="27">
        <f>Table25[[#This Row],[HDC3]]/Table25[[#This Row],[HCC3]]</f>
        <v>0.94495281117290053</v>
      </c>
      <c r="AA30" s="27">
        <f>Table25[[#This Row],[HDC4]]/Table25[[#This Row],[HCC4]]</f>
        <v>0.93796803829228759</v>
      </c>
      <c r="AB30" s="27">
        <f>Table25[[#This Row],[HDC5]]/Table25[[#This Row],[HCC5]]</f>
        <v>0.96917659207862183</v>
      </c>
      <c r="AC30" s="27"/>
      <c r="AE30" s="27"/>
    </row>
    <row r="31" spans="1:31" ht="15">
      <c r="A31" t="s">
        <v>161</v>
      </c>
      <c r="B31" s="85" t="s">
        <v>448</v>
      </c>
      <c r="C31" s="131">
        <v>129</v>
      </c>
      <c r="D31" s="75">
        <v>629</v>
      </c>
      <c r="E31" s="75">
        <v>133</v>
      </c>
      <c r="F31" s="75">
        <v>627</v>
      </c>
      <c r="G31" s="75">
        <v>130</v>
      </c>
      <c r="H31" s="75">
        <v>628</v>
      </c>
      <c r="I31" s="75">
        <v>133</v>
      </c>
      <c r="J31" s="83">
        <v>623</v>
      </c>
      <c r="K31" s="83">
        <v>114</v>
      </c>
      <c r="L31" s="132">
        <v>635</v>
      </c>
      <c r="M31" s="83">
        <v>17612.5</v>
      </c>
      <c r="N31" s="83">
        <v>17035.900000000001</v>
      </c>
      <c r="O31" s="75">
        <v>16535.7</v>
      </c>
      <c r="P31" s="75">
        <v>16012</v>
      </c>
      <c r="Q31" s="75">
        <v>17213.3</v>
      </c>
      <c r="R31" s="75">
        <v>16631.599999999999</v>
      </c>
      <c r="S31" s="75">
        <v>20804.3</v>
      </c>
      <c r="T31" s="75">
        <v>19635.599999999999</v>
      </c>
      <c r="U31" s="75">
        <v>20426.8</v>
      </c>
      <c r="V31" s="75">
        <v>19158.2</v>
      </c>
      <c r="X31" s="27">
        <f>Table25[[#This Row],[HDC1]]/Table25[[#This Row],[HCC1]]</f>
        <v>0.96726188786373324</v>
      </c>
      <c r="Y31" s="27">
        <f>Table25[[#This Row],[HDC2]]/Table25[[#This Row],[HCC2]]</f>
        <v>0.96832913030594403</v>
      </c>
      <c r="Z31" s="27">
        <f>Table25[[#This Row],[HDC3]]/Table25[[#This Row],[HCC3]]</f>
        <v>0.96620636368389556</v>
      </c>
      <c r="AA31" s="27">
        <f>Table25[[#This Row],[HDC4]]/Table25[[#This Row],[HCC4]]</f>
        <v>0.94382411328427296</v>
      </c>
      <c r="AB31" s="27">
        <f>Table25[[#This Row],[HDC5]]/Table25[[#This Row],[HCC5]]</f>
        <v>0.93789531399925596</v>
      </c>
      <c r="AC31" s="27"/>
      <c r="AE31" s="27"/>
    </row>
    <row r="32" spans="1:31" ht="15">
      <c r="A32" t="s">
        <v>162</v>
      </c>
      <c r="B32" s="85" t="s">
        <v>449</v>
      </c>
      <c r="C32" s="131">
        <v>120</v>
      </c>
      <c r="D32" s="75">
        <v>634</v>
      </c>
      <c r="E32" s="75">
        <v>127</v>
      </c>
      <c r="F32" s="75">
        <v>623</v>
      </c>
      <c r="G32" s="75">
        <v>125</v>
      </c>
      <c r="H32" s="75">
        <v>627</v>
      </c>
      <c r="I32" s="75">
        <v>126</v>
      </c>
      <c r="J32" s="83">
        <v>625</v>
      </c>
      <c r="K32" s="83">
        <v>126</v>
      </c>
      <c r="L32" s="132">
        <v>620</v>
      </c>
      <c r="M32" s="83">
        <v>21179.8</v>
      </c>
      <c r="N32" s="83">
        <v>20040.8</v>
      </c>
      <c r="O32" s="75">
        <v>20414.2</v>
      </c>
      <c r="P32" s="75">
        <v>19181.900000000001</v>
      </c>
      <c r="Q32" s="75">
        <v>21048.5</v>
      </c>
      <c r="R32" s="75">
        <v>19731.599999999999</v>
      </c>
      <c r="S32" s="75">
        <v>16559</v>
      </c>
      <c r="T32" s="75">
        <v>16102.9</v>
      </c>
      <c r="U32" s="75">
        <v>21017.7</v>
      </c>
      <c r="V32" s="75">
        <v>19749.900000000001</v>
      </c>
      <c r="X32" s="27">
        <f>Table25[[#This Row],[HDC1]]/Table25[[#This Row],[HCC1]]</f>
        <v>0.94622234393148186</v>
      </c>
      <c r="Y32" s="27">
        <f>Table25[[#This Row],[HDC2]]/Table25[[#This Row],[HCC2]]</f>
        <v>0.93963515592087865</v>
      </c>
      <c r="Z32" s="27">
        <f>Table25[[#This Row],[HDC3]]/Table25[[#This Row],[HCC3]]</f>
        <v>0.93743497161317901</v>
      </c>
      <c r="AA32" s="27">
        <f>Table25[[#This Row],[HDC4]]/Table25[[#This Row],[HCC4]]</f>
        <v>0.97245606618757174</v>
      </c>
      <c r="AB32" s="27">
        <f>Table25[[#This Row],[HDC5]]/Table25[[#This Row],[HCC5]]</f>
        <v>0.93967941306613001</v>
      </c>
      <c r="AC32" s="27"/>
      <c r="AE32" s="27"/>
    </row>
    <row r="33" spans="1:31" ht="15">
      <c r="A33" t="s">
        <v>163</v>
      </c>
      <c r="B33" s="85" t="s">
        <v>450</v>
      </c>
      <c r="C33" s="131">
        <v>127</v>
      </c>
      <c r="D33" s="75">
        <v>628</v>
      </c>
      <c r="E33" s="75">
        <v>127</v>
      </c>
      <c r="F33" s="75">
        <v>635</v>
      </c>
      <c r="G33" s="75">
        <v>127</v>
      </c>
      <c r="H33" s="75">
        <v>633</v>
      </c>
      <c r="I33" s="75">
        <v>126</v>
      </c>
      <c r="J33" s="83">
        <v>641</v>
      </c>
      <c r="K33" s="83">
        <v>128</v>
      </c>
      <c r="L33" s="132">
        <v>629</v>
      </c>
      <c r="M33" s="83">
        <v>21286.799999999999</v>
      </c>
      <c r="N33" s="83">
        <v>19997.099999999999</v>
      </c>
      <c r="O33" s="75">
        <v>20586</v>
      </c>
      <c r="P33" s="75">
        <v>19323.7</v>
      </c>
      <c r="Q33" s="75">
        <v>21204.1</v>
      </c>
      <c r="R33" s="75">
        <v>19890.3</v>
      </c>
      <c r="S33" s="75">
        <v>20391.8</v>
      </c>
      <c r="T33" s="75">
        <v>19130.7</v>
      </c>
      <c r="U33" s="75">
        <v>12010.2</v>
      </c>
      <c r="V33" s="75">
        <v>10946</v>
      </c>
      <c r="X33" s="27">
        <f>Table25[[#This Row],[HDC1]]/Table25[[#This Row],[HCC1]]</f>
        <v>0.93941315744968712</v>
      </c>
      <c r="Y33" s="27">
        <f>Table25[[#This Row],[HDC2]]/Table25[[#This Row],[HCC2]]</f>
        <v>0.9386816282910716</v>
      </c>
      <c r="Z33" s="27">
        <f>Table25[[#This Row],[HDC3]]/Table25[[#This Row],[HCC3]]</f>
        <v>0.93804028466192857</v>
      </c>
      <c r="AA33" s="27">
        <f>Table25[[#This Row],[HDC4]]/Table25[[#This Row],[HCC4]]</f>
        <v>0.93815651389283938</v>
      </c>
      <c r="AB33" s="27">
        <f>Table25[[#This Row],[HDC5]]/Table25[[#This Row],[HCC5]]</f>
        <v>0.91139198348070805</v>
      </c>
      <c r="AC33" s="27"/>
      <c r="AE33" s="27"/>
    </row>
    <row r="34" spans="1:31" ht="15">
      <c r="A34" t="s">
        <v>164</v>
      </c>
      <c r="B34" s="85" t="s">
        <v>451</v>
      </c>
      <c r="C34" s="131">
        <v>130</v>
      </c>
      <c r="D34" s="75">
        <v>627</v>
      </c>
      <c r="E34" s="75">
        <v>131</v>
      </c>
      <c r="F34" s="75">
        <v>621</v>
      </c>
      <c r="G34" s="75">
        <v>130</v>
      </c>
      <c r="H34" s="75">
        <v>627</v>
      </c>
      <c r="I34" s="75">
        <v>123</v>
      </c>
      <c r="J34" s="83">
        <v>643</v>
      </c>
      <c r="K34" s="83">
        <v>130</v>
      </c>
      <c r="L34" s="132">
        <v>626</v>
      </c>
      <c r="M34" s="83">
        <v>20800.8</v>
      </c>
      <c r="N34" s="83">
        <v>19537</v>
      </c>
      <c r="O34" s="75">
        <v>20544.3</v>
      </c>
      <c r="P34" s="75">
        <v>19260.900000000001</v>
      </c>
      <c r="Q34" s="75">
        <v>19754.3</v>
      </c>
      <c r="R34" s="75">
        <v>18448.5</v>
      </c>
      <c r="S34" s="75">
        <v>19687.5</v>
      </c>
      <c r="T34" s="75">
        <v>18411.900000000001</v>
      </c>
      <c r="U34" s="75">
        <v>20511.099999999999</v>
      </c>
      <c r="V34" s="75">
        <v>19209.5</v>
      </c>
      <c r="X34" s="27">
        <f>Table25[[#This Row],[HDC1]]/Table25[[#This Row],[HCC1]]</f>
        <v>0.93924272143379106</v>
      </c>
      <c r="Y34" s="27">
        <f>Table25[[#This Row],[HDC2]]/Table25[[#This Row],[HCC2]]</f>
        <v>0.93753011784290541</v>
      </c>
      <c r="Z34" s="27">
        <f>Table25[[#This Row],[HDC3]]/Table25[[#This Row],[HCC3]]</f>
        <v>0.93389793614554806</v>
      </c>
      <c r="AA34" s="27">
        <f>Table25[[#This Row],[HDC4]]/Table25[[#This Row],[HCC4]]</f>
        <v>0.93520761904761918</v>
      </c>
      <c r="AB34" s="27">
        <f>Table25[[#This Row],[HDC5]]/Table25[[#This Row],[HCC5]]</f>
        <v>0.93654167743319483</v>
      </c>
      <c r="AC34" s="27"/>
      <c r="AE34" s="27"/>
    </row>
    <row r="35" spans="1:31" ht="15">
      <c r="A35" t="s">
        <v>165</v>
      </c>
      <c r="B35" s="85" t="s">
        <v>452</v>
      </c>
      <c r="C35" s="131">
        <v>129</v>
      </c>
      <c r="D35" s="75">
        <v>625</v>
      </c>
      <c r="E35" s="75">
        <v>122</v>
      </c>
      <c r="F35" s="75">
        <v>641</v>
      </c>
      <c r="G35" s="75">
        <v>126</v>
      </c>
      <c r="H35" s="75">
        <v>628</v>
      </c>
      <c r="I35" s="75">
        <v>130</v>
      </c>
      <c r="J35" s="83">
        <v>624</v>
      </c>
      <c r="K35" s="83">
        <v>127</v>
      </c>
      <c r="L35" s="132">
        <v>627</v>
      </c>
      <c r="M35" s="83">
        <v>17925.599999999999</v>
      </c>
      <c r="N35" s="83">
        <v>16823</v>
      </c>
      <c r="O35" s="75">
        <v>6801.9</v>
      </c>
      <c r="P35" s="75">
        <v>6512.5</v>
      </c>
      <c r="Q35" s="75">
        <v>18412.900000000001</v>
      </c>
      <c r="R35" s="75">
        <v>17208</v>
      </c>
      <c r="S35" s="75">
        <v>13687.5</v>
      </c>
      <c r="T35" s="75">
        <v>13231.9</v>
      </c>
      <c r="U35" s="75">
        <v>17547.599999999999</v>
      </c>
      <c r="V35" s="75">
        <v>16359.5</v>
      </c>
      <c r="X35" s="27">
        <f>Table25[[#This Row],[HDC1]]/Table25[[#This Row],[HCC1]]</f>
        <v>0.93849020395412153</v>
      </c>
      <c r="Y35" s="27">
        <f>Table25[[#This Row],[HDC2]]/Table25[[#This Row],[HCC2]]</f>
        <v>0.95745306458489543</v>
      </c>
      <c r="Z35" s="27">
        <f>Table25[[#This Row],[HDC3]]/Table25[[#This Row],[HCC3]]</f>
        <v>0.93456218194852514</v>
      </c>
      <c r="AA35" s="27">
        <f>Table25[[#This Row],[HDC4]]/Table25[[#This Row],[HCC4]]</f>
        <v>0.96671415525114157</v>
      </c>
      <c r="AB35" s="27">
        <f>Table25[[#This Row],[HDC5]]/Table25[[#This Row],[HCC5]]</f>
        <v>0.9322927351888578</v>
      </c>
      <c r="AC35" s="27"/>
      <c r="AE35" s="27"/>
    </row>
    <row r="36" spans="1:31" ht="15">
      <c r="A36" t="s">
        <v>166</v>
      </c>
      <c r="B36" s="85" t="s">
        <v>453</v>
      </c>
      <c r="C36" s="131">
        <v>133</v>
      </c>
      <c r="D36" s="75">
        <v>621</v>
      </c>
      <c r="E36" s="75">
        <v>118</v>
      </c>
      <c r="F36" s="75">
        <v>635</v>
      </c>
      <c r="G36" s="75">
        <v>137</v>
      </c>
      <c r="H36" s="75">
        <v>619</v>
      </c>
      <c r="I36" s="75">
        <v>141</v>
      </c>
      <c r="J36" s="83">
        <v>619</v>
      </c>
      <c r="K36" s="83">
        <v>138</v>
      </c>
      <c r="L36" s="132">
        <v>616</v>
      </c>
      <c r="M36" s="83">
        <v>20104.900000000001</v>
      </c>
      <c r="N36" s="83">
        <v>18893.2</v>
      </c>
      <c r="O36" s="75">
        <v>20765.7</v>
      </c>
      <c r="P36" s="75">
        <v>19518.5</v>
      </c>
      <c r="Q36" s="75">
        <v>20569.8</v>
      </c>
      <c r="R36" s="75">
        <v>19328</v>
      </c>
      <c r="S36" s="75">
        <v>19754.099999999999</v>
      </c>
      <c r="T36" s="75">
        <v>18558.7</v>
      </c>
      <c r="U36" s="75">
        <v>20655.900000000001</v>
      </c>
      <c r="V36" s="75">
        <v>19405.599999999999</v>
      </c>
      <c r="X36" s="27">
        <f>Table25[[#This Row],[HDC1]]/Table25[[#This Row],[HCC1]]</f>
        <v>0.93973111032633827</v>
      </c>
      <c r="Y36" s="27">
        <f>Table25[[#This Row],[HDC2]]/Table25[[#This Row],[HCC2]]</f>
        <v>0.93993941933091585</v>
      </c>
      <c r="Z36" s="27">
        <f>Table25[[#This Row],[HDC3]]/Table25[[#This Row],[HCC3]]</f>
        <v>0.93962994292603719</v>
      </c>
      <c r="AA36" s="27">
        <f>Table25[[#This Row],[HDC4]]/Table25[[#This Row],[HCC4]]</f>
        <v>0.93948598012564488</v>
      </c>
      <c r="AB36" s="27">
        <f>Table25[[#This Row],[HDC5]]/Table25[[#This Row],[HCC5]]</f>
        <v>0.9394700787668413</v>
      </c>
      <c r="AC36" s="27"/>
      <c r="AE36" s="27"/>
    </row>
    <row r="37" spans="1:31" ht="15">
      <c r="A37" t="s">
        <v>167</v>
      </c>
      <c r="B37" s="85" t="s">
        <v>454</v>
      </c>
      <c r="C37" s="131">
        <v>118</v>
      </c>
      <c r="D37" s="75">
        <v>639</v>
      </c>
      <c r="E37" s="75">
        <v>132</v>
      </c>
      <c r="F37" s="75">
        <v>627</v>
      </c>
      <c r="G37" s="75">
        <v>124</v>
      </c>
      <c r="H37" s="75">
        <v>638</v>
      </c>
      <c r="I37" s="75">
        <v>133</v>
      </c>
      <c r="J37" s="83">
        <v>626</v>
      </c>
      <c r="K37" s="83">
        <v>132</v>
      </c>
      <c r="L37" s="132">
        <v>628</v>
      </c>
      <c r="M37" s="83">
        <v>13705.2</v>
      </c>
      <c r="N37" s="83">
        <v>13177.3</v>
      </c>
      <c r="O37" s="75">
        <v>18323.400000000001</v>
      </c>
      <c r="P37" s="75">
        <v>17188</v>
      </c>
      <c r="Q37" s="75">
        <v>17503.599999999999</v>
      </c>
      <c r="R37" s="75">
        <v>16382.3</v>
      </c>
      <c r="S37" s="75">
        <v>18140.099999999999</v>
      </c>
      <c r="T37" s="75">
        <v>16965.3</v>
      </c>
      <c r="U37" s="75">
        <v>18315.099999999999</v>
      </c>
      <c r="V37" s="75">
        <v>17121.2</v>
      </c>
      <c r="X37" s="27">
        <f>Table25[[#This Row],[HDC1]]/Table25[[#This Row],[HCC1]]</f>
        <v>0.96148177334150531</v>
      </c>
      <c r="Y37" s="27">
        <f>Table25[[#This Row],[HDC2]]/Table25[[#This Row],[HCC2]]</f>
        <v>0.93803551742580515</v>
      </c>
      <c r="Z37" s="27">
        <f>Table25[[#This Row],[HDC3]]/Table25[[#This Row],[HCC3]]</f>
        <v>0.9359388925706712</v>
      </c>
      <c r="AA37" s="27">
        <f>Table25[[#This Row],[HDC4]]/Table25[[#This Row],[HCC4]]</f>
        <v>0.93523740221939244</v>
      </c>
      <c r="AB37" s="27">
        <f>Table25[[#This Row],[HDC5]]/Table25[[#This Row],[HCC5]]</f>
        <v>0.93481335073245586</v>
      </c>
      <c r="AC37" s="27"/>
      <c r="AE37" s="27"/>
    </row>
    <row r="38" spans="1:31" ht="15">
      <c r="A38" t="s">
        <v>168</v>
      </c>
      <c r="B38" s="85" t="s">
        <v>455</v>
      </c>
      <c r="C38" s="131">
        <v>104</v>
      </c>
      <c r="D38" s="75">
        <v>636</v>
      </c>
      <c r="E38" s="75">
        <v>124</v>
      </c>
      <c r="F38" s="75">
        <v>609</v>
      </c>
      <c r="G38" s="75">
        <v>125</v>
      </c>
      <c r="H38" s="75">
        <v>613</v>
      </c>
      <c r="I38" s="75">
        <v>128</v>
      </c>
      <c r="J38" s="83">
        <v>605</v>
      </c>
      <c r="K38" s="83">
        <v>128</v>
      </c>
      <c r="L38" s="132">
        <v>601</v>
      </c>
      <c r="M38" s="83">
        <v>15515.2</v>
      </c>
      <c r="N38" s="83">
        <v>14479.8</v>
      </c>
      <c r="O38" s="75">
        <v>15526.4</v>
      </c>
      <c r="P38" s="75">
        <v>14657</v>
      </c>
      <c r="Q38" s="75">
        <v>15422.6</v>
      </c>
      <c r="R38" s="75">
        <v>14532.6</v>
      </c>
      <c r="S38" s="75">
        <v>15062.1</v>
      </c>
      <c r="T38" s="75">
        <v>14232.7</v>
      </c>
      <c r="U38" s="75">
        <v>15596</v>
      </c>
      <c r="V38" s="75">
        <v>14740.6</v>
      </c>
      <c r="X38" s="27">
        <f>Table25[[#This Row],[HDC1]]/Table25[[#This Row],[HCC1]]</f>
        <v>0.93326544292049074</v>
      </c>
      <c r="Y38" s="27">
        <f>Table25[[#This Row],[HDC2]]/Table25[[#This Row],[HCC2]]</f>
        <v>0.94400504946413855</v>
      </c>
      <c r="Z38" s="27">
        <f>Table25[[#This Row],[HDC3]]/Table25[[#This Row],[HCC3]]</f>
        <v>0.94229247986720788</v>
      </c>
      <c r="AA38" s="27">
        <f>Table25[[#This Row],[HDC4]]/Table25[[#This Row],[HCC4]]</f>
        <v>0.94493463726837557</v>
      </c>
      <c r="AB38" s="27">
        <f>Table25[[#This Row],[HDC5]]/Table25[[#This Row],[HCC5]]</f>
        <v>0.94515260323159789</v>
      </c>
      <c r="AC38" s="27"/>
      <c r="AE38" s="27"/>
    </row>
    <row r="39" spans="1:31" ht="15">
      <c r="A39" t="s">
        <v>169</v>
      </c>
      <c r="B39" s="85" t="s">
        <v>456</v>
      </c>
      <c r="C39" s="131">
        <v>117</v>
      </c>
      <c r="D39" s="75">
        <v>637</v>
      </c>
      <c r="E39" s="75">
        <v>134</v>
      </c>
      <c r="F39" s="75">
        <v>624</v>
      </c>
      <c r="G39" s="75">
        <v>127</v>
      </c>
      <c r="H39" s="75">
        <v>639</v>
      </c>
      <c r="I39" s="75">
        <v>134</v>
      </c>
      <c r="J39" s="83">
        <v>618</v>
      </c>
      <c r="K39" s="83">
        <v>126</v>
      </c>
      <c r="L39" s="132">
        <v>621</v>
      </c>
      <c r="M39" s="83">
        <v>22296.5</v>
      </c>
      <c r="N39" s="83">
        <v>20966.5</v>
      </c>
      <c r="O39" s="75">
        <v>19217.400000000001</v>
      </c>
      <c r="P39" s="75">
        <v>17982.900000000001</v>
      </c>
      <c r="Q39" s="75">
        <v>19241.2</v>
      </c>
      <c r="R39" s="75">
        <v>18053</v>
      </c>
      <c r="S39" s="75">
        <v>22345.5</v>
      </c>
      <c r="T39" s="75">
        <v>20968.7</v>
      </c>
      <c r="U39" s="75">
        <v>21593.8</v>
      </c>
      <c r="V39" s="75">
        <v>20304.099999999999</v>
      </c>
      <c r="X39" s="27">
        <f>Table25[[#This Row],[HDC1]]/Table25[[#This Row],[HCC1]]</f>
        <v>0.94034938219002984</v>
      </c>
      <c r="Y39" s="27">
        <f>Table25[[#This Row],[HDC2]]/Table25[[#This Row],[HCC2]]</f>
        <v>0.93576134128446098</v>
      </c>
      <c r="Z39" s="27">
        <f>Table25[[#This Row],[HDC3]]/Table25[[#This Row],[HCC3]]</f>
        <v>0.9382470947757936</v>
      </c>
      <c r="AA39" s="27">
        <f>Table25[[#This Row],[HDC4]]/Table25[[#This Row],[HCC4]]</f>
        <v>0.93838580474815958</v>
      </c>
      <c r="AB39" s="27">
        <f>Table25[[#This Row],[HDC5]]/Table25[[#This Row],[HCC5]]</f>
        <v>0.9402745232427826</v>
      </c>
      <c r="AC39" s="27"/>
      <c r="AE39" s="27"/>
    </row>
    <row r="40" spans="1:31" ht="15">
      <c r="A40" t="s">
        <v>170</v>
      </c>
      <c r="B40" s="85" t="s">
        <v>457</v>
      </c>
      <c r="C40" s="131">
        <v>129</v>
      </c>
      <c r="D40" s="75">
        <v>643</v>
      </c>
      <c r="E40" s="75">
        <v>136</v>
      </c>
      <c r="F40" s="75">
        <v>623</v>
      </c>
      <c r="G40" s="75">
        <v>131</v>
      </c>
      <c r="H40" s="75">
        <v>641</v>
      </c>
      <c r="I40" s="75">
        <v>131</v>
      </c>
      <c r="J40" s="83">
        <v>642</v>
      </c>
      <c r="K40" s="83">
        <v>138</v>
      </c>
      <c r="L40" s="132">
        <v>627</v>
      </c>
      <c r="M40" s="83">
        <v>15734.3</v>
      </c>
      <c r="N40" s="83">
        <v>14580.2</v>
      </c>
      <c r="O40" s="75">
        <v>15567.2</v>
      </c>
      <c r="P40" s="75">
        <v>14444.1</v>
      </c>
      <c r="Q40" s="75">
        <v>15579.4</v>
      </c>
      <c r="R40" s="75">
        <v>14449.8</v>
      </c>
      <c r="S40" s="75">
        <v>12486</v>
      </c>
      <c r="T40" s="75">
        <v>11451.8</v>
      </c>
      <c r="U40" s="75">
        <v>15198.6</v>
      </c>
      <c r="V40" s="75">
        <v>14072.1</v>
      </c>
      <c r="X40" s="27">
        <f>Table25[[#This Row],[HDC1]]/Table25[[#This Row],[HCC1]]</f>
        <v>0.92665069307182402</v>
      </c>
      <c r="Y40" s="27">
        <f>Table25[[#This Row],[HDC2]]/Table25[[#This Row],[HCC2]]</f>
        <v>0.9278547201808931</v>
      </c>
      <c r="Z40" s="27">
        <f>Table25[[#This Row],[HDC3]]/Table25[[#This Row],[HCC3]]</f>
        <v>0.92749399848517911</v>
      </c>
      <c r="AA40" s="27">
        <f>Table25[[#This Row],[HDC4]]/Table25[[#This Row],[HCC4]]</f>
        <v>0.91717123177959303</v>
      </c>
      <c r="AB40" s="27">
        <f>Table25[[#This Row],[HDC5]]/Table25[[#This Row],[HCC5]]</f>
        <v>0.92588133117523985</v>
      </c>
      <c r="AC40" s="27"/>
      <c r="AE40" s="27"/>
    </row>
    <row r="41" spans="1:31" ht="15">
      <c r="A41" t="s">
        <v>171</v>
      </c>
      <c r="B41" s="85" t="s">
        <v>458</v>
      </c>
      <c r="C41" s="131">
        <v>131</v>
      </c>
      <c r="D41" s="75">
        <v>631</v>
      </c>
      <c r="E41" s="75">
        <v>138</v>
      </c>
      <c r="F41" s="75">
        <v>624</v>
      </c>
      <c r="G41" s="75">
        <v>130</v>
      </c>
      <c r="H41" s="75">
        <v>630</v>
      </c>
      <c r="I41" s="75">
        <v>121</v>
      </c>
      <c r="J41" s="83">
        <v>643</v>
      </c>
      <c r="K41" s="83">
        <v>135</v>
      </c>
      <c r="L41" s="132">
        <v>635</v>
      </c>
      <c r="M41" s="83">
        <v>18284.599999999999</v>
      </c>
      <c r="N41" s="83">
        <v>17138.2</v>
      </c>
      <c r="O41" s="75">
        <v>21208.5</v>
      </c>
      <c r="P41" s="75">
        <v>19988.7</v>
      </c>
      <c r="Q41" s="75">
        <v>20780.7</v>
      </c>
      <c r="R41" s="75">
        <v>19511.900000000001</v>
      </c>
      <c r="S41" s="75">
        <v>18225.900000000001</v>
      </c>
      <c r="T41" s="75">
        <v>17087.900000000001</v>
      </c>
      <c r="U41" s="75">
        <v>20846.8</v>
      </c>
      <c r="V41" s="75">
        <v>19521.900000000001</v>
      </c>
      <c r="X41" s="27">
        <f>Table25[[#This Row],[HDC1]]/Table25[[#This Row],[HCC1]]</f>
        <v>0.93730242936678965</v>
      </c>
      <c r="Y41" s="27">
        <f>Table25[[#This Row],[HDC2]]/Table25[[#This Row],[HCC2]]</f>
        <v>0.94248532428035936</v>
      </c>
      <c r="Z41" s="27">
        <f>Table25[[#This Row],[HDC3]]/Table25[[#This Row],[HCC3]]</f>
        <v>0.93894334647052313</v>
      </c>
      <c r="AA41" s="27">
        <f>Table25[[#This Row],[HDC4]]/Table25[[#This Row],[HCC4]]</f>
        <v>0.93756138242830256</v>
      </c>
      <c r="AB41" s="27">
        <f>Table25[[#This Row],[HDC5]]/Table25[[#This Row],[HCC5]]</f>
        <v>0.93644588138227458</v>
      </c>
      <c r="AC41" s="27"/>
      <c r="AE41" s="27"/>
    </row>
    <row r="42" spans="1:31" ht="15">
      <c r="A42" t="s">
        <v>172</v>
      </c>
      <c r="B42" s="85" t="s">
        <v>459</v>
      </c>
      <c r="C42" s="131">
        <v>118</v>
      </c>
      <c r="D42" s="75">
        <v>640</v>
      </c>
      <c r="E42" s="75">
        <v>126</v>
      </c>
      <c r="F42" s="75">
        <v>631</v>
      </c>
      <c r="G42" s="75">
        <v>128</v>
      </c>
      <c r="H42" s="75">
        <v>631</v>
      </c>
      <c r="I42" s="75">
        <v>124</v>
      </c>
      <c r="J42" s="83">
        <v>636</v>
      </c>
      <c r="K42" s="83">
        <v>129</v>
      </c>
      <c r="L42" s="132">
        <v>636</v>
      </c>
      <c r="M42" s="83">
        <v>18724.599999999999</v>
      </c>
      <c r="N42" s="83">
        <v>17823.900000000001</v>
      </c>
      <c r="O42" s="75">
        <v>22647.9</v>
      </c>
      <c r="P42" s="75">
        <v>21249.4</v>
      </c>
      <c r="Q42" s="75">
        <v>22630.1</v>
      </c>
      <c r="R42" s="75">
        <v>21258.2</v>
      </c>
      <c r="S42" s="75">
        <v>22801.9</v>
      </c>
      <c r="T42" s="75">
        <v>21398.6</v>
      </c>
      <c r="U42" s="75">
        <v>22640.9</v>
      </c>
      <c r="V42" s="75">
        <v>21215.200000000001</v>
      </c>
      <c r="X42" s="27">
        <f>Table25[[#This Row],[HDC1]]/Table25[[#This Row],[HCC1]]</f>
        <v>0.95189750381850624</v>
      </c>
      <c r="Y42" s="27">
        <f>Table25[[#This Row],[HDC2]]/Table25[[#This Row],[HCC2]]</f>
        <v>0.93825034550664743</v>
      </c>
      <c r="Z42" s="27">
        <f>Table25[[#This Row],[HDC3]]/Table25[[#This Row],[HCC3]]</f>
        <v>0.93937720116128531</v>
      </c>
      <c r="AA42" s="27">
        <f>Table25[[#This Row],[HDC4]]/Table25[[#This Row],[HCC4]]</f>
        <v>0.93845688297904983</v>
      </c>
      <c r="AB42" s="27">
        <f>Table25[[#This Row],[HDC5]]/Table25[[#This Row],[HCC5]]</f>
        <v>0.93702988838782908</v>
      </c>
      <c r="AC42" s="27"/>
      <c r="AE42" s="27"/>
    </row>
    <row r="43" spans="1:31" ht="15">
      <c r="A43" t="s">
        <v>173</v>
      </c>
      <c r="B43" s="85" t="s">
        <v>460</v>
      </c>
      <c r="C43" s="131">
        <v>125</v>
      </c>
      <c r="D43" s="75">
        <v>614</v>
      </c>
      <c r="E43" s="75">
        <v>124</v>
      </c>
      <c r="F43" s="75">
        <v>618</v>
      </c>
      <c r="G43" s="75">
        <v>125</v>
      </c>
      <c r="H43" s="75">
        <v>616</v>
      </c>
      <c r="I43" s="75">
        <v>128</v>
      </c>
      <c r="J43" s="83">
        <v>619</v>
      </c>
      <c r="K43" s="83">
        <v>109</v>
      </c>
      <c r="L43" s="132">
        <v>645</v>
      </c>
      <c r="M43" s="83">
        <v>16854.7</v>
      </c>
      <c r="N43" s="83">
        <v>15675.3</v>
      </c>
      <c r="O43" s="75">
        <v>15775.2</v>
      </c>
      <c r="P43" s="75">
        <v>14685.2</v>
      </c>
      <c r="Q43" s="75">
        <v>16794.599999999999</v>
      </c>
      <c r="R43" s="75">
        <v>15655.6</v>
      </c>
      <c r="S43" s="75">
        <v>16457.2</v>
      </c>
      <c r="T43" s="75">
        <v>15291.2</v>
      </c>
      <c r="U43" s="75">
        <v>16646.3</v>
      </c>
      <c r="V43" s="75">
        <v>15510.3</v>
      </c>
      <c r="X43" s="27">
        <f>Table25[[#This Row],[HDC1]]/Table25[[#This Row],[HCC1]]</f>
        <v>0.93002545284104721</v>
      </c>
      <c r="Y43" s="27">
        <f>Table25[[#This Row],[HDC2]]/Table25[[#This Row],[HCC2]]</f>
        <v>0.93090420406714336</v>
      </c>
      <c r="Z43" s="27">
        <f>Table25[[#This Row],[HDC3]]/Table25[[#This Row],[HCC3]]</f>
        <v>0.93218058185369113</v>
      </c>
      <c r="AA43" s="27">
        <f>Table25[[#This Row],[HDC4]]/Table25[[#This Row],[HCC4]]</f>
        <v>0.9291495515640571</v>
      </c>
      <c r="AB43" s="27">
        <f>Table25[[#This Row],[HDC5]]/Table25[[#This Row],[HCC5]]</f>
        <v>0.93175660657323245</v>
      </c>
    </row>
    <row r="44" spans="1:31" ht="15">
      <c r="A44" t="s">
        <v>174</v>
      </c>
      <c r="B44" s="85" t="s">
        <v>461</v>
      </c>
      <c r="C44" s="131">
        <v>127</v>
      </c>
      <c r="D44" s="75">
        <v>633</v>
      </c>
      <c r="E44" s="75">
        <v>126</v>
      </c>
      <c r="F44" s="75">
        <v>627</v>
      </c>
      <c r="G44" s="75">
        <v>125</v>
      </c>
      <c r="H44" s="75">
        <v>626</v>
      </c>
      <c r="I44" s="75">
        <v>129</v>
      </c>
      <c r="J44" s="83">
        <v>624</v>
      </c>
      <c r="K44" s="83">
        <v>121</v>
      </c>
      <c r="L44" s="132">
        <v>632</v>
      </c>
      <c r="M44" s="83">
        <v>18049.7</v>
      </c>
      <c r="N44" s="83">
        <v>17227.7</v>
      </c>
      <c r="O44" s="75">
        <v>20470.2</v>
      </c>
      <c r="P44" s="75">
        <v>19526.099999999999</v>
      </c>
      <c r="Q44" s="75">
        <v>22035.5</v>
      </c>
      <c r="R44" s="75">
        <v>20701.900000000001</v>
      </c>
      <c r="S44" s="75">
        <v>21912.9</v>
      </c>
      <c r="T44" s="75">
        <v>20652</v>
      </c>
      <c r="U44" s="75">
        <v>17735.3</v>
      </c>
      <c r="V44" s="75">
        <v>16975.8</v>
      </c>
      <c r="X44" s="27">
        <f>Table25[[#This Row],[HDC1]]/Table25[[#This Row],[HCC1]]</f>
        <v>0.95445907688216425</v>
      </c>
      <c r="Y44" s="27">
        <f>Table25[[#This Row],[HDC2]]/Table25[[#This Row],[HCC2]]</f>
        <v>0.95387929771081859</v>
      </c>
      <c r="Z44" s="27">
        <f>Table25[[#This Row],[HDC3]]/Table25[[#This Row],[HCC3]]</f>
        <v>0.93947947629960749</v>
      </c>
      <c r="AA44" s="27">
        <f>Table25[[#This Row],[HDC4]]/Table25[[#This Row],[HCC4]]</f>
        <v>0.94245855181194638</v>
      </c>
      <c r="AB44" s="27">
        <f>Table25[[#This Row],[HDC5]]/Table25[[#This Row],[HCC5]]</f>
        <v>0.95717580193174068</v>
      </c>
    </row>
    <row r="45" spans="1:31" ht="15">
      <c r="A45" t="s">
        <v>175</v>
      </c>
      <c r="B45" s="85" t="s">
        <v>462</v>
      </c>
      <c r="C45" s="131">
        <v>128</v>
      </c>
      <c r="D45" s="75">
        <v>635</v>
      </c>
      <c r="E45" s="75">
        <v>123</v>
      </c>
      <c r="F45" s="75">
        <v>644</v>
      </c>
      <c r="G45" s="75">
        <v>127</v>
      </c>
      <c r="H45" s="75">
        <v>646</v>
      </c>
      <c r="I45" s="75">
        <v>128</v>
      </c>
      <c r="J45" s="83">
        <v>633</v>
      </c>
      <c r="K45" s="83">
        <v>127</v>
      </c>
      <c r="L45" s="132">
        <v>636</v>
      </c>
      <c r="M45" s="83">
        <v>21505.1</v>
      </c>
      <c r="N45" s="83">
        <v>20202.7</v>
      </c>
      <c r="O45" s="75">
        <v>17895.099999999999</v>
      </c>
      <c r="P45" s="75">
        <v>17111.400000000001</v>
      </c>
      <c r="Q45" s="75">
        <v>21159.9</v>
      </c>
      <c r="R45" s="75">
        <v>19823</v>
      </c>
      <c r="S45" s="75">
        <v>18731.3</v>
      </c>
      <c r="T45" s="75">
        <v>17860.099999999999</v>
      </c>
      <c r="U45" s="75">
        <v>22185</v>
      </c>
      <c r="V45" s="75">
        <v>20834.3</v>
      </c>
      <c r="X45" s="27">
        <f>Table25[[#This Row],[HDC1]]/Table25[[#This Row],[HCC1]]</f>
        <v>0.93943762177343992</v>
      </c>
      <c r="Y45" s="27">
        <f>Table25[[#This Row],[HDC2]]/Table25[[#This Row],[HCC2]]</f>
        <v>0.95620588876284585</v>
      </c>
      <c r="Z45" s="27">
        <f>Table25[[#This Row],[HDC3]]/Table25[[#This Row],[HCC3]]</f>
        <v>0.93681917211328969</v>
      </c>
      <c r="AA45" s="27">
        <f>Table25[[#This Row],[HDC4]]/Table25[[#This Row],[HCC4]]</f>
        <v>0.95348961364133822</v>
      </c>
      <c r="AB45" s="27">
        <f>Table25[[#This Row],[HDC5]]/Table25[[#This Row],[HCC5]]</f>
        <v>0.93911652017128688</v>
      </c>
    </row>
    <row r="46" spans="1:31" ht="15">
      <c r="A46" t="s">
        <v>176</v>
      </c>
      <c r="B46" s="85" t="s">
        <v>463</v>
      </c>
      <c r="C46" s="131">
        <v>119</v>
      </c>
      <c r="D46" s="75">
        <v>648</v>
      </c>
      <c r="E46" s="75">
        <v>121</v>
      </c>
      <c r="F46" s="75">
        <v>638</v>
      </c>
      <c r="G46" s="75">
        <v>124</v>
      </c>
      <c r="H46" s="75">
        <v>634</v>
      </c>
      <c r="I46" s="75">
        <v>133</v>
      </c>
      <c r="J46" s="83">
        <v>630</v>
      </c>
      <c r="K46" s="83">
        <v>131</v>
      </c>
      <c r="L46" s="132">
        <v>624</v>
      </c>
      <c r="M46" s="83">
        <v>21538.799999999999</v>
      </c>
      <c r="N46" s="83">
        <v>20283.400000000001</v>
      </c>
      <c r="O46" s="75">
        <v>17915.2</v>
      </c>
      <c r="P46" s="75">
        <v>17118.900000000001</v>
      </c>
      <c r="Q46" s="75">
        <v>20874.7</v>
      </c>
      <c r="R46" s="75">
        <v>19644.7</v>
      </c>
      <c r="S46" s="75">
        <v>21184.799999999999</v>
      </c>
      <c r="T46" s="75">
        <v>19957</v>
      </c>
      <c r="U46" s="75">
        <v>17765.099999999999</v>
      </c>
      <c r="V46" s="75">
        <v>16972.400000000001</v>
      </c>
      <c r="X46" s="27">
        <f>Table25[[#This Row],[HDC1]]/Table25[[#This Row],[HCC1]]</f>
        <v>0.94171448734377039</v>
      </c>
      <c r="Y46" s="27">
        <f>Table25[[#This Row],[HDC2]]/Table25[[#This Row],[HCC2]]</f>
        <v>0.95555171027953922</v>
      </c>
      <c r="Z46" s="27">
        <f>Table25[[#This Row],[HDC3]]/Table25[[#This Row],[HCC3]]</f>
        <v>0.94107699751373675</v>
      </c>
      <c r="AA46" s="27">
        <f>Table25[[#This Row],[HDC4]]/Table25[[#This Row],[HCC4]]</f>
        <v>0.94204335183716625</v>
      </c>
      <c r="AB46" s="27">
        <f>Table25[[#This Row],[HDC5]]/Table25[[#This Row],[HCC5]]</f>
        <v>0.95537880450996637</v>
      </c>
    </row>
    <row r="47" spans="1:31" ht="15">
      <c r="A47" t="s">
        <v>177</v>
      </c>
      <c r="B47" s="85" t="s">
        <v>464</v>
      </c>
      <c r="C47" s="131">
        <v>123</v>
      </c>
      <c r="D47" s="75">
        <v>619</v>
      </c>
      <c r="E47" s="75">
        <v>128</v>
      </c>
      <c r="F47" s="75">
        <v>629</v>
      </c>
      <c r="G47" s="75">
        <v>111</v>
      </c>
      <c r="H47" s="75">
        <v>643</v>
      </c>
      <c r="I47" s="75">
        <v>127</v>
      </c>
      <c r="J47" s="83">
        <v>608</v>
      </c>
      <c r="K47" s="83">
        <v>129</v>
      </c>
      <c r="L47" s="132">
        <v>623</v>
      </c>
      <c r="M47" s="83">
        <v>21231.5</v>
      </c>
      <c r="N47" s="83">
        <v>19910.7</v>
      </c>
      <c r="O47" s="75">
        <v>20318.900000000001</v>
      </c>
      <c r="P47" s="75">
        <v>19047.3</v>
      </c>
      <c r="Q47" s="75">
        <v>17632.099999999999</v>
      </c>
      <c r="R47" s="75">
        <v>16800.3</v>
      </c>
      <c r="S47" s="75">
        <v>20229.5</v>
      </c>
      <c r="T47" s="75">
        <v>19064.2</v>
      </c>
      <c r="U47" s="75">
        <v>20212.900000000001</v>
      </c>
      <c r="V47" s="75">
        <v>18960.5</v>
      </c>
      <c r="X47" s="27">
        <f>Table25[[#This Row],[HDC1]]/Table25[[#This Row],[HCC1]]</f>
        <v>0.93779054706450327</v>
      </c>
      <c r="Y47" s="27">
        <f>Table25[[#This Row],[HDC2]]/Table25[[#This Row],[HCC2]]</f>
        <v>0.937417872030474</v>
      </c>
      <c r="Z47" s="27">
        <f>Table25[[#This Row],[HDC3]]/Table25[[#This Row],[HCC3]]</f>
        <v>0.95282467771847945</v>
      </c>
      <c r="AA47" s="27">
        <f>Table25[[#This Row],[HDC4]]/Table25[[#This Row],[HCC4]]</f>
        <v>0.9423960058330656</v>
      </c>
      <c r="AB47" s="27">
        <f>Table25[[#This Row],[HDC5]]/Table25[[#This Row],[HCC5]]</f>
        <v>0.93803956879022798</v>
      </c>
    </row>
    <row r="48" spans="1:31" ht="15">
      <c r="A48" t="s">
        <v>178</v>
      </c>
      <c r="B48" s="85" t="s">
        <v>465</v>
      </c>
      <c r="C48" s="131">
        <v>125</v>
      </c>
      <c r="D48" s="75">
        <v>661</v>
      </c>
      <c r="E48" s="75">
        <v>125</v>
      </c>
      <c r="F48" s="75">
        <v>673</v>
      </c>
      <c r="G48" s="75">
        <v>129</v>
      </c>
      <c r="H48" s="75">
        <v>661</v>
      </c>
      <c r="I48" s="75">
        <v>126</v>
      </c>
      <c r="J48" s="83">
        <v>673</v>
      </c>
      <c r="K48" s="83">
        <v>139</v>
      </c>
      <c r="L48" s="132">
        <v>612</v>
      </c>
      <c r="M48" s="83">
        <v>19691.400000000001</v>
      </c>
      <c r="N48" s="83">
        <v>18827</v>
      </c>
      <c r="O48" s="75">
        <v>24516.799999999999</v>
      </c>
      <c r="P48" s="75">
        <v>23100.2</v>
      </c>
      <c r="Q48" s="75">
        <v>20359.099999999999</v>
      </c>
      <c r="R48" s="75">
        <v>19392.2</v>
      </c>
      <c r="S48" s="75">
        <v>19635.2</v>
      </c>
      <c r="T48" s="75">
        <v>18763.3</v>
      </c>
      <c r="U48" s="75">
        <v>12610.5</v>
      </c>
      <c r="V48" s="75">
        <v>12078.1</v>
      </c>
      <c r="X48" s="27">
        <f>Table25[[#This Row],[HDC1]]/Table25[[#This Row],[HCC1]]</f>
        <v>0.95610266410717359</v>
      </c>
      <c r="Y48" s="27">
        <f>Table25[[#This Row],[HDC2]]/Table25[[#This Row],[HCC2]]</f>
        <v>0.94221921294785627</v>
      </c>
      <c r="Z48" s="27">
        <f>Table25[[#This Row],[HDC3]]/Table25[[#This Row],[HCC3]]</f>
        <v>0.95250772381883297</v>
      </c>
      <c r="AA48" s="27">
        <f>Table25[[#This Row],[HDC4]]/Table25[[#This Row],[HCC4]]</f>
        <v>0.95559505378096476</v>
      </c>
      <c r="AB48" s="27">
        <f>Table25[[#This Row],[HDC5]]/Table25[[#This Row],[HCC5]]</f>
        <v>0.95778121406764205</v>
      </c>
    </row>
    <row r="49" spans="1:28" ht="15">
      <c r="A49" t="s">
        <v>179</v>
      </c>
      <c r="B49" s="85" t="s">
        <v>466</v>
      </c>
      <c r="C49" s="131">
        <v>120</v>
      </c>
      <c r="D49" s="75">
        <v>637</v>
      </c>
      <c r="E49" s="75">
        <v>115</v>
      </c>
      <c r="F49" s="75">
        <v>641</v>
      </c>
      <c r="G49" s="75">
        <v>125</v>
      </c>
      <c r="H49" s="75">
        <v>629</v>
      </c>
      <c r="I49" s="75">
        <v>136</v>
      </c>
      <c r="J49" s="83">
        <v>618</v>
      </c>
      <c r="K49" s="83">
        <v>125</v>
      </c>
      <c r="L49" s="132">
        <v>630</v>
      </c>
      <c r="M49" s="83">
        <v>18161.599999999999</v>
      </c>
      <c r="N49" s="83">
        <v>17346.8</v>
      </c>
      <c r="O49" s="75">
        <v>21758.3</v>
      </c>
      <c r="P49" s="75">
        <v>20465.7</v>
      </c>
      <c r="Q49" s="75">
        <v>18315.5</v>
      </c>
      <c r="R49" s="75">
        <v>17503.7</v>
      </c>
      <c r="S49" s="75">
        <v>20521.7</v>
      </c>
      <c r="T49" s="75">
        <v>19702.5</v>
      </c>
      <c r="U49" s="75">
        <v>21742.400000000001</v>
      </c>
      <c r="V49" s="75">
        <v>20468.599999999999</v>
      </c>
      <c r="X49" s="27">
        <f>Table25[[#This Row],[HDC1]]/Table25[[#This Row],[HCC1]]</f>
        <v>0.95513611135582777</v>
      </c>
      <c r="Y49" s="27">
        <f>Table25[[#This Row],[HDC2]]/Table25[[#This Row],[HCC2]]</f>
        <v>0.94059278528193846</v>
      </c>
      <c r="Z49" s="27">
        <f>Table25[[#This Row],[HDC3]]/Table25[[#This Row],[HCC3]]</f>
        <v>0.95567688569790621</v>
      </c>
      <c r="AA49" s="27">
        <f>Table25[[#This Row],[HDC4]]/Table25[[#This Row],[HCC4]]</f>
        <v>0.96008127981599967</v>
      </c>
      <c r="AB49" s="27">
        <f>Table25[[#This Row],[HDC5]]/Table25[[#This Row],[HCC5]]</f>
        <v>0.94141401133269542</v>
      </c>
    </row>
    <row r="50" spans="1:28" ht="15">
      <c r="A50" t="s">
        <v>180</v>
      </c>
      <c r="B50" s="85" t="s">
        <v>467</v>
      </c>
      <c r="C50" s="131">
        <v>121</v>
      </c>
      <c r="D50" s="75">
        <v>647</v>
      </c>
      <c r="E50" s="75">
        <v>141</v>
      </c>
      <c r="F50" s="75">
        <v>642</v>
      </c>
      <c r="G50" s="75">
        <v>130</v>
      </c>
      <c r="H50" s="75">
        <v>663</v>
      </c>
      <c r="I50" s="75">
        <v>140</v>
      </c>
      <c r="J50" s="83">
        <v>643</v>
      </c>
      <c r="K50" s="83">
        <v>140</v>
      </c>
      <c r="L50" s="132">
        <v>642</v>
      </c>
      <c r="M50" s="83">
        <v>20964.5</v>
      </c>
      <c r="N50" s="83">
        <v>19691.400000000001</v>
      </c>
      <c r="O50" s="75">
        <v>16726.7</v>
      </c>
      <c r="P50" s="75">
        <v>16029.6</v>
      </c>
      <c r="Q50" s="75">
        <v>16563.400000000001</v>
      </c>
      <c r="R50" s="75">
        <v>15906.3</v>
      </c>
      <c r="S50" s="75">
        <v>20674</v>
      </c>
      <c r="T50" s="75">
        <v>19387</v>
      </c>
      <c r="U50" s="75">
        <v>17112.900000000001</v>
      </c>
      <c r="V50" s="75">
        <v>16408.099999999999</v>
      </c>
      <c r="X50" s="27">
        <f>Table25[[#This Row],[HDC1]]/Table25[[#This Row],[HCC1]]</f>
        <v>0.9392735338310001</v>
      </c>
      <c r="Y50" s="27">
        <f>Table25[[#This Row],[HDC2]]/Table25[[#This Row],[HCC2]]</f>
        <v>0.9583241165322508</v>
      </c>
      <c r="Z50" s="27">
        <f>Table25[[#This Row],[HDC3]]/Table25[[#This Row],[HCC3]]</f>
        <v>0.96032819348684439</v>
      </c>
      <c r="AA50" s="27">
        <f>Table25[[#This Row],[HDC4]]/Table25[[#This Row],[HCC4]]</f>
        <v>0.93774789590790364</v>
      </c>
      <c r="AB50" s="27">
        <f>Table25[[#This Row],[HDC5]]/Table25[[#This Row],[HCC5]]</f>
        <v>0.95881469534678498</v>
      </c>
    </row>
    <row r="51" spans="1:28" ht="15">
      <c r="A51" t="s">
        <v>181</v>
      </c>
      <c r="B51" s="85" t="s">
        <v>468</v>
      </c>
      <c r="C51" s="131">
        <v>113</v>
      </c>
      <c r="D51" s="75">
        <v>669</v>
      </c>
      <c r="E51" s="75">
        <v>129</v>
      </c>
      <c r="F51" s="75">
        <v>650</v>
      </c>
      <c r="G51" s="75">
        <v>130</v>
      </c>
      <c r="H51" s="75">
        <v>641</v>
      </c>
      <c r="I51" s="75">
        <v>131</v>
      </c>
      <c r="J51" s="83">
        <v>640</v>
      </c>
      <c r="K51" s="83">
        <v>132</v>
      </c>
      <c r="L51" s="132">
        <v>645</v>
      </c>
      <c r="M51" s="83">
        <v>12514.1</v>
      </c>
      <c r="N51" s="83">
        <v>11505.7</v>
      </c>
      <c r="O51" s="75">
        <v>12478.8</v>
      </c>
      <c r="P51" s="75">
        <v>11515.4</v>
      </c>
      <c r="Q51" s="75">
        <v>8891</v>
      </c>
      <c r="R51" s="75">
        <v>8516.9</v>
      </c>
      <c r="S51" s="75">
        <v>7858.5</v>
      </c>
      <c r="T51" s="75">
        <v>7510.7</v>
      </c>
      <c r="U51" s="75">
        <v>12511.2</v>
      </c>
      <c r="V51" s="75">
        <v>11507.4</v>
      </c>
      <c r="X51" s="27">
        <f>Table25[[#This Row],[HDC1]]/Table25[[#This Row],[HCC1]]</f>
        <v>0.91941889548589195</v>
      </c>
      <c r="Y51" s="27">
        <f>Table25[[#This Row],[HDC2]]/Table25[[#This Row],[HCC2]]</f>
        <v>0.92279706382023918</v>
      </c>
      <c r="Z51" s="27">
        <f>Table25[[#This Row],[HDC3]]/Table25[[#This Row],[HCC3]]</f>
        <v>0.95792374311101114</v>
      </c>
      <c r="AA51" s="27">
        <f>Table25[[#This Row],[HDC4]]/Table25[[#This Row],[HCC4]]</f>
        <v>0.95574218998536609</v>
      </c>
      <c r="AB51" s="27">
        <f>Table25[[#This Row],[HDC5]]/Table25[[#This Row],[HCC5]]</f>
        <v>0.91976788797237663</v>
      </c>
    </row>
    <row r="52" spans="1:28" ht="15">
      <c r="A52" t="s">
        <v>182</v>
      </c>
      <c r="B52" s="85" t="s">
        <v>469</v>
      </c>
      <c r="C52" s="131">
        <v>125</v>
      </c>
      <c r="D52" s="75">
        <v>634</v>
      </c>
      <c r="E52" s="75">
        <v>128</v>
      </c>
      <c r="F52" s="75">
        <v>629</v>
      </c>
      <c r="G52" s="75">
        <v>127</v>
      </c>
      <c r="H52" s="75">
        <v>631</v>
      </c>
      <c r="I52" s="75">
        <v>125</v>
      </c>
      <c r="J52" s="83">
        <v>648</v>
      </c>
      <c r="K52" s="83">
        <v>118</v>
      </c>
      <c r="L52" s="132">
        <v>642</v>
      </c>
      <c r="M52" s="83">
        <v>10907</v>
      </c>
      <c r="N52" s="83">
        <v>9934.1</v>
      </c>
      <c r="O52" s="75">
        <v>10805.4</v>
      </c>
      <c r="P52" s="75">
        <v>9841.2000000000007</v>
      </c>
      <c r="Q52" s="75">
        <v>7674.6</v>
      </c>
      <c r="R52" s="75">
        <v>6820.5</v>
      </c>
      <c r="S52" s="75">
        <v>10789.7</v>
      </c>
      <c r="T52" s="75">
        <v>9777.6</v>
      </c>
      <c r="U52" s="75">
        <v>10821.2</v>
      </c>
      <c r="V52" s="75">
        <v>9862.1</v>
      </c>
      <c r="X52" s="27">
        <f>Table25[[#This Row],[HDC1]]/Table25[[#This Row],[HCC1]]</f>
        <v>0.91080040341065371</v>
      </c>
      <c r="Y52" s="27">
        <f>Table25[[#This Row],[HDC2]]/Table25[[#This Row],[HCC2]]</f>
        <v>0.91076683880282094</v>
      </c>
      <c r="Z52" s="27">
        <f>Table25[[#This Row],[HDC3]]/Table25[[#This Row],[HCC3]]</f>
        <v>0.88871081228989124</v>
      </c>
      <c r="AA52" s="27">
        <f>Table25[[#This Row],[HDC4]]/Table25[[#This Row],[HCC4]]</f>
        <v>0.90619757731910988</v>
      </c>
      <c r="AB52" s="27">
        <f>Table25[[#This Row],[HDC5]]/Table25[[#This Row],[HCC5]]</f>
        <v>0.91136842494362913</v>
      </c>
    </row>
    <row r="53" spans="1:28" ht="15">
      <c r="A53" t="s">
        <v>183</v>
      </c>
      <c r="B53" s="85" t="s">
        <v>470</v>
      </c>
      <c r="C53" s="131">
        <v>124</v>
      </c>
      <c r="D53" s="75">
        <v>640</v>
      </c>
      <c r="E53" s="75">
        <v>125</v>
      </c>
      <c r="F53" s="75">
        <v>631</v>
      </c>
      <c r="G53" s="75">
        <v>118</v>
      </c>
      <c r="H53" s="75">
        <v>636</v>
      </c>
      <c r="I53" s="75">
        <v>126</v>
      </c>
      <c r="J53" s="83">
        <v>629</v>
      </c>
      <c r="K53" s="83">
        <v>129</v>
      </c>
      <c r="L53" s="132">
        <v>631</v>
      </c>
      <c r="M53" s="83">
        <v>20875.900000000001</v>
      </c>
      <c r="N53" s="83">
        <v>19534</v>
      </c>
      <c r="O53" s="75">
        <v>16499.3</v>
      </c>
      <c r="P53" s="75">
        <v>15819.6</v>
      </c>
      <c r="Q53" s="75">
        <v>20750.400000000001</v>
      </c>
      <c r="R53" s="75">
        <v>19460.3</v>
      </c>
      <c r="S53" s="75">
        <v>20148.5</v>
      </c>
      <c r="T53" s="75">
        <v>18904</v>
      </c>
      <c r="U53" s="75">
        <v>19894.7</v>
      </c>
      <c r="V53" s="75">
        <v>18631</v>
      </c>
      <c r="X53" s="27">
        <f>Table25[[#This Row],[HDC1]]/Table25[[#This Row],[HCC1]]</f>
        <v>0.93572013661686437</v>
      </c>
      <c r="Y53" s="27">
        <f>Table25[[#This Row],[HDC2]]/Table25[[#This Row],[HCC2]]</f>
        <v>0.9588043129102447</v>
      </c>
      <c r="Z53" s="27">
        <f>Table25[[#This Row],[HDC3]]/Table25[[#This Row],[HCC3]]</f>
        <v>0.9378277045261777</v>
      </c>
      <c r="AA53" s="27">
        <f>Table25[[#This Row],[HDC4]]/Table25[[#This Row],[HCC4]]</f>
        <v>0.93823361540561334</v>
      </c>
      <c r="AB53" s="27">
        <f>Table25[[#This Row],[HDC5]]/Table25[[#This Row],[HCC5]]</f>
        <v>0.93648057020211406</v>
      </c>
    </row>
    <row r="54" spans="1:28" ht="15">
      <c r="A54" t="s">
        <v>184</v>
      </c>
      <c r="B54" s="85" t="s">
        <v>471</v>
      </c>
      <c r="C54" s="131">
        <v>99</v>
      </c>
      <c r="D54" s="75">
        <v>628</v>
      </c>
      <c r="E54" s="75">
        <v>103</v>
      </c>
      <c r="F54" s="75">
        <v>619</v>
      </c>
      <c r="G54" s="75">
        <v>103</v>
      </c>
      <c r="H54" s="75">
        <v>625</v>
      </c>
      <c r="I54" s="75">
        <v>86</v>
      </c>
      <c r="J54" s="83">
        <v>639</v>
      </c>
      <c r="K54" s="83">
        <v>99</v>
      </c>
      <c r="L54" s="132">
        <v>629</v>
      </c>
      <c r="M54" s="83">
        <v>14884.4</v>
      </c>
      <c r="N54" s="83">
        <v>14244.1</v>
      </c>
      <c r="O54" s="75">
        <v>17909.2</v>
      </c>
      <c r="P54" s="75">
        <v>16736.400000000001</v>
      </c>
      <c r="Q54" s="75">
        <v>17645.400000000001</v>
      </c>
      <c r="R54" s="75">
        <v>16501.099999999999</v>
      </c>
      <c r="S54" s="75">
        <v>14898.2</v>
      </c>
      <c r="T54" s="75">
        <v>14183.1</v>
      </c>
      <c r="U54" s="75">
        <v>18037.5</v>
      </c>
      <c r="V54" s="75">
        <v>16884.3</v>
      </c>
      <c r="X54" s="27">
        <f>Table25[[#This Row],[HDC1]]/Table25[[#This Row],[HCC1]]</f>
        <v>0.95698180645508057</v>
      </c>
      <c r="Y54" s="27">
        <f>Table25[[#This Row],[HDC2]]/Table25[[#This Row],[HCC2]]</f>
        <v>0.9345141044826123</v>
      </c>
      <c r="Z54" s="27">
        <f>Table25[[#This Row],[HDC3]]/Table25[[#This Row],[HCC3]]</f>
        <v>0.93515023745565395</v>
      </c>
      <c r="AA54" s="27">
        <f>Table25[[#This Row],[HDC4]]/Table25[[#This Row],[HCC4]]</f>
        <v>0.95200091286195643</v>
      </c>
      <c r="AB54" s="27">
        <f>Table25[[#This Row],[HDC5]]/Table25[[#This Row],[HCC5]]</f>
        <v>0.93606652806652801</v>
      </c>
    </row>
    <row r="55" spans="1:28" ht="15">
      <c r="A55" t="s">
        <v>185</v>
      </c>
      <c r="B55" s="85" t="s">
        <v>472</v>
      </c>
      <c r="C55" s="131">
        <v>98</v>
      </c>
      <c r="D55" s="75">
        <v>631</v>
      </c>
      <c r="E55" s="75">
        <v>101</v>
      </c>
      <c r="F55" s="75">
        <v>625</v>
      </c>
      <c r="G55" s="75">
        <v>98</v>
      </c>
      <c r="H55" s="75">
        <v>634</v>
      </c>
      <c r="I55" s="75">
        <v>94</v>
      </c>
      <c r="J55" s="83">
        <v>642</v>
      </c>
      <c r="K55" s="83">
        <v>100</v>
      </c>
      <c r="L55" s="132">
        <v>634</v>
      </c>
      <c r="M55" s="83">
        <v>15040.2</v>
      </c>
      <c r="N55" s="83">
        <v>14306.7</v>
      </c>
      <c r="O55" s="75">
        <v>18270</v>
      </c>
      <c r="P55" s="75">
        <v>17071</v>
      </c>
      <c r="Q55" s="75">
        <v>18538.7</v>
      </c>
      <c r="R55" s="75">
        <v>17308.3</v>
      </c>
      <c r="S55" s="75">
        <v>18286.7</v>
      </c>
      <c r="T55" s="75">
        <v>17140.5</v>
      </c>
      <c r="U55" s="75">
        <v>18470.099999999999</v>
      </c>
      <c r="V55" s="75">
        <v>17277.599999999999</v>
      </c>
      <c r="X55" s="27">
        <f>Table25[[#This Row],[HDC1]]/Table25[[#This Row],[HCC1]]</f>
        <v>0.95123070171939206</v>
      </c>
      <c r="Y55" s="27">
        <f>Table25[[#This Row],[HDC2]]/Table25[[#This Row],[HCC2]]</f>
        <v>0.93437328954570331</v>
      </c>
      <c r="Z55" s="27">
        <f>Table25[[#This Row],[HDC3]]/Table25[[#This Row],[HCC3]]</f>
        <v>0.93363072923128365</v>
      </c>
      <c r="AA55" s="27">
        <f>Table25[[#This Row],[HDC4]]/Table25[[#This Row],[HCC4]]</f>
        <v>0.93732056631322214</v>
      </c>
      <c r="AB55" s="27">
        <f>Table25[[#This Row],[HDC5]]/Table25[[#This Row],[HCC5]]</f>
        <v>0.93543619146620749</v>
      </c>
    </row>
    <row r="56" spans="1:28" ht="15">
      <c r="A56" t="s">
        <v>186</v>
      </c>
      <c r="B56" s="85" t="s">
        <v>473</v>
      </c>
      <c r="C56" s="131">
        <v>103</v>
      </c>
      <c r="D56" s="75">
        <v>624</v>
      </c>
      <c r="E56" s="75">
        <v>105</v>
      </c>
      <c r="F56" s="75">
        <v>621</v>
      </c>
      <c r="G56" s="75">
        <v>89</v>
      </c>
      <c r="H56" s="75">
        <v>641</v>
      </c>
      <c r="I56" s="75">
        <v>106</v>
      </c>
      <c r="J56" s="83">
        <v>620</v>
      </c>
      <c r="K56" s="83">
        <v>105</v>
      </c>
      <c r="L56" s="132">
        <v>625</v>
      </c>
      <c r="M56" s="83">
        <v>15527.9</v>
      </c>
      <c r="N56" s="83">
        <v>14860.7</v>
      </c>
      <c r="O56" s="75">
        <v>18331.8</v>
      </c>
      <c r="P56" s="75">
        <v>17140.5</v>
      </c>
      <c r="Q56" s="75">
        <v>15166.3</v>
      </c>
      <c r="R56" s="75">
        <v>14496.6</v>
      </c>
      <c r="S56" s="75">
        <v>18309.2</v>
      </c>
      <c r="T56" s="75">
        <v>17157.099999999999</v>
      </c>
      <c r="U56" s="75">
        <v>18452.099999999999</v>
      </c>
      <c r="V56" s="75">
        <v>17307</v>
      </c>
      <c r="X56" s="27">
        <f>Table25[[#This Row],[HDC1]]/Table25[[#This Row],[HCC1]]</f>
        <v>0.95703218078426577</v>
      </c>
      <c r="Y56" s="27">
        <f>Table25[[#This Row],[HDC2]]/Table25[[#This Row],[HCC2]]</f>
        <v>0.93501456485451517</v>
      </c>
      <c r="Z56" s="27">
        <f>Table25[[#This Row],[HDC3]]/Table25[[#This Row],[HCC3]]</f>
        <v>0.95584288850939259</v>
      </c>
      <c r="AA56" s="27">
        <f>Table25[[#This Row],[HDC4]]/Table25[[#This Row],[HCC4]]</f>
        <v>0.93707535009721876</v>
      </c>
      <c r="AB56" s="27">
        <f>Table25[[#This Row],[HDC5]]/Table25[[#This Row],[HCC5]]</f>
        <v>0.93794202285918682</v>
      </c>
    </row>
    <row r="57" spans="1:28" ht="15">
      <c r="A57" t="s">
        <v>187</v>
      </c>
      <c r="B57" s="85" t="s">
        <v>474</v>
      </c>
      <c r="C57" s="131">
        <v>86</v>
      </c>
      <c r="D57" s="75">
        <v>659</v>
      </c>
      <c r="E57" s="75">
        <v>103</v>
      </c>
      <c r="F57" s="75">
        <v>633</v>
      </c>
      <c r="G57" s="75">
        <v>104</v>
      </c>
      <c r="H57" s="75">
        <v>633</v>
      </c>
      <c r="I57" s="75">
        <v>106</v>
      </c>
      <c r="J57" s="83">
        <v>632</v>
      </c>
      <c r="K57" s="83">
        <v>107</v>
      </c>
      <c r="L57" s="132">
        <v>624</v>
      </c>
      <c r="M57" s="83">
        <v>15575.9</v>
      </c>
      <c r="N57" s="83">
        <v>14923.8</v>
      </c>
      <c r="O57" s="75">
        <v>15388.4</v>
      </c>
      <c r="P57" s="75">
        <v>14690.6</v>
      </c>
      <c r="Q57" s="75">
        <v>14943.2</v>
      </c>
      <c r="R57" s="75">
        <v>14226.4</v>
      </c>
      <c r="S57" s="75">
        <v>15434.4</v>
      </c>
      <c r="T57" s="75">
        <v>14728.9</v>
      </c>
      <c r="U57" s="75">
        <v>18343.099999999999</v>
      </c>
      <c r="V57" s="75">
        <v>17190</v>
      </c>
      <c r="X57" s="27">
        <f>Table25[[#This Row],[HDC1]]/Table25[[#This Row],[HCC1]]</f>
        <v>0.95813404040857986</v>
      </c>
      <c r="Y57" s="27">
        <f>Table25[[#This Row],[HDC2]]/Table25[[#This Row],[HCC2]]</f>
        <v>0.9546541550778509</v>
      </c>
      <c r="Z57" s="27">
        <f>Table25[[#This Row],[HDC3]]/Table25[[#This Row],[HCC3]]</f>
        <v>0.95203169334546811</v>
      </c>
      <c r="AA57" s="27">
        <f>Table25[[#This Row],[HDC4]]/Table25[[#This Row],[HCC4]]</f>
        <v>0.95429041621313426</v>
      </c>
      <c r="AB57" s="27">
        <f>Table25[[#This Row],[HDC5]]/Table25[[#This Row],[HCC5]]</f>
        <v>0.93713712513152092</v>
      </c>
    </row>
    <row r="58" spans="1:28" ht="15">
      <c r="A58" t="s">
        <v>188</v>
      </c>
      <c r="B58" s="85" t="s">
        <v>475</v>
      </c>
      <c r="C58" s="131">
        <v>131</v>
      </c>
      <c r="D58" s="75">
        <v>630</v>
      </c>
      <c r="E58" s="75">
        <v>131</v>
      </c>
      <c r="F58" s="75">
        <v>627</v>
      </c>
      <c r="G58" s="75">
        <v>130</v>
      </c>
      <c r="H58" s="75">
        <v>628</v>
      </c>
      <c r="I58" s="75">
        <v>121</v>
      </c>
      <c r="J58" s="83">
        <v>637</v>
      </c>
      <c r="K58" s="83">
        <v>130</v>
      </c>
      <c r="L58" s="132">
        <v>630</v>
      </c>
      <c r="M58" s="83">
        <v>13251.6</v>
      </c>
      <c r="N58" s="83">
        <v>12308.9</v>
      </c>
      <c r="O58" s="75">
        <v>7959.5</v>
      </c>
      <c r="P58" s="75">
        <v>7362.7</v>
      </c>
      <c r="Q58" s="75">
        <v>13173.3</v>
      </c>
      <c r="R58" s="75">
        <v>12205.4</v>
      </c>
      <c r="S58" s="75">
        <v>8067.7</v>
      </c>
      <c r="T58" s="75">
        <v>7429.9</v>
      </c>
      <c r="U58" s="75">
        <v>13184.8</v>
      </c>
      <c r="V58" s="75">
        <v>12256</v>
      </c>
      <c r="X58" s="27">
        <f>Table25[[#This Row],[HDC1]]/Table25[[#This Row],[HCC1]]</f>
        <v>0.92886142050771225</v>
      </c>
      <c r="Y58" s="27">
        <f>Table25[[#This Row],[HDC2]]/Table25[[#This Row],[HCC2]]</f>
        <v>0.92502041585526729</v>
      </c>
      <c r="Z58" s="27">
        <f>Table25[[#This Row],[HDC3]]/Table25[[#This Row],[HCC3]]</f>
        <v>0.92652562379965542</v>
      </c>
      <c r="AA58" s="27">
        <f>Table25[[#This Row],[HDC4]]/Table25[[#This Row],[HCC4]]</f>
        <v>0.92094401130433701</v>
      </c>
      <c r="AB58" s="27">
        <f>Table25[[#This Row],[HDC5]]/Table25[[#This Row],[HCC5]]</f>
        <v>0.92955524543413637</v>
      </c>
    </row>
    <row r="59" spans="1:28" ht="15">
      <c r="A59" t="s">
        <v>189</v>
      </c>
      <c r="B59" s="85" t="s">
        <v>476</v>
      </c>
      <c r="C59" s="131">
        <v>111</v>
      </c>
      <c r="D59" s="75">
        <v>649</v>
      </c>
      <c r="E59" s="75">
        <v>126</v>
      </c>
      <c r="F59" s="75">
        <v>633</v>
      </c>
      <c r="G59" s="75">
        <v>128</v>
      </c>
      <c r="H59" s="75">
        <v>642</v>
      </c>
      <c r="I59" s="75">
        <v>121</v>
      </c>
      <c r="J59" s="83">
        <v>598</v>
      </c>
      <c r="K59" s="83">
        <v>128</v>
      </c>
      <c r="L59" s="132">
        <v>630</v>
      </c>
      <c r="M59" s="83">
        <v>13223.5</v>
      </c>
      <c r="N59" s="83">
        <v>12203.6</v>
      </c>
      <c r="O59" s="75">
        <v>8740.7000000000007</v>
      </c>
      <c r="P59" s="75">
        <v>8005.2</v>
      </c>
      <c r="Q59" s="75">
        <v>13178</v>
      </c>
      <c r="R59" s="75">
        <v>12185.4</v>
      </c>
      <c r="S59" s="75">
        <v>14187.6</v>
      </c>
      <c r="T59" s="75">
        <v>13073.7</v>
      </c>
      <c r="U59" s="75">
        <v>9071.6</v>
      </c>
      <c r="V59" s="75">
        <v>8325.7999999999993</v>
      </c>
      <c r="X59" s="27">
        <f>Table25[[#This Row],[HDC1]]/Table25[[#This Row],[HCC1]]</f>
        <v>0.92287215941316603</v>
      </c>
      <c r="Y59" s="27">
        <f>Table25[[#This Row],[HDC2]]/Table25[[#This Row],[HCC2]]</f>
        <v>0.91585342135069259</v>
      </c>
      <c r="Z59" s="27">
        <f>Table25[[#This Row],[HDC3]]/Table25[[#This Row],[HCC3]]</f>
        <v>0.9246774927910153</v>
      </c>
      <c r="AA59" s="27">
        <f>Table25[[#This Row],[HDC4]]/Table25[[#This Row],[HCC4]]</f>
        <v>0.92148777805971416</v>
      </c>
      <c r="AB59" s="27">
        <f>Table25[[#This Row],[HDC5]]/Table25[[#This Row],[HCC5]]</f>
        <v>0.91778738039596086</v>
      </c>
    </row>
    <row r="60" spans="1:28" ht="15">
      <c r="A60" t="s">
        <v>190</v>
      </c>
      <c r="B60" s="85" t="s">
        <v>477</v>
      </c>
      <c r="C60" s="131">
        <v>117</v>
      </c>
      <c r="D60" s="75">
        <v>633</v>
      </c>
      <c r="E60" s="75">
        <v>128</v>
      </c>
      <c r="F60" s="75">
        <v>628</v>
      </c>
      <c r="G60" s="75">
        <v>130</v>
      </c>
      <c r="H60" s="75">
        <v>631</v>
      </c>
      <c r="I60" s="75">
        <v>133</v>
      </c>
      <c r="J60" s="83">
        <v>625</v>
      </c>
      <c r="K60" s="83">
        <v>126</v>
      </c>
      <c r="L60" s="132">
        <v>619</v>
      </c>
      <c r="M60" s="83">
        <v>8192.9</v>
      </c>
      <c r="N60" s="83">
        <v>7518.4</v>
      </c>
      <c r="O60" s="75">
        <v>7692.4</v>
      </c>
      <c r="P60" s="75">
        <v>7031.7</v>
      </c>
      <c r="Q60" s="75">
        <v>13254.8</v>
      </c>
      <c r="R60" s="75">
        <v>12212.4</v>
      </c>
      <c r="S60" s="75">
        <v>8102.3</v>
      </c>
      <c r="T60" s="75">
        <v>7420.7</v>
      </c>
      <c r="U60" s="75">
        <v>8102.1</v>
      </c>
      <c r="V60" s="75">
        <v>7423.1</v>
      </c>
      <c r="X60" s="27">
        <f>Table25[[#This Row],[HDC1]]/Table25[[#This Row],[HCC1]]</f>
        <v>0.9176726189749661</v>
      </c>
      <c r="Y60" s="27">
        <f>Table25[[#This Row],[HDC2]]/Table25[[#This Row],[HCC2]]</f>
        <v>0.91411003067963181</v>
      </c>
      <c r="Z60" s="27">
        <f>Table25[[#This Row],[HDC3]]/Table25[[#This Row],[HCC3]]</f>
        <v>0.92135679150194649</v>
      </c>
      <c r="AA60" s="27">
        <f>Table25[[#This Row],[HDC4]]/Table25[[#This Row],[HCC4]]</f>
        <v>0.91587573898769481</v>
      </c>
      <c r="AB60" s="27">
        <f>Table25[[#This Row],[HDC5]]/Table25[[#This Row],[HCC5]]</f>
        <v>0.91619456684069567</v>
      </c>
    </row>
    <row r="61" spans="1:28" ht="15">
      <c r="A61" t="s">
        <v>191</v>
      </c>
      <c r="B61" s="85" t="s">
        <v>478</v>
      </c>
      <c r="C61" s="131">
        <v>130</v>
      </c>
      <c r="D61" s="75">
        <v>629</v>
      </c>
      <c r="E61" s="75">
        <v>135</v>
      </c>
      <c r="F61" s="75">
        <v>630</v>
      </c>
      <c r="G61" s="75">
        <v>129</v>
      </c>
      <c r="H61" s="75">
        <v>637</v>
      </c>
      <c r="I61" s="75">
        <v>125</v>
      </c>
      <c r="J61" s="83">
        <v>643</v>
      </c>
      <c r="K61" s="83">
        <v>132</v>
      </c>
      <c r="L61" s="132">
        <v>629</v>
      </c>
      <c r="M61" s="83">
        <v>8273.4</v>
      </c>
      <c r="N61" s="83">
        <v>7626.2</v>
      </c>
      <c r="O61" s="75">
        <v>12585.5</v>
      </c>
      <c r="P61" s="75">
        <v>11599.4</v>
      </c>
      <c r="Q61" s="75">
        <v>13047</v>
      </c>
      <c r="R61" s="75">
        <v>12031</v>
      </c>
      <c r="S61" s="75">
        <v>13375.5</v>
      </c>
      <c r="T61" s="75">
        <v>12364.8</v>
      </c>
      <c r="U61" s="75">
        <v>8202.7999999999993</v>
      </c>
      <c r="V61" s="75">
        <v>7554.7</v>
      </c>
      <c r="X61" s="27">
        <f>Table25[[#This Row],[HDC1]]/Table25[[#This Row],[HCC1]]</f>
        <v>0.92177339425145655</v>
      </c>
      <c r="Y61" s="27">
        <f>Table25[[#This Row],[HDC2]]/Table25[[#This Row],[HCC2]]</f>
        <v>0.92164792817130825</v>
      </c>
      <c r="Z61" s="27">
        <f>Table25[[#This Row],[HDC3]]/Table25[[#This Row],[HCC3]]</f>
        <v>0.92212769218977542</v>
      </c>
      <c r="AA61" s="27">
        <f>Table25[[#This Row],[HDC4]]/Table25[[#This Row],[HCC4]]</f>
        <v>0.9244364696646854</v>
      </c>
      <c r="AB61" s="27">
        <f>Table25[[#This Row],[HDC5]]/Table25[[#This Row],[HCC5]]</f>
        <v>0.92099039352416256</v>
      </c>
    </row>
    <row r="62" spans="1:28" ht="15">
      <c r="A62" t="s">
        <v>192</v>
      </c>
      <c r="B62" s="85" t="s">
        <v>479</v>
      </c>
      <c r="C62" s="131">
        <v>117</v>
      </c>
      <c r="D62" s="75">
        <v>640</v>
      </c>
      <c r="E62" s="75">
        <v>134</v>
      </c>
      <c r="F62" s="75">
        <v>624</v>
      </c>
      <c r="G62" s="75">
        <v>136</v>
      </c>
      <c r="H62" s="75">
        <v>618</v>
      </c>
      <c r="I62" s="75">
        <v>134</v>
      </c>
      <c r="J62" s="83">
        <v>635</v>
      </c>
      <c r="K62" s="83">
        <v>118</v>
      </c>
      <c r="L62" s="132">
        <v>637</v>
      </c>
      <c r="M62" s="83">
        <v>19562.8</v>
      </c>
      <c r="N62" s="83">
        <v>18265.3</v>
      </c>
      <c r="O62" s="75">
        <v>19506</v>
      </c>
      <c r="P62" s="75">
        <v>18243</v>
      </c>
      <c r="Q62" s="75">
        <v>19391</v>
      </c>
      <c r="R62" s="75">
        <v>18134</v>
      </c>
      <c r="S62" s="75">
        <v>15931.6</v>
      </c>
      <c r="T62" s="75">
        <v>15147.3</v>
      </c>
      <c r="U62" s="75">
        <v>15991.2</v>
      </c>
      <c r="V62" s="75">
        <v>15183</v>
      </c>
      <c r="X62" s="27">
        <f>Table25[[#This Row],[HDC1]]/Table25[[#This Row],[HCC1]]</f>
        <v>0.93367513852822703</v>
      </c>
      <c r="Y62" s="27">
        <f>Table25[[#This Row],[HDC2]]/Table25[[#This Row],[HCC2]]</f>
        <v>0.9352506920947401</v>
      </c>
      <c r="Z62" s="27">
        <f>Table25[[#This Row],[HDC3]]/Table25[[#This Row],[HCC3]]</f>
        <v>0.93517611262957046</v>
      </c>
      <c r="AA62" s="27">
        <f>Table25[[#This Row],[HDC4]]/Table25[[#This Row],[HCC4]]</f>
        <v>0.95077079514926299</v>
      </c>
      <c r="AB62" s="27">
        <f>Table25[[#This Row],[HDC5]]/Table25[[#This Row],[HCC5]]</f>
        <v>0.94945970283656012</v>
      </c>
    </row>
    <row r="63" spans="1:28" ht="15">
      <c r="A63" t="s">
        <v>193</v>
      </c>
      <c r="B63" s="85" t="s">
        <v>480</v>
      </c>
      <c r="C63" s="131">
        <v>125</v>
      </c>
      <c r="D63" s="75">
        <v>635</v>
      </c>
      <c r="E63" s="75">
        <v>126</v>
      </c>
      <c r="F63" s="75">
        <v>632</v>
      </c>
      <c r="G63" s="75">
        <v>135</v>
      </c>
      <c r="H63" s="75">
        <v>623</v>
      </c>
      <c r="I63" s="75">
        <v>117</v>
      </c>
      <c r="J63" s="83">
        <v>643</v>
      </c>
      <c r="K63" s="83">
        <v>115</v>
      </c>
      <c r="L63" s="132">
        <v>641</v>
      </c>
      <c r="M63" s="83">
        <v>15146.1</v>
      </c>
      <c r="N63" s="83">
        <v>14406.2</v>
      </c>
      <c r="O63" s="75">
        <v>18610.5</v>
      </c>
      <c r="P63" s="75">
        <v>17435.400000000001</v>
      </c>
      <c r="Q63" s="75">
        <v>18445.5</v>
      </c>
      <c r="R63" s="75">
        <v>17301</v>
      </c>
      <c r="S63" s="75">
        <v>15119.2</v>
      </c>
      <c r="T63" s="75">
        <v>14323.6</v>
      </c>
      <c r="U63" s="75">
        <v>18654.900000000001</v>
      </c>
      <c r="V63" s="75">
        <v>17404.2</v>
      </c>
      <c r="X63" s="27">
        <f>Table25[[#This Row],[HDC1]]/Table25[[#This Row],[HCC1]]</f>
        <v>0.95114914070288725</v>
      </c>
      <c r="Y63" s="27">
        <f>Table25[[#This Row],[HDC2]]/Table25[[#This Row],[HCC2]]</f>
        <v>0.93685822519545425</v>
      </c>
      <c r="Z63" s="27">
        <f>Table25[[#This Row],[HDC3]]/Table25[[#This Row],[HCC3]]</f>
        <v>0.93795234610067502</v>
      </c>
      <c r="AA63" s="27">
        <f>Table25[[#This Row],[HDC4]]/Table25[[#This Row],[HCC4]]</f>
        <v>0.94737816815704534</v>
      </c>
      <c r="AB63" s="27">
        <f>Table25[[#This Row],[HDC5]]/Table25[[#This Row],[HCC5]]</f>
        <v>0.93295595259154429</v>
      </c>
    </row>
    <row r="64" spans="1:28" ht="15">
      <c r="A64" t="s">
        <v>194</v>
      </c>
      <c r="B64" s="85" t="s">
        <v>481</v>
      </c>
      <c r="C64" s="131">
        <v>129</v>
      </c>
      <c r="D64" s="75">
        <v>638</v>
      </c>
      <c r="E64" s="75">
        <v>128</v>
      </c>
      <c r="F64" s="75">
        <v>633</v>
      </c>
      <c r="G64" s="75">
        <v>129</v>
      </c>
      <c r="H64" s="75">
        <v>629</v>
      </c>
      <c r="I64" s="75">
        <v>127</v>
      </c>
      <c r="J64" s="83">
        <v>640</v>
      </c>
      <c r="K64" s="83">
        <v>130</v>
      </c>
      <c r="L64" s="132">
        <v>628</v>
      </c>
      <c r="M64" s="83">
        <v>18597.3</v>
      </c>
      <c r="N64" s="83">
        <v>17404.7</v>
      </c>
      <c r="O64" s="75">
        <v>15098.4</v>
      </c>
      <c r="P64" s="75">
        <v>14352.9</v>
      </c>
      <c r="Q64" s="75">
        <v>14979</v>
      </c>
      <c r="R64" s="75">
        <v>14243.3</v>
      </c>
      <c r="S64" s="75">
        <v>18365.5</v>
      </c>
      <c r="T64" s="75">
        <v>17170.900000000001</v>
      </c>
      <c r="U64" s="75">
        <v>11366.7</v>
      </c>
      <c r="V64" s="75">
        <v>10586.2</v>
      </c>
      <c r="X64" s="27">
        <f>Table25[[#This Row],[HDC1]]/Table25[[#This Row],[HCC1]]</f>
        <v>0.93587241158662826</v>
      </c>
      <c r="Y64" s="27">
        <f>Table25[[#This Row],[HDC2]]/Table25[[#This Row],[HCC2]]</f>
        <v>0.95062390716897149</v>
      </c>
      <c r="Z64" s="27">
        <f>Table25[[#This Row],[HDC3]]/Table25[[#This Row],[HCC3]]</f>
        <v>0.95088457173376051</v>
      </c>
      <c r="AA64" s="27">
        <f>Table25[[#This Row],[HDC4]]/Table25[[#This Row],[HCC4]]</f>
        <v>0.93495412594266436</v>
      </c>
      <c r="AB64" s="27">
        <f>Table25[[#This Row],[HDC5]]/Table25[[#This Row],[HCC5]]</f>
        <v>0.93133451221550667</v>
      </c>
    </row>
    <row r="65" spans="1:28" ht="15">
      <c r="A65" t="s">
        <v>195</v>
      </c>
      <c r="B65" s="85" t="s">
        <v>482</v>
      </c>
      <c r="C65" s="131">
        <v>115</v>
      </c>
      <c r="D65" s="75">
        <v>641</v>
      </c>
      <c r="E65" s="75">
        <v>133</v>
      </c>
      <c r="F65" s="75">
        <v>627</v>
      </c>
      <c r="G65" s="75">
        <v>131</v>
      </c>
      <c r="H65" s="75">
        <v>623</v>
      </c>
      <c r="I65" s="75">
        <v>122</v>
      </c>
      <c r="J65" s="83">
        <v>636</v>
      </c>
      <c r="K65" s="83">
        <v>133</v>
      </c>
      <c r="L65" s="132">
        <v>625</v>
      </c>
      <c r="M65" s="83">
        <v>18679.7</v>
      </c>
      <c r="N65" s="83">
        <v>17506.2</v>
      </c>
      <c r="O65" s="75">
        <v>18483.3</v>
      </c>
      <c r="P65" s="75">
        <v>17242.2</v>
      </c>
      <c r="Q65" s="75">
        <v>18630.8</v>
      </c>
      <c r="R65" s="75">
        <v>17417.7</v>
      </c>
      <c r="S65" s="75">
        <v>11440.3</v>
      </c>
      <c r="T65" s="75">
        <v>10656.6</v>
      </c>
      <c r="U65" s="75">
        <v>15069.4</v>
      </c>
      <c r="V65" s="75">
        <v>14344.9</v>
      </c>
      <c r="X65" s="27">
        <f>Table25[[#This Row],[HDC1]]/Table25[[#This Row],[HCC1]]</f>
        <v>0.93717779193455997</v>
      </c>
      <c r="Y65" s="27">
        <f>Table25[[#This Row],[HDC2]]/Table25[[#This Row],[HCC2]]</f>
        <v>0.9328528996445441</v>
      </c>
      <c r="Z65" s="27">
        <f>Table25[[#This Row],[HDC3]]/Table25[[#This Row],[HCC3]]</f>
        <v>0.93488739077226968</v>
      </c>
      <c r="AA65" s="27">
        <f>Table25[[#This Row],[HDC4]]/Table25[[#This Row],[HCC4]]</f>
        <v>0.93149655166385503</v>
      </c>
      <c r="AB65" s="27">
        <f>Table25[[#This Row],[HDC5]]/Table25[[#This Row],[HCC5]]</f>
        <v>0.95192243884958927</v>
      </c>
    </row>
    <row r="66" spans="1:28" ht="15">
      <c r="A66" t="s">
        <v>196</v>
      </c>
      <c r="B66" s="85" t="s">
        <v>483</v>
      </c>
      <c r="C66" s="131">
        <v>118</v>
      </c>
      <c r="D66" s="75">
        <v>646</v>
      </c>
      <c r="E66" s="75">
        <v>126</v>
      </c>
      <c r="F66" s="75">
        <v>629</v>
      </c>
      <c r="G66" s="75">
        <v>123</v>
      </c>
      <c r="H66" s="75">
        <v>638</v>
      </c>
      <c r="I66" s="75">
        <v>130</v>
      </c>
      <c r="J66" s="83">
        <v>632</v>
      </c>
      <c r="K66" s="83">
        <v>128</v>
      </c>
      <c r="L66" s="132">
        <v>625</v>
      </c>
      <c r="M66" s="83">
        <v>10868.8</v>
      </c>
      <c r="N66" s="83">
        <v>10604.5</v>
      </c>
      <c r="O66" s="75">
        <v>10040.9</v>
      </c>
      <c r="P66" s="75">
        <v>9777.7999999999993</v>
      </c>
      <c r="Q66" s="75">
        <v>10276.299999999999</v>
      </c>
      <c r="R66" s="75">
        <v>10033.6</v>
      </c>
      <c r="S66" s="75">
        <v>13948.2</v>
      </c>
      <c r="T66" s="75">
        <v>12883.7</v>
      </c>
      <c r="U66" s="75">
        <v>13768.2</v>
      </c>
      <c r="V66" s="75">
        <v>12709.1</v>
      </c>
      <c r="X66" s="27">
        <f>Table25[[#This Row],[HDC1]]/Table25[[#This Row],[HCC1]]</f>
        <v>0.97568268806123959</v>
      </c>
      <c r="Y66" s="27">
        <f>Table25[[#This Row],[HDC2]]/Table25[[#This Row],[HCC2]]</f>
        <v>0.97379716957643236</v>
      </c>
      <c r="Z66" s="27">
        <f>Table25[[#This Row],[HDC3]]/Table25[[#This Row],[HCC3]]</f>
        <v>0.97638255013964181</v>
      </c>
      <c r="AA66" s="27">
        <f>Table25[[#This Row],[HDC4]]/Table25[[#This Row],[HCC4]]</f>
        <v>0.92368190877675971</v>
      </c>
      <c r="AB66" s="27">
        <f>Table25[[#This Row],[HDC5]]/Table25[[#This Row],[HCC5]]</f>
        <v>0.92307636437588059</v>
      </c>
    </row>
    <row r="67" spans="1:28" ht="15">
      <c r="A67" t="s">
        <v>197</v>
      </c>
      <c r="B67" s="85" t="s">
        <v>484</v>
      </c>
      <c r="C67" s="131">
        <v>119</v>
      </c>
      <c r="D67" s="75">
        <v>640</v>
      </c>
      <c r="E67" s="75">
        <v>127</v>
      </c>
      <c r="F67" s="75">
        <v>632</v>
      </c>
      <c r="G67" s="75">
        <v>118</v>
      </c>
      <c r="H67" s="75">
        <v>642</v>
      </c>
      <c r="I67" s="75">
        <v>129</v>
      </c>
      <c r="J67" s="83">
        <v>628</v>
      </c>
      <c r="K67" s="83">
        <v>120</v>
      </c>
      <c r="L67" s="132">
        <v>637</v>
      </c>
      <c r="M67" s="83">
        <v>13628.7</v>
      </c>
      <c r="N67" s="83">
        <v>12589</v>
      </c>
      <c r="O67" s="75">
        <v>14221.2</v>
      </c>
      <c r="P67" s="75">
        <v>13155</v>
      </c>
      <c r="Q67" s="75">
        <v>11297.1</v>
      </c>
      <c r="R67" s="75">
        <v>11005.6</v>
      </c>
      <c r="S67" s="75">
        <v>13324.8</v>
      </c>
      <c r="T67" s="75">
        <v>12348</v>
      </c>
      <c r="U67" s="75">
        <v>14114.6</v>
      </c>
      <c r="V67" s="75">
        <v>13033.5</v>
      </c>
      <c r="X67" s="27">
        <f>Table25[[#This Row],[HDC1]]/Table25[[#This Row],[HCC1]]</f>
        <v>0.92371245973570471</v>
      </c>
      <c r="Y67" s="27">
        <f>Table25[[#This Row],[HDC2]]/Table25[[#This Row],[HCC2]]</f>
        <v>0.92502742384608894</v>
      </c>
      <c r="Z67" s="27">
        <f>Table25[[#This Row],[HDC3]]/Table25[[#This Row],[HCC3]]</f>
        <v>0.97419691779306195</v>
      </c>
      <c r="AA67" s="27">
        <f>Table25[[#This Row],[HDC4]]/Table25[[#This Row],[HCC4]]</f>
        <v>0.92669308357348712</v>
      </c>
      <c r="AB67" s="27">
        <f>Table25[[#This Row],[HDC5]]/Table25[[#This Row],[HCC5]]</f>
        <v>0.92340555169824157</v>
      </c>
    </row>
    <row r="68" spans="1:28" ht="15">
      <c r="A68" t="s">
        <v>198</v>
      </c>
      <c r="B68" s="85" t="s">
        <v>485</v>
      </c>
      <c r="C68" s="131">
        <v>125</v>
      </c>
      <c r="D68" s="75">
        <v>645</v>
      </c>
      <c r="E68" s="75">
        <v>125</v>
      </c>
      <c r="F68" s="75">
        <v>639</v>
      </c>
      <c r="G68" s="75">
        <v>123</v>
      </c>
      <c r="H68" s="75">
        <v>645</v>
      </c>
      <c r="I68" s="75">
        <v>124</v>
      </c>
      <c r="J68" s="83">
        <v>634</v>
      </c>
      <c r="K68" s="83">
        <v>123</v>
      </c>
      <c r="L68" s="132">
        <v>633</v>
      </c>
      <c r="M68" s="83">
        <v>10719.8</v>
      </c>
      <c r="N68" s="83">
        <v>10433.299999999999</v>
      </c>
      <c r="O68" s="75">
        <v>11176.5</v>
      </c>
      <c r="P68" s="75">
        <v>10875.3</v>
      </c>
      <c r="Q68" s="75">
        <v>13559.4</v>
      </c>
      <c r="R68" s="75">
        <v>12469.6</v>
      </c>
      <c r="S68" s="75">
        <v>14278.5</v>
      </c>
      <c r="T68" s="75">
        <v>13194.1</v>
      </c>
      <c r="U68" s="75">
        <v>11272.1</v>
      </c>
      <c r="V68" s="75">
        <v>10942.1</v>
      </c>
      <c r="X68" s="27">
        <f>Table25[[#This Row],[HDC1]]/Table25[[#This Row],[HCC1]]</f>
        <v>0.97327375510737135</v>
      </c>
      <c r="Y68" s="27">
        <f>Table25[[#This Row],[HDC2]]/Table25[[#This Row],[HCC2]]</f>
        <v>0.97305059723527032</v>
      </c>
      <c r="Z68" s="27">
        <f>Table25[[#This Row],[HDC3]]/Table25[[#This Row],[HCC3]]</f>
        <v>0.9196277121406552</v>
      </c>
      <c r="AA68" s="27">
        <f>Table25[[#This Row],[HDC4]]/Table25[[#This Row],[HCC4]]</f>
        <v>0.92405364709178139</v>
      </c>
      <c r="AB68" s="27">
        <f>Table25[[#This Row],[HDC5]]/Table25[[#This Row],[HCC5]]</f>
        <v>0.97072417739374206</v>
      </c>
    </row>
    <row r="69" spans="1:28" ht="15">
      <c r="A69" t="s">
        <v>199</v>
      </c>
      <c r="B69" s="85" t="s">
        <v>486</v>
      </c>
      <c r="C69" s="131">
        <v>124</v>
      </c>
      <c r="D69" s="75">
        <v>638</v>
      </c>
      <c r="E69" s="75">
        <v>117</v>
      </c>
      <c r="F69" s="75">
        <v>636</v>
      </c>
      <c r="G69" s="75">
        <v>125</v>
      </c>
      <c r="H69" s="75">
        <v>631</v>
      </c>
      <c r="I69" s="75">
        <v>125</v>
      </c>
      <c r="J69" s="83">
        <v>635</v>
      </c>
      <c r="K69" s="83">
        <v>130</v>
      </c>
      <c r="L69" s="132">
        <v>625</v>
      </c>
      <c r="M69" s="83">
        <v>13842.9</v>
      </c>
      <c r="N69" s="83">
        <v>12769.5</v>
      </c>
      <c r="O69" s="75">
        <v>13093.5</v>
      </c>
      <c r="P69" s="75">
        <v>12082.8</v>
      </c>
      <c r="Q69" s="75">
        <v>10831.2</v>
      </c>
      <c r="R69" s="75">
        <v>10533.8</v>
      </c>
      <c r="S69" s="75">
        <v>13826.5</v>
      </c>
      <c r="T69" s="75">
        <v>12776.5</v>
      </c>
      <c r="U69" s="75">
        <v>10065.799999999999</v>
      </c>
      <c r="V69" s="75">
        <v>9845.9</v>
      </c>
      <c r="X69" s="27">
        <f>Table25[[#This Row],[HDC1]]/Table25[[#This Row],[HCC1]]</f>
        <v>0.92245844440110092</v>
      </c>
      <c r="Y69" s="27">
        <f>Table25[[#This Row],[HDC2]]/Table25[[#This Row],[HCC2]]</f>
        <v>0.9228090273799977</v>
      </c>
      <c r="Z69" s="27">
        <f>Table25[[#This Row],[HDC3]]/Table25[[#This Row],[HCC3]]</f>
        <v>0.97254228525001829</v>
      </c>
      <c r="AA69" s="27">
        <f>Table25[[#This Row],[HDC4]]/Table25[[#This Row],[HCC4]]</f>
        <v>0.92405887245506813</v>
      </c>
      <c r="AB69" s="27">
        <f>Table25[[#This Row],[HDC5]]/Table25[[#This Row],[HCC5]]</f>
        <v>0.97815374833594948</v>
      </c>
    </row>
    <row r="70" spans="1:28" ht="15">
      <c r="A70" t="s">
        <v>200</v>
      </c>
      <c r="B70" s="85" t="s">
        <v>487</v>
      </c>
      <c r="C70" s="131">
        <v>19</v>
      </c>
      <c r="D70" s="75">
        <v>744</v>
      </c>
      <c r="E70" s="75">
        <v>19</v>
      </c>
      <c r="F70" s="75">
        <v>746</v>
      </c>
      <c r="G70" s="75">
        <v>19</v>
      </c>
      <c r="H70" s="75">
        <v>750</v>
      </c>
      <c r="I70" s="75">
        <v>13</v>
      </c>
      <c r="J70" s="83">
        <v>748</v>
      </c>
      <c r="K70" s="83">
        <v>3</v>
      </c>
      <c r="L70" s="132">
        <v>745</v>
      </c>
      <c r="M70" s="83">
        <v>14794.3</v>
      </c>
      <c r="N70" s="83">
        <v>13567.6</v>
      </c>
      <c r="O70" s="75">
        <v>8687.2000000000007</v>
      </c>
      <c r="P70" s="75">
        <v>7758.5</v>
      </c>
      <c r="Q70" s="75">
        <v>15655.5</v>
      </c>
      <c r="R70" s="75">
        <v>14405.9</v>
      </c>
      <c r="S70" s="75">
        <v>10726.2</v>
      </c>
      <c r="T70" s="75">
        <v>10413.799999999999</v>
      </c>
      <c r="U70" s="75">
        <v>9785.4</v>
      </c>
      <c r="V70" s="75">
        <v>9588.6</v>
      </c>
      <c r="X70" s="27">
        <f>Table25[[#This Row],[HDC1]]/Table25[[#This Row],[HCC1]]</f>
        <v>0.91708293058813195</v>
      </c>
      <c r="Y70" s="27">
        <f>Table25[[#This Row],[HDC2]]/Table25[[#This Row],[HCC2]]</f>
        <v>0.8930955889124228</v>
      </c>
      <c r="Z70" s="27">
        <f>Table25[[#This Row],[HDC3]]/Table25[[#This Row],[HCC3]]</f>
        <v>0.92018140589569164</v>
      </c>
      <c r="AA70" s="27">
        <f>Table25[[#This Row],[HDC4]]/Table25[[#This Row],[HCC4]]</f>
        <v>0.9708750536070555</v>
      </c>
      <c r="AB70" s="27">
        <f>Table25[[#This Row],[HDC5]]/Table25[[#This Row],[HCC5]]</f>
        <v>0.97988840517505682</v>
      </c>
    </row>
    <row r="71" spans="1:28" ht="15">
      <c r="A71" t="s">
        <v>201</v>
      </c>
      <c r="B71" s="85" t="s">
        <v>488</v>
      </c>
      <c r="C71" s="131">
        <v>765</v>
      </c>
      <c r="D71" s="75">
        <v>0</v>
      </c>
      <c r="E71" s="75">
        <v>768</v>
      </c>
      <c r="F71" s="75">
        <v>0</v>
      </c>
      <c r="G71" s="75">
        <v>768</v>
      </c>
      <c r="H71" s="75">
        <v>0</v>
      </c>
      <c r="I71" s="75">
        <v>768</v>
      </c>
      <c r="J71" s="83">
        <v>0</v>
      </c>
      <c r="K71" s="83">
        <v>768</v>
      </c>
      <c r="L71" s="132">
        <v>0</v>
      </c>
      <c r="M71" s="83">
        <v>14259.1</v>
      </c>
      <c r="N71" s="83">
        <v>13903.4</v>
      </c>
      <c r="O71" s="75">
        <v>13551</v>
      </c>
      <c r="P71" s="75">
        <v>13201.6</v>
      </c>
      <c r="Q71" s="75">
        <v>14267.9</v>
      </c>
      <c r="R71" s="75">
        <v>13924.5</v>
      </c>
      <c r="S71" s="75">
        <v>13812.2</v>
      </c>
      <c r="T71" s="75">
        <v>13783.7</v>
      </c>
      <c r="U71" s="75">
        <v>13794.5</v>
      </c>
      <c r="V71" s="75">
        <v>13782.4</v>
      </c>
      <c r="X71" s="27">
        <f>Table25[[#This Row],[HDC1]]/Table25[[#This Row],[HCC1]]</f>
        <v>0.97505452658302416</v>
      </c>
      <c r="Y71" s="27">
        <f>Table25[[#This Row],[HDC2]]/Table25[[#This Row],[HCC2]]</f>
        <v>0.97421592502398346</v>
      </c>
      <c r="Z71" s="27">
        <f>Table25[[#This Row],[HDC3]]/Table25[[#This Row],[HCC3]]</f>
        <v>0.97593198718802354</v>
      </c>
      <c r="AA71" s="27">
        <f>Table25[[#This Row],[HDC4]]/Table25[[#This Row],[HCC4]]</f>
        <v>0.99793660676792983</v>
      </c>
      <c r="AB71" s="27">
        <f>Table25[[#This Row],[HDC5]]/Table25[[#This Row],[HCC5]]</f>
        <v>0.99912283881257025</v>
      </c>
    </row>
    <row r="72" spans="1:28" ht="15">
      <c r="A72" t="s">
        <v>202</v>
      </c>
      <c r="B72" s="85" t="s">
        <v>489</v>
      </c>
      <c r="C72" s="131">
        <v>3</v>
      </c>
      <c r="D72" s="75">
        <v>793</v>
      </c>
      <c r="E72" s="75">
        <v>2</v>
      </c>
      <c r="F72" s="75">
        <v>793</v>
      </c>
      <c r="G72" s="75">
        <v>2</v>
      </c>
      <c r="H72" s="75">
        <v>790</v>
      </c>
      <c r="I72" s="75">
        <v>2</v>
      </c>
      <c r="J72" s="83">
        <v>792</v>
      </c>
      <c r="K72" s="83">
        <v>2</v>
      </c>
      <c r="L72" s="132">
        <v>792</v>
      </c>
      <c r="M72" s="83">
        <v>10476.299999999999</v>
      </c>
      <c r="N72" s="83">
        <v>10161.6</v>
      </c>
      <c r="O72" s="75">
        <v>11216.4</v>
      </c>
      <c r="P72" s="75">
        <v>10098.799999999999</v>
      </c>
      <c r="Q72" s="75">
        <v>11226.3</v>
      </c>
      <c r="R72" s="75">
        <v>10124.4</v>
      </c>
      <c r="S72" s="75">
        <v>10788.3</v>
      </c>
      <c r="T72" s="75">
        <v>9997.9</v>
      </c>
      <c r="U72" s="75">
        <v>11185.6</v>
      </c>
      <c r="V72" s="75">
        <v>10075.200000000001</v>
      </c>
      <c r="X72" s="27">
        <f>Table25[[#This Row],[HDC1]]/Table25[[#This Row],[HCC1]]</f>
        <v>0.96996076859196478</v>
      </c>
      <c r="Y72" s="27">
        <f>Table25[[#This Row],[HDC2]]/Table25[[#This Row],[HCC2]]</f>
        <v>0.90036018686922714</v>
      </c>
      <c r="Z72" s="27">
        <f>Table25[[#This Row],[HDC3]]/Table25[[#This Row],[HCC3]]</f>
        <v>0.90184655674621206</v>
      </c>
      <c r="AA72" s="27">
        <f>Table25[[#This Row],[HDC4]]/Table25[[#This Row],[HCC4]]</f>
        <v>0.92673544488010162</v>
      </c>
      <c r="AB72" s="27">
        <f>Table25[[#This Row],[HDC5]]/Table25[[#This Row],[HCC5]]</f>
        <v>0.90072950936918894</v>
      </c>
    </row>
    <row r="73" spans="1:28" ht="15">
      <c r="A73" t="s">
        <v>203</v>
      </c>
      <c r="B73" s="85" t="s">
        <v>490</v>
      </c>
      <c r="C73" s="131">
        <v>0</v>
      </c>
      <c r="D73" s="75">
        <v>786</v>
      </c>
      <c r="E73" s="75">
        <v>0</v>
      </c>
      <c r="F73" s="75">
        <v>773</v>
      </c>
      <c r="G73" s="75">
        <v>0</v>
      </c>
      <c r="H73" s="75">
        <v>771</v>
      </c>
      <c r="I73" s="75">
        <v>0</v>
      </c>
      <c r="J73" s="83">
        <v>778</v>
      </c>
      <c r="K73" s="83">
        <v>3</v>
      </c>
      <c r="L73" s="132">
        <v>750</v>
      </c>
      <c r="M73" s="83">
        <v>14387.3</v>
      </c>
      <c r="N73" s="83">
        <v>13618.4</v>
      </c>
      <c r="O73" s="75">
        <v>14023.7</v>
      </c>
      <c r="P73" s="75">
        <v>12846.4</v>
      </c>
      <c r="Q73" s="75">
        <v>14159.3</v>
      </c>
      <c r="R73" s="75">
        <v>13442.1</v>
      </c>
      <c r="S73" s="75">
        <v>14688.1</v>
      </c>
      <c r="T73" s="75">
        <v>13514.4</v>
      </c>
      <c r="U73" s="75">
        <v>14559.8</v>
      </c>
      <c r="V73" s="75">
        <v>13353.3</v>
      </c>
      <c r="X73" s="27">
        <f>Table25[[#This Row],[HDC1]]/Table25[[#This Row],[HCC1]]</f>
        <v>0.94655703293877236</v>
      </c>
      <c r="Y73" s="27">
        <f>Table25[[#This Row],[HDC2]]/Table25[[#This Row],[HCC2]]</f>
        <v>0.91604925946790072</v>
      </c>
      <c r="Z73" s="27">
        <f>Table25[[#This Row],[HDC3]]/Table25[[#This Row],[HCC3]]</f>
        <v>0.94934777849187468</v>
      </c>
      <c r="AA73" s="27">
        <f>Table25[[#This Row],[HDC4]]/Table25[[#This Row],[HCC4]]</f>
        <v>0.92009177497429884</v>
      </c>
      <c r="AB73" s="27">
        <f>Table25[[#This Row],[HDC5]]/Table25[[#This Row],[HCC5]]</f>
        <v>0.91713485075344436</v>
      </c>
    </row>
    <row r="74" spans="1:28" ht="15">
      <c r="A74" t="s">
        <v>204</v>
      </c>
      <c r="B74" s="85" t="s">
        <v>415</v>
      </c>
      <c r="C74" s="131">
        <v>119</v>
      </c>
      <c r="D74" s="75">
        <v>622</v>
      </c>
      <c r="E74" s="75">
        <v>130</v>
      </c>
      <c r="F74" s="75">
        <v>610</v>
      </c>
      <c r="G74" s="75">
        <v>128</v>
      </c>
      <c r="H74" s="75">
        <v>614</v>
      </c>
      <c r="I74" s="75">
        <v>128</v>
      </c>
      <c r="J74" s="83">
        <v>610</v>
      </c>
      <c r="K74" s="83">
        <v>109</v>
      </c>
      <c r="L74" s="132">
        <v>631</v>
      </c>
      <c r="M74" s="83">
        <v>13113.3</v>
      </c>
      <c r="N74" s="83">
        <v>12803.4</v>
      </c>
      <c r="O74" s="83">
        <v>16873.099999999999</v>
      </c>
      <c r="P74" s="83">
        <v>15752.1</v>
      </c>
      <c r="Q74" s="83">
        <v>16740.7</v>
      </c>
      <c r="R74" s="83">
        <v>15571.6</v>
      </c>
      <c r="S74" s="83">
        <v>12990.4</v>
      </c>
      <c r="T74" s="83">
        <v>12681.8</v>
      </c>
      <c r="U74" s="83">
        <v>16813.5</v>
      </c>
      <c r="V74" s="83">
        <v>15660.5</v>
      </c>
      <c r="W74" s="58"/>
      <c r="X74" s="27">
        <f>Table25[[#This Row],[HDC1]]/Table25[[#This Row],[HCC1]]</f>
        <v>0.97636750474708889</v>
      </c>
      <c r="Y74" s="27">
        <f>Table25[[#This Row],[HDC2]]/Table25[[#This Row],[HCC2]]</f>
        <v>0.93356289004391613</v>
      </c>
      <c r="Z74" s="27">
        <f>Table25[[#This Row],[HDC3]]/Table25[[#This Row],[HCC3]]</f>
        <v>0.93016421057661869</v>
      </c>
      <c r="AA74" s="27">
        <f>Table25[[#This Row],[HDC4]]/Table25[[#This Row],[HCC4]]</f>
        <v>0.97624399556595642</v>
      </c>
      <c r="AB74" s="27">
        <f>Table25[[#This Row],[HDC5]]/Table25[[#This Row],[HCC5]]</f>
        <v>0.93142415321021799</v>
      </c>
    </row>
    <row r="75" spans="1:28" ht="15">
      <c r="A75" t="s">
        <v>205</v>
      </c>
      <c r="B75" s="85" t="s">
        <v>414</v>
      </c>
      <c r="C75" s="131">
        <v>132</v>
      </c>
      <c r="D75" s="75">
        <v>615</v>
      </c>
      <c r="E75" s="75">
        <v>135</v>
      </c>
      <c r="F75" s="75">
        <v>616</v>
      </c>
      <c r="G75" s="75">
        <v>137</v>
      </c>
      <c r="H75" s="75">
        <v>609</v>
      </c>
      <c r="I75" s="75">
        <v>135</v>
      </c>
      <c r="J75" s="83">
        <v>616</v>
      </c>
      <c r="K75" s="83">
        <v>116</v>
      </c>
      <c r="L75" s="132">
        <v>637</v>
      </c>
      <c r="M75" s="83">
        <v>12312.5</v>
      </c>
      <c r="N75" s="83">
        <v>11986.4</v>
      </c>
      <c r="O75" s="83">
        <v>16007.7</v>
      </c>
      <c r="P75" s="83">
        <v>14879.6</v>
      </c>
      <c r="Q75" s="83">
        <v>15882.1</v>
      </c>
      <c r="R75" s="83">
        <v>14814.8</v>
      </c>
      <c r="S75" s="83">
        <v>15940.7</v>
      </c>
      <c r="T75" s="83">
        <v>14830.7</v>
      </c>
      <c r="U75" s="83">
        <v>16076.7</v>
      </c>
      <c r="V75" s="83">
        <v>14977.9</v>
      </c>
      <c r="W75" s="58"/>
      <c r="X75" s="27">
        <f>Table25[[#This Row],[HDC1]]/Table25[[#This Row],[HCC1]]</f>
        <v>0.97351472081218271</v>
      </c>
      <c r="Y75" s="27">
        <f>Table25[[#This Row],[HDC2]]/Table25[[#This Row],[HCC2]]</f>
        <v>0.92952766481130955</v>
      </c>
      <c r="Z75" s="27">
        <f>Table25[[#This Row],[HDC3]]/Table25[[#This Row],[HCC3]]</f>
        <v>0.93279855938446421</v>
      </c>
      <c r="AA75" s="27">
        <f>Table25[[#This Row],[HDC4]]/Table25[[#This Row],[HCC4]]</f>
        <v>0.93036692240616792</v>
      </c>
      <c r="AB75" s="27">
        <f>Table25[[#This Row],[HDC5]]/Table25[[#This Row],[HCC5]]</f>
        <v>0.93165264015625093</v>
      </c>
    </row>
    <row r="76" spans="1:28" ht="15">
      <c r="A76" t="s">
        <v>206</v>
      </c>
      <c r="B76" s="85" t="s">
        <v>413</v>
      </c>
      <c r="C76" s="131">
        <v>126</v>
      </c>
      <c r="D76" s="75">
        <v>617</v>
      </c>
      <c r="E76" s="75">
        <v>119</v>
      </c>
      <c r="F76" s="75">
        <v>626</v>
      </c>
      <c r="G76" s="75">
        <v>126</v>
      </c>
      <c r="H76" s="75">
        <v>626</v>
      </c>
      <c r="I76" s="75">
        <v>128</v>
      </c>
      <c r="J76" s="83">
        <v>641</v>
      </c>
      <c r="K76" s="83">
        <v>131</v>
      </c>
      <c r="L76" s="132">
        <v>617</v>
      </c>
      <c r="M76" s="83">
        <v>13444.2</v>
      </c>
      <c r="N76" s="83">
        <v>12723.4</v>
      </c>
      <c r="O76" s="83">
        <v>18287.2</v>
      </c>
      <c r="P76" s="83">
        <v>17012.900000000001</v>
      </c>
      <c r="Q76" s="83">
        <v>14364.5</v>
      </c>
      <c r="R76" s="83">
        <v>13902.5</v>
      </c>
      <c r="S76" s="83">
        <v>18130</v>
      </c>
      <c r="T76" s="83">
        <v>16871.2</v>
      </c>
      <c r="U76" s="83">
        <v>18257.2</v>
      </c>
      <c r="V76" s="83">
        <v>16978.900000000001</v>
      </c>
      <c r="W76" s="58"/>
      <c r="X76" s="27">
        <f>Table25[[#This Row],[HDC1]]/Table25[[#This Row],[HCC1]]</f>
        <v>0.94638580205590506</v>
      </c>
      <c r="Y76" s="27">
        <f>Table25[[#This Row],[HDC2]]/Table25[[#This Row],[HCC2]]</f>
        <v>0.93031738046283741</v>
      </c>
      <c r="Z76" s="27">
        <f>Table25[[#This Row],[HDC3]]/Table25[[#This Row],[HCC3]]</f>
        <v>0.96783737686658078</v>
      </c>
      <c r="AA76" s="27">
        <f>Table25[[#This Row],[HDC4]]/Table25[[#This Row],[HCC4]]</f>
        <v>0.93056811913954773</v>
      </c>
      <c r="AB76" s="27">
        <f>Table25[[#This Row],[HDC5]]/Table25[[#This Row],[HCC5]]</f>
        <v>0.92998378721819341</v>
      </c>
    </row>
    <row r="77" spans="1:28" ht="15">
      <c r="A77" t="s">
        <v>207</v>
      </c>
      <c r="B77" s="85" t="s">
        <v>412</v>
      </c>
      <c r="C77" s="131">
        <v>134</v>
      </c>
      <c r="D77" s="75">
        <v>622</v>
      </c>
      <c r="E77" s="75">
        <v>135</v>
      </c>
      <c r="F77" s="75">
        <v>626</v>
      </c>
      <c r="G77" s="75">
        <v>134</v>
      </c>
      <c r="H77" s="75">
        <v>629</v>
      </c>
      <c r="I77" s="75">
        <v>139</v>
      </c>
      <c r="J77" s="83">
        <v>635</v>
      </c>
      <c r="K77" s="83">
        <v>121</v>
      </c>
      <c r="L77" s="132">
        <v>638</v>
      </c>
      <c r="M77" s="83">
        <v>18984.7</v>
      </c>
      <c r="N77" s="83">
        <v>17748.2</v>
      </c>
      <c r="O77" s="83">
        <v>18943.8</v>
      </c>
      <c r="P77" s="83">
        <v>17707.099999999999</v>
      </c>
      <c r="Q77" s="83">
        <v>18975.7</v>
      </c>
      <c r="R77" s="83">
        <v>17774.7</v>
      </c>
      <c r="S77" s="83">
        <v>18719.2</v>
      </c>
      <c r="T77" s="83">
        <v>17541.2</v>
      </c>
      <c r="U77" s="83">
        <v>18849.5</v>
      </c>
      <c r="V77" s="83">
        <v>17648.2</v>
      </c>
      <c r="W77" s="58"/>
      <c r="X77" s="27">
        <f>Table25[[#This Row],[HDC1]]/Table25[[#This Row],[HCC1]]</f>
        <v>0.9348686047185365</v>
      </c>
      <c r="Y77" s="27">
        <f>Table25[[#This Row],[HDC2]]/Table25[[#This Row],[HCC2]]</f>
        <v>0.93471742733770413</v>
      </c>
      <c r="Z77" s="27">
        <f>Table25[[#This Row],[HDC3]]/Table25[[#This Row],[HCC3]]</f>
        <v>0.93670852722165721</v>
      </c>
      <c r="AA77" s="27">
        <f>Table25[[#This Row],[HDC4]]/Table25[[#This Row],[HCC4]]</f>
        <v>0.93706996025471179</v>
      </c>
      <c r="AB77" s="27">
        <f>Table25[[#This Row],[HDC5]]/Table25[[#This Row],[HCC5]]</f>
        <v>0.93626886654818431</v>
      </c>
    </row>
    <row r="78" spans="1:28" ht="15">
      <c r="A78" t="s">
        <v>208</v>
      </c>
      <c r="B78" s="85" t="s">
        <v>491</v>
      </c>
      <c r="C78" s="131">
        <v>130</v>
      </c>
      <c r="D78" s="75">
        <v>628</v>
      </c>
      <c r="E78" s="75">
        <v>133</v>
      </c>
      <c r="F78" s="75">
        <v>627</v>
      </c>
      <c r="G78" s="75">
        <v>132</v>
      </c>
      <c r="H78" s="75">
        <v>626</v>
      </c>
      <c r="I78" s="75">
        <v>125</v>
      </c>
      <c r="J78" s="83">
        <v>644</v>
      </c>
      <c r="K78" s="83">
        <v>134</v>
      </c>
      <c r="L78" s="132">
        <v>626</v>
      </c>
      <c r="M78" s="83">
        <v>20711.7</v>
      </c>
      <c r="N78" s="83">
        <v>19404.5</v>
      </c>
      <c r="O78" s="83">
        <v>7309.1</v>
      </c>
      <c r="P78" s="83">
        <v>6419.4</v>
      </c>
      <c r="Q78" s="83">
        <v>7327.6</v>
      </c>
      <c r="R78" s="83">
        <v>6419.7</v>
      </c>
      <c r="S78" s="83">
        <v>7303.3</v>
      </c>
      <c r="T78" s="83">
        <v>6386.6</v>
      </c>
      <c r="U78" s="83">
        <v>6628.3</v>
      </c>
      <c r="V78" s="83">
        <v>5746.5</v>
      </c>
      <c r="W78" s="58"/>
      <c r="X78" s="27">
        <f>Table25[[#This Row],[HDC1]]/Table25[[#This Row],[HCC1]]</f>
        <v>0.93688591472452765</v>
      </c>
      <c r="Y78" s="27">
        <f>Table25[[#This Row],[HDC2]]/Table25[[#This Row],[HCC2]]</f>
        <v>0.8782750270211106</v>
      </c>
      <c r="Z78" s="27">
        <f>Table25[[#This Row],[HDC3]]/Table25[[#This Row],[HCC3]]</f>
        <v>0.87609858616736713</v>
      </c>
      <c r="AA78" s="27">
        <f>Table25[[#This Row],[HDC4]]/Table25[[#This Row],[HCC4]]</f>
        <v>0.87448139881971165</v>
      </c>
      <c r="AB78" s="27">
        <f>Table25[[#This Row],[HDC5]]/Table25[[#This Row],[HCC5]]</f>
        <v>0.86696438000693987</v>
      </c>
    </row>
    <row r="79" spans="1:28" ht="15">
      <c r="A79" t="s">
        <v>209</v>
      </c>
      <c r="B79" s="85" t="s">
        <v>492</v>
      </c>
      <c r="C79" s="131">
        <v>120</v>
      </c>
      <c r="D79" s="75">
        <v>630</v>
      </c>
      <c r="E79" s="75">
        <v>128</v>
      </c>
      <c r="F79" s="75">
        <v>625</v>
      </c>
      <c r="G79" s="75">
        <v>119</v>
      </c>
      <c r="H79" s="75">
        <v>633</v>
      </c>
      <c r="I79" s="75">
        <v>128</v>
      </c>
      <c r="J79" s="83">
        <v>624</v>
      </c>
      <c r="K79" s="83">
        <v>122</v>
      </c>
      <c r="L79" s="132">
        <v>631</v>
      </c>
      <c r="M79" s="83">
        <v>21774.5</v>
      </c>
      <c r="N79" s="83">
        <v>20430.8</v>
      </c>
      <c r="O79" s="83">
        <v>21743.599999999999</v>
      </c>
      <c r="P79" s="83">
        <v>20383.099999999999</v>
      </c>
      <c r="Q79" s="83">
        <v>21695.4</v>
      </c>
      <c r="R79" s="83">
        <v>20335.099999999999</v>
      </c>
      <c r="S79" s="83">
        <v>22494.9</v>
      </c>
      <c r="T79" s="83">
        <v>21147.9</v>
      </c>
      <c r="U79" s="83">
        <v>22532.3</v>
      </c>
      <c r="V79" s="83">
        <v>21196.7</v>
      </c>
      <c r="W79" s="58"/>
      <c r="X79" s="27">
        <f>Table25[[#This Row],[HDC1]]/Table25[[#This Row],[HCC1]]</f>
        <v>0.93829020184160372</v>
      </c>
      <c r="Y79" s="27">
        <f>Table25[[#This Row],[HDC2]]/Table25[[#This Row],[HCC2]]</f>
        <v>0.9374298644198753</v>
      </c>
      <c r="Z79" s="27">
        <f>Table25[[#This Row],[HDC3]]/Table25[[#This Row],[HCC3]]</f>
        <v>0.93730007282649763</v>
      </c>
      <c r="AA79" s="27">
        <f>Table25[[#This Row],[HDC4]]/Table25[[#This Row],[HCC4]]</f>
        <v>0.94011976047904189</v>
      </c>
      <c r="AB79" s="27">
        <f>Table25[[#This Row],[HDC5]]/Table25[[#This Row],[HCC5]]</f>
        <v>0.9407250924228775</v>
      </c>
    </row>
    <row r="80" spans="1:28" ht="15">
      <c r="A80" t="s">
        <v>210</v>
      </c>
      <c r="B80" s="85" t="s">
        <v>493</v>
      </c>
      <c r="C80" s="131">
        <v>133</v>
      </c>
      <c r="D80" s="75">
        <v>646</v>
      </c>
      <c r="E80" s="75">
        <v>115</v>
      </c>
      <c r="F80" s="75">
        <v>638</v>
      </c>
      <c r="G80" s="75">
        <v>133</v>
      </c>
      <c r="H80" s="75">
        <v>637</v>
      </c>
      <c r="I80" s="75">
        <v>133</v>
      </c>
      <c r="J80" s="83">
        <v>642</v>
      </c>
      <c r="K80" s="83">
        <v>131</v>
      </c>
      <c r="L80" s="132">
        <v>645</v>
      </c>
      <c r="M80" s="83">
        <v>22014.9</v>
      </c>
      <c r="N80" s="83">
        <v>20652.8</v>
      </c>
      <c r="O80" s="83">
        <v>22356.5</v>
      </c>
      <c r="P80" s="83">
        <v>21003</v>
      </c>
      <c r="Q80" s="83">
        <v>22306.1</v>
      </c>
      <c r="R80" s="83">
        <v>20946.8</v>
      </c>
      <c r="S80" s="83">
        <v>22399.3</v>
      </c>
      <c r="T80" s="83">
        <v>21064.1</v>
      </c>
      <c r="U80" s="83">
        <v>19901.599999999999</v>
      </c>
      <c r="V80" s="83">
        <v>19345.3</v>
      </c>
      <c r="W80" s="58"/>
      <c r="X80" s="27">
        <f>Table25[[#This Row],[HDC1]]/Table25[[#This Row],[HCC1]]</f>
        <v>0.93812826767325752</v>
      </c>
      <c r="Y80" s="27">
        <f>Table25[[#This Row],[HDC2]]/Table25[[#This Row],[HCC2]]</f>
        <v>0.93945832308277233</v>
      </c>
      <c r="Z80" s="27">
        <f>Table25[[#This Row],[HDC3]]/Table25[[#This Row],[HCC3]]</f>
        <v>0.93906151232174162</v>
      </c>
      <c r="AA80" s="27">
        <f>Table25[[#This Row],[HDC4]]/Table25[[#This Row],[HCC4]]</f>
        <v>0.94039099436143092</v>
      </c>
      <c r="AB80" s="27">
        <f>Table25[[#This Row],[HDC5]]/Table25[[#This Row],[HCC5]]</f>
        <v>0.97204747356996424</v>
      </c>
    </row>
    <row r="81" spans="1:28" ht="15">
      <c r="A81" t="s">
        <v>211</v>
      </c>
      <c r="B81" s="85" t="s">
        <v>494</v>
      </c>
      <c r="C81" s="131">
        <v>116</v>
      </c>
      <c r="D81" s="75">
        <v>643</v>
      </c>
      <c r="E81" s="75">
        <v>139</v>
      </c>
      <c r="F81" s="75">
        <v>623</v>
      </c>
      <c r="G81" s="75">
        <v>130</v>
      </c>
      <c r="H81" s="75">
        <v>629</v>
      </c>
      <c r="I81" s="75">
        <v>128</v>
      </c>
      <c r="J81" s="83">
        <v>632</v>
      </c>
      <c r="K81" s="83">
        <v>137</v>
      </c>
      <c r="L81" s="132">
        <v>621</v>
      </c>
      <c r="M81" s="83">
        <v>17029.3</v>
      </c>
      <c r="N81" s="83">
        <v>15887.8</v>
      </c>
      <c r="O81" s="83">
        <v>16599.7</v>
      </c>
      <c r="P81" s="83">
        <v>15470.7</v>
      </c>
      <c r="Q81" s="83">
        <v>16684.099999999999</v>
      </c>
      <c r="R81" s="83">
        <v>15534.6</v>
      </c>
      <c r="S81" s="83">
        <v>16690.099999999999</v>
      </c>
      <c r="T81" s="83">
        <v>15558.3</v>
      </c>
      <c r="U81" s="83">
        <v>16686.8</v>
      </c>
      <c r="V81" s="83">
        <v>15508.2</v>
      </c>
      <c r="W81" s="58"/>
      <c r="X81" s="27">
        <f>Table25[[#This Row],[HDC1]]/Table25[[#This Row],[HCC1]]</f>
        <v>0.93296847198651733</v>
      </c>
      <c r="Y81" s="27">
        <f>Table25[[#This Row],[HDC2]]/Table25[[#This Row],[HCC2]]</f>
        <v>0.9319867226516142</v>
      </c>
      <c r="Z81" s="27">
        <f>Table25[[#This Row],[HDC3]]/Table25[[#This Row],[HCC3]]</f>
        <v>0.93110206723766953</v>
      </c>
      <c r="AA81" s="27">
        <f>Table25[[#This Row],[HDC4]]/Table25[[#This Row],[HCC4]]</f>
        <v>0.93218734459350161</v>
      </c>
      <c r="AB81" s="27">
        <f>Table25[[#This Row],[HDC5]]/Table25[[#This Row],[HCC5]]</f>
        <v>0.92936932185919419</v>
      </c>
    </row>
    <row r="82" spans="1:28" ht="15">
      <c r="A82" t="s">
        <v>212</v>
      </c>
      <c r="B82" s="85" t="s">
        <v>495</v>
      </c>
      <c r="C82" s="131">
        <v>114</v>
      </c>
      <c r="D82" s="75">
        <v>639</v>
      </c>
      <c r="E82" s="75">
        <v>121</v>
      </c>
      <c r="F82" s="75">
        <v>632</v>
      </c>
      <c r="G82" s="75">
        <v>127</v>
      </c>
      <c r="H82" s="75">
        <v>625</v>
      </c>
      <c r="I82" s="75">
        <v>133</v>
      </c>
      <c r="J82" s="83">
        <v>621</v>
      </c>
      <c r="K82" s="83">
        <v>131</v>
      </c>
      <c r="L82" s="132">
        <v>618</v>
      </c>
      <c r="M82" s="83">
        <v>5273.7</v>
      </c>
      <c r="N82" s="83">
        <v>5212.3</v>
      </c>
      <c r="O82" s="83">
        <v>9143.5</v>
      </c>
      <c r="P82" s="83">
        <v>8214.7999999999993</v>
      </c>
      <c r="Q82" s="83">
        <v>9162.5</v>
      </c>
      <c r="R82" s="83">
        <v>8240.1</v>
      </c>
      <c r="S82" s="83">
        <v>5232.3</v>
      </c>
      <c r="T82" s="83">
        <v>5159.3999999999996</v>
      </c>
      <c r="U82" s="83">
        <v>8654.7999999999993</v>
      </c>
      <c r="V82" s="83">
        <v>7744.1</v>
      </c>
      <c r="W82" s="58"/>
      <c r="X82" s="27">
        <f>Table25[[#This Row],[HDC1]]/Table25[[#This Row],[HCC1]]</f>
        <v>0.98835732028746426</v>
      </c>
      <c r="Y82" s="27">
        <f>Table25[[#This Row],[HDC2]]/Table25[[#This Row],[HCC2]]</f>
        <v>0.89843057909990698</v>
      </c>
      <c r="Z82" s="27">
        <f>Table25[[#This Row],[HDC3]]/Table25[[#This Row],[HCC3]]</f>
        <v>0.8993287858117327</v>
      </c>
      <c r="AA82" s="27">
        <f>Table25[[#This Row],[HDC4]]/Table25[[#This Row],[HCC4]]</f>
        <v>0.98606731265409087</v>
      </c>
      <c r="AB82" s="27">
        <f>Table25[[#This Row],[HDC5]]/Table25[[#This Row],[HCC5]]</f>
        <v>0.89477515367195093</v>
      </c>
    </row>
    <row r="83" spans="1:28" ht="15">
      <c r="A83" t="s">
        <v>213</v>
      </c>
      <c r="B83" s="85" t="s">
        <v>496</v>
      </c>
      <c r="C83" s="131">
        <v>123</v>
      </c>
      <c r="D83" s="75">
        <v>634</v>
      </c>
      <c r="E83" s="75">
        <v>123</v>
      </c>
      <c r="F83" s="75">
        <v>635</v>
      </c>
      <c r="G83" s="75">
        <v>119</v>
      </c>
      <c r="H83" s="75">
        <v>636</v>
      </c>
      <c r="I83" s="75">
        <v>129</v>
      </c>
      <c r="J83" s="83">
        <v>622</v>
      </c>
      <c r="K83" s="83">
        <v>117</v>
      </c>
      <c r="L83" s="132">
        <v>634</v>
      </c>
      <c r="M83" s="83">
        <v>11626.7</v>
      </c>
      <c r="N83" s="83">
        <v>10599.2</v>
      </c>
      <c r="O83" s="83">
        <v>7568.7</v>
      </c>
      <c r="P83" s="83">
        <v>7367.8</v>
      </c>
      <c r="Q83" s="83">
        <v>7485.1</v>
      </c>
      <c r="R83" s="83">
        <v>7286.5</v>
      </c>
      <c r="S83" s="83">
        <v>11317.7</v>
      </c>
      <c r="T83" s="83">
        <v>10303.9</v>
      </c>
      <c r="U83" s="83">
        <v>11556.3</v>
      </c>
      <c r="V83" s="83">
        <v>10555.8</v>
      </c>
      <c r="W83" s="58"/>
      <c r="X83" s="27">
        <f>Table25[[#This Row],[HDC1]]/Table25[[#This Row],[HCC1]]</f>
        <v>0.91162582676081783</v>
      </c>
      <c r="Y83" s="27">
        <f>Table25[[#This Row],[HDC2]]/Table25[[#This Row],[HCC2]]</f>
        <v>0.97345647204936125</v>
      </c>
      <c r="Z83" s="27">
        <f>Table25[[#This Row],[HDC3]]/Table25[[#This Row],[HCC3]]</f>
        <v>0.97346728834618101</v>
      </c>
      <c r="AA83" s="27">
        <f>Table25[[#This Row],[HDC4]]/Table25[[#This Row],[HCC4]]</f>
        <v>0.91042349593998773</v>
      </c>
      <c r="AB83" s="27">
        <f>Table25[[#This Row],[HDC5]]/Table25[[#This Row],[HCC5]]</f>
        <v>0.91342384673295085</v>
      </c>
    </row>
    <row r="84" spans="1:28" ht="15">
      <c r="A84" t="s">
        <v>214</v>
      </c>
      <c r="B84" s="85" t="s">
        <v>497</v>
      </c>
      <c r="C84" s="131">
        <v>137</v>
      </c>
      <c r="D84" s="75">
        <v>636</v>
      </c>
      <c r="E84" s="75">
        <v>118</v>
      </c>
      <c r="F84" s="75">
        <v>648</v>
      </c>
      <c r="G84" s="75">
        <v>129</v>
      </c>
      <c r="H84" s="75">
        <v>638</v>
      </c>
      <c r="I84" s="75">
        <v>129</v>
      </c>
      <c r="J84" s="83">
        <v>643</v>
      </c>
      <c r="K84" s="83">
        <v>126</v>
      </c>
      <c r="L84" s="132">
        <v>627</v>
      </c>
      <c r="M84" s="83">
        <v>10823.3</v>
      </c>
      <c r="N84" s="83">
        <v>9917.7999999999993</v>
      </c>
      <c r="O84" s="83">
        <v>10884.4</v>
      </c>
      <c r="P84" s="83">
        <v>9918.7000000000007</v>
      </c>
      <c r="Q84" s="83">
        <v>10834.5</v>
      </c>
      <c r="R84" s="83">
        <v>9760.9</v>
      </c>
      <c r="S84" s="83">
        <v>15876.9</v>
      </c>
      <c r="T84" s="83">
        <v>14632.6</v>
      </c>
      <c r="U84" s="83">
        <v>6992.6</v>
      </c>
      <c r="V84" s="83">
        <v>6838.4</v>
      </c>
      <c r="W84" s="58"/>
      <c r="X84" s="27">
        <f>Table25[[#This Row],[HDC1]]/Table25[[#This Row],[HCC1]]</f>
        <v>0.91633790064028531</v>
      </c>
      <c r="Y84" s="27">
        <f>Table25[[#This Row],[HDC2]]/Table25[[#This Row],[HCC2]]</f>
        <v>0.91127668957406938</v>
      </c>
      <c r="Z84" s="27">
        <f>Table25[[#This Row],[HDC3]]/Table25[[#This Row],[HCC3]]</f>
        <v>0.90090913286261476</v>
      </c>
      <c r="AA84" s="27">
        <f>Table25[[#This Row],[HDC4]]/Table25[[#This Row],[HCC4]]</f>
        <v>0.92162827756048105</v>
      </c>
      <c r="AB84" s="27">
        <f>Table25[[#This Row],[HDC5]]/Table25[[#This Row],[HCC5]]</f>
        <v>0.97794811658038483</v>
      </c>
    </row>
    <row r="85" spans="1:28" ht="15">
      <c r="A85" t="s">
        <v>215</v>
      </c>
      <c r="B85" s="85" t="s">
        <v>498</v>
      </c>
      <c r="C85" s="131">
        <v>133</v>
      </c>
      <c r="D85" s="75">
        <v>631</v>
      </c>
      <c r="E85" s="75">
        <v>122</v>
      </c>
      <c r="F85" s="75">
        <v>647</v>
      </c>
      <c r="G85" s="75">
        <v>131</v>
      </c>
      <c r="H85" s="75">
        <v>632</v>
      </c>
      <c r="I85" s="75">
        <v>129</v>
      </c>
      <c r="J85" s="83">
        <v>641</v>
      </c>
      <c r="K85" s="83">
        <v>125</v>
      </c>
      <c r="L85" s="132">
        <v>641</v>
      </c>
      <c r="M85" s="83">
        <v>15495.9</v>
      </c>
      <c r="N85" s="83">
        <v>14346.9</v>
      </c>
      <c r="O85" s="83">
        <v>12464.4</v>
      </c>
      <c r="P85" s="83">
        <v>11429.7</v>
      </c>
      <c r="Q85" s="83">
        <v>14954.3</v>
      </c>
      <c r="R85" s="83">
        <v>13821.9</v>
      </c>
      <c r="S85" s="83">
        <v>11582.3</v>
      </c>
      <c r="T85" s="83">
        <v>10553.3</v>
      </c>
      <c r="U85" s="83">
        <v>15430.4</v>
      </c>
      <c r="V85" s="83">
        <v>14308.3</v>
      </c>
      <c r="W85" s="58"/>
      <c r="X85" s="27">
        <f>Table25[[#This Row],[HDC1]]/Table25[[#This Row],[HCC1]]</f>
        <v>0.92585135422918319</v>
      </c>
      <c r="Y85" s="27">
        <f>Table25[[#This Row],[HDC2]]/Table25[[#This Row],[HCC2]]</f>
        <v>0.91698758062963326</v>
      </c>
      <c r="Z85" s="27">
        <f>Table25[[#This Row],[HDC3]]/Table25[[#This Row],[HCC3]]</f>
        <v>0.92427596076045015</v>
      </c>
      <c r="AA85" s="27">
        <f>Table25[[#This Row],[HDC4]]/Table25[[#This Row],[HCC4]]</f>
        <v>0.91115754211167044</v>
      </c>
      <c r="AB85" s="27">
        <f>Table25[[#This Row],[HDC5]]/Table25[[#This Row],[HCC5]]</f>
        <v>0.92727991497304019</v>
      </c>
    </row>
    <row r="86" spans="1:28" ht="15">
      <c r="A86" t="s">
        <v>216</v>
      </c>
      <c r="B86" s="85" t="s">
        <v>499</v>
      </c>
      <c r="C86" s="131">
        <v>120</v>
      </c>
      <c r="D86" s="75">
        <v>636</v>
      </c>
      <c r="E86" s="75">
        <v>124</v>
      </c>
      <c r="F86" s="75">
        <v>629</v>
      </c>
      <c r="G86" s="75">
        <v>125</v>
      </c>
      <c r="H86" s="75">
        <v>624</v>
      </c>
      <c r="I86" s="75">
        <v>128</v>
      </c>
      <c r="J86" s="83">
        <v>627</v>
      </c>
      <c r="K86" s="83">
        <v>125</v>
      </c>
      <c r="L86" s="132">
        <v>629</v>
      </c>
      <c r="M86" s="83">
        <v>19597.099999999999</v>
      </c>
      <c r="N86" s="83">
        <v>18375.400000000001</v>
      </c>
      <c r="O86" s="83">
        <v>18569.2</v>
      </c>
      <c r="P86" s="83">
        <v>17675.599999999999</v>
      </c>
      <c r="Q86" s="83">
        <v>19713.5</v>
      </c>
      <c r="R86" s="83">
        <v>18383.5</v>
      </c>
      <c r="S86" s="83">
        <v>19529.5</v>
      </c>
      <c r="T86" s="83">
        <v>18271.599999999999</v>
      </c>
      <c r="U86" s="83">
        <v>20064.5</v>
      </c>
      <c r="V86" s="83">
        <v>18776.400000000001</v>
      </c>
      <c r="W86" s="58"/>
      <c r="X86" s="27">
        <f>Table25[[#This Row],[HDC1]]/Table25[[#This Row],[HCC1]]</f>
        <v>0.93765914344469348</v>
      </c>
      <c r="Y86" s="27">
        <f>Table25[[#This Row],[HDC2]]/Table25[[#This Row],[HCC2]]</f>
        <v>0.95187730219934075</v>
      </c>
      <c r="Z86" s="27">
        <f>Table25[[#This Row],[HDC3]]/Table25[[#This Row],[HCC3]]</f>
        <v>0.93253354300352553</v>
      </c>
      <c r="AA86" s="27">
        <f>Table25[[#This Row],[HDC4]]/Table25[[#This Row],[HCC4]]</f>
        <v>0.93558974884149615</v>
      </c>
      <c r="AB86" s="27">
        <f>Table25[[#This Row],[HDC5]]/Table25[[#This Row],[HCC5]]</f>
        <v>0.93580203842607601</v>
      </c>
    </row>
    <row r="87" spans="1:28" ht="15">
      <c r="A87" t="s">
        <v>217</v>
      </c>
      <c r="B87" s="85" t="s">
        <v>500</v>
      </c>
      <c r="C87" s="131">
        <v>118</v>
      </c>
      <c r="D87" s="75">
        <v>646</v>
      </c>
      <c r="E87" s="75">
        <v>138</v>
      </c>
      <c r="F87" s="75">
        <v>620</v>
      </c>
      <c r="G87" s="75">
        <v>133</v>
      </c>
      <c r="H87" s="75">
        <v>626</v>
      </c>
      <c r="I87" s="75">
        <v>132</v>
      </c>
      <c r="J87" s="83">
        <v>625</v>
      </c>
      <c r="K87" s="83">
        <v>134</v>
      </c>
      <c r="L87" s="132">
        <v>626</v>
      </c>
      <c r="M87" s="83">
        <v>19799.7</v>
      </c>
      <c r="N87" s="83">
        <v>18540.900000000001</v>
      </c>
      <c r="O87" s="83">
        <v>19696.900000000001</v>
      </c>
      <c r="P87" s="83">
        <v>18494.900000000001</v>
      </c>
      <c r="Q87" s="83">
        <v>18666.7</v>
      </c>
      <c r="R87" s="83">
        <v>18355.099999999999</v>
      </c>
      <c r="S87" s="83">
        <v>19700</v>
      </c>
      <c r="T87" s="83">
        <v>18478.3</v>
      </c>
      <c r="U87" s="83">
        <v>19774.5</v>
      </c>
      <c r="V87" s="83">
        <v>18609.599999999999</v>
      </c>
      <c r="W87" s="58"/>
      <c r="X87" s="27">
        <f>Table25[[#This Row],[HDC1]]/Table25[[#This Row],[HCC1]]</f>
        <v>0.93642327914059309</v>
      </c>
      <c r="Y87" s="27">
        <f>Table25[[#This Row],[HDC2]]/Table25[[#This Row],[HCC2]]</f>
        <v>0.9389751686813661</v>
      </c>
      <c r="Z87" s="27">
        <f>Table25[[#This Row],[HDC3]]/Table25[[#This Row],[HCC3]]</f>
        <v>0.98330717266576295</v>
      </c>
      <c r="AA87" s="27">
        <f>Table25[[#This Row],[HDC4]]/Table25[[#This Row],[HCC4]]</f>
        <v>0.93798477157360405</v>
      </c>
      <c r="AB87" s="27">
        <f>Table25[[#This Row],[HDC5]]/Table25[[#This Row],[HCC5]]</f>
        <v>0.94109079875597357</v>
      </c>
    </row>
    <row r="88" spans="1:28" ht="15">
      <c r="A88" t="s">
        <v>218</v>
      </c>
      <c r="B88" s="85" t="s">
        <v>501</v>
      </c>
      <c r="C88" s="131">
        <v>119</v>
      </c>
      <c r="D88" s="75">
        <v>636</v>
      </c>
      <c r="E88" s="75">
        <v>133</v>
      </c>
      <c r="F88" s="75">
        <v>621</v>
      </c>
      <c r="G88" s="75">
        <v>136</v>
      </c>
      <c r="H88" s="75">
        <v>614</v>
      </c>
      <c r="I88" s="75">
        <v>136</v>
      </c>
      <c r="J88" s="83">
        <v>621</v>
      </c>
      <c r="K88" s="83">
        <v>137</v>
      </c>
      <c r="L88" s="132">
        <v>623</v>
      </c>
      <c r="M88" s="83">
        <v>19984.8</v>
      </c>
      <c r="N88" s="83">
        <v>18716.2</v>
      </c>
      <c r="O88" s="83">
        <v>19637.900000000001</v>
      </c>
      <c r="P88" s="83">
        <v>18379.3</v>
      </c>
      <c r="Q88" s="83">
        <v>19741.8</v>
      </c>
      <c r="R88" s="83">
        <v>18488.5</v>
      </c>
      <c r="S88" s="83">
        <v>19871.3</v>
      </c>
      <c r="T88" s="83">
        <v>18605.2</v>
      </c>
      <c r="U88" s="83">
        <v>20093.8</v>
      </c>
      <c r="V88" s="83">
        <v>18830.3</v>
      </c>
      <c r="W88" s="58"/>
      <c r="X88" s="27">
        <f>Table25[[#This Row],[HDC1]]/Table25[[#This Row],[HCC1]]</f>
        <v>0.93652175653496661</v>
      </c>
      <c r="Y88" s="27">
        <f>Table25[[#This Row],[HDC2]]/Table25[[#This Row],[HCC2]]</f>
        <v>0.93590964410654898</v>
      </c>
      <c r="Z88" s="27">
        <f>Table25[[#This Row],[HDC3]]/Table25[[#This Row],[HCC3]]</f>
        <v>0.9365154139946712</v>
      </c>
      <c r="AA88" s="27">
        <f>Table25[[#This Row],[HDC4]]/Table25[[#This Row],[HCC4]]</f>
        <v>0.93628499393597808</v>
      </c>
      <c r="AB88" s="27">
        <f>Table25[[#This Row],[HDC5]]/Table25[[#This Row],[HCC5]]</f>
        <v>0.9371199076332003</v>
      </c>
    </row>
    <row r="89" spans="1:28" ht="15">
      <c r="A89" t="s">
        <v>219</v>
      </c>
      <c r="B89" s="85" t="s">
        <v>502</v>
      </c>
      <c r="C89" s="131">
        <v>126</v>
      </c>
      <c r="D89" s="75">
        <v>630</v>
      </c>
      <c r="E89" s="75">
        <v>124</v>
      </c>
      <c r="F89" s="75">
        <v>650</v>
      </c>
      <c r="G89" s="75">
        <v>130</v>
      </c>
      <c r="H89" s="75">
        <v>634</v>
      </c>
      <c r="I89" s="75">
        <v>132</v>
      </c>
      <c r="J89" s="83">
        <v>620</v>
      </c>
      <c r="K89" s="83">
        <v>119</v>
      </c>
      <c r="L89" s="132">
        <v>643</v>
      </c>
      <c r="M89" s="83">
        <v>20188.3</v>
      </c>
      <c r="N89" s="83">
        <v>18909.5</v>
      </c>
      <c r="O89" s="83">
        <v>19635.3</v>
      </c>
      <c r="P89" s="83">
        <v>18362.400000000001</v>
      </c>
      <c r="Q89" s="83">
        <v>19627.900000000001</v>
      </c>
      <c r="R89" s="83">
        <v>18438.3</v>
      </c>
      <c r="S89" s="83">
        <v>19697.900000000001</v>
      </c>
      <c r="T89" s="83">
        <v>18495.2</v>
      </c>
      <c r="U89" s="83">
        <v>19458.400000000001</v>
      </c>
      <c r="V89" s="83">
        <v>18276.400000000001</v>
      </c>
      <c r="W89" s="58"/>
      <c r="X89" s="27">
        <f>Table25[[#This Row],[HDC1]]/Table25[[#This Row],[HCC1]]</f>
        <v>0.93665638018059971</v>
      </c>
      <c r="Y89" s="27">
        <f>Table25[[#This Row],[HDC2]]/Table25[[#This Row],[HCC2]]</f>
        <v>0.93517287741974919</v>
      </c>
      <c r="Z89" s="27">
        <f>Table25[[#This Row],[HDC3]]/Table25[[#This Row],[HCC3]]</f>
        <v>0.93939239551862386</v>
      </c>
      <c r="AA89" s="27">
        <f>Table25[[#This Row],[HDC4]]/Table25[[#This Row],[HCC4]]</f>
        <v>0.9389427299356784</v>
      </c>
      <c r="AB89" s="27">
        <f>Table25[[#This Row],[HDC5]]/Table25[[#This Row],[HCC5]]</f>
        <v>0.93925502610697698</v>
      </c>
    </row>
    <row r="90" spans="1:28" ht="15">
      <c r="A90" t="s">
        <v>220</v>
      </c>
      <c r="B90" s="85" t="s">
        <v>503</v>
      </c>
      <c r="C90" s="131">
        <v>124</v>
      </c>
      <c r="D90" s="75">
        <v>640</v>
      </c>
      <c r="E90" s="75">
        <v>125</v>
      </c>
      <c r="F90" s="75">
        <v>644</v>
      </c>
      <c r="G90" s="75">
        <v>125</v>
      </c>
      <c r="H90" s="75">
        <v>638</v>
      </c>
      <c r="I90" s="75">
        <v>132</v>
      </c>
      <c r="J90" s="83">
        <v>636</v>
      </c>
      <c r="K90" s="83">
        <v>137</v>
      </c>
      <c r="L90" s="132">
        <v>632</v>
      </c>
      <c r="M90" s="83">
        <v>19433.099999999999</v>
      </c>
      <c r="N90" s="83">
        <v>18844.2</v>
      </c>
      <c r="O90" s="83">
        <v>22106</v>
      </c>
      <c r="P90" s="83">
        <v>21524.1</v>
      </c>
      <c r="Q90" s="83">
        <v>22961.599999999999</v>
      </c>
      <c r="R90" s="83">
        <v>21585.4</v>
      </c>
      <c r="S90" s="83">
        <v>22877.8</v>
      </c>
      <c r="T90" s="83">
        <v>21473.8</v>
      </c>
      <c r="U90" s="83">
        <v>21753.599999999999</v>
      </c>
      <c r="V90" s="83">
        <v>21209</v>
      </c>
      <c r="W90" s="58"/>
      <c r="X90" s="27">
        <f>Table25[[#This Row],[HDC1]]/Table25[[#This Row],[HCC1]]</f>
        <v>0.96969603408617266</v>
      </c>
      <c r="Y90" s="27">
        <f>Table25[[#This Row],[HDC2]]/Table25[[#This Row],[HCC2]]</f>
        <v>0.97367682981995829</v>
      </c>
      <c r="Z90" s="27">
        <f>Table25[[#This Row],[HDC3]]/Table25[[#This Row],[HCC3]]</f>
        <v>0.9400651522541984</v>
      </c>
      <c r="AA90" s="27">
        <f>Table25[[#This Row],[HDC4]]/Table25[[#This Row],[HCC4]]</f>
        <v>0.93863046271931738</v>
      </c>
      <c r="AB90" s="27">
        <f>Table25[[#This Row],[HDC5]]/Table25[[#This Row],[HCC5]]</f>
        <v>0.97496506325389831</v>
      </c>
    </row>
    <row r="91" spans="1:28" ht="15">
      <c r="A91" t="s">
        <v>221</v>
      </c>
      <c r="B91" s="85" t="s">
        <v>504</v>
      </c>
      <c r="C91" s="131">
        <v>127</v>
      </c>
      <c r="D91" s="75">
        <v>615</v>
      </c>
      <c r="E91" s="75">
        <v>125</v>
      </c>
      <c r="F91" s="75">
        <v>617</v>
      </c>
      <c r="G91" s="75">
        <v>126</v>
      </c>
      <c r="H91" s="75">
        <v>624</v>
      </c>
      <c r="I91" s="75">
        <v>109</v>
      </c>
      <c r="J91" s="83">
        <v>638</v>
      </c>
      <c r="K91" s="83">
        <v>128</v>
      </c>
      <c r="L91" s="132">
        <v>613</v>
      </c>
      <c r="M91" s="83">
        <v>11467</v>
      </c>
      <c r="N91" s="83">
        <v>11190.3</v>
      </c>
      <c r="O91" s="83">
        <v>11505.2</v>
      </c>
      <c r="P91" s="83">
        <v>11189.2</v>
      </c>
      <c r="Q91" s="83">
        <v>11449.5</v>
      </c>
      <c r="R91" s="83">
        <v>11160.7</v>
      </c>
      <c r="S91" s="83">
        <v>15230.1</v>
      </c>
      <c r="T91" s="83">
        <v>14126.6</v>
      </c>
      <c r="U91" s="83">
        <v>15142.1</v>
      </c>
      <c r="V91" s="83">
        <v>14077.7</v>
      </c>
      <c r="W91" s="58"/>
      <c r="X91" s="27">
        <f>Table25[[#This Row],[HDC1]]/Table25[[#This Row],[HCC1]]</f>
        <v>0.97586988750327019</v>
      </c>
      <c r="Y91" s="27">
        <f>Table25[[#This Row],[HDC2]]/Table25[[#This Row],[HCC2]]</f>
        <v>0.9725341584674756</v>
      </c>
      <c r="Z91" s="27">
        <f>Table25[[#This Row],[HDC3]]/Table25[[#This Row],[HCC3]]</f>
        <v>0.97477619110004809</v>
      </c>
      <c r="AA91" s="27">
        <f>Table25[[#This Row],[HDC4]]/Table25[[#This Row],[HCC4]]</f>
        <v>0.92754479616023533</v>
      </c>
      <c r="AB91" s="27">
        <f>Table25[[#This Row],[HDC5]]/Table25[[#This Row],[HCC5]]</f>
        <v>0.9297059192582271</v>
      </c>
    </row>
    <row r="92" spans="1:28" ht="15">
      <c r="A92" t="s">
        <v>222</v>
      </c>
      <c r="B92" s="85" t="s">
        <v>505</v>
      </c>
      <c r="C92" s="131">
        <v>131</v>
      </c>
      <c r="D92" s="75">
        <v>638</v>
      </c>
      <c r="E92" s="75">
        <v>120</v>
      </c>
      <c r="F92" s="75">
        <v>637</v>
      </c>
      <c r="G92" s="75">
        <v>138</v>
      </c>
      <c r="H92" s="75">
        <v>616</v>
      </c>
      <c r="I92" s="75">
        <v>139</v>
      </c>
      <c r="J92" s="83">
        <v>617</v>
      </c>
      <c r="K92" s="83">
        <v>142</v>
      </c>
      <c r="L92" s="132">
        <v>619</v>
      </c>
      <c r="M92" s="83">
        <v>15701.4</v>
      </c>
      <c r="N92" s="83">
        <v>14564.8</v>
      </c>
      <c r="O92" s="83">
        <v>16235.5</v>
      </c>
      <c r="P92" s="83">
        <v>15080.4</v>
      </c>
      <c r="Q92" s="83">
        <v>12109</v>
      </c>
      <c r="R92" s="83">
        <v>11788.5</v>
      </c>
      <c r="S92" s="83">
        <v>16230.9</v>
      </c>
      <c r="T92" s="83">
        <v>15075.7</v>
      </c>
      <c r="U92" s="83">
        <v>12156.9</v>
      </c>
      <c r="V92" s="83">
        <v>11854.3</v>
      </c>
      <c r="W92" s="58"/>
      <c r="X92" s="27">
        <f>Table25[[#This Row],[HDC1]]/Table25[[#This Row],[HCC1]]</f>
        <v>0.92761155056237021</v>
      </c>
      <c r="Y92" s="27">
        <f>Table25[[#This Row],[HDC2]]/Table25[[#This Row],[HCC2]]</f>
        <v>0.92885343845277324</v>
      </c>
      <c r="Z92" s="27">
        <f>Table25[[#This Row],[HDC3]]/Table25[[#This Row],[HCC3]]</f>
        <v>0.97353208357420096</v>
      </c>
      <c r="AA92" s="27">
        <f>Table25[[#This Row],[HDC4]]/Table25[[#This Row],[HCC4]]</f>
        <v>0.92882711371519766</v>
      </c>
      <c r="AB92" s="27">
        <f>Table25[[#This Row],[HDC5]]/Table25[[#This Row],[HCC5]]</f>
        <v>0.97510878595694628</v>
      </c>
    </row>
    <row r="93" spans="1:28" ht="15">
      <c r="A93" t="s">
        <v>223</v>
      </c>
      <c r="B93" s="85" t="s">
        <v>506</v>
      </c>
      <c r="C93" s="131">
        <v>123</v>
      </c>
      <c r="D93" s="75">
        <v>636</v>
      </c>
      <c r="E93" s="75">
        <v>122</v>
      </c>
      <c r="F93" s="75">
        <v>641</v>
      </c>
      <c r="G93" s="75">
        <v>123</v>
      </c>
      <c r="H93" s="75">
        <v>628</v>
      </c>
      <c r="I93" s="75">
        <v>122</v>
      </c>
      <c r="J93" s="83">
        <v>639</v>
      </c>
      <c r="K93" s="83">
        <v>122</v>
      </c>
      <c r="L93" s="132">
        <v>635</v>
      </c>
      <c r="M93" s="83">
        <v>22963</v>
      </c>
      <c r="N93" s="83">
        <v>21579.1</v>
      </c>
      <c r="O93" s="83">
        <v>22026.3</v>
      </c>
      <c r="P93" s="83">
        <v>20735.3</v>
      </c>
      <c r="Q93" s="83">
        <v>22097.4</v>
      </c>
      <c r="R93" s="83">
        <v>20762.900000000001</v>
      </c>
      <c r="S93" s="83">
        <v>19049.2</v>
      </c>
      <c r="T93" s="83">
        <v>18505.099999999999</v>
      </c>
      <c r="U93" s="83">
        <v>9585.1</v>
      </c>
      <c r="V93" s="83">
        <v>8962.6</v>
      </c>
      <c r="W93" s="58"/>
      <c r="X93" s="27">
        <f>Table25[[#This Row],[HDC1]]/Table25[[#This Row],[HCC1]]</f>
        <v>0.9397334843008317</v>
      </c>
      <c r="Y93" s="27">
        <f>Table25[[#This Row],[HDC2]]/Table25[[#This Row],[HCC2]]</f>
        <v>0.94138824950173206</v>
      </c>
      <c r="Z93" s="27">
        <f>Table25[[#This Row],[HDC3]]/Table25[[#This Row],[HCC3]]</f>
        <v>0.93960827970711491</v>
      </c>
      <c r="AA93" s="27">
        <f>Table25[[#This Row],[HDC4]]/Table25[[#This Row],[HCC4]]</f>
        <v>0.97143712071898025</v>
      </c>
      <c r="AB93" s="27">
        <f>Table25[[#This Row],[HDC5]]/Table25[[#This Row],[HCC5]]</f>
        <v>0.93505545064735895</v>
      </c>
    </row>
    <row r="94" spans="1:28" ht="15">
      <c r="A94" t="s">
        <v>224</v>
      </c>
      <c r="B94" s="85" t="s">
        <v>507</v>
      </c>
      <c r="C94" s="131">
        <v>112</v>
      </c>
      <c r="D94" s="75">
        <v>640</v>
      </c>
      <c r="E94" s="75">
        <v>131</v>
      </c>
      <c r="F94" s="75">
        <v>639</v>
      </c>
      <c r="G94" s="75">
        <v>146</v>
      </c>
      <c r="H94" s="75">
        <v>590</v>
      </c>
      <c r="I94" s="75">
        <v>131</v>
      </c>
      <c r="J94" s="83">
        <v>639</v>
      </c>
      <c r="K94" s="83">
        <v>129</v>
      </c>
      <c r="L94" s="132">
        <v>623</v>
      </c>
      <c r="M94" s="83">
        <v>21386.6</v>
      </c>
      <c r="N94" s="83">
        <v>20686.3</v>
      </c>
      <c r="O94" s="83">
        <v>22799.3</v>
      </c>
      <c r="P94" s="83">
        <v>21435.200000000001</v>
      </c>
      <c r="Q94" s="83">
        <v>6414.7</v>
      </c>
      <c r="R94" s="83">
        <v>5597.8</v>
      </c>
      <c r="S94" s="83">
        <v>21909.9</v>
      </c>
      <c r="T94" s="83">
        <v>20574</v>
      </c>
      <c r="U94" s="83">
        <v>22098.2</v>
      </c>
      <c r="V94" s="83">
        <v>20724.7</v>
      </c>
      <c r="W94" s="58"/>
      <c r="X94" s="27">
        <f>Table25[[#This Row],[HDC1]]/Table25[[#This Row],[HCC1]]</f>
        <v>0.96725519717954234</v>
      </c>
      <c r="Y94" s="27">
        <f>Table25[[#This Row],[HDC2]]/Table25[[#This Row],[HCC2]]</f>
        <v>0.94016921572153533</v>
      </c>
      <c r="Z94" s="27">
        <f>Table25[[#This Row],[HDC3]]/Table25[[#This Row],[HCC3]]</f>
        <v>0.87265187771836572</v>
      </c>
      <c r="AA94" s="27">
        <f>Table25[[#This Row],[HDC4]]/Table25[[#This Row],[HCC4]]</f>
        <v>0.93902756288253253</v>
      </c>
      <c r="AB94" s="27">
        <f>Table25[[#This Row],[HDC5]]/Table25[[#This Row],[HCC5]]</f>
        <v>0.93784561638504493</v>
      </c>
    </row>
    <row r="95" spans="1:28" ht="15">
      <c r="A95" t="s">
        <v>225</v>
      </c>
      <c r="B95" s="85" t="s">
        <v>508</v>
      </c>
      <c r="C95" s="131">
        <v>134</v>
      </c>
      <c r="D95" s="75">
        <v>623</v>
      </c>
      <c r="E95" s="75">
        <v>128</v>
      </c>
      <c r="F95" s="75">
        <v>640</v>
      </c>
      <c r="G95" s="75">
        <v>135</v>
      </c>
      <c r="H95" s="75">
        <v>635</v>
      </c>
      <c r="I95" s="75">
        <v>136</v>
      </c>
      <c r="J95" s="83">
        <v>617</v>
      </c>
      <c r="K95" s="83">
        <v>137</v>
      </c>
      <c r="L95" s="132">
        <v>618</v>
      </c>
      <c r="M95" s="83">
        <v>19946.7</v>
      </c>
      <c r="N95" s="83">
        <v>18706.400000000001</v>
      </c>
      <c r="O95" s="83">
        <v>19785.400000000001</v>
      </c>
      <c r="P95" s="83">
        <v>18583.2</v>
      </c>
      <c r="Q95" s="83">
        <v>20614.900000000001</v>
      </c>
      <c r="R95" s="83">
        <v>19329.599999999999</v>
      </c>
      <c r="S95" s="83">
        <v>19793.3</v>
      </c>
      <c r="T95" s="83">
        <v>18566.099999999999</v>
      </c>
      <c r="U95" s="83">
        <v>15915.6</v>
      </c>
      <c r="V95" s="83">
        <v>15495.4</v>
      </c>
      <c r="W95" s="58"/>
      <c r="X95" s="27">
        <f>Table25[[#This Row],[HDC1]]/Table25[[#This Row],[HCC1]]</f>
        <v>0.93781928840359563</v>
      </c>
      <c r="Y95" s="27">
        <f>Table25[[#This Row],[HDC2]]/Table25[[#This Row],[HCC2]]</f>
        <v>0.93923802399749312</v>
      </c>
      <c r="Z95" s="27">
        <f>Table25[[#This Row],[HDC3]]/Table25[[#This Row],[HCC3]]</f>
        <v>0.93765189256314596</v>
      </c>
      <c r="AA95" s="27">
        <f>Table25[[#This Row],[HDC4]]/Table25[[#This Row],[HCC4]]</f>
        <v>0.93799922195894569</v>
      </c>
      <c r="AB95" s="27">
        <f>Table25[[#This Row],[HDC5]]/Table25[[#This Row],[HCC5]]</f>
        <v>0.97359823066676721</v>
      </c>
    </row>
    <row r="96" spans="1:28" ht="15">
      <c r="A96" t="s">
        <v>226</v>
      </c>
      <c r="B96" s="85" t="s">
        <v>509</v>
      </c>
      <c r="C96" s="131">
        <v>134</v>
      </c>
      <c r="D96" s="75">
        <v>622</v>
      </c>
      <c r="E96" s="75">
        <v>115</v>
      </c>
      <c r="F96" s="75">
        <v>639</v>
      </c>
      <c r="G96" s="75">
        <v>137</v>
      </c>
      <c r="H96" s="75">
        <v>615</v>
      </c>
      <c r="I96" s="75">
        <v>133</v>
      </c>
      <c r="J96" s="83">
        <v>605</v>
      </c>
      <c r="K96" s="83">
        <v>136</v>
      </c>
      <c r="L96" s="132">
        <v>622</v>
      </c>
      <c r="M96" s="83">
        <v>20617.3</v>
      </c>
      <c r="N96" s="83">
        <v>19352.3</v>
      </c>
      <c r="O96" s="83">
        <v>19543.400000000001</v>
      </c>
      <c r="P96" s="83">
        <v>18305.599999999999</v>
      </c>
      <c r="Q96" s="83">
        <v>15792.4</v>
      </c>
      <c r="R96" s="83">
        <v>15380.2</v>
      </c>
      <c r="S96" s="83">
        <v>6400.1</v>
      </c>
      <c r="T96" s="83">
        <v>5914</v>
      </c>
      <c r="U96" s="83">
        <v>19808.400000000001</v>
      </c>
      <c r="V96" s="83">
        <v>18525.7</v>
      </c>
      <c r="W96" s="58"/>
      <c r="X96" s="27">
        <f>Table25[[#This Row],[HDC1]]/Table25[[#This Row],[HCC1]]</f>
        <v>0.93864376033719255</v>
      </c>
      <c r="Y96" s="27">
        <f>Table25[[#This Row],[HDC2]]/Table25[[#This Row],[HCC2]]</f>
        <v>0.93666404003397552</v>
      </c>
      <c r="Z96" s="27">
        <f>Table25[[#This Row],[HDC3]]/Table25[[#This Row],[HCC3]]</f>
        <v>0.97389883741546579</v>
      </c>
      <c r="AA96" s="27">
        <f>Table25[[#This Row],[HDC4]]/Table25[[#This Row],[HCC4]]</f>
        <v>0.92404806174903509</v>
      </c>
      <c r="AB96" s="27">
        <f>Table25[[#This Row],[HDC5]]/Table25[[#This Row],[HCC5]]</f>
        <v>0.93524464368651683</v>
      </c>
    </row>
    <row r="97" spans="1:28" ht="15">
      <c r="A97" t="s">
        <v>227</v>
      </c>
      <c r="B97" s="85" t="s">
        <v>510</v>
      </c>
      <c r="C97" s="131">
        <v>130</v>
      </c>
      <c r="D97" s="75">
        <v>630</v>
      </c>
      <c r="E97" s="75">
        <v>127</v>
      </c>
      <c r="F97" s="75">
        <v>639</v>
      </c>
      <c r="G97" s="75">
        <v>127</v>
      </c>
      <c r="H97" s="75">
        <v>631</v>
      </c>
      <c r="I97" s="75">
        <v>134</v>
      </c>
      <c r="J97" s="83">
        <v>626</v>
      </c>
      <c r="K97" s="83">
        <v>130</v>
      </c>
      <c r="L97" s="132">
        <v>637</v>
      </c>
      <c r="M97" s="83">
        <v>16994.7</v>
      </c>
      <c r="N97" s="83">
        <v>16559.8</v>
      </c>
      <c r="O97" s="83">
        <v>15856.3</v>
      </c>
      <c r="P97" s="83">
        <v>15431.7</v>
      </c>
      <c r="Q97" s="83">
        <v>20005.099999999999</v>
      </c>
      <c r="R97" s="83">
        <v>18448.900000000001</v>
      </c>
      <c r="S97" s="83">
        <v>19754.3</v>
      </c>
      <c r="T97" s="83">
        <v>18490.7</v>
      </c>
      <c r="U97" s="83">
        <v>18676.8</v>
      </c>
      <c r="V97" s="83">
        <v>18276.8</v>
      </c>
      <c r="W97" s="58"/>
      <c r="X97" s="27">
        <f>Table25[[#This Row],[HDC1]]/Table25[[#This Row],[HCC1]]</f>
        <v>0.97440966889677361</v>
      </c>
      <c r="Y97" s="27">
        <f>Table25[[#This Row],[HDC2]]/Table25[[#This Row],[HCC2]]</f>
        <v>0.97322200008829307</v>
      </c>
      <c r="Z97" s="27">
        <f>Table25[[#This Row],[HDC3]]/Table25[[#This Row],[HCC3]]</f>
        <v>0.92220983649169475</v>
      </c>
      <c r="AA97" s="27">
        <f>Table25[[#This Row],[HDC4]]/Table25[[#This Row],[HCC4]]</f>
        <v>0.93603417990007243</v>
      </c>
      <c r="AB97" s="27">
        <f>Table25[[#This Row],[HDC5]]/Table25[[#This Row],[HCC5]]</f>
        <v>0.9785830549130472</v>
      </c>
    </row>
    <row r="98" spans="1:28" ht="15">
      <c r="A98" t="s">
        <v>228</v>
      </c>
      <c r="B98" s="85" t="s">
        <v>511</v>
      </c>
      <c r="C98" s="131">
        <v>121</v>
      </c>
      <c r="D98" s="75">
        <v>637</v>
      </c>
      <c r="E98" s="75">
        <v>133</v>
      </c>
      <c r="F98" s="75">
        <v>627</v>
      </c>
      <c r="G98" s="75">
        <v>136</v>
      </c>
      <c r="H98" s="75">
        <v>634</v>
      </c>
      <c r="I98" s="75">
        <v>125</v>
      </c>
      <c r="J98" s="83">
        <v>638</v>
      </c>
      <c r="K98" s="83">
        <v>125</v>
      </c>
      <c r="L98" s="132">
        <v>638</v>
      </c>
      <c r="M98" s="83">
        <v>12703.1</v>
      </c>
      <c r="N98" s="83">
        <v>11675.7</v>
      </c>
      <c r="O98" s="83">
        <v>10143.1</v>
      </c>
      <c r="P98" s="83">
        <v>9946.5</v>
      </c>
      <c r="Q98" s="83">
        <v>11732.2</v>
      </c>
      <c r="R98" s="83">
        <v>11493.9</v>
      </c>
      <c r="S98" s="83">
        <v>9284.2000000000007</v>
      </c>
      <c r="T98" s="83">
        <v>9081.9</v>
      </c>
      <c r="U98" s="83">
        <v>12724.3</v>
      </c>
      <c r="V98" s="83">
        <v>11646.6</v>
      </c>
      <c r="W98" s="58"/>
      <c r="X98" s="27">
        <f>Table25[[#This Row],[HDC1]]/Table25[[#This Row],[HCC1]]</f>
        <v>0.91912210405334138</v>
      </c>
      <c r="Y98" s="27">
        <f>Table25[[#This Row],[HDC2]]/Table25[[#This Row],[HCC2]]</f>
        <v>0.98061736549969925</v>
      </c>
      <c r="Z98" s="27">
        <f>Table25[[#This Row],[HDC3]]/Table25[[#This Row],[HCC3]]</f>
        <v>0.97968837899115246</v>
      </c>
      <c r="AA98" s="27">
        <f>Table25[[#This Row],[HDC4]]/Table25[[#This Row],[HCC4]]</f>
        <v>0.97821029275543381</v>
      </c>
      <c r="AB98" s="27">
        <f>Table25[[#This Row],[HDC5]]/Table25[[#This Row],[HCC5]]</f>
        <v>0.91530378881353014</v>
      </c>
    </row>
    <row r="99" spans="1:28" ht="15">
      <c r="A99" t="s">
        <v>229</v>
      </c>
      <c r="B99" s="85" t="s">
        <v>512</v>
      </c>
      <c r="C99" s="131">
        <v>119</v>
      </c>
      <c r="D99" s="75">
        <v>641</v>
      </c>
      <c r="E99" s="75">
        <v>133</v>
      </c>
      <c r="F99" s="75">
        <v>627</v>
      </c>
      <c r="G99" s="75">
        <v>136</v>
      </c>
      <c r="H99" s="75">
        <v>623</v>
      </c>
      <c r="I99" s="75">
        <v>137</v>
      </c>
      <c r="J99" s="83">
        <v>616</v>
      </c>
      <c r="K99" s="83">
        <v>137</v>
      </c>
      <c r="L99" s="132">
        <v>622</v>
      </c>
      <c r="M99" s="83">
        <v>12574.7</v>
      </c>
      <c r="N99" s="83">
        <v>11512.3</v>
      </c>
      <c r="O99" s="83">
        <v>10067.5</v>
      </c>
      <c r="P99" s="83">
        <v>9877</v>
      </c>
      <c r="Q99" s="83">
        <v>12512.7</v>
      </c>
      <c r="R99" s="83">
        <v>11474.7</v>
      </c>
      <c r="S99" s="83">
        <v>9115.4</v>
      </c>
      <c r="T99" s="83">
        <v>8945.2000000000007</v>
      </c>
      <c r="U99" s="83">
        <v>12557</v>
      </c>
      <c r="V99" s="83">
        <v>11552.4</v>
      </c>
      <c r="W99" s="58"/>
      <c r="X99" s="27">
        <f>Table25[[#This Row],[HDC1]]/Table25[[#This Row],[HCC1]]</f>
        <v>0.91551289493983945</v>
      </c>
      <c r="Y99" s="27">
        <f>Table25[[#This Row],[HDC2]]/Table25[[#This Row],[HCC2]]</f>
        <v>0.9810777253538614</v>
      </c>
      <c r="Z99" s="27">
        <f>Table25[[#This Row],[HDC3]]/Table25[[#This Row],[HCC3]]</f>
        <v>0.91704428300846341</v>
      </c>
      <c r="AA99" s="27">
        <f>Table25[[#This Row],[HDC4]]/Table25[[#This Row],[HCC4]]</f>
        <v>0.98132830155560935</v>
      </c>
      <c r="AB99" s="27">
        <f>Table25[[#This Row],[HDC5]]/Table25[[#This Row],[HCC5]]</f>
        <v>0.91999681452576254</v>
      </c>
    </row>
    <row r="100" spans="1:28" ht="15">
      <c r="A100" t="s">
        <v>230</v>
      </c>
      <c r="B100" s="85" t="s">
        <v>513</v>
      </c>
      <c r="C100" s="131">
        <v>128</v>
      </c>
      <c r="D100" s="75">
        <v>630</v>
      </c>
      <c r="E100" s="75">
        <v>127</v>
      </c>
      <c r="F100" s="75">
        <v>624</v>
      </c>
      <c r="G100" s="75">
        <v>126</v>
      </c>
      <c r="H100" s="75">
        <v>632</v>
      </c>
      <c r="I100" s="75">
        <v>126</v>
      </c>
      <c r="J100" s="83">
        <v>632</v>
      </c>
      <c r="K100" s="83">
        <v>119</v>
      </c>
      <c r="L100" s="132">
        <v>635</v>
      </c>
      <c r="M100" s="83">
        <v>9242.2999999999993</v>
      </c>
      <c r="N100" s="83">
        <v>9009.2999999999993</v>
      </c>
      <c r="O100" s="83">
        <v>9194</v>
      </c>
      <c r="P100" s="83">
        <v>8986.9</v>
      </c>
      <c r="Q100" s="83">
        <v>13499.2</v>
      </c>
      <c r="R100" s="83">
        <v>12452.6</v>
      </c>
      <c r="S100" s="83">
        <v>12634.2</v>
      </c>
      <c r="T100" s="83">
        <v>11582</v>
      </c>
      <c r="U100" s="83">
        <v>9267.1</v>
      </c>
      <c r="V100" s="83">
        <v>9049.2000000000007</v>
      </c>
      <c r="W100" s="58"/>
      <c r="X100" s="27">
        <f>Table25[[#This Row],[HDC1]]/Table25[[#This Row],[HCC1]]</f>
        <v>0.97478982504354972</v>
      </c>
      <c r="Y100" s="27">
        <f>Table25[[#This Row],[HDC2]]/Table25[[#This Row],[HCC2]]</f>
        <v>0.97747443985207738</v>
      </c>
      <c r="Z100" s="27">
        <f>Table25[[#This Row],[HDC3]]/Table25[[#This Row],[HCC3]]</f>
        <v>0.92246947967286952</v>
      </c>
      <c r="AA100" s="27">
        <f>Table25[[#This Row],[HDC4]]/Table25[[#This Row],[HCC4]]</f>
        <v>0.91671811432461092</v>
      </c>
      <c r="AB100" s="27">
        <f>Table25[[#This Row],[HDC5]]/Table25[[#This Row],[HCC5]]</f>
        <v>0.97648671105308027</v>
      </c>
    </row>
    <row r="101" spans="1:28" ht="15">
      <c r="A101" t="s">
        <v>231</v>
      </c>
      <c r="B101" s="85" t="s">
        <v>514</v>
      </c>
      <c r="C101" s="131">
        <v>126</v>
      </c>
      <c r="D101" s="75">
        <v>625</v>
      </c>
      <c r="E101" s="75">
        <v>108</v>
      </c>
      <c r="F101" s="75">
        <v>626</v>
      </c>
      <c r="G101" s="75">
        <v>124</v>
      </c>
      <c r="H101" s="75">
        <v>614</v>
      </c>
      <c r="I101" s="75">
        <v>128</v>
      </c>
      <c r="J101" s="83">
        <v>624</v>
      </c>
      <c r="K101" s="83">
        <v>128</v>
      </c>
      <c r="L101" s="132">
        <v>621</v>
      </c>
      <c r="M101" s="83">
        <v>7145</v>
      </c>
      <c r="N101" s="83">
        <v>6999.4</v>
      </c>
      <c r="O101" s="83">
        <v>9589.1</v>
      </c>
      <c r="P101" s="83">
        <v>9440.6</v>
      </c>
      <c r="Q101" s="83">
        <v>10398</v>
      </c>
      <c r="R101" s="83">
        <v>9445.6</v>
      </c>
      <c r="S101" s="83">
        <v>10390.5</v>
      </c>
      <c r="T101" s="83">
        <v>9452.7000000000007</v>
      </c>
      <c r="U101" s="83">
        <v>10549.5</v>
      </c>
      <c r="V101" s="83">
        <v>9594.5</v>
      </c>
      <c r="W101" s="58"/>
      <c r="X101" s="27">
        <f>Table25[[#This Row],[HDC1]]/Table25[[#This Row],[HCC1]]</f>
        <v>0.97962211336599014</v>
      </c>
      <c r="Y101" s="27">
        <f>Table25[[#This Row],[HDC2]]/Table25[[#This Row],[HCC2]]</f>
        <v>0.98451366655890538</v>
      </c>
      <c r="Z101" s="27">
        <f>Table25[[#This Row],[HDC3]]/Table25[[#This Row],[HCC3]]</f>
        <v>0.90840546258895949</v>
      </c>
      <c r="AA101" s="27">
        <f>Table25[[#This Row],[HDC4]]/Table25[[#This Row],[HCC4]]</f>
        <v>0.90974447812906023</v>
      </c>
      <c r="AB101" s="27">
        <f>Table25[[#This Row],[HDC5]]/Table25[[#This Row],[HCC5]]</f>
        <v>0.90947438267216452</v>
      </c>
    </row>
    <row r="102" spans="1:28" ht="15">
      <c r="A102" t="s">
        <v>232</v>
      </c>
      <c r="B102" s="85" t="s">
        <v>515</v>
      </c>
      <c r="C102" s="131">
        <v>121</v>
      </c>
      <c r="D102" s="75">
        <v>633</v>
      </c>
      <c r="E102" s="75">
        <v>128</v>
      </c>
      <c r="F102" s="75">
        <v>627</v>
      </c>
      <c r="G102" s="75">
        <v>129</v>
      </c>
      <c r="H102" s="75">
        <v>627</v>
      </c>
      <c r="I102" s="75">
        <v>139</v>
      </c>
      <c r="J102" s="83">
        <v>619</v>
      </c>
      <c r="K102" s="83">
        <v>136</v>
      </c>
      <c r="L102" s="132">
        <v>620</v>
      </c>
      <c r="M102" s="83">
        <v>18840</v>
      </c>
      <c r="N102" s="83">
        <v>17569.400000000001</v>
      </c>
      <c r="O102" s="83">
        <v>18797.400000000001</v>
      </c>
      <c r="P102" s="83">
        <v>17504.5</v>
      </c>
      <c r="Q102" s="83">
        <v>9519.1</v>
      </c>
      <c r="R102" s="83">
        <v>9244.4</v>
      </c>
      <c r="S102" s="83">
        <v>18786</v>
      </c>
      <c r="T102" s="83">
        <v>17519.2</v>
      </c>
      <c r="U102" s="83">
        <v>19673.2</v>
      </c>
      <c r="V102" s="83">
        <v>18408.7</v>
      </c>
      <c r="W102" s="58"/>
      <c r="X102" s="27">
        <f>Table25[[#This Row],[HDC1]]/Table25[[#This Row],[HCC1]]</f>
        <v>0.93255838641188971</v>
      </c>
      <c r="Y102" s="27">
        <f>Table25[[#This Row],[HDC2]]/Table25[[#This Row],[HCC2]]</f>
        <v>0.93121921116750184</v>
      </c>
      <c r="Z102" s="27">
        <f>Table25[[#This Row],[HDC3]]/Table25[[#This Row],[HCC3]]</f>
        <v>0.97114222983265219</v>
      </c>
      <c r="AA102" s="27">
        <f>Table25[[#This Row],[HDC4]]/Table25[[#This Row],[HCC4]]</f>
        <v>0.93256680506760359</v>
      </c>
      <c r="AB102" s="27">
        <f>Table25[[#This Row],[HDC5]]/Table25[[#This Row],[HCC5]]</f>
        <v>0.93572474228900226</v>
      </c>
    </row>
    <row r="103" spans="1:28" ht="15">
      <c r="A103" t="s">
        <v>233</v>
      </c>
      <c r="B103" s="85" t="s">
        <v>516</v>
      </c>
      <c r="C103" s="131">
        <v>126</v>
      </c>
      <c r="D103" s="75">
        <v>647</v>
      </c>
      <c r="E103" s="75">
        <v>134</v>
      </c>
      <c r="F103" s="75">
        <v>628</v>
      </c>
      <c r="G103" s="75">
        <v>118</v>
      </c>
      <c r="H103" s="75">
        <v>645</v>
      </c>
      <c r="I103" s="75">
        <v>144</v>
      </c>
      <c r="J103" s="83">
        <v>601</v>
      </c>
      <c r="K103" s="83">
        <v>135</v>
      </c>
      <c r="L103" s="132">
        <v>626</v>
      </c>
      <c r="M103" s="83">
        <v>14355.2</v>
      </c>
      <c r="N103" s="83">
        <v>14705.2</v>
      </c>
      <c r="O103" s="83">
        <v>16572.5</v>
      </c>
      <c r="P103" s="83">
        <v>15376.6</v>
      </c>
      <c r="Q103" s="83">
        <v>16717.900000000001</v>
      </c>
      <c r="R103" s="83">
        <v>15506.7</v>
      </c>
      <c r="S103" s="83">
        <v>3497.6</v>
      </c>
      <c r="T103" s="83">
        <v>2790.7</v>
      </c>
      <c r="U103" s="83">
        <v>15207.9</v>
      </c>
      <c r="V103" s="83">
        <v>14044.8</v>
      </c>
      <c r="W103" s="58"/>
      <c r="X103" s="27">
        <f>Table25[[#This Row],[HDC1]]/Table25[[#This Row],[HCC1]]</f>
        <v>1.0243814088274632</v>
      </c>
      <c r="Y103" s="27">
        <f>Table25[[#This Row],[HDC2]]/Table25[[#This Row],[HCC2]]</f>
        <v>0.92783828631769505</v>
      </c>
      <c r="Z103" s="27">
        <f>Table25[[#This Row],[HDC3]]/Table25[[#This Row],[HCC3]]</f>
        <v>0.92755070912016457</v>
      </c>
      <c r="AA103" s="27">
        <f>Table25[[#This Row],[HDC4]]/Table25[[#This Row],[HCC4]]</f>
        <v>0.7978899817017383</v>
      </c>
      <c r="AB103" s="27">
        <f>Table25[[#This Row],[HDC5]]/Table25[[#This Row],[HCC5]]</f>
        <v>0.92352001262501726</v>
      </c>
    </row>
    <row r="104" spans="1:28" ht="15">
      <c r="A104" t="s">
        <v>234</v>
      </c>
      <c r="B104" s="85" t="s">
        <v>517</v>
      </c>
      <c r="C104" s="131">
        <v>138</v>
      </c>
      <c r="D104" s="75">
        <v>615</v>
      </c>
      <c r="E104" s="75">
        <v>117</v>
      </c>
      <c r="F104" s="75">
        <v>645</v>
      </c>
      <c r="G104" s="75">
        <v>140</v>
      </c>
      <c r="H104" s="75">
        <v>623</v>
      </c>
      <c r="I104" s="75">
        <v>139</v>
      </c>
      <c r="J104" s="83">
        <v>624</v>
      </c>
      <c r="K104" s="83">
        <v>140</v>
      </c>
      <c r="L104" s="132">
        <v>623</v>
      </c>
      <c r="M104" s="83">
        <v>14925.2</v>
      </c>
      <c r="N104" s="83">
        <v>13869.7</v>
      </c>
      <c r="O104" s="83">
        <v>13934.8</v>
      </c>
      <c r="P104" s="83">
        <v>12884.7</v>
      </c>
      <c r="Q104" s="83">
        <v>13938.4</v>
      </c>
      <c r="R104" s="83">
        <v>12906.5</v>
      </c>
      <c r="S104" s="83">
        <v>13976.4</v>
      </c>
      <c r="T104" s="83">
        <v>12941.7</v>
      </c>
      <c r="U104" s="83">
        <v>13991.5</v>
      </c>
      <c r="V104" s="83">
        <v>12979.3</v>
      </c>
      <c r="W104" s="58"/>
      <c r="X104" s="27">
        <f>Table25[[#This Row],[HDC1]]/Table25[[#This Row],[HCC1]]</f>
        <v>0.92928067965588401</v>
      </c>
      <c r="Y104" s="27">
        <f>Table25[[#This Row],[HDC2]]/Table25[[#This Row],[HCC2]]</f>
        <v>0.92464190372305322</v>
      </c>
      <c r="Z104" s="27">
        <f>Table25[[#This Row],[HDC3]]/Table25[[#This Row],[HCC3]]</f>
        <v>0.92596711243758256</v>
      </c>
      <c r="AA104" s="27">
        <f>Table25[[#This Row],[HDC4]]/Table25[[#This Row],[HCC4]]</f>
        <v>0.92596806044474977</v>
      </c>
      <c r="AB104" s="27">
        <f>Table25[[#This Row],[HDC5]]/Table25[[#This Row],[HCC5]]</f>
        <v>0.92765607690383445</v>
      </c>
    </row>
    <row r="105" spans="1:28" ht="15">
      <c r="A105" t="s">
        <v>235</v>
      </c>
      <c r="B105" s="85" t="s">
        <v>518</v>
      </c>
      <c r="C105" s="131">
        <v>137</v>
      </c>
      <c r="D105" s="75">
        <v>622</v>
      </c>
      <c r="E105" s="75">
        <v>138</v>
      </c>
      <c r="F105" s="75">
        <v>619</v>
      </c>
      <c r="G105" s="75">
        <v>138</v>
      </c>
      <c r="H105" s="75">
        <v>622</v>
      </c>
      <c r="I105" s="75">
        <v>119</v>
      </c>
      <c r="J105" s="83">
        <v>641</v>
      </c>
      <c r="K105" s="83">
        <v>140</v>
      </c>
      <c r="L105" s="132">
        <v>616</v>
      </c>
      <c r="M105" s="83">
        <v>14965.5</v>
      </c>
      <c r="N105" s="83">
        <v>13909.5</v>
      </c>
      <c r="O105" s="83">
        <v>12895.7</v>
      </c>
      <c r="P105" s="83">
        <v>12433.3</v>
      </c>
      <c r="Q105" s="83">
        <v>14097</v>
      </c>
      <c r="R105" s="83">
        <v>13080.9</v>
      </c>
      <c r="S105" s="83">
        <v>14062.1</v>
      </c>
      <c r="T105" s="83">
        <v>12991.1</v>
      </c>
      <c r="U105" s="83">
        <v>10718.1</v>
      </c>
      <c r="V105" s="83">
        <v>11065.4</v>
      </c>
      <c r="W105" s="58"/>
      <c r="X105" s="27">
        <f>Table25[[#This Row],[HDC1]]/Table25[[#This Row],[HCC1]]</f>
        <v>0.92943770672546855</v>
      </c>
      <c r="Y105" s="27">
        <f>Table25[[#This Row],[HDC2]]/Table25[[#This Row],[HCC2]]</f>
        <v>0.96414308645517488</v>
      </c>
      <c r="Z105" s="27">
        <f>Table25[[#This Row],[HDC3]]/Table25[[#This Row],[HCC3]]</f>
        <v>0.92792083422004679</v>
      </c>
      <c r="AA105" s="27">
        <f>Table25[[#This Row],[HDC4]]/Table25[[#This Row],[HCC4]]</f>
        <v>0.92383783360948935</v>
      </c>
      <c r="AB105" s="27">
        <f>Table25[[#This Row],[HDC5]]/Table25[[#This Row],[HCC5]]</f>
        <v>1.0324031311519766</v>
      </c>
    </row>
    <row r="106" spans="1:28" ht="15">
      <c r="A106" t="s">
        <v>236</v>
      </c>
      <c r="B106" s="85" t="s">
        <v>519</v>
      </c>
      <c r="C106" s="131">
        <v>132</v>
      </c>
      <c r="D106" s="75">
        <v>627</v>
      </c>
      <c r="E106" s="75">
        <v>133</v>
      </c>
      <c r="F106" s="75">
        <v>631</v>
      </c>
      <c r="G106" s="75">
        <v>134</v>
      </c>
      <c r="H106" s="75">
        <v>629</v>
      </c>
      <c r="I106" s="75">
        <v>133</v>
      </c>
      <c r="J106" s="83">
        <v>626</v>
      </c>
      <c r="K106" s="83">
        <v>117</v>
      </c>
      <c r="L106" s="132">
        <v>643</v>
      </c>
      <c r="M106" s="83">
        <v>7142.3</v>
      </c>
      <c r="N106" s="83">
        <v>6942.6</v>
      </c>
      <c r="O106" s="83">
        <v>9289.6</v>
      </c>
      <c r="P106" s="83">
        <v>8390.7999999999993</v>
      </c>
      <c r="Q106" s="83">
        <v>7035.8</v>
      </c>
      <c r="R106" s="83">
        <v>6831.3</v>
      </c>
      <c r="S106" s="83">
        <v>9265.7000000000007</v>
      </c>
      <c r="T106" s="83">
        <v>8361.2999999999993</v>
      </c>
      <c r="U106" s="83">
        <v>9308.9</v>
      </c>
      <c r="V106" s="83">
        <v>8408</v>
      </c>
      <c r="W106" s="58"/>
      <c r="X106" s="27">
        <f>Table25[[#This Row],[HDC1]]/Table25[[#This Row],[HCC1]]</f>
        <v>0.97203981910589032</v>
      </c>
      <c r="Y106" s="27">
        <f>Table25[[#This Row],[HDC2]]/Table25[[#This Row],[HCC2]]</f>
        <v>0.90324664140544253</v>
      </c>
      <c r="Z106" s="27">
        <f>Table25[[#This Row],[HDC3]]/Table25[[#This Row],[HCC3]]</f>
        <v>0.97093436425140001</v>
      </c>
      <c r="AA106" s="27">
        <f>Table25[[#This Row],[HDC4]]/Table25[[#This Row],[HCC4]]</f>
        <v>0.90239269564091207</v>
      </c>
      <c r="AB106" s="27">
        <f>Table25[[#This Row],[HDC5]]/Table25[[#This Row],[HCC5]]</f>
        <v>0.90322164810020522</v>
      </c>
    </row>
    <row r="107" spans="1:28" ht="15">
      <c r="A107" t="s">
        <v>237</v>
      </c>
      <c r="B107" s="85" t="s">
        <v>520</v>
      </c>
      <c r="C107" s="131">
        <v>126</v>
      </c>
      <c r="D107" s="75">
        <v>636</v>
      </c>
      <c r="E107" s="75">
        <v>117</v>
      </c>
      <c r="F107" s="75">
        <v>648</v>
      </c>
      <c r="G107" s="75">
        <v>133</v>
      </c>
      <c r="H107" s="75">
        <v>627</v>
      </c>
      <c r="I107" s="75">
        <v>135</v>
      </c>
      <c r="J107" s="83">
        <v>625</v>
      </c>
      <c r="K107" s="83">
        <v>134</v>
      </c>
      <c r="L107" s="132">
        <v>627</v>
      </c>
      <c r="M107" s="83">
        <v>9580.7999999999993</v>
      </c>
      <c r="N107" s="83">
        <v>8667.4</v>
      </c>
      <c r="O107" s="83">
        <v>7051.4</v>
      </c>
      <c r="P107" s="83">
        <v>6908.7</v>
      </c>
      <c r="Q107" s="83">
        <v>9568.1</v>
      </c>
      <c r="R107" s="83">
        <v>8656.7999999999993</v>
      </c>
      <c r="S107" s="83">
        <v>7014.1</v>
      </c>
      <c r="T107" s="83">
        <v>6879.9</v>
      </c>
      <c r="U107" s="83">
        <v>9582.7000000000007</v>
      </c>
      <c r="V107" s="83">
        <v>8672.7999999999993</v>
      </c>
      <c r="W107" s="58"/>
      <c r="X107" s="27">
        <f>Table25[[#This Row],[HDC1]]/Table25[[#This Row],[HCC1]]</f>
        <v>0.90466349365397469</v>
      </c>
      <c r="Y107" s="27">
        <f>Table25[[#This Row],[HDC2]]/Table25[[#This Row],[HCC2]]</f>
        <v>0.97976288396630462</v>
      </c>
      <c r="Z107" s="27">
        <f>Table25[[#This Row],[HDC3]]/Table25[[#This Row],[HCC3]]</f>
        <v>0.90475643022125596</v>
      </c>
      <c r="AA107" s="27">
        <f>Table25[[#This Row],[HDC4]]/Table25[[#This Row],[HCC4]]</f>
        <v>0.98086711053449471</v>
      </c>
      <c r="AB107" s="27">
        <f>Table25[[#This Row],[HDC5]]/Table25[[#This Row],[HCC5]]</f>
        <v>0.90504763793085441</v>
      </c>
    </row>
    <row r="108" spans="1:28" ht="15">
      <c r="A108" t="s">
        <v>238</v>
      </c>
      <c r="B108" s="85" t="s">
        <v>521</v>
      </c>
      <c r="C108" s="131">
        <v>127</v>
      </c>
      <c r="D108" s="75">
        <v>636</v>
      </c>
      <c r="E108" s="75">
        <v>134</v>
      </c>
      <c r="F108" s="75">
        <v>635</v>
      </c>
      <c r="G108" s="75">
        <v>122</v>
      </c>
      <c r="H108" s="75">
        <v>633</v>
      </c>
      <c r="I108" s="75">
        <v>128</v>
      </c>
      <c r="J108" s="83">
        <v>641</v>
      </c>
      <c r="K108" s="83">
        <v>131</v>
      </c>
      <c r="L108" s="132">
        <v>639</v>
      </c>
      <c r="M108" s="83">
        <v>9673.6</v>
      </c>
      <c r="N108" s="83">
        <v>8962.2999999999993</v>
      </c>
      <c r="O108" s="83">
        <v>10658.3</v>
      </c>
      <c r="P108" s="83">
        <v>9641.5</v>
      </c>
      <c r="Q108" s="83">
        <v>7128.9</v>
      </c>
      <c r="R108" s="83">
        <v>7178.8</v>
      </c>
      <c r="S108" s="83">
        <v>10627.3</v>
      </c>
      <c r="T108" s="83">
        <v>9607.6</v>
      </c>
      <c r="U108" s="83">
        <v>9615.7000000000007</v>
      </c>
      <c r="V108" s="83">
        <v>8916</v>
      </c>
      <c r="W108" s="58"/>
      <c r="X108" s="27">
        <f>Table25[[#This Row],[HDC1]]/Table25[[#This Row],[HCC1]]</f>
        <v>0.92646998015216664</v>
      </c>
      <c r="Y108" s="27">
        <f>Table25[[#This Row],[HDC2]]/Table25[[#This Row],[HCC2]]</f>
        <v>0.90460017075893906</v>
      </c>
      <c r="Z108" s="27">
        <f>Table25[[#This Row],[HDC3]]/Table25[[#This Row],[HCC3]]</f>
        <v>1.0069996773695802</v>
      </c>
      <c r="AA108" s="27">
        <f>Table25[[#This Row],[HDC4]]/Table25[[#This Row],[HCC4]]</f>
        <v>0.90404900586226045</v>
      </c>
      <c r="AB108" s="27">
        <f>Table25[[#This Row],[HDC5]]/Table25[[#This Row],[HCC5]]</f>
        <v>0.92723358673835488</v>
      </c>
    </row>
    <row r="109" spans="1:28" ht="15">
      <c r="A109" t="s">
        <v>239</v>
      </c>
      <c r="B109" s="85" t="s">
        <v>522</v>
      </c>
      <c r="C109" s="131">
        <v>120</v>
      </c>
      <c r="D109" s="75">
        <v>641</v>
      </c>
      <c r="E109" s="75">
        <v>117</v>
      </c>
      <c r="F109" s="75">
        <v>644</v>
      </c>
      <c r="G109" s="75">
        <v>130</v>
      </c>
      <c r="H109" s="75">
        <v>621</v>
      </c>
      <c r="I109" s="75">
        <v>119</v>
      </c>
      <c r="J109" s="83">
        <v>641</v>
      </c>
      <c r="K109" s="83">
        <v>127</v>
      </c>
      <c r="L109" s="132">
        <v>631</v>
      </c>
      <c r="M109" s="83">
        <v>9598.2999999999993</v>
      </c>
      <c r="N109" s="83">
        <v>8684.2999999999993</v>
      </c>
      <c r="O109" s="83">
        <v>9600.9</v>
      </c>
      <c r="P109" s="83">
        <v>8688</v>
      </c>
      <c r="Q109" s="83">
        <v>7039.4</v>
      </c>
      <c r="R109" s="83">
        <v>6898.8</v>
      </c>
      <c r="S109" s="83">
        <v>9556.5</v>
      </c>
      <c r="T109" s="83">
        <v>8634.4</v>
      </c>
      <c r="U109" s="83">
        <v>9477.1</v>
      </c>
      <c r="V109" s="83">
        <v>8597.5</v>
      </c>
      <c r="W109" s="58"/>
      <c r="X109" s="27">
        <f>Table25[[#This Row],[HDC1]]/Table25[[#This Row],[HCC1]]</f>
        <v>0.90477480387151887</v>
      </c>
      <c r="Y109" s="27">
        <f>Table25[[#This Row],[HDC2]]/Table25[[#This Row],[HCC2]]</f>
        <v>0.90491516420335594</v>
      </c>
      <c r="Z109" s="27">
        <f>Table25[[#This Row],[HDC3]]/Table25[[#This Row],[HCC3]]</f>
        <v>0.9800267068216042</v>
      </c>
      <c r="AA109" s="27">
        <f>Table25[[#This Row],[HDC4]]/Table25[[#This Row],[HCC4]]</f>
        <v>0.90351069952388419</v>
      </c>
      <c r="AB109" s="27">
        <f>Table25[[#This Row],[HDC5]]/Table25[[#This Row],[HCC5]]</f>
        <v>0.90718679764906984</v>
      </c>
    </row>
    <row r="110" spans="1:28" ht="15">
      <c r="A110" t="s">
        <v>240</v>
      </c>
      <c r="B110" s="85" t="s">
        <v>523</v>
      </c>
      <c r="C110" s="131">
        <v>115</v>
      </c>
      <c r="D110" s="75">
        <v>644</v>
      </c>
      <c r="E110" s="75">
        <v>128</v>
      </c>
      <c r="F110" s="75">
        <v>637</v>
      </c>
      <c r="G110" s="75">
        <v>126</v>
      </c>
      <c r="H110" s="75">
        <v>643</v>
      </c>
      <c r="I110" s="75">
        <v>134</v>
      </c>
      <c r="J110" s="83">
        <v>632</v>
      </c>
      <c r="K110" s="83">
        <v>137</v>
      </c>
      <c r="L110" s="132">
        <v>629</v>
      </c>
      <c r="M110" s="83">
        <v>21926</v>
      </c>
      <c r="N110" s="83">
        <v>20627.2</v>
      </c>
      <c r="O110" s="75">
        <v>22580.7</v>
      </c>
      <c r="P110" s="75">
        <v>21168.5</v>
      </c>
      <c r="Q110" s="75">
        <v>22482.400000000001</v>
      </c>
      <c r="R110" s="75">
        <v>21024.799999999999</v>
      </c>
      <c r="S110" s="75">
        <v>22651.7</v>
      </c>
      <c r="T110" s="75">
        <v>21216.799999999999</v>
      </c>
      <c r="U110" s="75">
        <v>22648.3</v>
      </c>
      <c r="V110" s="75">
        <v>21250.2</v>
      </c>
      <c r="X110" s="27">
        <f>Table25[[#This Row],[HDC1]]/Table25[[#This Row],[HCC1]]</f>
        <v>0.94076438930949557</v>
      </c>
      <c r="Y110" s="27">
        <f>Table25[[#This Row],[HDC2]]/Table25[[#This Row],[HCC2]]</f>
        <v>0.93745986616889643</v>
      </c>
      <c r="Z110" s="27">
        <f>Table25[[#This Row],[HDC3]]/Table25[[#This Row],[HCC3]]</f>
        <v>0.93516706401451788</v>
      </c>
      <c r="AA110" s="27">
        <f>Table25[[#This Row],[HDC4]]/Table25[[#This Row],[HCC4]]</f>
        <v>0.93665376108636433</v>
      </c>
      <c r="AB110" s="27">
        <f>Table25[[#This Row],[HDC5]]/Table25[[#This Row],[HCC5]]</f>
        <v>0.93826909745985354</v>
      </c>
    </row>
    <row r="111" spans="1:28" ht="15">
      <c r="A111" t="s">
        <v>241</v>
      </c>
      <c r="B111" s="85" t="s">
        <v>524</v>
      </c>
      <c r="C111" s="131">
        <v>127</v>
      </c>
      <c r="D111" s="75">
        <v>628</v>
      </c>
      <c r="E111" s="75">
        <v>129</v>
      </c>
      <c r="F111" s="75">
        <v>630</v>
      </c>
      <c r="G111" s="75">
        <v>121</v>
      </c>
      <c r="H111" s="75">
        <v>648</v>
      </c>
      <c r="I111" s="75">
        <v>127</v>
      </c>
      <c r="J111" s="83">
        <v>636</v>
      </c>
      <c r="K111" s="83">
        <v>121</v>
      </c>
      <c r="L111" s="132">
        <v>636</v>
      </c>
      <c r="M111" s="83">
        <v>20316.5</v>
      </c>
      <c r="N111" s="83">
        <v>19001.5</v>
      </c>
      <c r="O111" s="75">
        <v>20256.5</v>
      </c>
      <c r="P111" s="75">
        <v>18929.400000000001</v>
      </c>
      <c r="Q111" s="75">
        <v>19828.3</v>
      </c>
      <c r="R111" s="75">
        <v>18834.3</v>
      </c>
      <c r="S111" s="75">
        <v>19596.099999999999</v>
      </c>
      <c r="T111" s="75">
        <v>18722.2</v>
      </c>
      <c r="U111" s="75">
        <v>19776.8</v>
      </c>
      <c r="V111" s="75">
        <v>18837.8</v>
      </c>
      <c r="X111" s="27">
        <f>Table25[[#This Row],[HDC1]]/Table25[[#This Row],[HCC1]]</f>
        <v>0.93527428444860095</v>
      </c>
      <c r="Y111" s="27">
        <f>Table25[[#This Row],[HDC2]]/Table25[[#This Row],[HCC2]]</f>
        <v>0.93448522696418446</v>
      </c>
      <c r="Z111" s="27">
        <f>Table25[[#This Row],[HDC3]]/Table25[[#This Row],[HCC3]]</f>
        <v>0.94986963078024844</v>
      </c>
      <c r="AA111" s="27">
        <f>Table25[[#This Row],[HDC4]]/Table25[[#This Row],[HCC4]]</f>
        <v>0.95540439169018332</v>
      </c>
      <c r="AB111" s="27">
        <f>Table25[[#This Row],[HDC5]]/Table25[[#This Row],[HCC5]]</f>
        <v>0.95252012459042923</v>
      </c>
    </row>
    <row r="112" spans="1:28" ht="15">
      <c r="A112" t="s">
        <v>242</v>
      </c>
      <c r="B112" s="85" t="s">
        <v>525</v>
      </c>
      <c r="C112" s="131">
        <v>130</v>
      </c>
      <c r="D112" s="75">
        <v>617</v>
      </c>
      <c r="E112" s="75">
        <v>130</v>
      </c>
      <c r="F112" s="75">
        <v>620</v>
      </c>
      <c r="G112" s="75">
        <v>113</v>
      </c>
      <c r="H112" s="75">
        <v>629</v>
      </c>
      <c r="I112" s="75">
        <v>130</v>
      </c>
      <c r="J112" s="83">
        <v>627</v>
      </c>
      <c r="K112" s="83">
        <v>133</v>
      </c>
      <c r="L112" s="132">
        <v>619</v>
      </c>
      <c r="M112" s="83">
        <v>19688</v>
      </c>
      <c r="N112" s="83">
        <v>18393.599999999999</v>
      </c>
      <c r="O112" s="75">
        <v>19157.3</v>
      </c>
      <c r="P112" s="75">
        <v>17953.400000000001</v>
      </c>
      <c r="Q112" s="75">
        <v>19044.099999999999</v>
      </c>
      <c r="R112" s="75">
        <v>17809.7</v>
      </c>
      <c r="S112" s="75">
        <v>19008.900000000001</v>
      </c>
      <c r="T112" s="75">
        <v>17788.099999999999</v>
      </c>
      <c r="U112" s="75">
        <v>19344.2</v>
      </c>
      <c r="V112" s="75">
        <v>18091.5</v>
      </c>
      <c r="X112" s="27">
        <f>Table25[[#This Row],[HDC1]]/Table25[[#This Row],[HCC1]]</f>
        <v>0.9342543681430312</v>
      </c>
      <c r="Y112" s="27">
        <f>Table25[[#This Row],[HDC2]]/Table25[[#This Row],[HCC2]]</f>
        <v>0.9371571150423077</v>
      </c>
      <c r="Z112" s="27">
        <f>Table25[[#This Row],[HDC3]]/Table25[[#This Row],[HCC3]]</f>
        <v>0.93518202487909652</v>
      </c>
      <c r="AA112" s="27">
        <f>Table25[[#This Row],[HDC4]]/Table25[[#This Row],[HCC4]]</f>
        <v>0.93577745161476977</v>
      </c>
      <c r="AB112" s="27">
        <f>Table25[[#This Row],[HDC5]]/Table25[[#This Row],[HCC5]]</f>
        <v>0.93524157111692385</v>
      </c>
    </row>
    <row r="113" spans="1:28" ht="15">
      <c r="A113" t="s">
        <v>243</v>
      </c>
      <c r="B113" s="85" t="s">
        <v>526</v>
      </c>
      <c r="C113" s="131">
        <v>123</v>
      </c>
      <c r="D113" s="75">
        <v>644</v>
      </c>
      <c r="E113" s="75">
        <v>126</v>
      </c>
      <c r="F113" s="75">
        <v>640</v>
      </c>
      <c r="G113" s="75">
        <v>125</v>
      </c>
      <c r="H113" s="75">
        <v>637</v>
      </c>
      <c r="I113" s="75">
        <v>127</v>
      </c>
      <c r="J113" s="83">
        <v>644</v>
      </c>
      <c r="K113" s="83">
        <v>129</v>
      </c>
      <c r="L113" s="132">
        <v>637</v>
      </c>
      <c r="M113" s="83">
        <v>17221.2</v>
      </c>
      <c r="N113" s="83">
        <v>16034</v>
      </c>
      <c r="O113" s="75">
        <v>16984.2</v>
      </c>
      <c r="P113" s="75">
        <v>15856.2</v>
      </c>
      <c r="Q113" s="75">
        <v>17037.2</v>
      </c>
      <c r="R113" s="75">
        <v>15897.1</v>
      </c>
      <c r="S113" s="75">
        <v>16810.099999999999</v>
      </c>
      <c r="T113" s="75">
        <v>15638.2</v>
      </c>
      <c r="U113" s="75">
        <v>16757.099999999999</v>
      </c>
      <c r="V113" s="75">
        <v>15610.1</v>
      </c>
      <c r="X113" s="27">
        <f>Table25[[#This Row],[HDC1]]/Table25[[#This Row],[HCC1]]</f>
        <v>0.93106171463080389</v>
      </c>
      <c r="Y113" s="27">
        <f>Table25[[#This Row],[HDC2]]/Table25[[#This Row],[HCC2]]</f>
        <v>0.93358533224997353</v>
      </c>
      <c r="Z113" s="27">
        <f>Table25[[#This Row],[HDC3]]/Table25[[#This Row],[HCC3]]</f>
        <v>0.93308172704435</v>
      </c>
      <c r="AA113" s="27">
        <f>Table25[[#This Row],[HDC4]]/Table25[[#This Row],[HCC4]]</f>
        <v>0.93028595903653177</v>
      </c>
      <c r="AB113" s="27">
        <f>Table25[[#This Row],[HDC5]]/Table25[[#This Row],[HCC5]]</f>
        <v>0.93155140209224752</v>
      </c>
    </row>
    <row r="114" spans="1:28" ht="15">
      <c r="A114" t="s">
        <v>244</v>
      </c>
      <c r="B114" s="85" t="s">
        <v>527</v>
      </c>
      <c r="C114" s="131">
        <v>115</v>
      </c>
      <c r="D114" s="75">
        <v>639</v>
      </c>
      <c r="E114" s="75">
        <v>135</v>
      </c>
      <c r="F114" s="75">
        <v>621</v>
      </c>
      <c r="G114" s="75">
        <v>133</v>
      </c>
      <c r="H114" s="75">
        <v>624</v>
      </c>
      <c r="I114" s="75">
        <v>134</v>
      </c>
      <c r="J114" s="83">
        <v>620</v>
      </c>
      <c r="K114" s="83">
        <v>133</v>
      </c>
      <c r="L114" s="132">
        <v>627</v>
      </c>
      <c r="M114" s="83">
        <v>21770</v>
      </c>
      <c r="N114" s="83">
        <v>20385.5</v>
      </c>
      <c r="O114" s="75">
        <v>20342.2</v>
      </c>
      <c r="P114" s="75">
        <v>19845.900000000001</v>
      </c>
      <c r="Q114" s="75">
        <v>22156.2</v>
      </c>
      <c r="R114" s="75">
        <v>20718.900000000001</v>
      </c>
      <c r="S114" s="75">
        <v>22142.5</v>
      </c>
      <c r="T114" s="75">
        <v>20749.5</v>
      </c>
      <c r="U114" s="75">
        <v>21706.6</v>
      </c>
      <c r="V114" s="75">
        <v>20372.599999999999</v>
      </c>
      <c r="X114" s="27">
        <f>Table25[[#This Row],[HDC1]]/Table25[[#This Row],[HCC1]]</f>
        <v>0.93640330730362886</v>
      </c>
      <c r="Y114" s="27">
        <f>Table25[[#This Row],[HDC2]]/Table25[[#This Row],[HCC2]]</f>
        <v>0.97560244221372328</v>
      </c>
      <c r="Z114" s="27">
        <f>Table25[[#This Row],[HDC3]]/Table25[[#This Row],[HCC3]]</f>
        <v>0.93512876756844587</v>
      </c>
      <c r="AA114" s="27">
        <f>Table25[[#This Row],[HDC4]]/Table25[[#This Row],[HCC4]]</f>
        <v>0.93708930789206279</v>
      </c>
      <c r="AB114" s="27">
        <f>Table25[[#This Row],[HDC5]]/Table25[[#This Row],[HCC5]]</f>
        <v>0.93854403729741187</v>
      </c>
    </row>
    <row r="115" spans="1:28" ht="15">
      <c r="A115" t="s">
        <v>245</v>
      </c>
      <c r="B115" s="85" t="s">
        <v>528</v>
      </c>
      <c r="C115" s="131">
        <v>115</v>
      </c>
      <c r="D115" s="75">
        <v>632</v>
      </c>
      <c r="E115" s="75">
        <v>134</v>
      </c>
      <c r="F115" s="75">
        <v>626</v>
      </c>
      <c r="G115" s="75">
        <v>134</v>
      </c>
      <c r="H115" s="75">
        <v>626</v>
      </c>
      <c r="I115" s="75">
        <v>135</v>
      </c>
      <c r="J115" s="83">
        <v>621</v>
      </c>
      <c r="K115" s="83">
        <v>134</v>
      </c>
      <c r="L115" s="132">
        <v>624</v>
      </c>
      <c r="M115" s="83">
        <v>16504.900000000001</v>
      </c>
      <c r="N115" s="83">
        <v>15345</v>
      </c>
      <c r="O115" s="75">
        <v>16923.400000000001</v>
      </c>
      <c r="P115" s="75">
        <v>15824.4</v>
      </c>
      <c r="Q115" s="75">
        <v>16958.3</v>
      </c>
      <c r="R115" s="75">
        <v>15847.4</v>
      </c>
      <c r="S115" s="75">
        <v>16912.400000000001</v>
      </c>
      <c r="T115" s="75">
        <v>15765.5</v>
      </c>
      <c r="U115" s="75">
        <v>16989.2</v>
      </c>
      <c r="V115" s="75">
        <v>15828.3</v>
      </c>
      <c r="X115" s="27">
        <f>Table25[[#This Row],[HDC1]]/Table25[[#This Row],[HCC1]]</f>
        <v>0.92972390017509943</v>
      </c>
      <c r="Y115" s="27">
        <f>Table25[[#This Row],[HDC2]]/Table25[[#This Row],[HCC2]]</f>
        <v>0.93506033066641447</v>
      </c>
      <c r="Z115" s="27">
        <f>Table25[[#This Row],[HDC3]]/Table25[[#This Row],[HCC3]]</f>
        <v>0.9344922545302301</v>
      </c>
      <c r="AA115" s="27">
        <f>Table25[[#This Row],[HDC4]]/Table25[[#This Row],[HCC4]]</f>
        <v>0.9321858518010453</v>
      </c>
      <c r="AB115" s="27">
        <f>Table25[[#This Row],[HDC5]]/Table25[[#This Row],[HCC5]]</f>
        <v>0.93166835401313763</v>
      </c>
    </row>
    <row r="116" spans="1:28" ht="15">
      <c r="A116" t="s">
        <v>246</v>
      </c>
      <c r="B116" s="85" t="s">
        <v>529</v>
      </c>
      <c r="C116" s="131">
        <v>122</v>
      </c>
      <c r="D116" s="75">
        <v>630</v>
      </c>
      <c r="E116" s="75">
        <v>129</v>
      </c>
      <c r="F116" s="75">
        <v>625</v>
      </c>
      <c r="G116" s="75">
        <v>122</v>
      </c>
      <c r="H116" s="75">
        <v>629</v>
      </c>
      <c r="I116" s="75">
        <v>123</v>
      </c>
      <c r="J116" s="83">
        <v>629</v>
      </c>
      <c r="K116" s="83">
        <v>123</v>
      </c>
      <c r="L116" s="132">
        <v>631</v>
      </c>
      <c r="M116" s="83">
        <v>21564.3</v>
      </c>
      <c r="N116" s="83">
        <v>20591.099999999999</v>
      </c>
      <c r="O116" s="75">
        <v>19148.599999999999</v>
      </c>
      <c r="P116" s="75">
        <v>18502.7</v>
      </c>
      <c r="Q116" s="75">
        <v>22151.5</v>
      </c>
      <c r="R116" s="75">
        <v>20756.5</v>
      </c>
      <c r="S116" s="75">
        <v>19080.599999999999</v>
      </c>
      <c r="T116" s="75">
        <v>18408.400000000001</v>
      </c>
      <c r="U116" s="75">
        <v>22917.599999999999</v>
      </c>
      <c r="V116" s="75">
        <v>21432.9</v>
      </c>
      <c r="X116" s="27">
        <f>Table25[[#This Row],[HDC1]]/Table25[[#This Row],[HCC1]]</f>
        <v>0.95486985434259397</v>
      </c>
      <c r="Y116" s="27">
        <f>Table25[[#This Row],[HDC2]]/Table25[[#This Row],[HCC2]]</f>
        <v>0.96626907450153021</v>
      </c>
      <c r="Z116" s="27">
        <f>Table25[[#This Row],[HDC3]]/Table25[[#This Row],[HCC3]]</f>
        <v>0.93702458072816741</v>
      </c>
      <c r="AA116" s="27">
        <f>Table25[[#This Row],[HDC4]]/Table25[[#This Row],[HCC4]]</f>
        <v>0.96477049987945884</v>
      </c>
      <c r="AB116" s="27">
        <f>Table25[[#This Row],[HDC5]]/Table25[[#This Row],[HCC5]]</f>
        <v>0.93521572939574837</v>
      </c>
    </row>
    <row r="117" spans="1:28" ht="15">
      <c r="A117" t="s">
        <v>247</v>
      </c>
      <c r="B117" s="85" t="s">
        <v>530</v>
      </c>
      <c r="C117" s="131">
        <v>121</v>
      </c>
      <c r="D117" s="75">
        <v>637</v>
      </c>
      <c r="E117" s="75">
        <v>116</v>
      </c>
      <c r="F117" s="75">
        <v>638</v>
      </c>
      <c r="G117" s="75">
        <v>133</v>
      </c>
      <c r="H117" s="75">
        <v>619</v>
      </c>
      <c r="I117" s="75">
        <v>125</v>
      </c>
      <c r="J117" s="83">
        <v>633</v>
      </c>
      <c r="K117" s="83">
        <v>133</v>
      </c>
      <c r="L117" s="132">
        <v>627</v>
      </c>
      <c r="M117" s="83">
        <v>20285.7</v>
      </c>
      <c r="N117" s="83">
        <v>19787.400000000001</v>
      </c>
      <c r="O117" s="75">
        <v>18532.400000000001</v>
      </c>
      <c r="P117" s="75">
        <v>18106.7</v>
      </c>
      <c r="Q117" s="75">
        <v>20983</v>
      </c>
      <c r="R117" s="75">
        <v>19731.5</v>
      </c>
      <c r="S117" s="75">
        <v>18358.400000000001</v>
      </c>
      <c r="T117" s="75">
        <v>17897.599999999999</v>
      </c>
      <c r="U117" s="75">
        <v>21012.9</v>
      </c>
      <c r="V117" s="75">
        <v>20192.900000000001</v>
      </c>
      <c r="X117" s="27">
        <f>Table25[[#This Row],[HDC1]]/Table25[[#This Row],[HCC1]]</f>
        <v>0.97543589819429455</v>
      </c>
      <c r="Y117" s="27">
        <f>Table25[[#This Row],[HDC2]]/Table25[[#This Row],[HCC2]]</f>
        <v>0.97702941874770666</v>
      </c>
      <c r="Z117" s="27">
        <f>Table25[[#This Row],[HDC3]]/Table25[[#This Row],[HCC3]]</f>
        <v>0.94035647905447262</v>
      </c>
      <c r="AA117" s="27">
        <f>Table25[[#This Row],[HDC4]]/Table25[[#This Row],[HCC4]]</f>
        <v>0.97489977340073197</v>
      </c>
      <c r="AB117" s="27">
        <f>Table25[[#This Row],[HDC5]]/Table25[[#This Row],[HCC5]]</f>
        <v>0.96097635262148495</v>
      </c>
    </row>
    <row r="118" spans="1:28" ht="15">
      <c r="A118" t="s">
        <v>248</v>
      </c>
      <c r="B118" s="85" t="s">
        <v>531</v>
      </c>
      <c r="C118" s="131">
        <v>0</v>
      </c>
      <c r="D118" s="75">
        <v>778</v>
      </c>
      <c r="E118" s="75">
        <v>17</v>
      </c>
      <c r="F118" s="75">
        <v>770</v>
      </c>
      <c r="G118" s="75">
        <v>0</v>
      </c>
      <c r="H118" s="75">
        <v>773</v>
      </c>
      <c r="I118" s="75">
        <v>0</v>
      </c>
      <c r="J118" s="83">
        <v>772</v>
      </c>
      <c r="K118" s="83">
        <v>0</v>
      </c>
      <c r="L118" s="132">
        <v>773</v>
      </c>
      <c r="M118" s="83">
        <v>18675.900000000001</v>
      </c>
      <c r="N118" s="83">
        <v>17423.2</v>
      </c>
      <c r="O118" s="75">
        <v>18553.2</v>
      </c>
      <c r="P118" s="75">
        <v>17327.900000000001</v>
      </c>
      <c r="Q118" s="75">
        <v>19282.5</v>
      </c>
      <c r="R118" s="75">
        <v>18061.2</v>
      </c>
      <c r="S118" s="75">
        <v>18542.400000000001</v>
      </c>
      <c r="T118" s="75">
        <v>17219.3</v>
      </c>
      <c r="U118" s="75">
        <v>19262.3</v>
      </c>
      <c r="V118" s="75">
        <v>18082.3</v>
      </c>
      <c r="X118" s="27">
        <f>Table25[[#This Row],[HDC1]]/Table25[[#This Row],[HCC1]]</f>
        <v>0.93292424996921164</v>
      </c>
      <c r="Y118" s="27">
        <f>Table25[[#This Row],[HDC2]]/Table25[[#This Row],[HCC2]]</f>
        <v>0.93395748442317228</v>
      </c>
      <c r="Z118" s="27">
        <f>Table25[[#This Row],[HDC3]]/Table25[[#This Row],[HCC3]]</f>
        <v>0.93666277712952162</v>
      </c>
      <c r="AA118" s="27">
        <f>Table25[[#This Row],[HDC4]]/Table25[[#This Row],[HCC4]]</f>
        <v>0.92864461989817915</v>
      </c>
      <c r="AB118" s="27">
        <f>Table25[[#This Row],[HDC5]]/Table25[[#This Row],[HCC5]]</f>
        <v>0.93874044117265332</v>
      </c>
    </row>
    <row r="119" spans="1:28" ht="15">
      <c r="A119" t="s">
        <v>249</v>
      </c>
      <c r="B119" s="85" t="s">
        <v>532</v>
      </c>
      <c r="C119" s="131">
        <v>124</v>
      </c>
      <c r="D119" s="75">
        <v>650</v>
      </c>
      <c r="E119" s="75">
        <v>123</v>
      </c>
      <c r="F119" s="75">
        <v>650</v>
      </c>
      <c r="G119" s="75">
        <v>123</v>
      </c>
      <c r="H119" s="75">
        <v>646</v>
      </c>
      <c r="I119" s="75">
        <v>128</v>
      </c>
      <c r="J119" s="83">
        <v>641</v>
      </c>
      <c r="K119" s="83">
        <v>110</v>
      </c>
      <c r="L119" s="132">
        <v>649</v>
      </c>
      <c r="M119" s="83">
        <v>19606</v>
      </c>
      <c r="N119" s="83">
        <v>18377.3</v>
      </c>
      <c r="O119" s="75">
        <v>19191.900000000001</v>
      </c>
      <c r="P119" s="75">
        <v>18047.099999999999</v>
      </c>
      <c r="Q119" s="75">
        <v>18923.8</v>
      </c>
      <c r="R119" s="75">
        <v>18096.8</v>
      </c>
      <c r="S119" s="75">
        <v>18078.5</v>
      </c>
      <c r="T119" s="75">
        <v>17643.400000000001</v>
      </c>
      <c r="U119" s="75">
        <v>19415.900000000001</v>
      </c>
      <c r="V119" s="75">
        <v>18172.7</v>
      </c>
      <c r="X119" s="27">
        <f>Table25[[#This Row],[HDC1]]/Table25[[#This Row],[HCC1]]</f>
        <v>0.93733040905845144</v>
      </c>
      <c r="Y119" s="27">
        <f>Table25[[#This Row],[HDC2]]/Table25[[#This Row],[HCC2]]</f>
        <v>0.94034983508667702</v>
      </c>
      <c r="Z119" s="27">
        <f>Table25[[#This Row],[HDC3]]/Table25[[#This Row],[HCC3]]</f>
        <v>0.95629841786533365</v>
      </c>
      <c r="AA119" s="27">
        <f>Table25[[#This Row],[HDC4]]/Table25[[#This Row],[HCC4]]</f>
        <v>0.97593273778244882</v>
      </c>
      <c r="AB119" s="27">
        <f>Table25[[#This Row],[HDC5]]/Table25[[#This Row],[HCC5]]</f>
        <v>0.93597000396582175</v>
      </c>
    </row>
    <row r="120" spans="1:28" ht="15">
      <c r="A120" t="s">
        <v>250</v>
      </c>
      <c r="B120" s="85" t="s">
        <v>533</v>
      </c>
      <c r="C120" s="131">
        <v>113</v>
      </c>
      <c r="D120" s="75">
        <v>650</v>
      </c>
      <c r="E120" s="75">
        <v>114</v>
      </c>
      <c r="F120" s="75">
        <v>648</v>
      </c>
      <c r="G120" s="75">
        <v>115</v>
      </c>
      <c r="H120" s="75">
        <v>648</v>
      </c>
      <c r="I120" s="75">
        <v>117</v>
      </c>
      <c r="J120" s="83">
        <v>645</v>
      </c>
      <c r="K120" s="83">
        <v>114</v>
      </c>
      <c r="L120" s="132">
        <v>647</v>
      </c>
      <c r="M120" s="83">
        <v>21868.9</v>
      </c>
      <c r="N120" s="83">
        <v>20559.2</v>
      </c>
      <c r="O120" s="75">
        <v>21699.4</v>
      </c>
      <c r="P120" s="75">
        <v>20353.7</v>
      </c>
      <c r="Q120" s="75">
        <v>21293.1</v>
      </c>
      <c r="R120" s="75">
        <v>20344.400000000001</v>
      </c>
      <c r="S120" s="75">
        <v>21278.9</v>
      </c>
      <c r="T120" s="75">
        <v>20022.7</v>
      </c>
      <c r="U120" s="75">
        <v>21526.5</v>
      </c>
      <c r="V120" s="75">
        <v>20159.599999999999</v>
      </c>
      <c r="X120" s="27">
        <f>Table25[[#This Row],[HDC1]]/Table25[[#This Row],[HCC1]]</f>
        <v>0.94011129960811923</v>
      </c>
      <c r="Y120" s="27">
        <f>Table25[[#This Row],[HDC2]]/Table25[[#This Row],[HCC2]]</f>
        <v>0.93798446039982675</v>
      </c>
      <c r="Z120" s="27">
        <f>Table25[[#This Row],[HDC3]]/Table25[[#This Row],[HCC3]]</f>
        <v>0.95544566080091686</v>
      </c>
      <c r="AA120" s="27">
        <f>Table25[[#This Row],[HDC4]]/Table25[[#This Row],[HCC4]]</f>
        <v>0.94096499349120488</v>
      </c>
      <c r="AB120" s="27">
        <f>Table25[[#This Row],[HDC5]]/Table25[[#This Row],[HCC5]]</f>
        <v>0.93650152138062381</v>
      </c>
    </row>
    <row r="121" spans="1:28" ht="15">
      <c r="A121" t="s">
        <v>251</v>
      </c>
      <c r="B121" s="85" t="s">
        <v>534</v>
      </c>
      <c r="C121" s="131">
        <v>125</v>
      </c>
      <c r="D121" s="75">
        <v>647</v>
      </c>
      <c r="E121" s="75">
        <v>108</v>
      </c>
      <c r="F121" s="75">
        <v>646</v>
      </c>
      <c r="G121" s="75">
        <v>116</v>
      </c>
      <c r="H121" s="75">
        <v>646</v>
      </c>
      <c r="I121" s="75">
        <v>124</v>
      </c>
      <c r="J121" s="83">
        <v>649</v>
      </c>
      <c r="K121" s="83">
        <v>125</v>
      </c>
      <c r="L121" s="132">
        <v>644</v>
      </c>
      <c r="M121" s="83">
        <v>21099.3</v>
      </c>
      <c r="N121" s="83">
        <v>19773.3</v>
      </c>
      <c r="O121" s="75">
        <v>21724.400000000001</v>
      </c>
      <c r="P121" s="75">
        <v>20505.3</v>
      </c>
      <c r="Q121" s="75">
        <v>21688.7</v>
      </c>
      <c r="R121" s="75">
        <v>20463.900000000001</v>
      </c>
      <c r="S121" s="75">
        <v>21819</v>
      </c>
      <c r="T121" s="75">
        <v>20469.3</v>
      </c>
      <c r="U121" s="75">
        <v>21041</v>
      </c>
      <c r="V121" s="75">
        <v>19760.3</v>
      </c>
      <c r="X121" s="27">
        <f>Table25[[#This Row],[HDC1]]/Table25[[#This Row],[HCC1]]</f>
        <v>0.93715431317626652</v>
      </c>
      <c r="Y121" s="27">
        <f>Table25[[#This Row],[HDC2]]/Table25[[#This Row],[HCC2]]</f>
        <v>0.9438833753751541</v>
      </c>
      <c r="Z121" s="27">
        <f>Table25[[#This Row],[HDC3]]/Table25[[#This Row],[HCC3]]</f>
        <v>0.94352819671072963</v>
      </c>
      <c r="AA121" s="27">
        <f>Table25[[#This Row],[HDC4]]/Table25[[#This Row],[HCC4]]</f>
        <v>0.93814106970988587</v>
      </c>
      <c r="AB121" s="27">
        <f>Table25[[#This Row],[HDC5]]/Table25[[#This Row],[HCC5]]</f>
        <v>0.93913312104937974</v>
      </c>
    </row>
    <row r="122" spans="1:28" ht="15">
      <c r="A122" t="s">
        <v>252</v>
      </c>
      <c r="B122" s="85" t="s">
        <v>535</v>
      </c>
      <c r="C122" s="131">
        <v>116</v>
      </c>
      <c r="D122" s="75">
        <v>641</v>
      </c>
      <c r="E122" s="75">
        <v>132</v>
      </c>
      <c r="F122" s="75">
        <v>621</v>
      </c>
      <c r="G122" s="75">
        <v>132</v>
      </c>
      <c r="H122" s="75">
        <v>620</v>
      </c>
      <c r="I122" s="75">
        <v>132</v>
      </c>
      <c r="J122" s="83">
        <v>622</v>
      </c>
      <c r="K122" s="83">
        <v>138</v>
      </c>
      <c r="L122" s="132">
        <v>620</v>
      </c>
      <c r="M122" s="83">
        <v>22009.4</v>
      </c>
      <c r="N122" s="83">
        <v>20798.5</v>
      </c>
      <c r="O122" s="75">
        <v>22834.799999999999</v>
      </c>
      <c r="P122" s="75">
        <v>21533.3</v>
      </c>
      <c r="Q122" s="75">
        <v>21840.3</v>
      </c>
      <c r="R122" s="75">
        <v>20603.2</v>
      </c>
      <c r="S122" s="75">
        <v>22505.599999999999</v>
      </c>
      <c r="T122" s="75">
        <v>21536</v>
      </c>
      <c r="U122" s="75">
        <v>22766.1</v>
      </c>
      <c r="V122" s="75">
        <v>21466.1</v>
      </c>
      <c r="X122" s="27">
        <f>Table25[[#This Row],[HDC1]]/Table25[[#This Row],[HCC1]]</f>
        <v>0.94498259834434373</v>
      </c>
      <c r="Y122" s="27">
        <f>Table25[[#This Row],[HDC2]]/Table25[[#This Row],[HCC2]]</f>
        <v>0.94300366107870448</v>
      </c>
      <c r="Z122" s="27">
        <f>Table25[[#This Row],[HDC3]]/Table25[[#This Row],[HCC3]]</f>
        <v>0.94335700516934295</v>
      </c>
      <c r="AA122" s="27">
        <f>Table25[[#This Row],[HDC4]]/Table25[[#This Row],[HCC4]]</f>
        <v>0.95691738944973703</v>
      </c>
      <c r="AB122" s="27">
        <f>Table25[[#This Row],[HDC5]]/Table25[[#This Row],[HCC5]]</f>
        <v>0.94289755381905549</v>
      </c>
    </row>
    <row r="123" spans="1:28" ht="15">
      <c r="A123" t="s">
        <v>253</v>
      </c>
      <c r="B123" s="85" t="s">
        <v>536</v>
      </c>
      <c r="C123" s="131">
        <v>122</v>
      </c>
      <c r="D123" s="75">
        <v>632</v>
      </c>
      <c r="E123" s="75">
        <v>129</v>
      </c>
      <c r="F123" s="75">
        <v>625</v>
      </c>
      <c r="G123" s="75">
        <v>121</v>
      </c>
      <c r="H123" s="75">
        <v>632</v>
      </c>
      <c r="I123" s="75">
        <v>123</v>
      </c>
      <c r="J123" s="83">
        <v>631</v>
      </c>
      <c r="K123" s="83">
        <v>126</v>
      </c>
      <c r="L123" s="132">
        <v>626</v>
      </c>
      <c r="M123" s="83">
        <v>21992.7</v>
      </c>
      <c r="N123" s="83">
        <v>20688.8</v>
      </c>
      <c r="O123" s="75">
        <v>20772</v>
      </c>
      <c r="P123" s="75">
        <v>19876.5</v>
      </c>
      <c r="Q123" s="75">
        <v>22004.7</v>
      </c>
      <c r="R123" s="75">
        <v>20655.8</v>
      </c>
      <c r="S123" s="75">
        <v>21353.7</v>
      </c>
      <c r="T123" s="75">
        <v>20078.5</v>
      </c>
      <c r="U123" s="75">
        <v>21873.599999999999</v>
      </c>
      <c r="V123" s="75">
        <v>20585.2</v>
      </c>
      <c r="X123" s="27">
        <f>Table25[[#This Row],[HDC1]]/Table25[[#This Row],[HCC1]]</f>
        <v>0.94071214539369874</v>
      </c>
      <c r="Y123" s="27">
        <f>Table25[[#This Row],[HDC2]]/Table25[[#This Row],[HCC2]]</f>
        <v>0.95688908145580587</v>
      </c>
      <c r="Z123" s="27">
        <f>Table25[[#This Row],[HDC3]]/Table25[[#This Row],[HCC3]]</f>
        <v>0.93869945966089052</v>
      </c>
      <c r="AA123" s="27">
        <f>Table25[[#This Row],[HDC4]]/Table25[[#This Row],[HCC4]]</f>
        <v>0.94028201201665285</v>
      </c>
      <c r="AB123" s="27">
        <f>Table25[[#This Row],[HDC5]]/Table25[[#This Row],[HCC5]]</f>
        <v>0.94109794455416584</v>
      </c>
    </row>
    <row r="124" spans="1:28" ht="15">
      <c r="A124" t="s">
        <v>254</v>
      </c>
      <c r="B124" s="85" t="s">
        <v>537</v>
      </c>
      <c r="C124" s="131">
        <v>131</v>
      </c>
      <c r="D124" s="75">
        <v>619</v>
      </c>
      <c r="E124" s="75">
        <v>115</v>
      </c>
      <c r="F124" s="75">
        <v>640</v>
      </c>
      <c r="G124" s="75">
        <v>134</v>
      </c>
      <c r="H124" s="75">
        <v>613</v>
      </c>
      <c r="I124" s="75">
        <v>133</v>
      </c>
      <c r="J124" s="83">
        <v>619</v>
      </c>
      <c r="K124" s="83">
        <v>134</v>
      </c>
      <c r="L124" s="132">
        <v>618</v>
      </c>
      <c r="M124" s="83">
        <v>22043.9</v>
      </c>
      <c r="N124" s="83">
        <v>21315.599999999999</v>
      </c>
      <c r="O124" s="75">
        <v>23135.9</v>
      </c>
      <c r="P124" s="75">
        <v>21707.3</v>
      </c>
      <c r="Q124" s="75">
        <v>22302.3</v>
      </c>
      <c r="R124" s="75">
        <v>20952</v>
      </c>
      <c r="S124" s="75">
        <v>22369.1</v>
      </c>
      <c r="T124" s="75">
        <v>20994.6</v>
      </c>
      <c r="U124" s="75">
        <v>23093.5</v>
      </c>
      <c r="V124" s="75">
        <v>21674.3</v>
      </c>
      <c r="X124" s="27">
        <f>Table25[[#This Row],[HDC1]]/Table25[[#This Row],[HCC1]]</f>
        <v>0.96696138160670286</v>
      </c>
      <c r="Y124" s="27">
        <f>Table25[[#This Row],[HDC2]]/Table25[[#This Row],[HCC2]]</f>
        <v>0.93825180779654127</v>
      </c>
      <c r="Z124" s="27">
        <f>Table25[[#This Row],[HDC3]]/Table25[[#This Row],[HCC3]]</f>
        <v>0.93945467507835523</v>
      </c>
      <c r="AA124" s="27">
        <f>Table25[[#This Row],[HDC4]]/Table25[[#This Row],[HCC4]]</f>
        <v>0.93855362978394308</v>
      </c>
      <c r="AB124" s="27">
        <f>Table25[[#This Row],[HDC5]]/Table25[[#This Row],[HCC5]]</f>
        <v>0.93854547816485157</v>
      </c>
    </row>
    <row r="125" spans="1:28" ht="15">
      <c r="A125" t="s">
        <v>255</v>
      </c>
      <c r="B125" s="85" t="s">
        <v>538</v>
      </c>
      <c r="C125" s="131">
        <v>116</v>
      </c>
      <c r="D125" s="75">
        <v>634</v>
      </c>
      <c r="E125" s="75">
        <v>130</v>
      </c>
      <c r="F125" s="75">
        <v>626</v>
      </c>
      <c r="G125" s="75">
        <v>134</v>
      </c>
      <c r="H125" s="75">
        <v>620</v>
      </c>
      <c r="I125" s="75">
        <v>133</v>
      </c>
      <c r="J125" s="83">
        <v>616</v>
      </c>
      <c r="K125" s="83">
        <v>134</v>
      </c>
      <c r="L125" s="132">
        <v>618</v>
      </c>
      <c r="M125" s="83">
        <v>21257.1</v>
      </c>
      <c r="N125" s="83">
        <v>20015.400000000001</v>
      </c>
      <c r="O125" s="75">
        <v>13815.1</v>
      </c>
      <c r="P125" s="75">
        <v>13252.8</v>
      </c>
      <c r="Q125" s="75">
        <v>21191</v>
      </c>
      <c r="R125" s="75">
        <v>20254.400000000001</v>
      </c>
      <c r="S125" s="75">
        <v>21666.400000000001</v>
      </c>
      <c r="T125" s="75">
        <v>20394.900000000001</v>
      </c>
      <c r="U125" s="75">
        <v>20745.099999999999</v>
      </c>
      <c r="V125" s="75">
        <v>19809.5</v>
      </c>
      <c r="X125" s="27">
        <f>Table25[[#This Row],[HDC1]]/Table25[[#This Row],[HCC1]]</f>
        <v>0.94158657577938676</v>
      </c>
      <c r="Y125" s="27">
        <f>Table25[[#This Row],[HDC2]]/Table25[[#This Row],[HCC2]]</f>
        <v>0.9592981592605192</v>
      </c>
      <c r="Z125" s="27">
        <f>Table25[[#This Row],[HDC3]]/Table25[[#This Row],[HCC3]]</f>
        <v>0.95580199141144828</v>
      </c>
      <c r="AA125" s="27">
        <f>Table25[[#This Row],[HDC4]]/Table25[[#This Row],[HCC4]]</f>
        <v>0.94131466233430561</v>
      </c>
      <c r="AB125" s="27">
        <f>Table25[[#This Row],[HDC5]]/Table25[[#This Row],[HCC5]]</f>
        <v>0.9549001932986585</v>
      </c>
    </row>
    <row r="126" spans="1:28" ht="15">
      <c r="A126" t="s">
        <v>256</v>
      </c>
      <c r="B126" s="85" t="s">
        <v>539</v>
      </c>
      <c r="C126" s="131">
        <v>0</v>
      </c>
      <c r="D126" s="75">
        <v>781</v>
      </c>
      <c r="E126" s="75">
        <v>0</v>
      </c>
      <c r="F126" s="75">
        <v>769</v>
      </c>
      <c r="G126" s="75">
        <v>0</v>
      </c>
      <c r="H126" s="75">
        <v>772</v>
      </c>
      <c r="I126" s="75">
        <v>0</v>
      </c>
      <c r="J126" s="83">
        <v>770</v>
      </c>
      <c r="K126" s="83">
        <v>0</v>
      </c>
      <c r="L126" s="132">
        <v>782</v>
      </c>
      <c r="M126" s="83">
        <v>14375.1</v>
      </c>
      <c r="N126" s="83">
        <v>13171.9</v>
      </c>
      <c r="O126" s="75">
        <v>10517.3</v>
      </c>
      <c r="P126" s="75">
        <v>9961.2999999999993</v>
      </c>
      <c r="Q126" s="75">
        <v>14449</v>
      </c>
      <c r="R126" s="75">
        <v>13247.9</v>
      </c>
      <c r="S126" s="75">
        <v>14282.4</v>
      </c>
      <c r="T126" s="75">
        <v>13111.5</v>
      </c>
      <c r="U126" s="75">
        <v>14171.4</v>
      </c>
      <c r="V126" s="75">
        <v>12964.1</v>
      </c>
      <c r="X126" s="27">
        <f>Table25[[#This Row],[HDC1]]/Table25[[#This Row],[HCC1]]</f>
        <v>0.91629971269765076</v>
      </c>
      <c r="Y126" s="27">
        <f>Table25[[#This Row],[HDC2]]/Table25[[#This Row],[HCC2]]</f>
        <v>0.94713472088844097</v>
      </c>
      <c r="Z126" s="27">
        <f>Table25[[#This Row],[HDC3]]/Table25[[#This Row],[HCC3]]</f>
        <v>0.91687314000968922</v>
      </c>
      <c r="AA126" s="27">
        <f>Table25[[#This Row],[HDC4]]/Table25[[#This Row],[HCC4]]</f>
        <v>0.91801798017139979</v>
      </c>
      <c r="AB126" s="27">
        <f>Table25[[#This Row],[HDC5]]/Table25[[#This Row],[HCC5]]</f>
        <v>0.91480728791791921</v>
      </c>
    </row>
    <row r="127" spans="1:28" ht="15">
      <c r="A127" t="s">
        <v>257</v>
      </c>
      <c r="B127" s="85" t="s">
        <v>540</v>
      </c>
      <c r="C127" s="131">
        <v>117</v>
      </c>
      <c r="D127" s="75">
        <v>647</v>
      </c>
      <c r="E127" s="75">
        <v>119</v>
      </c>
      <c r="F127" s="75">
        <v>642</v>
      </c>
      <c r="G127" s="75">
        <v>121</v>
      </c>
      <c r="H127" s="75">
        <v>639</v>
      </c>
      <c r="I127" s="75">
        <v>102</v>
      </c>
      <c r="J127" s="83">
        <v>659</v>
      </c>
      <c r="K127" s="83">
        <v>120</v>
      </c>
      <c r="L127" s="132">
        <v>641</v>
      </c>
      <c r="M127" s="83">
        <v>21872.7</v>
      </c>
      <c r="N127" s="83">
        <v>20591</v>
      </c>
      <c r="O127" s="75">
        <v>18228.7</v>
      </c>
      <c r="P127" s="75">
        <v>17343.3</v>
      </c>
      <c r="Q127" s="75">
        <v>21521</v>
      </c>
      <c r="R127" s="75">
        <v>20230.2</v>
      </c>
      <c r="S127" s="75">
        <v>8343.4</v>
      </c>
      <c r="T127" s="75">
        <v>7678.5</v>
      </c>
      <c r="U127" s="75">
        <v>21563.3</v>
      </c>
      <c r="V127" s="75">
        <v>20257.8</v>
      </c>
      <c r="X127" s="27">
        <f>Table25[[#This Row],[HDC1]]/Table25[[#This Row],[HCC1]]</f>
        <v>0.94140183882191042</v>
      </c>
      <c r="Y127" s="27">
        <f>Table25[[#This Row],[HDC2]]/Table25[[#This Row],[HCC2]]</f>
        <v>0.95142824227728795</v>
      </c>
      <c r="Z127" s="27">
        <f>Table25[[#This Row],[HDC3]]/Table25[[#This Row],[HCC3]]</f>
        <v>0.94002137447144651</v>
      </c>
      <c r="AA127" s="27">
        <f>Table25[[#This Row],[HDC4]]/Table25[[#This Row],[HCC4]]</f>
        <v>0.92030826761272388</v>
      </c>
      <c r="AB127" s="27">
        <f>Table25[[#This Row],[HDC5]]/Table25[[#This Row],[HCC5]]</f>
        <v>0.93945731868498794</v>
      </c>
    </row>
    <row r="128" spans="1:28" ht="15">
      <c r="A128" t="s">
        <v>258</v>
      </c>
      <c r="B128" s="85" t="s">
        <v>541</v>
      </c>
      <c r="C128" s="131">
        <v>103</v>
      </c>
      <c r="D128" s="75">
        <v>683</v>
      </c>
      <c r="E128" s="75">
        <v>117</v>
      </c>
      <c r="F128" s="75">
        <v>665</v>
      </c>
      <c r="G128" s="75">
        <v>123</v>
      </c>
      <c r="H128" s="75">
        <v>661</v>
      </c>
      <c r="I128" s="75">
        <v>123</v>
      </c>
      <c r="J128" s="83">
        <v>659</v>
      </c>
      <c r="K128" s="83">
        <v>115</v>
      </c>
      <c r="L128" s="132">
        <v>671</v>
      </c>
      <c r="M128" s="83">
        <v>24697.3</v>
      </c>
      <c r="N128" s="83">
        <v>23252.2</v>
      </c>
      <c r="O128" s="75">
        <v>24280</v>
      </c>
      <c r="P128" s="75">
        <v>22885.1</v>
      </c>
      <c r="Q128" s="75">
        <v>13120.2</v>
      </c>
      <c r="R128" s="75">
        <v>12435.4</v>
      </c>
      <c r="S128" s="75">
        <v>24442.1</v>
      </c>
      <c r="T128" s="75">
        <v>22966.6</v>
      </c>
      <c r="U128" s="75">
        <v>24027.599999999999</v>
      </c>
      <c r="V128" s="75">
        <v>22981.1</v>
      </c>
      <c r="X128" s="27">
        <f>Table25[[#This Row],[HDC1]]/Table25[[#This Row],[HCC1]]</f>
        <v>0.94148753102565874</v>
      </c>
      <c r="Y128" s="27">
        <f>Table25[[#This Row],[HDC2]]/Table25[[#This Row],[HCC2]]</f>
        <v>0.94254942339373959</v>
      </c>
      <c r="Z128" s="27">
        <f>Table25[[#This Row],[HDC3]]/Table25[[#This Row],[HCC3]]</f>
        <v>0.94780567369399848</v>
      </c>
      <c r="AA128" s="27">
        <f>Table25[[#This Row],[HDC4]]/Table25[[#This Row],[HCC4]]</f>
        <v>0.93963284660483348</v>
      </c>
      <c r="AB128" s="27">
        <f>Table25[[#This Row],[HDC5]]/Table25[[#This Row],[HCC5]]</f>
        <v>0.95644592052472988</v>
      </c>
    </row>
    <row r="129" spans="1:28" ht="15">
      <c r="A129" t="s">
        <v>259</v>
      </c>
      <c r="B129" s="85" t="s">
        <v>542</v>
      </c>
      <c r="C129" s="131">
        <v>117</v>
      </c>
      <c r="D129" s="75">
        <v>669</v>
      </c>
      <c r="E129" s="75">
        <v>118</v>
      </c>
      <c r="F129" s="75">
        <v>672</v>
      </c>
      <c r="G129" s="75">
        <v>120</v>
      </c>
      <c r="H129" s="75">
        <v>668</v>
      </c>
      <c r="I129" s="75">
        <v>104</v>
      </c>
      <c r="J129" s="83">
        <v>686</v>
      </c>
      <c r="K129" s="83">
        <v>115</v>
      </c>
      <c r="L129" s="132">
        <v>673</v>
      </c>
      <c r="M129" s="83">
        <v>18814</v>
      </c>
      <c r="N129" s="83">
        <v>17959.400000000001</v>
      </c>
      <c r="O129" s="75">
        <v>18627.400000000001</v>
      </c>
      <c r="P129" s="75">
        <v>17789.8</v>
      </c>
      <c r="Q129" s="75">
        <v>21965.599999999999</v>
      </c>
      <c r="R129" s="75">
        <v>20673.8</v>
      </c>
      <c r="S129" s="75">
        <v>21908.6</v>
      </c>
      <c r="T129" s="75">
        <v>20551.5</v>
      </c>
      <c r="U129" s="75">
        <v>21229</v>
      </c>
      <c r="V129" s="75">
        <v>19942.099999999999</v>
      </c>
      <c r="X129" s="27">
        <f>Table25[[#This Row],[HDC1]]/Table25[[#This Row],[HCC1]]</f>
        <v>0.95457637929201666</v>
      </c>
      <c r="Y129" s="27">
        <f>Table25[[#This Row],[HDC2]]/Table25[[#This Row],[HCC2]]</f>
        <v>0.95503398219826696</v>
      </c>
      <c r="Z129" s="27">
        <f>Table25[[#This Row],[HDC3]]/Table25[[#This Row],[HCC3]]</f>
        <v>0.94118986050915976</v>
      </c>
      <c r="AA129" s="27">
        <f>Table25[[#This Row],[HDC4]]/Table25[[#This Row],[HCC4]]</f>
        <v>0.93805628839816335</v>
      </c>
      <c r="AB129" s="27">
        <f>Table25[[#This Row],[HDC5]]/Table25[[#This Row],[HCC5]]</f>
        <v>0.93938009326864191</v>
      </c>
    </row>
    <row r="130" spans="1:28" ht="15">
      <c r="A130" t="s">
        <v>260</v>
      </c>
      <c r="B130" s="85" t="s">
        <v>543</v>
      </c>
      <c r="C130" s="131">
        <v>117</v>
      </c>
      <c r="D130" s="75">
        <v>638</v>
      </c>
      <c r="E130" s="75">
        <v>138</v>
      </c>
      <c r="F130" s="75">
        <v>619</v>
      </c>
      <c r="G130" s="75">
        <v>132</v>
      </c>
      <c r="H130" s="75">
        <v>632</v>
      </c>
      <c r="I130" s="75">
        <v>128</v>
      </c>
      <c r="J130" s="83">
        <v>629</v>
      </c>
      <c r="K130" s="83">
        <v>129</v>
      </c>
      <c r="L130" s="132">
        <v>632</v>
      </c>
      <c r="M130" s="83">
        <v>18854.599999999999</v>
      </c>
      <c r="N130" s="83">
        <v>18050.400000000001</v>
      </c>
      <c r="O130" s="75">
        <v>18536.5</v>
      </c>
      <c r="P130" s="75">
        <v>17752</v>
      </c>
      <c r="Q130" s="75">
        <v>18422.900000000001</v>
      </c>
      <c r="R130" s="75">
        <v>17617.099999999999</v>
      </c>
      <c r="S130" s="75">
        <v>22267.4</v>
      </c>
      <c r="T130" s="75">
        <v>21002.799999999999</v>
      </c>
      <c r="U130" s="75">
        <v>17995.3</v>
      </c>
      <c r="V130" s="75">
        <v>17233.900000000001</v>
      </c>
      <c r="X130" s="27">
        <f>Table25[[#This Row],[HDC1]]/Table25[[#This Row],[HCC1]]</f>
        <v>0.95734727864818148</v>
      </c>
      <c r="Y130" s="27">
        <f>Table25[[#This Row],[HDC2]]/Table25[[#This Row],[HCC2]]</f>
        <v>0.95767809457017239</v>
      </c>
      <c r="Z130" s="27">
        <f>Table25[[#This Row],[HDC3]]/Table25[[#This Row],[HCC3]]</f>
        <v>0.95626095782965748</v>
      </c>
      <c r="AA130" s="27">
        <f>Table25[[#This Row],[HDC4]]/Table25[[#This Row],[HCC4]]</f>
        <v>0.94320845720649904</v>
      </c>
      <c r="AB130" s="27">
        <f>Table25[[#This Row],[HDC5]]/Table25[[#This Row],[HCC5]]</f>
        <v>0.95768895211527472</v>
      </c>
    </row>
    <row r="131" spans="1:28" ht="15">
      <c r="A131" t="s">
        <v>261</v>
      </c>
      <c r="B131" s="85" t="s">
        <v>544</v>
      </c>
      <c r="C131" s="131">
        <v>124</v>
      </c>
      <c r="D131" s="75">
        <v>633</v>
      </c>
      <c r="E131" s="75">
        <v>130</v>
      </c>
      <c r="F131" s="75">
        <v>626</v>
      </c>
      <c r="G131" s="75">
        <v>115</v>
      </c>
      <c r="H131" s="75">
        <v>638</v>
      </c>
      <c r="I131" s="75">
        <v>133</v>
      </c>
      <c r="J131" s="83">
        <v>622</v>
      </c>
      <c r="K131" s="83">
        <v>132</v>
      </c>
      <c r="L131" s="132">
        <v>618</v>
      </c>
      <c r="M131" s="83">
        <v>18218.2</v>
      </c>
      <c r="N131" s="83">
        <v>17455.5</v>
      </c>
      <c r="O131" s="75">
        <v>21202.3</v>
      </c>
      <c r="P131" s="75">
        <v>19901.5</v>
      </c>
      <c r="Q131" s="75">
        <v>21652.9</v>
      </c>
      <c r="R131" s="75">
        <v>20327</v>
      </c>
      <c r="S131" s="75">
        <v>21659.200000000001</v>
      </c>
      <c r="T131" s="75">
        <v>20369.900000000001</v>
      </c>
      <c r="U131" s="75">
        <v>21719.7</v>
      </c>
      <c r="V131" s="75">
        <v>20364.400000000001</v>
      </c>
      <c r="X131" s="27">
        <f>Table25[[#This Row],[HDC1]]/Table25[[#This Row],[HCC1]]</f>
        <v>0.95813527132208443</v>
      </c>
      <c r="Y131" s="27">
        <f>Table25[[#This Row],[HDC2]]/Table25[[#This Row],[HCC2]]</f>
        <v>0.93864816552921149</v>
      </c>
      <c r="Z131" s="27">
        <f>Table25[[#This Row],[HDC3]]/Table25[[#This Row],[HCC3]]</f>
        <v>0.93876570805758108</v>
      </c>
      <c r="AA131" s="27">
        <f>Table25[[#This Row],[HDC4]]/Table25[[#This Row],[HCC4]]</f>
        <v>0.9404733323483786</v>
      </c>
      <c r="AB131" s="27">
        <f>Table25[[#This Row],[HDC5]]/Table25[[#This Row],[HCC5]]</f>
        <v>0.93760042726188675</v>
      </c>
    </row>
    <row r="132" spans="1:28" ht="15">
      <c r="A132" t="s">
        <v>262</v>
      </c>
      <c r="B132" s="85" t="s">
        <v>545</v>
      </c>
      <c r="C132" s="131">
        <v>125</v>
      </c>
      <c r="D132" s="75">
        <v>619</v>
      </c>
      <c r="E132" s="75">
        <v>123</v>
      </c>
      <c r="F132" s="75">
        <v>627</v>
      </c>
      <c r="G132" s="75">
        <v>124</v>
      </c>
      <c r="H132" s="75">
        <v>628</v>
      </c>
      <c r="I132" s="75">
        <v>118</v>
      </c>
      <c r="J132" s="83">
        <v>624</v>
      </c>
      <c r="K132" s="83">
        <v>117</v>
      </c>
      <c r="L132" s="132">
        <v>633</v>
      </c>
      <c r="M132" s="83">
        <v>18715.2</v>
      </c>
      <c r="N132" s="83">
        <v>17503.2</v>
      </c>
      <c r="O132" s="75">
        <v>18588.5</v>
      </c>
      <c r="P132" s="75">
        <v>17353.599999999999</v>
      </c>
      <c r="Q132" s="75">
        <v>13250</v>
      </c>
      <c r="R132" s="75">
        <v>12755</v>
      </c>
      <c r="S132" s="75">
        <v>12686.9</v>
      </c>
      <c r="T132" s="75">
        <v>12276.8</v>
      </c>
      <c r="U132" s="75">
        <v>18570.099999999999</v>
      </c>
      <c r="V132" s="75">
        <v>17315.8</v>
      </c>
      <c r="X132" s="27">
        <f>Table25[[#This Row],[HDC1]]/Table25[[#This Row],[HCC1]]</f>
        <v>0.93523980507822524</v>
      </c>
      <c r="Y132" s="27">
        <f>Table25[[#This Row],[HDC2]]/Table25[[#This Row],[HCC2]]</f>
        <v>0.93356645237646929</v>
      </c>
      <c r="Z132" s="27">
        <f>Table25[[#This Row],[HDC3]]/Table25[[#This Row],[HCC3]]</f>
        <v>0.96264150943396232</v>
      </c>
      <c r="AA132" s="27">
        <f>Table25[[#This Row],[HDC4]]/Table25[[#This Row],[HCC4]]</f>
        <v>0.96767531863575806</v>
      </c>
      <c r="AB132" s="27">
        <f>Table25[[#This Row],[HDC5]]/Table25[[#This Row],[HCC5]]</f>
        <v>0.93245593723243281</v>
      </c>
    </row>
    <row r="133" spans="1:28" ht="15">
      <c r="A133" t="s">
        <v>263</v>
      </c>
      <c r="B133" s="85" t="s">
        <v>546</v>
      </c>
      <c r="C133" s="131">
        <v>120</v>
      </c>
      <c r="D133" s="75">
        <v>630</v>
      </c>
      <c r="E133" s="75">
        <v>129</v>
      </c>
      <c r="F133" s="75">
        <v>625</v>
      </c>
      <c r="G133" s="75">
        <v>123</v>
      </c>
      <c r="H133" s="75">
        <v>628</v>
      </c>
      <c r="I133" s="75">
        <v>122</v>
      </c>
      <c r="J133" s="83">
        <v>630</v>
      </c>
      <c r="K133" s="83">
        <v>120</v>
      </c>
      <c r="L133" s="132">
        <v>636</v>
      </c>
      <c r="M133" s="83">
        <v>21474.3</v>
      </c>
      <c r="N133" s="83">
        <v>20147</v>
      </c>
      <c r="O133" s="75">
        <v>21606.3</v>
      </c>
      <c r="P133" s="75">
        <v>20355.900000000001</v>
      </c>
      <c r="Q133" s="75">
        <v>18170.099999999999</v>
      </c>
      <c r="R133" s="75">
        <v>17384.8</v>
      </c>
      <c r="S133" s="75">
        <v>18170.099999999999</v>
      </c>
      <c r="T133" s="75">
        <v>17346.8</v>
      </c>
      <c r="U133" s="75">
        <v>18496</v>
      </c>
      <c r="V133" s="75">
        <v>17691.8</v>
      </c>
      <c r="X133" s="27">
        <f>Table25[[#This Row],[HDC1]]/Table25[[#This Row],[HCC1]]</f>
        <v>0.93819123324159581</v>
      </c>
      <c r="Y133" s="27">
        <f>Table25[[#This Row],[HDC2]]/Table25[[#This Row],[HCC2]]</f>
        <v>0.94212799044723072</v>
      </c>
      <c r="Z133" s="27">
        <f>Table25[[#This Row],[HDC3]]/Table25[[#This Row],[HCC3]]</f>
        <v>0.95678064512578365</v>
      </c>
      <c r="AA133" s="27">
        <f>Table25[[#This Row],[HDC4]]/Table25[[#This Row],[HCC4]]</f>
        <v>0.95468929725207896</v>
      </c>
      <c r="AB133" s="27">
        <f>Table25[[#This Row],[HDC5]]/Table25[[#This Row],[HCC5]]</f>
        <v>0.95652032871972315</v>
      </c>
    </row>
    <row r="134" spans="1:28" ht="15">
      <c r="A134" t="s">
        <v>264</v>
      </c>
      <c r="B134" s="85" t="s">
        <v>547</v>
      </c>
      <c r="C134" s="131">
        <v>138</v>
      </c>
      <c r="D134" s="75">
        <v>626</v>
      </c>
      <c r="E134" s="75">
        <v>131</v>
      </c>
      <c r="F134" s="75">
        <v>635</v>
      </c>
      <c r="G134" s="75">
        <v>120</v>
      </c>
      <c r="H134" s="75">
        <v>640</v>
      </c>
      <c r="I134" s="75">
        <v>131</v>
      </c>
      <c r="J134" s="83">
        <v>634</v>
      </c>
      <c r="K134" s="83">
        <v>131</v>
      </c>
      <c r="L134" s="132">
        <v>641</v>
      </c>
      <c r="M134" s="83">
        <v>19111.5</v>
      </c>
      <c r="N134" s="83">
        <v>17915</v>
      </c>
      <c r="O134" s="75">
        <v>19125</v>
      </c>
      <c r="P134" s="75">
        <v>17966.5</v>
      </c>
      <c r="Q134" s="75">
        <v>19125.099999999999</v>
      </c>
      <c r="R134" s="75">
        <v>17926</v>
      </c>
      <c r="S134" s="75">
        <v>18833.3</v>
      </c>
      <c r="T134" s="75">
        <v>17659.8</v>
      </c>
      <c r="U134" s="75">
        <v>19095.5</v>
      </c>
      <c r="V134" s="75">
        <v>17984.900000000001</v>
      </c>
      <c r="X134" s="27">
        <f>Table25[[#This Row],[HDC1]]/Table25[[#This Row],[HCC1]]</f>
        <v>0.93739371582555009</v>
      </c>
      <c r="Y134" s="27">
        <f>Table25[[#This Row],[HDC2]]/Table25[[#This Row],[HCC2]]</f>
        <v>0.93942483660130716</v>
      </c>
      <c r="Z134" s="27">
        <f>Table25[[#This Row],[HDC3]]/Table25[[#This Row],[HCC3]]</f>
        <v>0.93730228861548448</v>
      </c>
      <c r="AA134" s="27">
        <f>Table25[[#This Row],[HDC4]]/Table25[[#This Row],[HCC4]]</f>
        <v>0.93769015520381449</v>
      </c>
      <c r="AB134" s="27">
        <f>Table25[[#This Row],[HDC5]]/Table25[[#This Row],[HCC5]]</f>
        <v>0.94183970045298637</v>
      </c>
    </row>
    <row r="135" spans="1:28" ht="15">
      <c r="A135" t="s">
        <v>265</v>
      </c>
      <c r="B135" s="85" t="s">
        <v>548</v>
      </c>
      <c r="C135" s="131">
        <v>134</v>
      </c>
      <c r="D135" s="75">
        <v>622</v>
      </c>
      <c r="E135" s="75">
        <v>129</v>
      </c>
      <c r="F135" s="75">
        <v>628</v>
      </c>
      <c r="G135" s="75">
        <v>115</v>
      </c>
      <c r="H135" s="75">
        <v>635</v>
      </c>
      <c r="I135" s="75">
        <v>133</v>
      </c>
      <c r="J135" s="83">
        <v>625</v>
      </c>
      <c r="K135" s="83">
        <v>126</v>
      </c>
      <c r="L135" s="132">
        <v>614</v>
      </c>
      <c r="M135" s="83">
        <v>18608.599999999999</v>
      </c>
      <c r="N135" s="83">
        <v>17424.400000000001</v>
      </c>
      <c r="O135" s="75">
        <v>18397.8</v>
      </c>
      <c r="P135" s="75">
        <v>17188</v>
      </c>
      <c r="Q135" s="75">
        <v>18733.3</v>
      </c>
      <c r="R135" s="75">
        <v>17512.7</v>
      </c>
      <c r="S135" s="75">
        <v>18294.7</v>
      </c>
      <c r="T135" s="75">
        <v>17480.099999999999</v>
      </c>
      <c r="U135" s="75">
        <v>18496.099999999999</v>
      </c>
      <c r="V135" s="75">
        <v>17214.099999999999</v>
      </c>
      <c r="X135" s="27">
        <f>Table25[[#This Row],[HDC1]]/Table25[[#This Row],[HCC1]]</f>
        <v>0.93636275700482585</v>
      </c>
      <c r="Y135" s="27">
        <f>Table25[[#This Row],[HDC2]]/Table25[[#This Row],[HCC2]]</f>
        <v>0.93424213764689257</v>
      </c>
      <c r="Z135" s="27">
        <f>Table25[[#This Row],[HDC3]]/Table25[[#This Row],[HCC3]]</f>
        <v>0.93484330043291897</v>
      </c>
      <c r="AA135" s="27">
        <f>Table25[[#This Row],[HDC4]]/Table25[[#This Row],[HCC4]]</f>
        <v>0.9554734431283376</v>
      </c>
      <c r="AB135" s="27">
        <f>Table25[[#This Row],[HDC5]]/Table25[[#This Row],[HCC5]]</f>
        <v>0.93068809100296823</v>
      </c>
    </row>
    <row r="136" spans="1:28" ht="15">
      <c r="A136" t="s">
        <v>266</v>
      </c>
      <c r="B136" s="85" t="s">
        <v>549</v>
      </c>
      <c r="C136" s="131">
        <v>125</v>
      </c>
      <c r="D136" s="75">
        <v>623</v>
      </c>
      <c r="E136" s="75">
        <v>130</v>
      </c>
      <c r="F136" s="75">
        <v>638</v>
      </c>
      <c r="G136" s="75">
        <v>137</v>
      </c>
      <c r="H136" s="75">
        <v>614</v>
      </c>
      <c r="I136" s="75">
        <v>128</v>
      </c>
      <c r="J136" s="83">
        <v>625</v>
      </c>
      <c r="K136" s="83">
        <v>128</v>
      </c>
      <c r="L136" s="132">
        <v>617</v>
      </c>
      <c r="M136" s="83">
        <v>18835.7</v>
      </c>
      <c r="N136" s="83">
        <v>17530.5</v>
      </c>
      <c r="O136" s="75">
        <v>18708.099999999999</v>
      </c>
      <c r="P136" s="75">
        <v>17408.2</v>
      </c>
      <c r="Q136" s="75">
        <v>18342.400000000001</v>
      </c>
      <c r="R136" s="75">
        <v>17105.7</v>
      </c>
      <c r="S136" s="75">
        <v>18630.7</v>
      </c>
      <c r="T136" s="75">
        <v>17401.400000000001</v>
      </c>
      <c r="U136" s="75">
        <v>18629.7</v>
      </c>
      <c r="V136" s="75">
        <v>17344.900000000001</v>
      </c>
      <c r="X136" s="27">
        <f>Table25[[#This Row],[HDC1]]/Table25[[#This Row],[HCC1]]</f>
        <v>0.9307060528676927</v>
      </c>
      <c r="Y136" s="27">
        <f>Table25[[#This Row],[HDC2]]/Table25[[#This Row],[HCC2]]</f>
        <v>0.93051672804827867</v>
      </c>
      <c r="Z136" s="27">
        <f>Table25[[#This Row],[HDC3]]/Table25[[#This Row],[HCC3]]</f>
        <v>0.9325769801116538</v>
      </c>
      <c r="AA136" s="27">
        <f>Table25[[#This Row],[HDC4]]/Table25[[#This Row],[HCC4]]</f>
        <v>0.93401750873558165</v>
      </c>
      <c r="AB136" s="27">
        <f>Table25[[#This Row],[HDC5]]/Table25[[#This Row],[HCC5]]</f>
        <v>0.93103485294985966</v>
      </c>
    </row>
    <row r="137" spans="1:28" ht="15">
      <c r="A137" t="s">
        <v>267</v>
      </c>
      <c r="B137" s="85" t="s">
        <v>550</v>
      </c>
      <c r="C137" s="131">
        <v>131</v>
      </c>
      <c r="D137" s="75">
        <v>609</v>
      </c>
      <c r="E137" s="75">
        <v>122</v>
      </c>
      <c r="F137" s="75">
        <v>634</v>
      </c>
      <c r="G137" s="75">
        <v>132</v>
      </c>
      <c r="H137" s="75">
        <v>623</v>
      </c>
      <c r="I137" s="75">
        <v>113</v>
      </c>
      <c r="J137" s="83">
        <v>648</v>
      </c>
      <c r="K137" s="83">
        <v>120</v>
      </c>
      <c r="L137" s="132">
        <v>636</v>
      </c>
      <c r="M137" s="83">
        <v>18714.2</v>
      </c>
      <c r="N137" s="83">
        <v>17523.099999999999</v>
      </c>
      <c r="O137" s="75">
        <v>18678.7</v>
      </c>
      <c r="P137" s="75">
        <v>17509.599999999999</v>
      </c>
      <c r="Q137" s="75">
        <v>18500.7</v>
      </c>
      <c r="R137" s="75">
        <v>17318.5</v>
      </c>
      <c r="S137" s="75">
        <v>18679.5</v>
      </c>
      <c r="T137" s="75">
        <v>17541.7</v>
      </c>
      <c r="U137" s="75">
        <v>18739.7</v>
      </c>
      <c r="V137" s="75">
        <v>17513.900000000001</v>
      </c>
      <c r="X137" s="27">
        <f>Table25[[#This Row],[HDC1]]/Table25[[#This Row],[HCC1]]</f>
        <v>0.93635314360218436</v>
      </c>
      <c r="Y137" s="27">
        <f>Table25[[#This Row],[HDC2]]/Table25[[#This Row],[HCC2]]</f>
        <v>0.93740999105933487</v>
      </c>
      <c r="Z137" s="27">
        <f>Table25[[#This Row],[HDC3]]/Table25[[#This Row],[HCC3]]</f>
        <v>0.93609971514591339</v>
      </c>
      <c r="AA137" s="27">
        <f>Table25[[#This Row],[HDC4]]/Table25[[#This Row],[HCC4]]</f>
        <v>0.93908830536149257</v>
      </c>
      <c r="AB137" s="27">
        <f>Table25[[#This Row],[HDC5]]/Table25[[#This Row],[HCC5]]</f>
        <v>0.93458806704483</v>
      </c>
    </row>
    <row r="138" spans="1:28" ht="15">
      <c r="A138" t="s">
        <v>268</v>
      </c>
      <c r="B138" s="85" t="s">
        <v>551</v>
      </c>
      <c r="C138" s="131">
        <v>53</v>
      </c>
      <c r="D138" s="75">
        <v>708</v>
      </c>
      <c r="E138" s="75">
        <v>72</v>
      </c>
      <c r="F138" s="75">
        <v>685</v>
      </c>
      <c r="G138" s="75">
        <v>70</v>
      </c>
      <c r="H138" s="75">
        <v>687</v>
      </c>
      <c r="I138" s="75">
        <v>70</v>
      </c>
      <c r="J138" s="83">
        <v>689</v>
      </c>
      <c r="K138" s="83">
        <v>62</v>
      </c>
      <c r="L138" s="132">
        <v>695</v>
      </c>
      <c r="M138" s="83">
        <v>18188.5</v>
      </c>
      <c r="N138" s="83">
        <v>17324.2</v>
      </c>
      <c r="O138" s="75">
        <v>21428.2</v>
      </c>
      <c r="P138" s="75">
        <v>20043.599999999999</v>
      </c>
      <c r="Q138" s="75">
        <v>21651.3</v>
      </c>
      <c r="R138" s="75">
        <v>20250.8</v>
      </c>
      <c r="S138" s="75">
        <v>21580.799999999999</v>
      </c>
      <c r="T138" s="75">
        <v>20231.5</v>
      </c>
      <c r="U138" s="75">
        <v>21856</v>
      </c>
      <c r="V138" s="75">
        <v>20481</v>
      </c>
      <c r="X138" s="27">
        <f>Table25[[#This Row],[HDC1]]/Table25[[#This Row],[HCC1]]</f>
        <v>0.95248096324600717</v>
      </c>
      <c r="Y138" s="27">
        <f>Table25[[#This Row],[HDC2]]/Table25[[#This Row],[HCC2]]</f>
        <v>0.93538421332636423</v>
      </c>
      <c r="Z138" s="27">
        <f>Table25[[#This Row],[HDC3]]/Table25[[#This Row],[HCC3]]</f>
        <v>0.935315662338982</v>
      </c>
      <c r="AA138" s="27">
        <f>Table25[[#This Row],[HDC4]]/Table25[[#This Row],[HCC4]]</f>
        <v>0.93747683125741399</v>
      </c>
      <c r="AB138" s="27">
        <f>Table25[[#This Row],[HDC5]]/Table25[[#This Row],[HCC5]]</f>
        <v>0.93708821376281115</v>
      </c>
    </row>
    <row r="139" spans="1:28" ht="15">
      <c r="A139" t="s">
        <v>269</v>
      </c>
      <c r="B139" s="85" t="s">
        <v>552</v>
      </c>
      <c r="C139" s="131">
        <v>65</v>
      </c>
      <c r="D139" s="75">
        <v>725</v>
      </c>
      <c r="E139" s="75">
        <v>66</v>
      </c>
      <c r="F139" s="75">
        <v>725</v>
      </c>
      <c r="G139" s="75">
        <v>66</v>
      </c>
      <c r="H139" s="75">
        <v>727</v>
      </c>
      <c r="I139" s="75">
        <v>60</v>
      </c>
      <c r="J139" s="83">
        <v>736</v>
      </c>
      <c r="K139" s="83">
        <v>69</v>
      </c>
      <c r="L139" s="132">
        <v>720</v>
      </c>
      <c r="M139" s="83">
        <v>21737.8</v>
      </c>
      <c r="N139" s="83">
        <v>20342.900000000001</v>
      </c>
      <c r="O139" s="75">
        <v>21599</v>
      </c>
      <c r="P139" s="75">
        <v>20207.3</v>
      </c>
      <c r="Q139" s="75">
        <v>21667.5</v>
      </c>
      <c r="R139" s="75">
        <v>20306.599999999999</v>
      </c>
      <c r="S139" s="75">
        <v>21095.7</v>
      </c>
      <c r="T139" s="75">
        <v>20183.599999999999</v>
      </c>
      <c r="U139" s="75">
        <v>21552.5</v>
      </c>
      <c r="V139" s="75">
        <v>20252.8</v>
      </c>
      <c r="X139" s="27">
        <f>Table25[[#This Row],[HDC1]]/Table25[[#This Row],[HCC1]]</f>
        <v>0.93583067283717769</v>
      </c>
      <c r="Y139" s="27">
        <f>Table25[[#This Row],[HDC2]]/Table25[[#This Row],[HCC2]]</f>
        <v>0.93556646141025046</v>
      </c>
      <c r="Z139" s="27">
        <f>Table25[[#This Row],[HDC3]]/Table25[[#This Row],[HCC3]]</f>
        <v>0.93719164647513553</v>
      </c>
      <c r="AA139" s="27">
        <f>Table25[[#This Row],[HDC4]]/Table25[[#This Row],[HCC4]]</f>
        <v>0.95676370065937599</v>
      </c>
      <c r="AB139" s="27">
        <f>Table25[[#This Row],[HDC5]]/Table25[[#This Row],[HCC5]]</f>
        <v>0.93969609094072615</v>
      </c>
    </row>
    <row r="140" spans="1:28" ht="15">
      <c r="A140" t="s">
        <v>270</v>
      </c>
      <c r="B140" s="85" t="s">
        <v>553</v>
      </c>
      <c r="C140" s="131">
        <v>57</v>
      </c>
      <c r="D140" s="75">
        <v>699</v>
      </c>
      <c r="E140" s="75">
        <v>59</v>
      </c>
      <c r="F140" s="75">
        <v>699</v>
      </c>
      <c r="G140" s="75">
        <v>66</v>
      </c>
      <c r="H140" s="75">
        <v>705</v>
      </c>
      <c r="I140" s="75">
        <v>60</v>
      </c>
      <c r="J140" s="83">
        <v>699</v>
      </c>
      <c r="K140" s="83">
        <v>61</v>
      </c>
      <c r="L140" s="132">
        <v>699</v>
      </c>
      <c r="M140" s="83">
        <v>18277.099999999999</v>
      </c>
      <c r="N140" s="83">
        <v>17372.599999999999</v>
      </c>
      <c r="O140" s="75">
        <v>18091.2</v>
      </c>
      <c r="P140" s="75">
        <v>17211.099999999999</v>
      </c>
      <c r="Q140" s="75">
        <v>21486.5</v>
      </c>
      <c r="R140" s="75">
        <v>20158.900000000001</v>
      </c>
      <c r="S140" s="75">
        <v>20460.099999999999</v>
      </c>
      <c r="T140" s="75">
        <v>19742.900000000001</v>
      </c>
      <c r="U140" s="75">
        <v>21524.799999999999</v>
      </c>
      <c r="V140" s="75">
        <v>20178.900000000001</v>
      </c>
      <c r="X140" s="27">
        <f>Table25[[#This Row],[HDC1]]/Table25[[#This Row],[HCC1]]</f>
        <v>0.95051184268839151</v>
      </c>
      <c r="Y140" s="27">
        <f>Table25[[#This Row],[HDC2]]/Table25[[#This Row],[HCC2]]</f>
        <v>0.9513520385601838</v>
      </c>
      <c r="Z140" s="27">
        <f>Table25[[#This Row],[HDC3]]/Table25[[#This Row],[HCC3]]</f>
        <v>0.93821236590417245</v>
      </c>
      <c r="AA140" s="27">
        <f>Table25[[#This Row],[HDC4]]/Table25[[#This Row],[HCC4]]</f>
        <v>0.9649464078865696</v>
      </c>
      <c r="AB140" s="27">
        <f>Table25[[#This Row],[HDC5]]/Table25[[#This Row],[HCC5]]</f>
        <v>0.93747212517654066</v>
      </c>
    </row>
    <row r="141" spans="1:28" ht="15">
      <c r="A141" t="s">
        <v>271</v>
      </c>
      <c r="B141" s="85" t="s">
        <v>554</v>
      </c>
      <c r="C141" s="131">
        <v>52</v>
      </c>
      <c r="D141" s="75">
        <v>707</v>
      </c>
      <c r="E141" s="75">
        <v>67</v>
      </c>
      <c r="F141" s="75">
        <v>687</v>
      </c>
      <c r="G141" s="75">
        <v>71</v>
      </c>
      <c r="H141" s="75">
        <v>682</v>
      </c>
      <c r="I141" s="75">
        <v>70</v>
      </c>
      <c r="J141" s="83">
        <v>686</v>
      </c>
      <c r="K141" s="83">
        <v>62</v>
      </c>
      <c r="L141" s="132">
        <v>694</v>
      </c>
      <c r="M141" s="83">
        <v>21739</v>
      </c>
      <c r="N141" s="83">
        <v>20503.400000000001</v>
      </c>
      <c r="O141" s="75">
        <v>21505.599999999999</v>
      </c>
      <c r="P141" s="75">
        <v>20133.599999999999</v>
      </c>
      <c r="Q141" s="75">
        <v>21516.799999999999</v>
      </c>
      <c r="R141" s="75">
        <v>20232.2</v>
      </c>
      <c r="S141" s="75">
        <v>21136.3</v>
      </c>
      <c r="T141" s="75">
        <v>20203.5</v>
      </c>
      <c r="U141" s="75">
        <v>21535.3</v>
      </c>
      <c r="V141" s="75">
        <v>20250.8</v>
      </c>
      <c r="X141" s="27">
        <f>Table25[[#This Row],[HDC1]]/Table25[[#This Row],[HCC1]]</f>
        <v>0.94316205897235394</v>
      </c>
      <c r="Y141" s="27">
        <f>Table25[[#This Row],[HDC2]]/Table25[[#This Row],[HCC2]]</f>
        <v>0.93620266349229964</v>
      </c>
      <c r="Z141" s="27">
        <f>Table25[[#This Row],[HDC3]]/Table25[[#This Row],[HCC3]]</f>
        <v>0.94029781380130883</v>
      </c>
      <c r="AA141" s="27">
        <f>Table25[[#This Row],[HDC4]]/Table25[[#This Row],[HCC4]]</f>
        <v>0.95586739400935838</v>
      </c>
      <c r="AB141" s="27">
        <f>Table25[[#This Row],[HDC5]]/Table25[[#This Row],[HCC5]]</f>
        <v>0.94035374478182332</v>
      </c>
    </row>
    <row r="142" spans="1:28" ht="15">
      <c r="A142" t="s">
        <v>272</v>
      </c>
      <c r="B142" s="85" t="s">
        <v>555</v>
      </c>
      <c r="C142" s="131">
        <v>124</v>
      </c>
      <c r="D142" s="75">
        <v>627</v>
      </c>
      <c r="E142" s="75">
        <v>129</v>
      </c>
      <c r="F142" s="75">
        <v>620</v>
      </c>
      <c r="G142" s="75">
        <v>125</v>
      </c>
      <c r="H142" s="75">
        <v>629</v>
      </c>
      <c r="I142" s="75">
        <v>131</v>
      </c>
      <c r="J142" s="83">
        <v>619</v>
      </c>
      <c r="K142" s="83">
        <v>114</v>
      </c>
      <c r="L142" s="132">
        <v>631</v>
      </c>
      <c r="M142" s="83">
        <v>19294.599999999999</v>
      </c>
      <c r="N142" s="83">
        <v>18057.599999999999</v>
      </c>
      <c r="O142" s="75">
        <v>19659.400000000001</v>
      </c>
      <c r="P142" s="75">
        <v>18401.7</v>
      </c>
      <c r="Q142" s="75">
        <v>19543.599999999999</v>
      </c>
      <c r="R142" s="75">
        <v>18137.599999999999</v>
      </c>
      <c r="S142" s="75">
        <v>19521.7</v>
      </c>
      <c r="T142" s="75">
        <v>18145.7</v>
      </c>
      <c r="U142" s="75">
        <v>16507.5</v>
      </c>
      <c r="V142" s="75">
        <v>15723</v>
      </c>
      <c r="X142" s="27">
        <f>Table25[[#This Row],[HDC1]]/Table25[[#This Row],[HCC1]]</f>
        <v>0.93588879790200363</v>
      </c>
      <c r="Y142" s="27">
        <f>Table25[[#This Row],[HDC2]]/Table25[[#This Row],[HCC2]]</f>
        <v>0.93602551451214178</v>
      </c>
      <c r="Z142" s="27">
        <f>Table25[[#This Row],[HDC3]]/Table25[[#This Row],[HCC3]]</f>
        <v>0.92805829018195218</v>
      </c>
      <c r="AA142" s="27">
        <f>Table25[[#This Row],[HDC4]]/Table25[[#This Row],[HCC4]]</f>
        <v>0.92951433532940264</v>
      </c>
      <c r="AB142" s="27">
        <f>Table25[[#This Row],[HDC5]]/Table25[[#This Row],[HCC5]]</f>
        <v>0.95247614720581553</v>
      </c>
    </row>
    <row r="143" spans="1:28" ht="15">
      <c r="A143" t="s">
        <v>273</v>
      </c>
      <c r="B143" s="85" t="s">
        <v>556</v>
      </c>
      <c r="C143" s="131">
        <v>120</v>
      </c>
      <c r="D143" s="75">
        <v>638</v>
      </c>
      <c r="E143" s="75">
        <v>127</v>
      </c>
      <c r="F143" s="75">
        <v>635</v>
      </c>
      <c r="G143" s="75">
        <v>131</v>
      </c>
      <c r="H143" s="75">
        <v>622</v>
      </c>
      <c r="I143" s="75">
        <v>127</v>
      </c>
      <c r="J143" s="83">
        <v>629</v>
      </c>
      <c r="K143" s="83">
        <v>122</v>
      </c>
      <c r="L143" s="132">
        <v>631</v>
      </c>
      <c r="M143" s="83">
        <v>20021.5</v>
      </c>
      <c r="N143" s="83">
        <v>18838.5</v>
      </c>
      <c r="O143" s="75">
        <v>19630.900000000001</v>
      </c>
      <c r="P143" s="75">
        <v>18408.7</v>
      </c>
      <c r="Q143" s="75">
        <v>19890.7</v>
      </c>
      <c r="R143" s="75">
        <v>18696.900000000001</v>
      </c>
      <c r="S143" s="75">
        <v>16234.7</v>
      </c>
      <c r="T143" s="75">
        <v>15405.1</v>
      </c>
      <c r="U143" s="75">
        <v>19192.099999999999</v>
      </c>
      <c r="V143" s="75">
        <v>17942.099999999999</v>
      </c>
      <c r="X143" s="27">
        <f>Table25[[#This Row],[HDC1]]/Table25[[#This Row],[HCC1]]</f>
        <v>0.94091351796818423</v>
      </c>
      <c r="Y143" s="27">
        <f>Table25[[#This Row],[HDC2]]/Table25[[#This Row],[HCC2]]</f>
        <v>0.93774101034593416</v>
      </c>
      <c r="Z143" s="27">
        <f>Table25[[#This Row],[HDC3]]/Table25[[#This Row],[HCC3]]</f>
        <v>0.93998200163895695</v>
      </c>
      <c r="AA143" s="27">
        <f>Table25[[#This Row],[HDC4]]/Table25[[#This Row],[HCC4]]</f>
        <v>0.94889957929619884</v>
      </c>
      <c r="AB143" s="27">
        <f>Table25[[#This Row],[HDC5]]/Table25[[#This Row],[HCC5]]</f>
        <v>0.93486903465488402</v>
      </c>
    </row>
    <row r="144" spans="1:28" ht="15">
      <c r="A144" t="s">
        <v>274</v>
      </c>
      <c r="B144" s="85" t="s">
        <v>557</v>
      </c>
      <c r="C144" s="131">
        <v>137</v>
      </c>
      <c r="D144" s="75">
        <v>619</v>
      </c>
      <c r="E144" s="75">
        <v>130</v>
      </c>
      <c r="F144" s="75">
        <v>625</v>
      </c>
      <c r="G144" s="75">
        <v>120</v>
      </c>
      <c r="H144" s="75">
        <v>633</v>
      </c>
      <c r="I144" s="75">
        <v>132</v>
      </c>
      <c r="J144" s="83">
        <v>624</v>
      </c>
      <c r="K144" s="83">
        <v>140</v>
      </c>
      <c r="L144" s="132">
        <v>616</v>
      </c>
      <c r="M144" s="83">
        <v>19939.8</v>
      </c>
      <c r="N144" s="83">
        <v>18520.099999999999</v>
      </c>
      <c r="O144" s="75">
        <v>19790.7</v>
      </c>
      <c r="P144" s="75">
        <v>18539.7</v>
      </c>
      <c r="Q144" s="75">
        <v>19805.2</v>
      </c>
      <c r="R144" s="75">
        <v>18403</v>
      </c>
      <c r="S144" s="75">
        <v>16231.3</v>
      </c>
      <c r="T144" s="75">
        <v>15325.9</v>
      </c>
      <c r="U144" s="75">
        <v>19038.2</v>
      </c>
      <c r="V144" s="75">
        <v>18023.8</v>
      </c>
      <c r="X144" s="27">
        <f>Table25[[#This Row],[HDC1]]/Table25[[#This Row],[HCC1]]</f>
        <v>0.92880069007713217</v>
      </c>
      <c r="Y144" s="27">
        <f>Table25[[#This Row],[HDC2]]/Table25[[#This Row],[HCC2]]</f>
        <v>0.93678849156421951</v>
      </c>
      <c r="Z144" s="27">
        <f>Table25[[#This Row],[HDC3]]/Table25[[#This Row],[HCC3]]</f>
        <v>0.92920041201300663</v>
      </c>
      <c r="AA144" s="27">
        <f>Table25[[#This Row],[HDC4]]/Table25[[#This Row],[HCC4]]</f>
        <v>0.94421888573312063</v>
      </c>
      <c r="AB144" s="27">
        <f>Table25[[#This Row],[HDC5]]/Table25[[#This Row],[HCC5]]</f>
        <v>0.94671765187885404</v>
      </c>
    </row>
    <row r="145" spans="1:28" ht="15">
      <c r="A145" t="s">
        <v>275</v>
      </c>
      <c r="B145" s="85" t="s">
        <v>558</v>
      </c>
      <c r="C145" s="131">
        <v>127</v>
      </c>
      <c r="D145" s="75">
        <v>622</v>
      </c>
      <c r="E145" s="75">
        <v>114</v>
      </c>
      <c r="F145" s="75">
        <v>640</v>
      </c>
      <c r="G145" s="75">
        <v>133</v>
      </c>
      <c r="H145" s="75">
        <v>622</v>
      </c>
      <c r="I145" s="75">
        <v>129</v>
      </c>
      <c r="J145" s="83">
        <v>630</v>
      </c>
      <c r="K145" s="83">
        <v>139</v>
      </c>
      <c r="L145" s="132">
        <v>618</v>
      </c>
      <c r="M145" s="83">
        <v>18938.2</v>
      </c>
      <c r="N145" s="83">
        <v>17743</v>
      </c>
      <c r="O145" s="75">
        <v>15758.8</v>
      </c>
      <c r="P145" s="75">
        <v>14908</v>
      </c>
      <c r="Q145" s="75">
        <v>19535.7</v>
      </c>
      <c r="R145" s="75">
        <v>18345.7</v>
      </c>
      <c r="S145" s="75">
        <v>19430.900000000001</v>
      </c>
      <c r="T145" s="75">
        <v>18211.900000000001</v>
      </c>
      <c r="U145" s="75">
        <v>19034.900000000001</v>
      </c>
      <c r="V145" s="75">
        <v>17855</v>
      </c>
      <c r="X145" s="27">
        <f>Table25[[#This Row],[HDC1]]/Table25[[#This Row],[HCC1]]</f>
        <v>0.93688946151165364</v>
      </c>
      <c r="Y145" s="27">
        <f>Table25[[#This Row],[HDC2]]/Table25[[#This Row],[HCC2]]</f>
        <v>0.94601111759778667</v>
      </c>
      <c r="Z145" s="27">
        <f>Table25[[#This Row],[HDC3]]/Table25[[#This Row],[HCC3]]</f>
        <v>0.9390858786734031</v>
      </c>
      <c r="AA145" s="27">
        <f>Table25[[#This Row],[HDC4]]/Table25[[#This Row],[HCC4]]</f>
        <v>0.93726487193079067</v>
      </c>
      <c r="AB145" s="27">
        <f>Table25[[#This Row],[HDC5]]/Table25[[#This Row],[HCC5]]</f>
        <v>0.93801385875418308</v>
      </c>
    </row>
    <row r="146" spans="1:28" ht="15">
      <c r="A146" t="s">
        <v>276</v>
      </c>
      <c r="B146" s="85" t="s">
        <v>400</v>
      </c>
      <c r="C146" s="131">
        <v>119</v>
      </c>
      <c r="D146" s="75">
        <v>644</v>
      </c>
      <c r="E146" s="75">
        <v>112</v>
      </c>
      <c r="F146" s="75">
        <v>656</v>
      </c>
      <c r="G146" s="75">
        <v>120</v>
      </c>
      <c r="H146" s="75">
        <v>643</v>
      </c>
      <c r="I146" s="75">
        <v>121</v>
      </c>
      <c r="J146" s="83">
        <v>639</v>
      </c>
      <c r="K146" s="83">
        <v>118</v>
      </c>
      <c r="L146" s="132">
        <v>652</v>
      </c>
      <c r="M146" s="83">
        <v>22803.1</v>
      </c>
      <c r="N146" s="83">
        <v>21434.7</v>
      </c>
      <c r="O146" s="75">
        <v>22679.599999999999</v>
      </c>
      <c r="P146" s="75">
        <v>21293.3</v>
      </c>
      <c r="Q146" s="75">
        <v>21717.200000000001</v>
      </c>
      <c r="R146" s="75">
        <v>20421.8</v>
      </c>
      <c r="S146" s="75">
        <v>21843.9</v>
      </c>
      <c r="T146" s="75">
        <v>20532.400000000001</v>
      </c>
      <c r="U146" s="75">
        <v>22602.5</v>
      </c>
      <c r="V146" s="75">
        <v>21244.3</v>
      </c>
      <c r="X146" s="27">
        <f>Table25[[#This Row],[HDC1]]/Table25[[#This Row],[HCC1]]</f>
        <v>0.93999061531107619</v>
      </c>
      <c r="Y146" s="27">
        <f>Table25[[#This Row],[HDC2]]/Table25[[#This Row],[HCC2]]</f>
        <v>0.93887458332598461</v>
      </c>
      <c r="Z146" s="27">
        <f>Table25[[#This Row],[HDC3]]/Table25[[#This Row],[HCC3]]</f>
        <v>0.94035142651907233</v>
      </c>
      <c r="AA146" s="27">
        <f>Table25[[#This Row],[HDC4]]/Table25[[#This Row],[HCC4]]</f>
        <v>0.93996035506480069</v>
      </c>
      <c r="AB146" s="27">
        <f>Table25[[#This Row],[HDC5]]/Table25[[#This Row],[HCC5]]</f>
        <v>0.93990930206835521</v>
      </c>
    </row>
    <row r="147" spans="1:28" ht="15">
      <c r="A147" t="s">
        <v>277</v>
      </c>
      <c r="B147" s="85" t="s">
        <v>401</v>
      </c>
      <c r="C147" s="131">
        <v>111</v>
      </c>
      <c r="D147" s="75">
        <v>640</v>
      </c>
      <c r="E147" s="75">
        <v>112</v>
      </c>
      <c r="F147" s="75">
        <v>645</v>
      </c>
      <c r="G147" s="75">
        <v>115</v>
      </c>
      <c r="H147" s="75">
        <v>638</v>
      </c>
      <c r="I147" s="75">
        <v>115</v>
      </c>
      <c r="J147" s="83">
        <v>638</v>
      </c>
      <c r="K147" s="83">
        <v>113</v>
      </c>
      <c r="L147" s="132">
        <v>659</v>
      </c>
      <c r="M147" s="83">
        <v>21469.4</v>
      </c>
      <c r="N147" s="83">
        <v>20108.099999999999</v>
      </c>
      <c r="O147" s="75">
        <v>16528</v>
      </c>
      <c r="P147" s="75">
        <v>15966.8</v>
      </c>
      <c r="Q147" s="75">
        <v>19863.5</v>
      </c>
      <c r="R147" s="75">
        <v>19220</v>
      </c>
      <c r="S147" s="75">
        <v>21777.7</v>
      </c>
      <c r="T147" s="75">
        <v>20459.400000000001</v>
      </c>
      <c r="U147" s="75">
        <v>21016.799999999999</v>
      </c>
      <c r="V147" s="75">
        <v>19832.8</v>
      </c>
      <c r="X147" s="27">
        <f>Table25[[#This Row],[HDC1]]/Table25[[#This Row],[HCC1]]</f>
        <v>0.93659347722805464</v>
      </c>
      <c r="Y147" s="27">
        <f>Table25[[#This Row],[HDC2]]/Table25[[#This Row],[HCC2]]</f>
        <v>0.96604549854791866</v>
      </c>
      <c r="Z147" s="27">
        <f>Table25[[#This Row],[HDC3]]/Table25[[#This Row],[HCC3]]</f>
        <v>0.96760389659425583</v>
      </c>
      <c r="AA147" s="27">
        <f>Table25[[#This Row],[HDC4]]/Table25[[#This Row],[HCC4]]</f>
        <v>0.93946560013224545</v>
      </c>
      <c r="AB147" s="27">
        <f>Table25[[#This Row],[HDC5]]/Table25[[#This Row],[HCC5]]</f>
        <v>0.94366411632598679</v>
      </c>
    </row>
    <row r="148" spans="1:28" ht="15">
      <c r="A148" t="s">
        <v>278</v>
      </c>
      <c r="B148" s="85" t="s">
        <v>402</v>
      </c>
      <c r="C148" s="131">
        <v>0</v>
      </c>
      <c r="D148" s="75">
        <v>768</v>
      </c>
      <c r="E148" s="75">
        <v>10</v>
      </c>
      <c r="F148" s="75">
        <v>770</v>
      </c>
      <c r="G148" s="75">
        <v>0</v>
      </c>
      <c r="H148" s="75">
        <v>764</v>
      </c>
      <c r="I148" s="75">
        <v>0</v>
      </c>
      <c r="J148" s="83">
        <v>769</v>
      </c>
      <c r="K148" s="83">
        <v>0</v>
      </c>
      <c r="L148" s="132">
        <v>767</v>
      </c>
      <c r="M148" s="83">
        <v>19940.900000000001</v>
      </c>
      <c r="N148" s="83">
        <v>18561.099999999999</v>
      </c>
      <c r="O148" s="75">
        <v>20160.8</v>
      </c>
      <c r="P148" s="75">
        <v>18871</v>
      </c>
      <c r="Q148" s="75">
        <v>18499.7</v>
      </c>
      <c r="R148" s="75">
        <v>17878.3</v>
      </c>
      <c r="S148" s="75">
        <v>20302.8</v>
      </c>
      <c r="T148" s="75">
        <v>18916.900000000001</v>
      </c>
      <c r="U148" s="75">
        <v>20372.5</v>
      </c>
      <c r="V148" s="75">
        <v>18995.099999999999</v>
      </c>
      <c r="X148" s="27">
        <f>Table25[[#This Row],[HDC1]]/Table25[[#This Row],[HCC1]]</f>
        <v>0.93080553034216096</v>
      </c>
      <c r="Y148" s="27">
        <f>Table25[[#This Row],[HDC2]]/Table25[[#This Row],[HCC2]]</f>
        <v>0.9360243641125352</v>
      </c>
      <c r="Z148" s="27">
        <f>Table25[[#This Row],[HDC3]]/Table25[[#This Row],[HCC3]]</f>
        <v>0.96641026611242342</v>
      </c>
      <c r="AA148" s="27">
        <f>Table25[[#This Row],[HDC4]]/Table25[[#This Row],[HCC4]]</f>
        <v>0.93173847942155774</v>
      </c>
      <c r="AB148" s="27">
        <f>Table25[[#This Row],[HDC5]]/Table25[[#This Row],[HCC5]]</f>
        <v>0.93238925021475016</v>
      </c>
    </row>
    <row r="149" spans="1:28" ht="15">
      <c r="A149" t="s">
        <v>279</v>
      </c>
      <c r="B149" s="85" t="s">
        <v>403</v>
      </c>
      <c r="C149" s="131">
        <v>118</v>
      </c>
      <c r="D149" s="75">
        <v>655</v>
      </c>
      <c r="E149" s="75">
        <v>113</v>
      </c>
      <c r="F149" s="75">
        <v>640</v>
      </c>
      <c r="G149" s="75">
        <v>115</v>
      </c>
      <c r="H149" s="75">
        <v>646</v>
      </c>
      <c r="I149" s="75">
        <v>122</v>
      </c>
      <c r="J149" s="83">
        <v>631</v>
      </c>
      <c r="K149" s="83">
        <v>106</v>
      </c>
      <c r="L149" s="132">
        <v>649</v>
      </c>
      <c r="M149" s="83">
        <v>22079.599999999999</v>
      </c>
      <c r="N149" s="83">
        <v>21158.1</v>
      </c>
      <c r="O149" s="75">
        <v>27412</v>
      </c>
      <c r="P149" s="75">
        <v>25831.7</v>
      </c>
      <c r="Q149" s="75">
        <v>26594.799999999999</v>
      </c>
      <c r="R149" s="75">
        <v>25032.799999999999</v>
      </c>
      <c r="S149" s="75">
        <v>27345.5</v>
      </c>
      <c r="T149" s="75">
        <v>25704.6</v>
      </c>
      <c r="U149" s="75">
        <v>22850.400000000001</v>
      </c>
      <c r="V149" s="75">
        <v>21499</v>
      </c>
      <c r="X149" s="27">
        <f>Table25[[#This Row],[HDC1]]/Table25[[#This Row],[HCC1]]</f>
        <v>0.95826464247540721</v>
      </c>
      <c r="Y149" s="27">
        <f>Table25[[#This Row],[HDC2]]/Table25[[#This Row],[HCC2]]</f>
        <v>0.94235006566467239</v>
      </c>
      <c r="Z149" s="27">
        <f>Table25[[#This Row],[HDC3]]/Table25[[#This Row],[HCC3]]</f>
        <v>0.94126671379367399</v>
      </c>
      <c r="AA149" s="27">
        <f>Table25[[#This Row],[HDC4]]/Table25[[#This Row],[HCC4]]</f>
        <v>0.93999378325501448</v>
      </c>
      <c r="AB149" s="27">
        <f>Table25[[#This Row],[HDC5]]/Table25[[#This Row],[HCC5]]</f>
        <v>0.94085880334698735</v>
      </c>
    </row>
    <row r="150" spans="1:28" ht="15">
      <c r="A150" t="s">
        <v>280</v>
      </c>
      <c r="B150" s="85" t="s">
        <v>559</v>
      </c>
      <c r="C150" s="131">
        <v>126</v>
      </c>
      <c r="D150" s="75">
        <v>635</v>
      </c>
      <c r="E150" s="75">
        <v>125</v>
      </c>
      <c r="F150" s="75">
        <v>644</v>
      </c>
      <c r="G150" s="75">
        <v>125</v>
      </c>
      <c r="H150" s="75">
        <v>644</v>
      </c>
      <c r="I150" s="75">
        <v>127</v>
      </c>
      <c r="J150" s="83">
        <v>644</v>
      </c>
      <c r="K150" s="83">
        <v>128</v>
      </c>
      <c r="L150" s="132">
        <v>640</v>
      </c>
      <c r="M150" s="83">
        <v>19929.599999999999</v>
      </c>
      <c r="N150" s="83">
        <v>19056.599999999999</v>
      </c>
      <c r="O150" s="75">
        <v>20508.5</v>
      </c>
      <c r="P150" s="75">
        <v>19168.599999999999</v>
      </c>
      <c r="Q150" s="75">
        <v>15802.7</v>
      </c>
      <c r="R150" s="75">
        <v>15131.1</v>
      </c>
      <c r="S150" s="75">
        <v>20336.400000000001</v>
      </c>
      <c r="T150" s="75">
        <v>19012.2</v>
      </c>
      <c r="U150" s="75">
        <v>20438</v>
      </c>
      <c r="V150" s="75">
        <v>19130.2</v>
      </c>
      <c r="X150" s="27">
        <f>Table25[[#This Row],[HDC1]]/Table25[[#This Row],[HCC1]]</f>
        <v>0.95619580924855496</v>
      </c>
      <c r="Y150" s="27">
        <f>Table25[[#This Row],[HDC2]]/Table25[[#This Row],[HCC2]]</f>
        <v>0.93466611405027178</v>
      </c>
      <c r="Z150" s="27">
        <f>Table25[[#This Row],[HDC3]]/Table25[[#This Row],[HCC3]]</f>
        <v>0.95750093338480136</v>
      </c>
      <c r="AA150" s="27">
        <f>Table25[[#This Row],[HDC4]]/Table25[[#This Row],[HCC4]]</f>
        <v>0.93488523042426386</v>
      </c>
      <c r="AB150" s="27">
        <f>Table25[[#This Row],[HDC5]]/Table25[[#This Row],[HCC5]]</f>
        <v>0.93601135140424707</v>
      </c>
    </row>
    <row r="151" spans="1:28" ht="15">
      <c r="A151" t="s">
        <v>281</v>
      </c>
      <c r="B151" s="85" t="s">
        <v>560</v>
      </c>
      <c r="C151" s="131">
        <v>132</v>
      </c>
      <c r="D151" s="75">
        <v>636</v>
      </c>
      <c r="E151" s="75">
        <v>115</v>
      </c>
      <c r="F151" s="75">
        <v>637</v>
      </c>
      <c r="G151" s="75">
        <v>130</v>
      </c>
      <c r="H151" s="75">
        <v>638</v>
      </c>
      <c r="I151" s="75">
        <v>125</v>
      </c>
      <c r="J151" s="83">
        <v>637</v>
      </c>
      <c r="K151" s="83">
        <v>134</v>
      </c>
      <c r="L151" s="132">
        <v>634</v>
      </c>
      <c r="M151" s="83">
        <v>21347.4</v>
      </c>
      <c r="N151" s="83">
        <v>19996.2</v>
      </c>
      <c r="O151" s="75">
        <v>21541.8</v>
      </c>
      <c r="P151" s="75">
        <v>20196.3</v>
      </c>
      <c r="Q151" s="75">
        <v>21585.1</v>
      </c>
      <c r="R151" s="75">
        <v>20250.5</v>
      </c>
      <c r="S151" s="75">
        <v>15298.2</v>
      </c>
      <c r="T151" s="75">
        <v>14715.2</v>
      </c>
      <c r="U151" s="75">
        <v>21417.5</v>
      </c>
      <c r="V151" s="75">
        <v>20082.8</v>
      </c>
      <c r="X151" s="27">
        <f>Table25[[#This Row],[HDC1]]/Table25[[#This Row],[HCC1]]</f>
        <v>0.9367042356446218</v>
      </c>
      <c r="Y151" s="27">
        <f>Table25[[#This Row],[HDC2]]/Table25[[#This Row],[HCC2]]</f>
        <v>0.93754003843689937</v>
      </c>
      <c r="Z151" s="27">
        <f>Table25[[#This Row],[HDC3]]/Table25[[#This Row],[HCC3]]</f>
        <v>0.93817031192813571</v>
      </c>
      <c r="AA151" s="27">
        <f>Table25[[#This Row],[HDC4]]/Table25[[#This Row],[HCC4]]</f>
        <v>0.96189094141794462</v>
      </c>
      <c r="AB151" s="27">
        <f>Table25[[#This Row],[HDC5]]/Table25[[#This Row],[HCC5]]</f>
        <v>0.93768180226450326</v>
      </c>
    </row>
    <row r="152" spans="1:28" ht="15">
      <c r="A152" t="s">
        <v>282</v>
      </c>
      <c r="B152" s="85" t="s">
        <v>561</v>
      </c>
      <c r="C152" s="131">
        <v>114</v>
      </c>
      <c r="D152" s="75">
        <v>645</v>
      </c>
      <c r="E152" s="75">
        <v>129</v>
      </c>
      <c r="F152" s="75">
        <v>632</v>
      </c>
      <c r="G152" s="75">
        <v>133</v>
      </c>
      <c r="H152" s="75">
        <v>625</v>
      </c>
      <c r="I152" s="75">
        <v>133</v>
      </c>
      <c r="J152" s="83">
        <v>628</v>
      </c>
      <c r="K152" s="83">
        <v>133</v>
      </c>
      <c r="L152" s="132">
        <v>629</v>
      </c>
      <c r="M152" s="83">
        <v>19163.599999999999</v>
      </c>
      <c r="N152" s="83">
        <v>17878.599999999999</v>
      </c>
      <c r="O152" s="75">
        <v>18211.099999999999</v>
      </c>
      <c r="P152" s="75">
        <v>17610.8</v>
      </c>
      <c r="Q152" s="75">
        <v>18841.3</v>
      </c>
      <c r="R152" s="75">
        <v>17648.099999999999</v>
      </c>
      <c r="S152" s="75">
        <v>18394.099999999999</v>
      </c>
      <c r="T152" s="75">
        <v>17760.5</v>
      </c>
      <c r="U152" s="75">
        <v>18826</v>
      </c>
      <c r="V152" s="75">
        <v>17608.8</v>
      </c>
      <c r="X152" s="27">
        <f>Table25[[#This Row],[HDC1]]/Table25[[#This Row],[HCC1]]</f>
        <v>0.93294579306602099</v>
      </c>
      <c r="Y152" s="27">
        <f>Table25[[#This Row],[HDC2]]/Table25[[#This Row],[HCC2]]</f>
        <v>0.96703658757570932</v>
      </c>
      <c r="Z152" s="27">
        <f>Table25[[#This Row],[HDC3]]/Table25[[#This Row],[HCC3]]</f>
        <v>0.93667103649960459</v>
      </c>
      <c r="AA152" s="27">
        <f>Table25[[#This Row],[HDC4]]/Table25[[#This Row],[HCC4]]</f>
        <v>0.96555417226175788</v>
      </c>
      <c r="AB152" s="27">
        <f>Table25[[#This Row],[HDC5]]/Table25[[#This Row],[HCC5]]</f>
        <v>0.93534473600339951</v>
      </c>
    </row>
    <row r="153" spans="1:28" ht="15">
      <c r="A153" t="s">
        <v>283</v>
      </c>
      <c r="B153" s="85" t="s">
        <v>562</v>
      </c>
      <c r="C153" s="131">
        <v>126</v>
      </c>
      <c r="D153" s="75">
        <v>636</v>
      </c>
      <c r="E153" s="75">
        <v>122</v>
      </c>
      <c r="F153" s="75">
        <v>643</v>
      </c>
      <c r="G153" s="75">
        <v>121</v>
      </c>
      <c r="H153" s="75">
        <v>640</v>
      </c>
      <c r="I153" s="75">
        <v>123</v>
      </c>
      <c r="J153" s="83">
        <v>642</v>
      </c>
      <c r="K153" s="83">
        <v>132</v>
      </c>
      <c r="L153" s="132">
        <v>640</v>
      </c>
      <c r="M153" s="83">
        <v>20365.599999999999</v>
      </c>
      <c r="N153" s="83">
        <v>19164.3</v>
      </c>
      <c r="O153" s="75">
        <v>20530.7</v>
      </c>
      <c r="P153" s="75">
        <v>19286.900000000001</v>
      </c>
      <c r="Q153" s="75">
        <v>20528.8</v>
      </c>
      <c r="R153" s="75">
        <v>19189.400000000001</v>
      </c>
      <c r="S153" s="75">
        <v>20307</v>
      </c>
      <c r="T153" s="75">
        <v>19068.2</v>
      </c>
      <c r="U153" s="75">
        <v>20316.2</v>
      </c>
      <c r="V153" s="75">
        <v>19096.3</v>
      </c>
      <c r="X153" s="27">
        <f>Table25[[#This Row],[HDC1]]/Table25[[#This Row],[HCC1]]</f>
        <v>0.94101327729111839</v>
      </c>
      <c r="Y153" s="27">
        <f>Table25[[#This Row],[HDC2]]/Table25[[#This Row],[HCC2]]</f>
        <v>0.93941755517347192</v>
      </c>
      <c r="Z153" s="27">
        <f>Table25[[#This Row],[HDC3]]/Table25[[#This Row],[HCC3]]</f>
        <v>0.93475507579595507</v>
      </c>
      <c r="AA153" s="27">
        <f>Table25[[#This Row],[HDC4]]/Table25[[#This Row],[HCC4]]</f>
        <v>0.93899640518047967</v>
      </c>
      <c r="AB153" s="27">
        <f>Table25[[#This Row],[HDC5]]/Table25[[#This Row],[HCC5]]</f>
        <v>0.93995432216654684</v>
      </c>
    </row>
    <row r="154" spans="1:28" ht="15">
      <c r="A154" t="s">
        <v>131</v>
      </c>
      <c r="B154" s="85" t="s">
        <v>563</v>
      </c>
      <c r="C154" s="131">
        <v>133</v>
      </c>
      <c r="D154" s="75">
        <v>621</v>
      </c>
      <c r="E154" s="75">
        <v>119</v>
      </c>
      <c r="F154" s="75">
        <v>636</v>
      </c>
      <c r="G154" s="75">
        <v>132</v>
      </c>
      <c r="H154" s="75">
        <v>633</v>
      </c>
      <c r="I154" s="75">
        <v>127</v>
      </c>
      <c r="J154" s="83">
        <v>628</v>
      </c>
      <c r="K154" s="83">
        <v>117</v>
      </c>
      <c r="L154" s="132">
        <v>641</v>
      </c>
      <c r="M154" s="83">
        <v>19891.7</v>
      </c>
      <c r="N154" s="83">
        <v>18644.099999999999</v>
      </c>
      <c r="O154" s="75">
        <v>20694.599999999999</v>
      </c>
      <c r="P154" s="75">
        <v>19420.7</v>
      </c>
      <c r="Q154" s="75">
        <v>19409.400000000001</v>
      </c>
      <c r="R154" s="75">
        <v>18238.2</v>
      </c>
      <c r="S154" s="75">
        <v>19746.900000000001</v>
      </c>
      <c r="T154" s="75">
        <v>18446.400000000001</v>
      </c>
      <c r="U154" s="75">
        <v>14623.6</v>
      </c>
      <c r="V154" s="75">
        <v>14040</v>
      </c>
      <c r="X154" s="27">
        <f>Table25[[#This Row],[HDC1]]/Table25[[#This Row],[HCC1]]</f>
        <v>0.93728037322099156</v>
      </c>
      <c r="Y154" s="27">
        <f>Table25[[#This Row],[HDC2]]/Table25[[#This Row],[HCC2]]</f>
        <v>0.93844287881862909</v>
      </c>
      <c r="Z154" s="27">
        <f>Table25[[#This Row],[HDC3]]/Table25[[#This Row],[HCC3]]</f>
        <v>0.93965810380537262</v>
      </c>
      <c r="AA154" s="27">
        <f>Table25[[#This Row],[HDC4]]/Table25[[#This Row],[HCC4]]</f>
        <v>0.93414156146027982</v>
      </c>
      <c r="AB154" s="27">
        <f>Table25[[#This Row],[HDC5]]/Table25[[#This Row],[HCC5]]</f>
        <v>0.96009190623375906</v>
      </c>
    </row>
    <row r="155" spans="1:28" ht="15">
      <c r="A155" t="s">
        <v>284</v>
      </c>
      <c r="B155" s="85" t="s">
        <v>564</v>
      </c>
      <c r="C155" s="131">
        <v>122</v>
      </c>
      <c r="D155" s="75">
        <v>638</v>
      </c>
      <c r="E155" s="75">
        <v>134</v>
      </c>
      <c r="F155" s="75">
        <v>627</v>
      </c>
      <c r="G155" s="75">
        <v>125</v>
      </c>
      <c r="H155" s="75">
        <v>645</v>
      </c>
      <c r="I155" s="75">
        <v>133</v>
      </c>
      <c r="J155" s="83">
        <v>629</v>
      </c>
      <c r="K155" s="83">
        <v>132</v>
      </c>
      <c r="L155" s="132">
        <v>627</v>
      </c>
      <c r="M155" s="83">
        <v>18407</v>
      </c>
      <c r="N155" s="83">
        <v>17219</v>
      </c>
      <c r="O155" s="75">
        <v>17470.099999999999</v>
      </c>
      <c r="P155" s="75">
        <v>16312.9</v>
      </c>
      <c r="Q155" s="75">
        <v>16478.900000000001</v>
      </c>
      <c r="R155" s="75">
        <v>15951</v>
      </c>
      <c r="S155" s="75">
        <v>18244.7</v>
      </c>
      <c r="T155" s="75">
        <v>17072.2</v>
      </c>
      <c r="U155" s="75">
        <v>18382.400000000001</v>
      </c>
      <c r="V155" s="75">
        <v>17155.8</v>
      </c>
      <c r="X155" s="27">
        <f>Table25[[#This Row],[HDC1]]/Table25[[#This Row],[HCC1]]</f>
        <v>0.9354593361221275</v>
      </c>
      <c r="Y155" s="27">
        <f>Table25[[#This Row],[HDC2]]/Table25[[#This Row],[HCC2]]</f>
        <v>0.93376111184251953</v>
      </c>
      <c r="Z155" s="27">
        <f>Table25[[#This Row],[HDC3]]/Table25[[#This Row],[HCC3]]</f>
        <v>0.96796509475753834</v>
      </c>
      <c r="AA155" s="27">
        <f>Table25[[#This Row],[HDC4]]/Table25[[#This Row],[HCC4]]</f>
        <v>0.93573476132794731</v>
      </c>
      <c r="AB155" s="27">
        <f>Table25[[#This Row],[HDC5]]/Table25[[#This Row],[HCC5]]</f>
        <v>0.933273130820785</v>
      </c>
    </row>
    <row r="156" spans="1:28" ht="15">
      <c r="A156" t="s">
        <v>285</v>
      </c>
      <c r="B156" s="85" t="s">
        <v>565</v>
      </c>
      <c r="C156" s="131">
        <v>122</v>
      </c>
      <c r="D156" s="75">
        <v>628</v>
      </c>
      <c r="E156" s="75">
        <v>122</v>
      </c>
      <c r="F156" s="75">
        <v>635</v>
      </c>
      <c r="G156" s="75">
        <v>117</v>
      </c>
      <c r="H156" s="75">
        <v>636</v>
      </c>
      <c r="I156" s="75">
        <v>130</v>
      </c>
      <c r="J156" s="83">
        <v>623</v>
      </c>
      <c r="K156" s="83">
        <v>125</v>
      </c>
      <c r="L156" s="132">
        <v>625</v>
      </c>
      <c r="M156" s="83">
        <v>20321.7</v>
      </c>
      <c r="N156" s="83">
        <v>19037.8</v>
      </c>
      <c r="O156" s="75">
        <v>20663.400000000001</v>
      </c>
      <c r="P156" s="75">
        <v>19369.8</v>
      </c>
      <c r="Q156" s="75">
        <v>20224</v>
      </c>
      <c r="R156" s="75">
        <v>19513.5</v>
      </c>
      <c r="S156" s="75">
        <v>20716.400000000001</v>
      </c>
      <c r="T156" s="75">
        <v>19367.099999999999</v>
      </c>
      <c r="U156" s="75">
        <v>20131</v>
      </c>
      <c r="V156" s="75">
        <v>18847.8</v>
      </c>
      <c r="X156" s="27">
        <f>Table25[[#This Row],[HDC1]]/Table25[[#This Row],[HCC1]]</f>
        <v>0.93682123050729016</v>
      </c>
      <c r="Y156" s="27">
        <f>Table25[[#This Row],[HDC2]]/Table25[[#This Row],[HCC2]]</f>
        <v>0.93739655622985563</v>
      </c>
      <c r="Z156" s="27">
        <f>Table25[[#This Row],[HDC3]]/Table25[[#This Row],[HCC3]]</f>
        <v>0.96486847310126578</v>
      </c>
      <c r="AA156" s="27">
        <f>Table25[[#This Row],[HDC4]]/Table25[[#This Row],[HCC4]]</f>
        <v>0.934868027263424</v>
      </c>
      <c r="AB156" s="27">
        <f>Table25[[#This Row],[HDC5]]/Table25[[#This Row],[HCC5]]</f>
        <v>0.93625751328796381</v>
      </c>
    </row>
    <row r="157" spans="1:28" ht="15">
      <c r="A157" t="s">
        <v>286</v>
      </c>
      <c r="B157" s="85" t="s">
        <v>566</v>
      </c>
      <c r="C157" s="131">
        <v>118</v>
      </c>
      <c r="D157" s="75">
        <v>633</v>
      </c>
      <c r="E157" s="75">
        <v>119</v>
      </c>
      <c r="F157" s="75">
        <v>632</v>
      </c>
      <c r="G157" s="75">
        <v>128</v>
      </c>
      <c r="H157" s="75">
        <v>624</v>
      </c>
      <c r="I157" s="75">
        <v>128</v>
      </c>
      <c r="J157" s="83">
        <v>623</v>
      </c>
      <c r="K157" s="83">
        <v>128</v>
      </c>
      <c r="L157" s="132">
        <v>630</v>
      </c>
      <c r="M157" s="83">
        <v>22518.799999999999</v>
      </c>
      <c r="N157" s="83">
        <v>21170.3</v>
      </c>
      <c r="O157" s="75">
        <v>21676.799999999999</v>
      </c>
      <c r="P157" s="75">
        <v>20371.400000000001</v>
      </c>
      <c r="Q157" s="75">
        <v>16892.099999999999</v>
      </c>
      <c r="R157" s="75">
        <v>16177.6</v>
      </c>
      <c r="S157" s="75">
        <v>22438.5</v>
      </c>
      <c r="T157" s="75">
        <v>21048.6</v>
      </c>
      <c r="U157" s="75">
        <v>21654.2</v>
      </c>
      <c r="V157" s="75">
        <v>20404.400000000001</v>
      </c>
      <c r="X157" s="27">
        <f>Table25[[#This Row],[HDC1]]/Table25[[#This Row],[HCC1]]</f>
        <v>0.94011670248858736</v>
      </c>
      <c r="Y157" s="27">
        <f>Table25[[#This Row],[HDC2]]/Table25[[#This Row],[HCC2]]</f>
        <v>0.93977893416002367</v>
      </c>
      <c r="Z157" s="27">
        <f>Table25[[#This Row],[HDC3]]/Table25[[#This Row],[HCC3]]</f>
        <v>0.95770212110986808</v>
      </c>
      <c r="AA157" s="27">
        <f>Table25[[#This Row],[HDC4]]/Table25[[#This Row],[HCC4]]</f>
        <v>0.93805735677518542</v>
      </c>
      <c r="AB157" s="27">
        <f>Table25[[#This Row],[HDC5]]/Table25[[#This Row],[HCC5]]</f>
        <v>0.94228371401390953</v>
      </c>
    </row>
    <row r="158" spans="1:28" ht="15">
      <c r="A158" t="s">
        <v>287</v>
      </c>
      <c r="B158" s="85" t="s">
        <v>567</v>
      </c>
      <c r="C158" s="131">
        <v>116</v>
      </c>
      <c r="D158" s="75">
        <v>641</v>
      </c>
      <c r="E158" s="75">
        <v>124</v>
      </c>
      <c r="F158" s="75">
        <v>637</v>
      </c>
      <c r="G158" s="75">
        <v>132</v>
      </c>
      <c r="H158" s="75">
        <v>625</v>
      </c>
      <c r="I158" s="75">
        <v>125</v>
      </c>
      <c r="J158" s="83">
        <v>628</v>
      </c>
      <c r="K158" s="83">
        <v>134</v>
      </c>
      <c r="L158" s="132">
        <v>621</v>
      </c>
      <c r="M158" s="83">
        <v>21700.3</v>
      </c>
      <c r="N158" s="83">
        <v>20339.8</v>
      </c>
      <c r="O158" s="75">
        <v>21608</v>
      </c>
      <c r="P158" s="75">
        <v>20237.5</v>
      </c>
      <c r="Q158" s="75">
        <v>21543.4</v>
      </c>
      <c r="R158" s="75">
        <v>20186.400000000001</v>
      </c>
      <c r="S158" s="75">
        <v>21464.9</v>
      </c>
      <c r="T158" s="75">
        <v>20132.7</v>
      </c>
      <c r="U158" s="75">
        <v>21421.200000000001</v>
      </c>
      <c r="V158" s="75">
        <v>20046</v>
      </c>
      <c r="X158" s="27">
        <f>Table25[[#This Row],[HDC1]]/Table25[[#This Row],[HCC1]]</f>
        <v>0.93730501421639334</v>
      </c>
      <c r="Y158" s="27">
        <f>Table25[[#This Row],[HDC2]]/Table25[[#This Row],[HCC2]]</f>
        <v>0.9365744168826361</v>
      </c>
      <c r="Z158" s="27">
        <f>Table25[[#This Row],[HDC3]]/Table25[[#This Row],[HCC3]]</f>
        <v>0.93701087107884551</v>
      </c>
      <c r="AA158" s="27">
        <f>Table25[[#This Row],[HDC4]]/Table25[[#This Row],[HCC4]]</f>
        <v>0.93793588602788736</v>
      </c>
      <c r="AB158" s="27">
        <f>Table25[[#This Row],[HDC5]]/Table25[[#This Row],[HCC5]]</f>
        <v>0.93580191585905548</v>
      </c>
    </row>
    <row r="159" spans="1:28" ht="15">
      <c r="A159" t="s">
        <v>288</v>
      </c>
      <c r="B159" s="85" t="s">
        <v>568</v>
      </c>
      <c r="C159" s="131">
        <v>119</v>
      </c>
      <c r="D159" s="75">
        <v>638</v>
      </c>
      <c r="E159" s="75">
        <v>122</v>
      </c>
      <c r="F159" s="75">
        <v>628</v>
      </c>
      <c r="G159" s="75">
        <v>129</v>
      </c>
      <c r="H159" s="75">
        <v>620</v>
      </c>
      <c r="I159" s="75">
        <v>120</v>
      </c>
      <c r="J159" s="83">
        <v>643</v>
      </c>
      <c r="K159" s="83">
        <v>131</v>
      </c>
      <c r="L159" s="132">
        <v>622</v>
      </c>
      <c r="M159" s="83">
        <v>21830.7</v>
      </c>
      <c r="N159" s="83">
        <v>20529.900000000001</v>
      </c>
      <c r="O159" s="75">
        <v>21608.5</v>
      </c>
      <c r="P159" s="75">
        <v>20355.7</v>
      </c>
      <c r="Q159" s="75">
        <v>21456.400000000001</v>
      </c>
      <c r="R159" s="75">
        <v>20087.3</v>
      </c>
      <c r="S159" s="75">
        <v>21299.4</v>
      </c>
      <c r="T159" s="75">
        <v>19966.099999999999</v>
      </c>
      <c r="U159" s="75">
        <v>21248.2</v>
      </c>
      <c r="V159" s="75">
        <v>19959.5</v>
      </c>
      <c r="X159" s="27">
        <f>Table25[[#This Row],[HDC1]]/Table25[[#This Row],[HCC1]]</f>
        <v>0.94041418736000226</v>
      </c>
      <c r="Y159" s="27">
        <f>Table25[[#This Row],[HDC2]]/Table25[[#This Row],[HCC2]]</f>
        <v>0.94202281509591135</v>
      </c>
      <c r="Z159" s="27">
        <f>Table25[[#This Row],[HDC3]]/Table25[[#This Row],[HCC3]]</f>
        <v>0.93619153259633481</v>
      </c>
      <c r="AA159" s="27">
        <f>Table25[[#This Row],[HDC4]]/Table25[[#This Row],[HCC4]]</f>
        <v>0.93740199254439083</v>
      </c>
      <c r="AB159" s="27">
        <f>Table25[[#This Row],[HDC5]]/Table25[[#This Row],[HCC5]]</f>
        <v>0.93935015671915734</v>
      </c>
    </row>
    <row r="160" spans="1:28" ht="15">
      <c r="A160" t="s">
        <v>289</v>
      </c>
      <c r="B160" s="85" t="s">
        <v>569</v>
      </c>
      <c r="C160" s="131">
        <v>131</v>
      </c>
      <c r="D160" s="75">
        <v>629</v>
      </c>
      <c r="E160" s="75">
        <v>125</v>
      </c>
      <c r="F160" s="75">
        <v>636</v>
      </c>
      <c r="G160" s="75">
        <v>124</v>
      </c>
      <c r="H160" s="75">
        <v>641</v>
      </c>
      <c r="I160" s="75">
        <v>124</v>
      </c>
      <c r="J160" s="83">
        <v>631</v>
      </c>
      <c r="K160" s="83">
        <v>131</v>
      </c>
      <c r="L160" s="132">
        <v>630</v>
      </c>
      <c r="M160" s="83">
        <v>21620</v>
      </c>
      <c r="N160" s="83">
        <v>20336.5</v>
      </c>
      <c r="O160" s="75">
        <v>21317.1</v>
      </c>
      <c r="P160" s="75">
        <v>20047.5</v>
      </c>
      <c r="Q160" s="75">
        <v>21302.3</v>
      </c>
      <c r="R160" s="75">
        <v>20038.900000000001</v>
      </c>
      <c r="S160" s="75">
        <v>20856.7</v>
      </c>
      <c r="T160" s="75">
        <v>20017.8</v>
      </c>
      <c r="U160" s="75">
        <v>21492.3</v>
      </c>
      <c r="V160" s="75">
        <v>20263.5</v>
      </c>
      <c r="X160" s="27">
        <f>Table25[[#This Row],[HDC1]]/Table25[[#This Row],[HCC1]]</f>
        <v>0.94063367252543939</v>
      </c>
      <c r="Y160" s="27">
        <f>Table25[[#This Row],[HDC2]]/Table25[[#This Row],[HCC2]]</f>
        <v>0.94044218022151238</v>
      </c>
      <c r="Z160" s="27">
        <f>Table25[[#This Row],[HDC3]]/Table25[[#This Row],[HCC3]]</f>
        <v>0.9406918501758027</v>
      </c>
      <c r="AA160" s="27">
        <f>Table25[[#This Row],[HDC4]]/Table25[[#This Row],[HCC4]]</f>
        <v>0.95977791309267524</v>
      </c>
      <c r="AB160" s="27">
        <f>Table25[[#This Row],[HDC5]]/Table25[[#This Row],[HCC5]]</f>
        <v>0.94282603537080723</v>
      </c>
    </row>
    <row r="161" spans="1:28" ht="15">
      <c r="A161" t="s">
        <v>290</v>
      </c>
      <c r="B161" s="85" t="s">
        <v>570</v>
      </c>
      <c r="C161" s="131">
        <v>138</v>
      </c>
      <c r="D161" s="75">
        <v>621</v>
      </c>
      <c r="E161" s="75">
        <v>134</v>
      </c>
      <c r="F161" s="75">
        <v>627</v>
      </c>
      <c r="G161" s="75">
        <v>114</v>
      </c>
      <c r="H161" s="75">
        <v>643</v>
      </c>
      <c r="I161" s="75">
        <v>135</v>
      </c>
      <c r="J161" s="83">
        <v>626</v>
      </c>
      <c r="K161" s="83">
        <v>135</v>
      </c>
      <c r="L161" s="132">
        <v>628</v>
      </c>
      <c r="M161" s="83">
        <v>17659.099999999999</v>
      </c>
      <c r="N161" s="83">
        <v>16526.7</v>
      </c>
      <c r="O161" s="75">
        <v>17738.599999999999</v>
      </c>
      <c r="P161" s="75">
        <v>16619.900000000001</v>
      </c>
      <c r="Q161" s="75">
        <v>15487.2</v>
      </c>
      <c r="R161" s="75">
        <v>14884.7</v>
      </c>
      <c r="S161" s="75">
        <v>17625.8</v>
      </c>
      <c r="T161" s="75">
        <v>16488.2</v>
      </c>
      <c r="U161" s="75">
        <v>17763.3</v>
      </c>
      <c r="V161" s="75">
        <v>16612.7</v>
      </c>
      <c r="X161" s="27">
        <f>Table25[[#This Row],[HDC1]]/Table25[[#This Row],[HCC1]]</f>
        <v>0.93587442168626955</v>
      </c>
      <c r="Y161" s="27">
        <f>Table25[[#This Row],[HDC2]]/Table25[[#This Row],[HCC2]]</f>
        <v>0.93693414361900051</v>
      </c>
      <c r="Z161" s="27">
        <f>Table25[[#This Row],[HDC3]]/Table25[[#This Row],[HCC3]]</f>
        <v>0.96109690583191276</v>
      </c>
      <c r="AA161" s="27">
        <f>Table25[[#This Row],[HDC4]]/Table25[[#This Row],[HCC4]]</f>
        <v>0.93545824870360506</v>
      </c>
      <c r="AB161" s="27">
        <f>Table25[[#This Row],[HDC5]]/Table25[[#This Row],[HCC5]]</f>
        <v>0.93522599967348419</v>
      </c>
    </row>
    <row r="162" spans="1:28" ht="15">
      <c r="A162" t="s">
        <v>291</v>
      </c>
      <c r="B162" s="85" t="s">
        <v>571</v>
      </c>
      <c r="C162" s="131">
        <v>128</v>
      </c>
      <c r="D162" s="75">
        <v>630</v>
      </c>
      <c r="E162" s="75">
        <v>118</v>
      </c>
      <c r="F162" s="75">
        <v>635</v>
      </c>
      <c r="G162" s="75">
        <v>128</v>
      </c>
      <c r="H162" s="75">
        <v>621</v>
      </c>
      <c r="I162" s="75">
        <v>124</v>
      </c>
      <c r="J162" s="83">
        <v>635</v>
      </c>
      <c r="K162" s="83">
        <v>132</v>
      </c>
      <c r="L162" s="132">
        <v>629</v>
      </c>
      <c r="M162" s="83">
        <v>20796.7</v>
      </c>
      <c r="N162" s="83">
        <v>19637.3</v>
      </c>
      <c r="O162" s="75">
        <v>20260.8</v>
      </c>
      <c r="P162" s="75">
        <v>19035.7</v>
      </c>
      <c r="Q162" s="75">
        <v>18646.099999999999</v>
      </c>
      <c r="R162" s="75">
        <v>18195.3</v>
      </c>
      <c r="S162" s="75">
        <v>20644.7</v>
      </c>
      <c r="T162" s="75">
        <v>19408.3</v>
      </c>
      <c r="U162" s="75">
        <v>7388.6</v>
      </c>
      <c r="V162" s="75">
        <v>7086.3</v>
      </c>
      <c r="X162" s="27">
        <f>Table25[[#This Row],[HDC1]]/Table25[[#This Row],[HCC1]]</f>
        <v>0.94425077055494377</v>
      </c>
      <c r="Y162" s="27">
        <f>Table25[[#This Row],[HDC2]]/Table25[[#This Row],[HCC2]]</f>
        <v>0.93953348337676701</v>
      </c>
      <c r="Z162" s="27">
        <f>Table25[[#This Row],[HDC3]]/Table25[[#This Row],[HCC3]]</f>
        <v>0.97582336252621193</v>
      </c>
      <c r="AA162" s="27">
        <f>Table25[[#This Row],[HDC4]]/Table25[[#This Row],[HCC4]]</f>
        <v>0.94011053684480761</v>
      </c>
      <c r="AB162" s="27">
        <f>Table25[[#This Row],[HDC5]]/Table25[[#This Row],[HCC5]]</f>
        <v>0.95908561838507966</v>
      </c>
    </row>
    <row r="163" spans="1:28" ht="15">
      <c r="A163" t="s">
        <v>292</v>
      </c>
      <c r="B163" s="85" t="s">
        <v>572</v>
      </c>
      <c r="C163" s="131">
        <v>121</v>
      </c>
      <c r="D163" s="75">
        <v>631</v>
      </c>
      <c r="E163" s="75">
        <v>126</v>
      </c>
      <c r="F163" s="75">
        <v>625</v>
      </c>
      <c r="G163" s="75">
        <v>125</v>
      </c>
      <c r="H163" s="75">
        <v>633</v>
      </c>
      <c r="I163" s="75">
        <v>124</v>
      </c>
      <c r="J163" s="83">
        <v>630</v>
      </c>
      <c r="K163" s="83">
        <v>130</v>
      </c>
      <c r="L163" s="132">
        <v>624</v>
      </c>
      <c r="M163" s="83">
        <v>21578.7</v>
      </c>
      <c r="N163" s="83">
        <v>20330.7</v>
      </c>
      <c r="O163" s="75">
        <v>21790.6</v>
      </c>
      <c r="P163" s="75">
        <v>20374.599999999999</v>
      </c>
      <c r="Q163" s="75">
        <v>21073</v>
      </c>
      <c r="R163" s="75">
        <v>19757</v>
      </c>
      <c r="S163" s="75">
        <v>21911.9</v>
      </c>
      <c r="T163" s="75">
        <v>20507.400000000001</v>
      </c>
      <c r="U163" s="75">
        <v>21064.2</v>
      </c>
      <c r="V163" s="75">
        <v>19775.5</v>
      </c>
      <c r="X163" s="27">
        <f>Table25[[#This Row],[HDC1]]/Table25[[#This Row],[HCC1]]</f>
        <v>0.94216519067413695</v>
      </c>
      <c r="Y163" s="27">
        <f>Table25[[#This Row],[HDC2]]/Table25[[#This Row],[HCC2]]</f>
        <v>0.93501785173423402</v>
      </c>
      <c r="Z163" s="27">
        <f>Table25[[#This Row],[HDC3]]/Table25[[#This Row],[HCC3]]</f>
        <v>0.93755041996868027</v>
      </c>
      <c r="AA163" s="27">
        <f>Table25[[#This Row],[HDC4]]/Table25[[#This Row],[HCC4]]</f>
        <v>0.93590240919317813</v>
      </c>
      <c r="AB163" s="27">
        <f>Table25[[#This Row],[HDC5]]/Table25[[#This Row],[HCC5]]</f>
        <v>0.9388203682076699</v>
      </c>
    </row>
    <row r="164" spans="1:28" ht="15">
      <c r="A164" t="s">
        <v>293</v>
      </c>
      <c r="B164" s="85" t="s">
        <v>573</v>
      </c>
      <c r="C164" s="131">
        <v>116</v>
      </c>
      <c r="D164" s="75">
        <v>649</v>
      </c>
      <c r="E164" s="75">
        <v>129</v>
      </c>
      <c r="F164" s="75">
        <v>631</v>
      </c>
      <c r="G164" s="75">
        <v>137</v>
      </c>
      <c r="H164" s="75">
        <v>625</v>
      </c>
      <c r="I164" s="75">
        <v>130</v>
      </c>
      <c r="J164" s="83">
        <v>634</v>
      </c>
      <c r="K164" s="83">
        <v>129</v>
      </c>
      <c r="L164" s="132">
        <v>634</v>
      </c>
      <c r="M164" s="83">
        <v>20588.400000000001</v>
      </c>
      <c r="N164" s="83">
        <v>19886.7</v>
      </c>
      <c r="O164" s="75">
        <v>21554.7</v>
      </c>
      <c r="P164" s="75">
        <v>20266.7</v>
      </c>
      <c r="Q164" s="75">
        <v>21019.7</v>
      </c>
      <c r="R164" s="75">
        <v>19807.8</v>
      </c>
      <c r="S164" s="75">
        <v>21708</v>
      </c>
      <c r="T164" s="75">
        <v>20507.900000000001</v>
      </c>
      <c r="U164" s="75">
        <v>21850.2</v>
      </c>
      <c r="V164" s="75">
        <v>20498.2</v>
      </c>
      <c r="X164" s="27">
        <f>Table25[[#This Row],[HDC1]]/Table25[[#This Row],[HCC1]]</f>
        <v>0.96591770122981868</v>
      </c>
      <c r="Y164" s="27">
        <f>Table25[[#This Row],[HDC2]]/Table25[[#This Row],[HCC2]]</f>
        <v>0.94024505096336297</v>
      </c>
      <c r="Z164" s="27">
        <f>Table25[[#This Row],[HDC3]]/Table25[[#This Row],[HCC3]]</f>
        <v>0.94234456248186216</v>
      </c>
      <c r="AA164" s="27">
        <f>Table25[[#This Row],[HDC4]]/Table25[[#This Row],[HCC4]]</f>
        <v>0.94471623364658197</v>
      </c>
      <c r="AB164" s="27">
        <f>Table25[[#This Row],[HDC5]]/Table25[[#This Row],[HCC5]]</f>
        <v>0.93812413616351342</v>
      </c>
    </row>
    <row r="165" spans="1:28" ht="15">
      <c r="A165" t="s">
        <v>294</v>
      </c>
      <c r="B165" s="85" t="s">
        <v>574</v>
      </c>
      <c r="C165" s="131">
        <v>122</v>
      </c>
      <c r="D165" s="75">
        <v>635</v>
      </c>
      <c r="E165" s="75">
        <v>128</v>
      </c>
      <c r="F165" s="75">
        <v>625</v>
      </c>
      <c r="G165" s="75">
        <v>128</v>
      </c>
      <c r="H165" s="75">
        <v>623</v>
      </c>
      <c r="I165" s="75">
        <v>126</v>
      </c>
      <c r="J165" s="83">
        <v>626</v>
      </c>
      <c r="K165" s="83">
        <v>118</v>
      </c>
      <c r="L165" s="132">
        <v>637</v>
      </c>
      <c r="M165" s="83">
        <v>21158.400000000001</v>
      </c>
      <c r="N165" s="83">
        <v>19941.8</v>
      </c>
      <c r="O165" s="75">
        <v>21673.200000000001</v>
      </c>
      <c r="P165" s="75">
        <v>20428.599999999999</v>
      </c>
      <c r="Q165" s="75">
        <v>21647.200000000001</v>
      </c>
      <c r="R165" s="75">
        <v>20471.3</v>
      </c>
      <c r="S165" s="75">
        <v>15941.9</v>
      </c>
      <c r="T165" s="75">
        <v>15392.4</v>
      </c>
      <c r="U165" s="75">
        <v>21044.5</v>
      </c>
      <c r="V165" s="75">
        <v>19784.7</v>
      </c>
      <c r="X165" s="27">
        <f>Table25[[#This Row],[HDC1]]/Table25[[#This Row],[HCC1]]</f>
        <v>0.94250037810042342</v>
      </c>
      <c r="Y165" s="27">
        <f>Table25[[#This Row],[HDC2]]/Table25[[#This Row],[HCC2]]</f>
        <v>0.9425742391525016</v>
      </c>
      <c r="Z165" s="27">
        <f>Table25[[#This Row],[HDC3]]/Table25[[#This Row],[HCC3]]</f>
        <v>0.94567888687682466</v>
      </c>
      <c r="AA165" s="27">
        <f>Table25[[#This Row],[HDC4]]/Table25[[#This Row],[HCC4]]</f>
        <v>0.96553108475150384</v>
      </c>
      <c r="AB165" s="27">
        <f>Table25[[#This Row],[HDC5]]/Table25[[#This Row],[HCC5]]</f>
        <v>0.94013637767587732</v>
      </c>
    </row>
    <row r="166" spans="1:28" ht="15">
      <c r="A166" t="s">
        <v>295</v>
      </c>
      <c r="B166" s="85" t="s">
        <v>575</v>
      </c>
      <c r="C166" s="131">
        <v>117</v>
      </c>
      <c r="D166" s="75">
        <v>640</v>
      </c>
      <c r="E166" s="75">
        <v>130</v>
      </c>
      <c r="F166" s="75">
        <v>628</v>
      </c>
      <c r="G166" s="75">
        <v>134</v>
      </c>
      <c r="H166" s="75">
        <v>623</v>
      </c>
      <c r="I166" s="75">
        <v>132</v>
      </c>
      <c r="J166" s="83">
        <v>628</v>
      </c>
      <c r="K166" s="83">
        <v>135</v>
      </c>
      <c r="L166" s="132">
        <v>626</v>
      </c>
      <c r="M166" s="83">
        <v>24737.9</v>
      </c>
      <c r="N166" s="83">
        <v>23254.400000000001</v>
      </c>
      <c r="O166" s="75">
        <v>24790.9</v>
      </c>
      <c r="P166" s="75">
        <v>23196.7</v>
      </c>
      <c r="Q166" s="75">
        <v>24494.1</v>
      </c>
      <c r="R166" s="75">
        <v>22997.200000000001</v>
      </c>
      <c r="S166" s="75">
        <v>24745.200000000001</v>
      </c>
      <c r="T166" s="75">
        <v>23272.6</v>
      </c>
      <c r="U166" s="75">
        <v>24527.8</v>
      </c>
      <c r="V166" s="75">
        <v>23115.3</v>
      </c>
      <c r="X166" s="27">
        <f>Table25[[#This Row],[HDC1]]/Table25[[#This Row],[HCC1]]</f>
        <v>0.94003128802363989</v>
      </c>
      <c r="Y166" s="27">
        <f>Table25[[#This Row],[HDC2]]/Table25[[#This Row],[HCC2]]</f>
        <v>0.93569414583577037</v>
      </c>
      <c r="Z166" s="27">
        <f>Table25[[#This Row],[HDC3]]/Table25[[#This Row],[HCC3]]</f>
        <v>0.93888732388616047</v>
      </c>
      <c r="AA166" s="27">
        <f>Table25[[#This Row],[HDC4]]/Table25[[#This Row],[HCC4]]</f>
        <v>0.94048946866462979</v>
      </c>
      <c r="AB166" s="27">
        <f>Table25[[#This Row],[HDC5]]/Table25[[#This Row],[HCC5]]</f>
        <v>0.94241228320517945</v>
      </c>
    </row>
    <row r="167" spans="1:28" ht="15">
      <c r="A167" t="s">
        <v>296</v>
      </c>
      <c r="B167" s="85" t="s">
        <v>576</v>
      </c>
      <c r="C167" s="131">
        <v>117</v>
      </c>
      <c r="D167" s="75">
        <v>636</v>
      </c>
      <c r="E167" s="75">
        <v>129</v>
      </c>
      <c r="F167" s="75">
        <v>624</v>
      </c>
      <c r="G167" s="75">
        <v>120</v>
      </c>
      <c r="H167" s="75">
        <v>632</v>
      </c>
      <c r="I167" s="75">
        <v>120</v>
      </c>
      <c r="J167" s="83">
        <v>631</v>
      </c>
      <c r="K167" s="83">
        <v>126</v>
      </c>
      <c r="L167" s="132">
        <v>630</v>
      </c>
      <c r="M167" s="83">
        <v>12871.3</v>
      </c>
      <c r="N167" s="83">
        <v>11877.3</v>
      </c>
      <c r="O167" s="75">
        <v>12731.9</v>
      </c>
      <c r="P167" s="75">
        <v>11719.4</v>
      </c>
      <c r="Q167" s="75">
        <v>12650.2</v>
      </c>
      <c r="R167" s="75">
        <v>11665</v>
      </c>
      <c r="S167" s="75">
        <v>12581.3</v>
      </c>
      <c r="T167" s="75">
        <v>11607.3</v>
      </c>
      <c r="U167" s="75">
        <v>12247.9</v>
      </c>
      <c r="V167" s="75">
        <v>11230.7</v>
      </c>
      <c r="X167" s="27">
        <f>Table25[[#This Row],[HDC1]]/Table25[[#This Row],[HCC1]]</f>
        <v>0.92277392337992281</v>
      </c>
      <c r="Y167" s="27">
        <f>Table25[[#This Row],[HDC2]]/Table25[[#This Row],[HCC2]]</f>
        <v>0.92047534146513876</v>
      </c>
      <c r="Z167" s="27">
        <f>Table25[[#This Row],[HDC3]]/Table25[[#This Row],[HCC3]]</f>
        <v>0.92211980838247609</v>
      </c>
      <c r="AA167" s="27">
        <f>Table25[[#This Row],[HDC4]]/Table25[[#This Row],[HCC4]]</f>
        <v>0.92258351680668926</v>
      </c>
      <c r="AB167" s="27">
        <f>Table25[[#This Row],[HDC5]]/Table25[[#This Row],[HCC5]]</f>
        <v>0.91694902799663625</v>
      </c>
    </row>
    <row r="168" spans="1:28" ht="15">
      <c r="A168" t="s">
        <v>297</v>
      </c>
      <c r="B168" s="85" t="s">
        <v>577</v>
      </c>
      <c r="C168" s="131">
        <v>132</v>
      </c>
      <c r="D168" s="75">
        <v>626</v>
      </c>
      <c r="E168" s="75">
        <v>129</v>
      </c>
      <c r="F168" s="75">
        <v>641</v>
      </c>
      <c r="G168" s="75">
        <v>129</v>
      </c>
      <c r="H168" s="75">
        <v>633</v>
      </c>
      <c r="I168" s="75">
        <v>134</v>
      </c>
      <c r="J168" s="83">
        <v>624</v>
      </c>
      <c r="K168" s="83">
        <v>131</v>
      </c>
      <c r="L168" s="132">
        <v>630</v>
      </c>
      <c r="M168" s="83">
        <v>13091.2</v>
      </c>
      <c r="N168" s="83">
        <v>11945.2</v>
      </c>
      <c r="O168" s="75">
        <v>12204.8</v>
      </c>
      <c r="P168" s="75">
        <v>11135.3</v>
      </c>
      <c r="Q168" s="75">
        <v>18007.099999999999</v>
      </c>
      <c r="R168" s="75">
        <v>16785.5</v>
      </c>
      <c r="S168" s="75">
        <v>18150.599999999999</v>
      </c>
      <c r="T168" s="75">
        <v>16934</v>
      </c>
      <c r="U168" s="75">
        <v>12730.6</v>
      </c>
      <c r="V168" s="75">
        <v>11632.4</v>
      </c>
      <c r="X168" s="27">
        <f>Table25[[#This Row],[HDC1]]/Table25[[#This Row],[HCC1]]</f>
        <v>0.91246027866047419</v>
      </c>
      <c r="Y168" s="27">
        <f>Table25[[#This Row],[HDC2]]/Table25[[#This Row],[HCC2]]</f>
        <v>0.91237054273728369</v>
      </c>
      <c r="Z168" s="27">
        <f>Table25[[#This Row],[HDC3]]/Table25[[#This Row],[HCC3]]</f>
        <v>0.93216009240799469</v>
      </c>
      <c r="AA168" s="27">
        <f>Table25[[#This Row],[HDC4]]/Table25[[#This Row],[HCC4]]</f>
        <v>0.93297191277423341</v>
      </c>
      <c r="AB168" s="27">
        <f>Table25[[#This Row],[HDC5]]/Table25[[#This Row],[HCC5]]</f>
        <v>0.91373540917160223</v>
      </c>
    </row>
    <row r="169" spans="1:28" ht="15">
      <c r="A169" t="s">
        <v>298</v>
      </c>
      <c r="B169" s="85" t="s">
        <v>578</v>
      </c>
      <c r="C169" s="131">
        <v>121</v>
      </c>
      <c r="D169" s="75">
        <v>632</v>
      </c>
      <c r="E169" s="75">
        <v>135</v>
      </c>
      <c r="F169" s="75">
        <v>625</v>
      </c>
      <c r="G169" s="75">
        <v>121</v>
      </c>
      <c r="H169" s="75">
        <v>649</v>
      </c>
      <c r="I169" s="75">
        <v>130</v>
      </c>
      <c r="J169" s="83">
        <v>630</v>
      </c>
      <c r="K169" s="83">
        <v>122</v>
      </c>
      <c r="L169" s="132">
        <v>631</v>
      </c>
      <c r="M169" s="83">
        <v>24155.599999999999</v>
      </c>
      <c r="N169" s="83">
        <v>22657.8</v>
      </c>
      <c r="O169" s="75">
        <v>23940.799999999999</v>
      </c>
      <c r="P169" s="75">
        <v>22503</v>
      </c>
      <c r="Q169" s="75">
        <v>23989.7</v>
      </c>
      <c r="R169" s="75">
        <v>22598.5</v>
      </c>
      <c r="S169" s="75">
        <v>24726.7</v>
      </c>
      <c r="T169" s="75">
        <v>23248.2</v>
      </c>
      <c r="U169" s="75">
        <v>24867.3</v>
      </c>
      <c r="V169" s="75">
        <v>23422.799999999999</v>
      </c>
      <c r="X169" s="27">
        <f>Table25[[#This Row],[HDC1]]/Table25[[#This Row],[HCC1]]</f>
        <v>0.93799367434466541</v>
      </c>
      <c r="Y169" s="27">
        <f>Table25[[#This Row],[HDC2]]/Table25[[#This Row],[HCC2]]</f>
        <v>0.93994352736750653</v>
      </c>
      <c r="Z169" s="27">
        <f>Table25[[#This Row],[HDC3]]/Table25[[#This Row],[HCC3]]</f>
        <v>0.94200844529110406</v>
      </c>
      <c r="AA169" s="27">
        <f>Table25[[#This Row],[HDC4]]/Table25[[#This Row],[HCC4]]</f>
        <v>0.94020633566145095</v>
      </c>
      <c r="AB169" s="27">
        <f>Table25[[#This Row],[HDC5]]/Table25[[#This Row],[HCC5]]</f>
        <v>0.94191166712912133</v>
      </c>
    </row>
    <row r="170" spans="1:28" ht="15">
      <c r="A170" t="s">
        <v>299</v>
      </c>
      <c r="B170" s="85" t="s">
        <v>579</v>
      </c>
      <c r="C170" s="131">
        <v>122</v>
      </c>
      <c r="D170" s="75">
        <v>641</v>
      </c>
      <c r="E170" s="75">
        <v>122</v>
      </c>
      <c r="F170" s="75">
        <v>636</v>
      </c>
      <c r="G170" s="75">
        <v>125</v>
      </c>
      <c r="H170" s="75">
        <v>632</v>
      </c>
      <c r="I170" s="75">
        <v>115</v>
      </c>
      <c r="J170" s="83">
        <v>640</v>
      </c>
      <c r="K170" s="83">
        <v>133</v>
      </c>
      <c r="L170" s="132">
        <v>624</v>
      </c>
      <c r="M170" s="83">
        <v>18923.400000000001</v>
      </c>
      <c r="N170" s="83">
        <v>17683.7</v>
      </c>
      <c r="O170" s="75">
        <v>17766.900000000001</v>
      </c>
      <c r="P170" s="75">
        <v>17224</v>
      </c>
      <c r="Q170" s="75">
        <v>18854.099999999999</v>
      </c>
      <c r="R170" s="75">
        <v>17544.8</v>
      </c>
      <c r="S170" s="75">
        <v>18867.400000000001</v>
      </c>
      <c r="T170" s="75">
        <v>17560.400000000001</v>
      </c>
      <c r="U170" s="75">
        <v>19023.400000000001</v>
      </c>
      <c r="V170" s="75">
        <v>17792.599999999999</v>
      </c>
      <c r="X170" s="27">
        <f>Table25[[#This Row],[HDC1]]/Table25[[#This Row],[HCC1]]</f>
        <v>0.93448851686272016</v>
      </c>
      <c r="Y170" s="27">
        <f>Table25[[#This Row],[HDC2]]/Table25[[#This Row],[HCC2]]</f>
        <v>0.96944317804456592</v>
      </c>
      <c r="Z170" s="27">
        <f>Table25[[#This Row],[HDC3]]/Table25[[#This Row],[HCC3]]</f>
        <v>0.93055621854132531</v>
      </c>
      <c r="AA170" s="27">
        <f>Table25[[#This Row],[HDC4]]/Table25[[#This Row],[HCC4]]</f>
        <v>0.9307270742126631</v>
      </c>
      <c r="AB170" s="27">
        <f>Table25[[#This Row],[HDC5]]/Table25[[#This Row],[HCC5]]</f>
        <v>0.93530073488440535</v>
      </c>
    </row>
    <row r="171" spans="1:28" ht="15">
      <c r="A171" t="s">
        <v>300</v>
      </c>
      <c r="B171" s="85" t="s">
        <v>580</v>
      </c>
      <c r="C171" s="131">
        <v>131</v>
      </c>
      <c r="D171" s="75">
        <v>625</v>
      </c>
      <c r="E171" s="75">
        <v>131</v>
      </c>
      <c r="F171" s="75">
        <v>628</v>
      </c>
      <c r="G171" s="75">
        <v>133</v>
      </c>
      <c r="H171" s="75">
        <v>623</v>
      </c>
      <c r="I171" s="75">
        <v>115</v>
      </c>
      <c r="J171" s="83">
        <v>640</v>
      </c>
      <c r="K171" s="83">
        <v>134</v>
      </c>
      <c r="L171" s="132">
        <v>625</v>
      </c>
      <c r="M171" s="83">
        <v>15324.7</v>
      </c>
      <c r="N171" s="83">
        <v>14890.4</v>
      </c>
      <c r="O171" s="75">
        <v>20826.2</v>
      </c>
      <c r="P171" s="75">
        <v>19497.2</v>
      </c>
      <c r="Q171" s="75">
        <v>19147.5</v>
      </c>
      <c r="R171" s="75">
        <v>17897.5</v>
      </c>
      <c r="S171" s="75">
        <v>21109.8</v>
      </c>
      <c r="T171" s="75">
        <v>19829.900000000001</v>
      </c>
      <c r="U171" s="75">
        <v>19043.8</v>
      </c>
      <c r="V171" s="75">
        <v>17885.7</v>
      </c>
      <c r="X171" s="27">
        <f>Table25[[#This Row],[HDC1]]/Table25[[#This Row],[HCC1]]</f>
        <v>0.97166013037775611</v>
      </c>
      <c r="Y171" s="27">
        <f>Table25[[#This Row],[HDC2]]/Table25[[#This Row],[HCC2]]</f>
        <v>0.93618615013780715</v>
      </c>
      <c r="Z171" s="27">
        <f>Table25[[#This Row],[HDC3]]/Table25[[#This Row],[HCC3]]</f>
        <v>0.9347173260216739</v>
      </c>
      <c r="AA171" s="27">
        <f>Table25[[#This Row],[HDC4]]/Table25[[#This Row],[HCC4]]</f>
        <v>0.93936939241489747</v>
      </c>
      <c r="AB171" s="27">
        <f>Table25[[#This Row],[HDC5]]/Table25[[#This Row],[HCC5]]</f>
        <v>0.93918755710519963</v>
      </c>
    </row>
    <row r="172" spans="1:28" ht="15">
      <c r="A172" t="s">
        <v>301</v>
      </c>
      <c r="B172" s="85" t="s">
        <v>581</v>
      </c>
      <c r="C172" s="131">
        <v>130</v>
      </c>
      <c r="D172" s="75">
        <v>629</v>
      </c>
      <c r="E172" s="75">
        <v>122</v>
      </c>
      <c r="F172" s="75">
        <v>645</v>
      </c>
      <c r="G172" s="75">
        <v>130</v>
      </c>
      <c r="H172" s="75">
        <v>628</v>
      </c>
      <c r="I172" s="75">
        <v>122</v>
      </c>
      <c r="J172" s="83">
        <v>639</v>
      </c>
      <c r="K172" s="83">
        <v>130</v>
      </c>
      <c r="L172" s="132">
        <v>624</v>
      </c>
      <c r="M172" s="83">
        <v>13849.4</v>
      </c>
      <c r="N172" s="83">
        <v>12774.1</v>
      </c>
      <c r="O172" s="75">
        <v>8478.7000000000007</v>
      </c>
      <c r="P172" s="75">
        <v>8178.5</v>
      </c>
      <c r="Q172" s="75">
        <v>13549.2</v>
      </c>
      <c r="R172" s="75">
        <v>12513.1</v>
      </c>
      <c r="S172" s="75">
        <v>13665.4</v>
      </c>
      <c r="T172" s="75">
        <v>12622.5</v>
      </c>
      <c r="U172" s="75">
        <v>13930.8</v>
      </c>
      <c r="V172" s="75">
        <v>12851</v>
      </c>
      <c r="X172" s="27">
        <f>Table25[[#This Row],[HDC1]]/Table25[[#This Row],[HCC1]]</f>
        <v>0.92235764726269731</v>
      </c>
      <c r="Y172" s="27">
        <f>Table25[[#This Row],[HDC2]]/Table25[[#This Row],[HCC2]]</f>
        <v>0.96459362874025489</v>
      </c>
      <c r="Z172" s="27">
        <f>Table25[[#This Row],[HDC3]]/Table25[[#This Row],[HCC3]]</f>
        <v>0.92353054054851946</v>
      </c>
      <c r="AA172" s="27">
        <f>Table25[[#This Row],[HDC4]]/Table25[[#This Row],[HCC4]]</f>
        <v>0.92368317063532723</v>
      </c>
      <c r="AB172" s="27">
        <f>Table25[[#This Row],[HDC5]]/Table25[[#This Row],[HCC5]]</f>
        <v>0.92248829930800824</v>
      </c>
    </row>
    <row r="173" spans="1:28" ht="15">
      <c r="A173" t="s">
        <v>302</v>
      </c>
      <c r="B173" s="85" t="s">
        <v>582</v>
      </c>
      <c r="C173" s="131">
        <v>123</v>
      </c>
      <c r="D173" s="75">
        <v>631</v>
      </c>
      <c r="E173" s="75">
        <v>114</v>
      </c>
      <c r="F173" s="75">
        <v>641</v>
      </c>
      <c r="G173" s="75">
        <v>126</v>
      </c>
      <c r="H173" s="75">
        <v>631</v>
      </c>
      <c r="I173" s="75">
        <v>123</v>
      </c>
      <c r="J173" s="83">
        <v>635</v>
      </c>
      <c r="K173" s="83">
        <v>133</v>
      </c>
      <c r="L173" s="132">
        <v>622</v>
      </c>
      <c r="M173" s="83">
        <v>20211</v>
      </c>
      <c r="N173" s="83">
        <v>18940.900000000001</v>
      </c>
      <c r="O173" s="75">
        <v>20044.099999999999</v>
      </c>
      <c r="P173" s="75">
        <v>18779.900000000001</v>
      </c>
      <c r="Q173" s="75">
        <v>20159.900000000001</v>
      </c>
      <c r="R173" s="75">
        <v>18941.8</v>
      </c>
      <c r="S173" s="75">
        <v>20139.3</v>
      </c>
      <c r="T173" s="75">
        <v>18850.8</v>
      </c>
      <c r="U173" s="75">
        <v>20115.8</v>
      </c>
      <c r="V173" s="75">
        <v>18898.5</v>
      </c>
      <c r="X173" s="27">
        <f>Table25[[#This Row],[HDC1]]/Table25[[#This Row],[HCC1]]</f>
        <v>0.93715798327643374</v>
      </c>
      <c r="Y173" s="27">
        <f>Table25[[#This Row],[HDC2]]/Table25[[#This Row],[HCC2]]</f>
        <v>0.93692907139756854</v>
      </c>
      <c r="Z173" s="27">
        <f>Table25[[#This Row],[HDC3]]/Table25[[#This Row],[HCC3]]</f>
        <v>0.93957807330393495</v>
      </c>
      <c r="AA173" s="27">
        <f>Table25[[#This Row],[HDC4]]/Table25[[#This Row],[HCC4]]</f>
        <v>0.93602061640672718</v>
      </c>
      <c r="AB173" s="27">
        <f>Table25[[#This Row],[HDC5]]/Table25[[#This Row],[HCC5]]</f>
        <v>0.939485379651816</v>
      </c>
    </row>
    <row r="174" spans="1:28" ht="15">
      <c r="A174" t="s">
        <v>303</v>
      </c>
      <c r="B174" s="85" t="s">
        <v>583</v>
      </c>
      <c r="C174" s="131">
        <v>126</v>
      </c>
      <c r="D174" s="75">
        <v>642</v>
      </c>
      <c r="E174" s="75">
        <v>131</v>
      </c>
      <c r="F174" s="75">
        <v>626</v>
      </c>
      <c r="G174" s="75">
        <v>117</v>
      </c>
      <c r="H174" s="75">
        <v>639</v>
      </c>
      <c r="I174" s="75">
        <v>125</v>
      </c>
      <c r="J174" s="83">
        <v>631</v>
      </c>
      <c r="K174" s="83">
        <v>133</v>
      </c>
      <c r="L174" s="132">
        <v>626</v>
      </c>
      <c r="M174" s="83">
        <v>18244.7</v>
      </c>
      <c r="N174" s="83">
        <v>17012.5</v>
      </c>
      <c r="O174" s="75">
        <v>12542.3</v>
      </c>
      <c r="P174" s="75">
        <v>11886.2</v>
      </c>
      <c r="Q174" s="75">
        <v>12897.3</v>
      </c>
      <c r="R174" s="75">
        <v>12252.8</v>
      </c>
      <c r="S174" s="75">
        <v>18238.400000000001</v>
      </c>
      <c r="T174" s="75">
        <v>16998.900000000001</v>
      </c>
      <c r="U174" s="75">
        <v>17971.8</v>
      </c>
      <c r="V174" s="75">
        <v>16730.400000000001</v>
      </c>
      <c r="X174" s="27">
        <f>Table25[[#This Row],[HDC1]]/Table25[[#This Row],[HCC1]]</f>
        <v>0.93246257817338729</v>
      </c>
      <c r="Y174" s="27">
        <f>Table25[[#This Row],[HDC2]]/Table25[[#This Row],[HCC2]]</f>
        <v>0.94768902035511837</v>
      </c>
      <c r="Z174" s="27">
        <f>Table25[[#This Row],[HDC3]]/Table25[[#This Row],[HCC3]]</f>
        <v>0.95002830049700326</v>
      </c>
      <c r="AA174" s="27">
        <f>Table25[[#This Row],[HDC4]]/Table25[[#This Row],[HCC4]]</f>
        <v>0.93203899464865336</v>
      </c>
      <c r="AB174" s="27">
        <f>Table25[[#This Row],[HDC5]]/Table25[[#This Row],[HCC5]]</f>
        <v>0.93092511601509043</v>
      </c>
    </row>
    <row r="175" spans="1:28" ht="15">
      <c r="A175" t="s">
        <v>304</v>
      </c>
      <c r="B175" s="85" t="s">
        <v>584</v>
      </c>
      <c r="C175" s="131">
        <v>129</v>
      </c>
      <c r="D175" s="75">
        <v>632</v>
      </c>
      <c r="E175" s="75">
        <v>134</v>
      </c>
      <c r="F175" s="75">
        <v>625</v>
      </c>
      <c r="G175" s="75">
        <v>136</v>
      </c>
      <c r="H175" s="75">
        <v>625</v>
      </c>
      <c r="I175" s="75">
        <v>123</v>
      </c>
      <c r="J175" s="83">
        <v>641</v>
      </c>
      <c r="K175" s="83">
        <v>113</v>
      </c>
      <c r="L175" s="132">
        <v>643</v>
      </c>
      <c r="M175" s="83">
        <v>12626.4</v>
      </c>
      <c r="N175" s="83">
        <v>12012.6</v>
      </c>
      <c r="O175" s="75">
        <v>17548.400000000001</v>
      </c>
      <c r="P175" s="75">
        <v>16421.8</v>
      </c>
      <c r="Q175" s="75">
        <v>12130</v>
      </c>
      <c r="R175" s="75">
        <v>11514.5</v>
      </c>
      <c r="S175" s="75">
        <v>17555.599999999999</v>
      </c>
      <c r="T175" s="75">
        <v>16394.099999999999</v>
      </c>
      <c r="U175" s="75">
        <v>17822.900000000001</v>
      </c>
      <c r="V175" s="75">
        <v>16585.7</v>
      </c>
      <c r="X175" s="27">
        <f>Table25[[#This Row],[HDC1]]/Table25[[#This Row],[HCC1]]</f>
        <v>0.95138756890325038</v>
      </c>
      <c r="Y175" s="27">
        <f>Table25[[#This Row],[HDC2]]/Table25[[#This Row],[HCC2]]</f>
        <v>0.93580041485263599</v>
      </c>
      <c r="Z175" s="27">
        <f>Table25[[#This Row],[HDC3]]/Table25[[#This Row],[HCC3]]</f>
        <v>0.94925803792250618</v>
      </c>
      <c r="AA175" s="27">
        <f>Table25[[#This Row],[HDC4]]/Table25[[#This Row],[HCC4]]</f>
        <v>0.93383877509170865</v>
      </c>
      <c r="AB175" s="27">
        <f>Table25[[#This Row],[HDC5]]/Table25[[#This Row],[HCC5]]</f>
        <v>0.93058368727872565</v>
      </c>
    </row>
    <row r="176" spans="1:28" ht="15">
      <c r="A176" t="s">
        <v>305</v>
      </c>
      <c r="B176" s="85" t="s">
        <v>585</v>
      </c>
      <c r="C176" s="131">
        <v>123</v>
      </c>
      <c r="D176" s="75">
        <v>641</v>
      </c>
      <c r="E176" s="75">
        <v>132</v>
      </c>
      <c r="F176" s="75">
        <v>628</v>
      </c>
      <c r="G176" s="75">
        <v>121</v>
      </c>
      <c r="H176" s="75">
        <v>646</v>
      </c>
      <c r="I176" s="75">
        <v>124</v>
      </c>
      <c r="J176" s="83">
        <v>636</v>
      </c>
      <c r="K176" s="83">
        <v>129</v>
      </c>
      <c r="L176" s="132">
        <v>645</v>
      </c>
      <c r="M176" s="83">
        <v>11812.9</v>
      </c>
      <c r="N176" s="83">
        <v>10803.1</v>
      </c>
      <c r="O176" s="75">
        <v>12536</v>
      </c>
      <c r="P176" s="75">
        <v>11482.6</v>
      </c>
      <c r="Q176" s="75">
        <v>12458.9</v>
      </c>
      <c r="R176" s="75">
        <v>11401.4</v>
      </c>
      <c r="S176" s="75">
        <v>12422.5</v>
      </c>
      <c r="T176" s="75">
        <v>11393</v>
      </c>
      <c r="U176" s="75">
        <v>10779</v>
      </c>
      <c r="V176" s="75">
        <v>10275.799999999999</v>
      </c>
      <c r="X176" s="27">
        <f>Table25[[#This Row],[HDC1]]/Table25[[#This Row],[HCC1]]</f>
        <v>0.9145171803706118</v>
      </c>
      <c r="Y176" s="27">
        <f>Table25[[#This Row],[HDC2]]/Table25[[#This Row],[HCC2]]</f>
        <v>0.91597000638162096</v>
      </c>
      <c r="Z176" s="27">
        <f>Table25[[#This Row],[HDC3]]/Table25[[#This Row],[HCC3]]</f>
        <v>0.9151209175769931</v>
      </c>
      <c r="AA176" s="27">
        <f>Table25[[#This Row],[HDC4]]/Table25[[#This Row],[HCC4]]</f>
        <v>0.91712618233044874</v>
      </c>
      <c r="AB176" s="27">
        <f>Table25[[#This Row],[HDC5]]/Table25[[#This Row],[HCC5]]</f>
        <v>0.953316634196122</v>
      </c>
    </row>
    <row r="177" spans="1:28" ht="15">
      <c r="A177" t="s">
        <v>306</v>
      </c>
      <c r="B177" s="85" t="s">
        <v>586</v>
      </c>
      <c r="C177" s="131">
        <v>123</v>
      </c>
      <c r="D177" s="75">
        <v>651</v>
      </c>
      <c r="E177" s="75">
        <v>116</v>
      </c>
      <c r="F177" s="75">
        <v>641</v>
      </c>
      <c r="G177" s="75">
        <v>128</v>
      </c>
      <c r="H177" s="75">
        <v>640</v>
      </c>
      <c r="I177" s="75">
        <v>131</v>
      </c>
      <c r="J177" s="83">
        <v>624</v>
      </c>
      <c r="K177" s="83">
        <v>130</v>
      </c>
      <c r="L177" s="132">
        <v>624</v>
      </c>
      <c r="M177" s="83">
        <v>11801.4</v>
      </c>
      <c r="N177" s="83">
        <v>11200.9</v>
      </c>
      <c r="O177" s="75">
        <v>13966</v>
      </c>
      <c r="P177" s="75">
        <v>12936.7</v>
      </c>
      <c r="Q177" s="75">
        <v>13979</v>
      </c>
      <c r="R177" s="75">
        <v>12927.1</v>
      </c>
      <c r="S177" s="75">
        <v>13955.2</v>
      </c>
      <c r="T177" s="75">
        <v>12910.1</v>
      </c>
      <c r="U177" s="75">
        <v>13988.1</v>
      </c>
      <c r="V177" s="75">
        <v>12976.7</v>
      </c>
      <c r="X177" s="27">
        <f>Table25[[#This Row],[HDC1]]/Table25[[#This Row],[HCC1]]</f>
        <v>0.9491162065517651</v>
      </c>
      <c r="Y177" s="27">
        <f>Table25[[#This Row],[HDC2]]/Table25[[#This Row],[HCC2]]</f>
        <v>0.92629958470571394</v>
      </c>
      <c r="Z177" s="27">
        <f>Table25[[#This Row],[HDC3]]/Table25[[#This Row],[HCC3]]</f>
        <v>0.92475141283353601</v>
      </c>
      <c r="AA177" s="27">
        <f>Table25[[#This Row],[HDC4]]/Table25[[#This Row],[HCC4]]</f>
        <v>0.92511035313001599</v>
      </c>
      <c r="AB177" s="27">
        <f>Table25[[#This Row],[HDC5]]/Table25[[#This Row],[HCC5]]</f>
        <v>0.9276956841887033</v>
      </c>
    </row>
    <row r="178" spans="1:28" ht="15">
      <c r="A178" t="s">
        <v>307</v>
      </c>
      <c r="B178" s="85" t="s">
        <v>587</v>
      </c>
      <c r="C178" s="131">
        <v>92</v>
      </c>
      <c r="D178" s="75">
        <v>681</v>
      </c>
      <c r="E178" s="75">
        <v>91</v>
      </c>
      <c r="F178" s="75">
        <v>681</v>
      </c>
      <c r="G178" s="75">
        <v>90</v>
      </c>
      <c r="H178" s="75">
        <v>682</v>
      </c>
      <c r="I178" s="75">
        <v>94</v>
      </c>
      <c r="J178" s="83">
        <v>679</v>
      </c>
      <c r="K178" s="83">
        <v>89</v>
      </c>
      <c r="L178" s="132">
        <v>683</v>
      </c>
      <c r="M178" s="83">
        <v>8171.9</v>
      </c>
      <c r="N178" s="83">
        <v>7313.4</v>
      </c>
      <c r="O178" s="75">
        <v>9242.4</v>
      </c>
      <c r="P178" s="75">
        <v>8287.6</v>
      </c>
      <c r="Q178" s="75">
        <v>8643.2000000000007</v>
      </c>
      <c r="R178" s="75">
        <v>7677.8</v>
      </c>
      <c r="S178" s="75">
        <v>9191.4</v>
      </c>
      <c r="T178" s="75">
        <v>8217.7999999999993</v>
      </c>
      <c r="U178" s="75">
        <v>9228.4</v>
      </c>
      <c r="V178" s="75">
        <v>8250.5</v>
      </c>
      <c r="X178" s="27">
        <f>Table25[[#This Row],[HDC1]]/Table25[[#This Row],[HCC1]]</f>
        <v>0.89494487206157691</v>
      </c>
      <c r="Y178" s="27">
        <f>Table25[[#This Row],[HDC2]]/Table25[[#This Row],[HCC2]]</f>
        <v>0.89669349952393329</v>
      </c>
      <c r="Z178" s="27">
        <f>Table25[[#This Row],[HDC3]]/Table25[[#This Row],[HCC3]]</f>
        <v>0.88830525731210652</v>
      </c>
      <c r="AA178" s="27">
        <f>Table25[[#This Row],[HDC4]]/Table25[[#This Row],[HCC4]]</f>
        <v>0.89407489609852686</v>
      </c>
      <c r="AB178" s="27">
        <f>Table25[[#This Row],[HDC5]]/Table25[[#This Row],[HCC5]]</f>
        <v>0.89403363529972701</v>
      </c>
    </row>
    <row r="179" spans="1:28" ht="15">
      <c r="A179" t="s">
        <v>308</v>
      </c>
      <c r="B179" s="85" t="s">
        <v>588</v>
      </c>
      <c r="C179" s="131">
        <v>90</v>
      </c>
      <c r="D179" s="75">
        <v>660</v>
      </c>
      <c r="E179" s="75">
        <v>91</v>
      </c>
      <c r="F179" s="75">
        <v>663</v>
      </c>
      <c r="G179" s="75">
        <v>94</v>
      </c>
      <c r="H179" s="75">
        <v>663</v>
      </c>
      <c r="I179" s="75">
        <v>85</v>
      </c>
      <c r="J179" s="83">
        <v>687</v>
      </c>
      <c r="K179" s="83">
        <v>92</v>
      </c>
      <c r="L179" s="132">
        <v>656</v>
      </c>
      <c r="M179" s="83">
        <v>9951.2999999999993</v>
      </c>
      <c r="N179" s="83">
        <v>9050.7000000000007</v>
      </c>
      <c r="O179" s="75">
        <v>9067.9</v>
      </c>
      <c r="P179" s="75">
        <v>8193.7999999999993</v>
      </c>
      <c r="Q179" s="75">
        <v>9354.7000000000007</v>
      </c>
      <c r="R179" s="75">
        <v>8440.6</v>
      </c>
      <c r="S179" s="75">
        <v>9948.5</v>
      </c>
      <c r="T179" s="75">
        <v>8982</v>
      </c>
      <c r="U179" s="75">
        <v>10038.4</v>
      </c>
      <c r="V179" s="75">
        <v>9099.2000000000007</v>
      </c>
      <c r="X179" s="27">
        <f>Table25[[#This Row],[HDC1]]/Table25[[#This Row],[HCC1]]</f>
        <v>0.90949926140303294</v>
      </c>
      <c r="Y179" s="27">
        <f>Table25[[#This Row],[HDC2]]/Table25[[#This Row],[HCC2]]</f>
        <v>0.9036050243165451</v>
      </c>
      <c r="Z179" s="27">
        <f>Table25[[#This Row],[HDC3]]/Table25[[#This Row],[HCC3]]</f>
        <v>0.90228441318267816</v>
      </c>
      <c r="AA179" s="27">
        <f>Table25[[#This Row],[HDC4]]/Table25[[#This Row],[HCC4]]</f>
        <v>0.90284967583052722</v>
      </c>
      <c r="AB179" s="27">
        <f>Table25[[#This Row],[HDC5]]/Table25[[#This Row],[HCC5]]</f>
        <v>0.90643927319094686</v>
      </c>
    </row>
    <row r="180" spans="1:28" ht="15">
      <c r="A180" t="s">
        <v>309</v>
      </c>
      <c r="B180" s="85" t="s">
        <v>589</v>
      </c>
      <c r="C180" s="131">
        <v>83</v>
      </c>
      <c r="D180" s="75">
        <v>667</v>
      </c>
      <c r="E180" s="75">
        <v>87</v>
      </c>
      <c r="F180" s="75">
        <v>662</v>
      </c>
      <c r="G180" s="75">
        <v>89</v>
      </c>
      <c r="H180" s="75">
        <v>660</v>
      </c>
      <c r="I180" s="75">
        <v>88</v>
      </c>
      <c r="J180" s="83">
        <v>656</v>
      </c>
      <c r="K180" s="83">
        <v>85</v>
      </c>
      <c r="L180" s="132">
        <v>663</v>
      </c>
      <c r="M180" s="83">
        <v>9860</v>
      </c>
      <c r="N180" s="83">
        <v>8926.7999999999993</v>
      </c>
      <c r="O180" s="75">
        <v>9551.9</v>
      </c>
      <c r="P180" s="75">
        <v>8660.2000000000007</v>
      </c>
      <c r="Q180" s="75">
        <v>9652.7999999999993</v>
      </c>
      <c r="R180" s="75">
        <v>8796.7999999999993</v>
      </c>
      <c r="S180" s="75">
        <v>9567.5</v>
      </c>
      <c r="T180" s="75">
        <v>8634.5</v>
      </c>
      <c r="U180" s="75">
        <v>9812.6</v>
      </c>
      <c r="V180" s="75">
        <v>8844.9</v>
      </c>
      <c r="X180" s="27">
        <f>Table25[[#This Row],[HDC1]]/Table25[[#This Row],[HCC1]]</f>
        <v>0.90535496957403638</v>
      </c>
      <c r="Y180" s="27">
        <f>Table25[[#This Row],[HDC2]]/Table25[[#This Row],[HCC2]]</f>
        <v>0.90664684513028837</v>
      </c>
      <c r="Z180" s="27">
        <f>Table25[[#This Row],[HDC3]]/Table25[[#This Row],[HCC3]]</f>
        <v>0.91132106746229069</v>
      </c>
      <c r="AA180" s="27">
        <f>Table25[[#This Row],[HDC4]]/Table25[[#This Row],[HCC4]]</f>
        <v>0.90248236216357458</v>
      </c>
      <c r="AB180" s="27">
        <f>Table25[[#This Row],[HDC5]]/Table25[[#This Row],[HCC5]]</f>
        <v>0.90138189674500124</v>
      </c>
    </row>
    <row r="181" spans="1:28" ht="15">
      <c r="A181" t="s">
        <v>310</v>
      </c>
      <c r="B181" s="85" t="s">
        <v>590</v>
      </c>
      <c r="C181" s="131">
        <v>85</v>
      </c>
      <c r="D181" s="75">
        <v>665</v>
      </c>
      <c r="E181" s="75">
        <v>85</v>
      </c>
      <c r="F181" s="75">
        <v>650</v>
      </c>
      <c r="G181" s="75">
        <v>87</v>
      </c>
      <c r="H181" s="75">
        <v>674</v>
      </c>
      <c r="I181" s="75">
        <v>84</v>
      </c>
      <c r="J181" s="83">
        <v>653</v>
      </c>
      <c r="K181" s="83">
        <v>86</v>
      </c>
      <c r="L181" s="132">
        <v>668</v>
      </c>
      <c r="M181" s="83">
        <v>10534.5</v>
      </c>
      <c r="N181" s="83">
        <v>9591.5</v>
      </c>
      <c r="O181" s="75">
        <v>10502.5</v>
      </c>
      <c r="P181" s="75">
        <v>9508.6</v>
      </c>
      <c r="Q181" s="75">
        <v>8160.5</v>
      </c>
      <c r="R181" s="75">
        <v>7282.3</v>
      </c>
      <c r="S181" s="75">
        <v>10551.7</v>
      </c>
      <c r="T181" s="75">
        <v>9562.2000000000007</v>
      </c>
      <c r="U181" s="75">
        <v>10490.6</v>
      </c>
      <c r="V181" s="75">
        <v>9467.1</v>
      </c>
      <c r="X181" s="27">
        <f>Table25[[#This Row],[HDC1]]/Table25[[#This Row],[HCC1]]</f>
        <v>0.91048459822488015</v>
      </c>
      <c r="Y181" s="27">
        <f>Table25[[#This Row],[HDC2]]/Table25[[#This Row],[HCC2]]</f>
        <v>0.90536538919304932</v>
      </c>
      <c r="Z181" s="27">
        <f>Table25[[#This Row],[HDC3]]/Table25[[#This Row],[HCC3]]</f>
        <v>0.89238404509527602</v>
      </c>
      <c r="AA181" s="27">
        <f>Table25[[#This Row],[HDC4]]/Table25[[#This Row],[HCC4]]</f>
        <v>0.90622364168806924</v>
      </c>
      <c r="AB181" s="27">
        <f>Table25[[#This Row],[HDC5]]/Table25[[#This Row],[HCC5]]</f>
        <v>0.90243646693230128</v>
      </c>
    </row>
    <row r="182" spans="1:28" ht="15">
      <c r="A182" t="s">
        <v>311</v>
      </c>
      <c r="B182" s="85" t="s">
        <v>591</v>
      </c>
      <c r="C182" s="131">
        <v>171</v>
      </c>
      <c r="D182" s="75">
        <v>577</v>
      </c>
      <c r="E182" s="75">
        <v>180</v>
      </c>
      <c r="F182" s="75">
        <v>572</v>
      </c>
      <c r="G182" s="75">
        <v>89.8</v>
      </c>
      <c r="H182" s="75">
        <v>663.4</v>
      </c>
      <c r="I182" s="75">
        <v>81.2</v>
      </c>
      <c r="J182" s="83">
        <v>671.7</v>
      </c>
      <c r="K182" s="83">
        <v>99</v>
      </c>
      <c r="L182" s="132">
        <v>652</v>
      </c>
      <c r="M182" s="83">
        <v>21695.8</v>
      </c>
      <c r="N182" s="83">
        <v>20437.8</v>
      </c>
      <c r="O182" s="75">
        <v>21287.9</v>
      </c>
      <c r="P182" s="75">
        <v>20081.8</v>
      </c>
      <c r="Q182" s="75">
        <v>16874.5</v>
      </c>
      <c r="R182" s="75">
        <v>16486</v>
      </c>
      <c r="S182" s="75">
        <v>21577.3</v>
      </c>
      <c r="T182" s="75">
        <v>20214.7</v>
      </c>
      <c r="U182" s="75">
        <v>21717</v>
      </c>
      <c r="V182" s="75">
        <v>20419.099999999999</v>
      </c>
      <c r="X182" s="27">
        <f>Table25[[#This Row],[HDC1]]/Table25[[#This Row],[HCC1]]</f>
        <v>0.9420164271425806</v>
      </c>
      <c r="Y182" s="27">
        <f>Table25[[#This Row],[HDC2]]/Table25[[#This Row],[HCC2]]</f>
        <v>0.94334340165070285</v>
      </c>
      <c r="Z182" s="27">
        <f>Table25[[#This Row],[HDC3]]/Table25[[#This Row],[HCC3]]</f>
        <v>0.97697709561764789</v>
      </c>
      <c r="AA182" s="27">
        <f>Table25[[#This Row],[HDC4]]/Table25[[#This Row],[HCC4]]</f>
        <v>0.93685030101078459</v>
      </c>
      <c r="AB182" s="27">
        <f>Table25[[#This Row],[HDC5]]/Table25[[#This Row],[HCC5]]</f>
        <v>0.9402357600036837</v>
      </c>
    </row>
    <row r="183" spans="1:28" ht="15">
      <c r="A183" t="s">
        <v>312</v>
      </c>
      <c r="B183" s="85" t="s">
        <v>592</v>
      </c>
      <c r="C183" s="131">
        <v>131</v>
      </c>
      <c r="D183" s="75">
        <v>630</v>
      </c>
      <c r="E183" s="75">
        <v>136</v>
      </c>
      <c r="F183" s="75">
        <v>626</v>
      </c>
      <c r="G183" s="75">
        <v>123</v>
      </c>
      <c r="H183" s="75">
        <v>640</v>
      </c>
      <c r="I183" s="75">
        <v>132</v>
      </c>
      <c r="J183" s="83">
        <v>632</v>
      </c>
      <c r="K183" s="83">
        <v>133</v>
      </c>
      <c r="L183" s="132">
        <v>630</v>
      </c>
      <c r="M183" s="83">
        <v>21951.599999999999</v>
      </c>
      <c r="N183" s="83">
        <v>20616.599999999999</v>
      </c>
      <c r="O183" s="75">
        <v>21902.3</v>
      </c>
      <c r="P183" s="75">
        <v>20564.2</v>
      </c>
      <c r="Q183" s="75">
        <v>17000.2</v>
      </c>
      <c r="R183" s="75">
        <v>16658</v>
      </c>
      <c r="S183" s="75">
        <v>21614.2</v>
      </c>
      <c r="T183" s="75">
        <v>20278.599999999999</v>
      </c>
      <c r="U183" s="75">
        <v>21062.3</v>
      </c>
      <c r="V183" s="75">
        <v>20500.599999999999</v>
      </c>
      <c r="X183" s="27">
        <f>Table25[[#This Row],[HDC1]]/Table25[[#This Row],[HCC1]]</f>
        <v>0.93918438747061717</v>
      </c>
      <c r="Y183" s="27">
        <f>Table25[[#This Row],[HDC2]]/Table25[[#This Row],[HCC2]]</f>
        <v>0.93890595964807355</v>
      </c>
      <c r="Z183" s="27">
        <f>Table25[[#This Row],[HDC3]]/Table25[[#This Row],[HCC3]]</f>
        <v>0.97987082504911704</v>
      </c>
      <c r="AA183" s="27">
        <f>Table25[[#This Row],[HDC4]]/Table25[[#This Row],[HCC4]]</f>
        <v>0.93820728965217304</v>
      </c>
      <c r="AB183" s="27">
        <f>Table25[[#This Row],[HDC5]]/Table25[[#This Row],[HCC5]]</f>
        <v>0.97333149750976855</v>
      </c>
    </row>
    <row r="184" spans="1:28" ht="15">
      <c r="A184" t="s">
        <v>313</v>
      </c>
      <c r="B184" s="85" t="s">
        <v>593</v>
      </c>
      <c r="C184" s="131">
        <v>125</v>
      </c>
      <c r="D184" s="75">
        <v>632</v>
      </c>
      <c r="E184" s="75">
        <v>129</v>
      </c>
      <c r="F184" s="75">
        <v>623</v>
      </c>
      <c r="G184" s="75">
        <v>133</v>
      </c>
      <c r="H184" s="75">
        <v>619</v>
      </c>
      <c r="I184" s="75">
        <v>129</v>
      </c>
      <c r="J184" s="83">
        <v>640</v>
      </c>
      <c r="K184" s="83">
        <v>127</v>
      </c>
      <c r="L184" s="132">
        <v>622</v>
      </c>
      <c r="M184" s="83">
        <v>17505.7</v>
      </c>
      <c r="N184" s="83">
        <v>17088.099999999999</v>
      </c>
      <c r="O184" s="75">
        <v>21972.7</v>
      </c>
      <c r="P184" s="75">
        <v>20639.900000000001</v>
      </c>
      <c r="Q184" s="75">
        <v>22003.1</v>
      </c>
      <c r="R184" s="75">
        <v>20678.3</v>
      </c>
      <c r="S184" s="75">
        <v>17148.900000000001</v>
      </c>
      <c r="T184" s="75">
        <v>16658.900000000001</v>
      </c>
      <c r="U184" s="75">
        <v>21173.599999999999</v>
      </c>
      <c r="V184" s="75">
        <v>20627.5</v>
      </c>
      <c r="X184" s="27">
        <f>Table25[[#This Row],[HDC1]]/Table25[[#This Row],[HCC1]]</f>
        <v>0.97614491279983084</v>
      </c>
      <c r="Y184" s="27">
        <f>Table25[[#This Row],[HDC2]]/Table25[[#This Row],[HCC2]]</f>
        <v>0.9393429118861133</v>
      </c>
      <c r="Z184" s="27">
        <f>Table25[[#This Row],[HDC3]]/Table25[[#This Row],[HCC3]]</f>
        <v>0.93979030227558846</v>
      </c>
      <c r="AA184" s="27">
        <f>Table25[[#This Row],[HDC4]]/Table25[[#This Row],[HCC4]]</f>
        <v>0.9714267387412604</v>
      </c>
      <c r="AB184" s="27">
        <f>Table25[[#This Row],[HDC5]]/Table25[[#This Row],[HCC5]]</f>
        <v>0.97420844825631925</v>
      </c>
    </row>
    <row r="185" spans="1:28" ht="15">
      <c r="A185" t="s">
        <v>314</v>
      </c>
      <c r="B185" s="85" t="s">
        <v>594</v>
      </c>
      <c r="C185" s="131">
        <v>131</v>
      </c>
      <c r="D185" s="75">
        <v>621</v>
      </c>
      <c r="E185" s="75">
        <v>125</v>
      </c>
      <c r="F185" s="75">
        <v>625</v>
      </c>
      <c r="G185" s="75">
        <v>133</v>
      </c>
      <c r="H185" s="75">
        <v>622</v>
      </c>
      <c r="I185" s="75">
        <v>138</v>
      </c>
      <c r="J185" s="83">
        <v>616</v>
      </c>
      <c r="K185" s="83">
        <v>121</v>
      </c>
      <c r="L185" s="132">
        <v>634</v>
      </c>
      <c r="M185" s="83">
        <v>17270.7</v>
      </c>
      <c r="N185" s="83">
        <v>16952.5</v>
      </c>
      <c r="O185" s="75">
        <v>21609.200000000001</v>
      </c>
      <c r="P185" s="75">
        <v>20361.7</v>
      </c>
      <c r="Q185" s="75">
        <v>21549.7</v>
      </c>
      <c r="R185" s="75">
        <v>20345.099999999999</v>
      </c>
      <c r="S185" s="75">
        <v>20706.2</v>
      </c>
      <c r="T185" s="75">
        <v>20207.900000000001</v>
      </c>
      <c r="U185" s="75">
        <v>16866.599999999999</v>
      </c>
      <c r="V185" s="75">
        <v>16553</v>
      </c>
      <c r="X185" s="27">
        <f>Table25[[#This Row],[HDC1]]/Table25[[#This Row],[HCC1]]</f>
        <v>0.98157573230963424</v>
      </c>
      <c r="Y185" s="27">
        <f>Table25[[#This Row],[HDC2]]/Table25[[#This Row],[HCC2]]</f>
        <v>0.94226995909149802</v>
      </c>
      <c r="Z185" s="27">
        <f>Table25[[#This Row],[HDC3]]/Table25[[#This Row],[HCC3]]</f>
        <v>0.94410130999503461</v>
      </c>
      <c r="AA185" s="27">
        <f>Table25[[#This Row],[HDC4]]/Table25[[#This Row],[HCC4]]</f>
        <v>0.97593474418290183</v>
      </c>
      <c r="AB185" s="27">
        <f>Table25[[#This Row],[HDC5]]/Table25[[#This Row],[HCC5]]</f>
        <v>0.98140704113455002</v>
      </c>
    </row>
    <row r="186" spans="1:28" ht="15">
      <c r="A186" t="s">
        <v>315</v>
      </c>
      <c r="B186" s="85" t="s">
        <v>595</v>
      </c>
      <c r="C186" s="131">
        <v>126</v>
      </c>
      <c r="D186" s="75">
        <v>628</v>
      </c>
      <c r="E186" s="75">
        <v>120</v>
      </c>
      <c r="F186" s="75">
        <v>633</v>
      </c>
      <c r="G186" s="75">
        <v>115</v>
      </c>
      <c r="H186" s="75">
        <v>640</v>
      </c>
      <c r="I186" s="75">
        <v>134</v>
      </c>
      <c r="J186" s="83">
        <v>622</v>
      </c>
      <c r="K186" s="83">
        <v>128</v>
      </c>
      <c r="L186" s="132">
        <v>626</v>
      </c>
      <c r="M186" s="83">
        <v>23110.400000000001</v>
      </c>
      <c r="N186" s="83">
        <v>21955.9</v>
      </c>
      <c r="O186" s="75">
        <v>24364.1</v>
      </c>
      <c r="P186" s="75">
        <v>23215.200000000001</v>
      </c>
      <c r="Q186" s="75">
        <v>23154.799999999999</v>
      </c>
      <c r="R186" s="75">
        <v>22001.200000000001</v>
      </c>
      <c r="S186" s="75">
        <v>22982.799999999999</v>
      </c>
      <c r="T186" s="75">
        <v>21859.4</v>
      </c>
      <c r="U186" s="75">
        <v>22851.9</v>
      </c>
      <c r="V186" s="75">
        <v>21747.599999999999</v>
      </c>
      <c r="X186" s="27">
        <f>Table25[[#This Row],[HDC1]]/Table25[[#This Row],[HCC1]]</f>
        <v>0.95004413597341453</v>
      </c>
      <c r="Y186" s="27">
        <f>Table25[[#This Row],[HDC2]]/Table25[[#This Row],[HCC2]]</f>
        <v>0.95284455407751578</v>
      </c>
      <c r="Z186" s="27">
        <f>Table25[[#This Row],[HDC3]]/Table25[[#This Row],[HCC3]]</f>
        <v>0.95017879662100302</v>
      </c>
      <c r="AA186" s="27">
        <f>Table25[[#This Row],[HDC4]]/Table25[[#This Row],[HCC4]]</f>
        <v>0.95111996797605169</v>
      </c>
      <c r="AB186" s="27">
        <f>Table25[[#This Row],[HDC5]]/Table25[[#This Row],[HCC5]]</f>
        <v>0.9516757906344766</v>
      </c>
    </row>
    <row r="187" spans="1:28" ht="15">
      <c r="A187" t="s">
        <v>316</v>
      </c>
      <c r="B187" s="85" t="s">
        <v>596</v>
      </c>
      <c r="C187" s="131">
        <v>132</v>
      </c>
      <c r="D187" s="75">
        <v>617</v>
      </c>
      <c r="E187" s="75">
        <v>116</v>
      </c>
      <c r="F187" s="75">
        <v>638</v>
      </c>
      <c r="G187" s="75">
        <v>123</v>
      </c>
      <c r="H187" s="75">
        <v>630</v>
      </c>
      <c r="I187" s="75">
        <v>130</v>
      </c>
      <c r="J187" s="83">
        <v>624</v>
      </c>
      <c r="K187" s="83">
        <v>132</v>
      </c>
      <c r="L187" s="132">
        <v>622</v>
      </c>
      <c r="M187" s="83">
        <v>23875.599999999999</v>
      </c>
      <c r="N187" s="83">
        <v>22487</v>
      </c>
      <c r="O187" s="75">
        <v>22584.799999999999</v>
      </c>
      <c r="P187" s="75">
        <v>21251.7</v>
      </c>
      <c r="Q187" s="75">
        <v>23611.1</v>
      </c>
      <c r="R187" s="75">
        <v>22199.200000000001</v>
      </c>
      <c r="S187" s="75">
        <v>23632.9</v>
      </c>
      <c r="T187" s="75">
        <v>22207.3</v>
      </c>
      <c r="U187" s="75">
        <v>22637.200000000001</v>
      </c>
      <c r="V187" s="75">
        <v>21297.5</v>
      </c>
      <c r="X187" s="27">
        <f>Table25[[#This Row],[HDC1]]/Table25[[#This Row],[HCC1]]</f>
        <v>0.94184020506290944</v>
      </c>
      <c r="Y187" s="27">
        <f>Table25[[#This Row],[HDC2]]/Table25[[#This Row],[HCC2]]</f>
        <v>0.94097357514788715</v>
      </c>
      <c r="Z187" s="27">
        <f>Table25[[#This Row],[HDC3]]/Table25[[#This Row],[HCC3]]</f>
        <v>0.94020185421263736</v>
      </c>
      <c r="AA187" s="27">
        <f>Table25[[#This Row],[HDC4]]/Table25[[#This Row],[HCC4]]</f>
        <v>0.93967731425258849</v>
      </c>
      <c r="AB187" s="27">
        <f>Table25[[#This Row],[HDC5]]/Table25[[#This Row],[HCC5]]</f>
        <v>0.9408186524835227</v>
      </c>
    </row>
    <row r="188" spans="1:28" ht="15">
      <c r="A188" t="s">
        <v>317</v>
      </c>
      <c r="B188" s="85" t="s">
        <v>597</v>
      </c>
      <c r="C188" s="131">
        <v>139</v>
      </c>
      <c r="D188" s="75">
        <v>623</v>
      </c>
      <c r="E188" s="75">
        <v>128</v>
      </c>
      <c r="F188" s="75">
        <v>634</v>
      </c>
      <c r="G188" s="75">
        <v>120</v>
      </c>
      <c r="H188" s="75">
        <v>636</v>
      </c>
      <c r="I188" s="75">
        <v>137</v>
      </c>
      <c r="J188" s="83">
        <v>624</v>
      </c>
      <c r="K188" s="83">
        <v>137</v>
      </c>
      <c r="L188" s="132">
        <v>636</v>
      </c>
      <c r="M188" s="83">
        <v>18807.400000000001</v>
      </c>
      <c r="N188" s="83">
        <v>18428.099999999999</v>
      </c>
      <c r="O188" s="75">
        <v>18011.5</v>
      </c>
      <c r="P188" s="75">
        <v>17552.8</v>
      </c>
      <c r="Q188" s="75">
        <v>22877.7</v>
      </c>
      <c r="R188" s="75">
        <v>21498</v>
      </c>
      <c r="S188" s="75">
        <v>22966.2</v>
      </c>
      <c r="T188" s="75">
        <v>21613.9</v>
      </c>
      <c r="U188" s="75">
        <v>18781.3</v>
      </c>
      <c r="V188" s="75">
        <v>18375.400000000001</v>
      </c>
      <c r="X188" s="27">
        <f>Table25[[#This Row],[HDC1]]/Table25[[#This Row],[HCC1]]</f>
        <v>0.97983240639322799</v>
      </c>
      <c r="Y188" s="27">
        <f>Table25[[#This Row],[HDC2]]/Table25[[#This Row],[HCC2]]</f>
        <v>0.97453293729006463</v>
      </c>
      <c r="Z188" s="27">
        <f>Table25[[#This Row],[HDC3]]/Table25[[#This Row],[HCC3]]</f>
        <v>0.9396923641799656</v>
      </c>
      <c r="AA188" s="27">
        <f>Table25[[#This Row],[HDC4]]/Table25[[#This Row],[HCC4]]</f>
        <v>0.94111781661746396</v>
      </c>
      <c r="AB188" s="27">
        <f>Table25[[#This Row],[HDC5]]/Table25[[#This Row],[HCC5]]</f>
        <v>0.97838807750262236</v>
      </c>
    </row>
    <row r="189" spans="1:28" ht="15">
      <c r="A189" t="s">
        <v>318</v>
      </c>
      <c r="B189" s="85" t="s">
        <v>598</v>
      </c>
      <c r="C189" s="131">
        <v>131</v>
      </c>
      <c r="D189" s="75">
        <v>629</v>
      </c>
      <c r="E189" s="75">
        <v>129</v>
      </c>
      <c r="F189" s="75">
        <v>632</v>
      </c>
      <c r="G189" s="75">
        <v>124</v>
      </c>
      <c r="H189" s="75">
        <v>635</v>
      </c>
      <c r="I189" s="75">
        <v>135</v>
      </c>
      <c r="J189" s="83">
        <v>624</v>
      </c>
      <c r="K189" s="83">
        <v>116</v>
      </c>
      <c r="L189" s="132">
        <v>636</v>
      </c>
      <c r="M189" s="83">
        <v>22753.1</v>
      </c>
      <c r="N189" s="83">
        <v>21357.4</v>
      </c>
      <c r="O189" s="75">
        <v>22894.9</v>
      </c>
      <c r="P189" s="75">
        <v>21527.200000000001</v>
      </c>
      <c r="Q189" s="75">
        <v>23988</v>
      </c>
      <c r="R189" s="75">
        <v>22624.9</v>
      </c>
      <c r="S189" s="75">
        <v>22403.4</v>
      </c>
      <c r="T189" s="75">
        <v>21096.3</v>
      </c>
      <c r="U189" s="75">
        <v>22950.6</v>
      </c>
      <c r="V189" s="75">
        <v>21624.400000000001</v>
      </c>
      <c r="X189" s="27">
        <f>Table25[[#This Row],[HDC1]]/Table25[[#This Row],[HCC1]]</f>
        <v>0.93865890801692964</v>
      </c>
      <c r="Y189" s="27">
        <f>Table25[[#This Row],[HDC2]]/Table25[[#This Row],[HCC2]]</f>
        <v>0.94026180503081469</v>
      </c>
      <c r="Z189" s="27">
        <f>Table25[[#This Row],[HDC3]]/Table25[[#This Row],[HCC3]]</f>
        <v>0.94317575454393865</v>
      </c>
      <c r="AA189" s="27">
        <f>Table25[[#This Row],[HDC4]]/Table25[[#This Row],[HCC4]]</f>
        <v>0.94165617718739114</v>
      </c>
      <c r="AB189" s="27">
        <f>Table25[[#This Row],[HDC5]]/Table25[[#This Row],[HCC5]]</f>
        <v>0.9422150183437471</v>
      </c>
    </row>
    <row r="190" spans="1:28" ht="15">
      <c r="A190" t="s">
        <v>319</v>
      </c>
      <c r="B190" s="85" t="s">
        <v>599</v>
      </c>
      <c r="C190" s="131">
        <v>129</v>
      </c>
      <c r="D190" s="75">
        <v>665</v>
      </c>
      <c r="E190" s="75">
        <v>133</v>
      </c>
      <c r="F190" s="75">
        <v>656</v>
      </c>
      <c r="G190" s="75">
        <v>146</v>
      </c>
      <c r="H190" s="75">
        <v>630</v>
      </c>
      <c r="I190" s="75">
        <v>131</v>
      </c>
      <c r="J190" s="83">
        <v>663</v>
      </c>
      <c r="K190" s="83">
        <v>117</v>
      </c>
      <c r="L190" s="132">
        <v>669</v>
      </c>
      <c r="M190" s="83">
        <v>26116.5</v>
      </c>
      <c r="N190" s="83">
        <v>24606</v>
      </c>
      <c r="O190" s="75">
        <v>24565.200000000001</v>
      </c>
      <c r="P190" s="75">
        <v>23379.8</v>
      </c>
      <c r="Q190" s="75">
        <v>13375.1</v>
      </c>
      <c r="R190" s="75">
        <v>12321.7</v>
      </c>
      <c r="S190" s="75">
        <v>25760.3</v>
      </c>
      <c r="T190" s="75">
        <v>24225.4</v>
      </c>
      <c r="U190" s="75">
        <v>25013.9</v>
      </c>
      <c r="V190" s="75">
        <v>23503.3</v>
      </c>
      <c r="X190" s="27">
        <f>Table25[[#This Row],[HDC1]]/Table25[[#This Row],[HCC1]]</f>
        <v>0.9421630004020447</v>
      </c>
      <c r="Y190" s="27">
        <f>Table25[[#This Row],[HDC2]]/Table25[[#This Row],[HCC2]]</f>
        <v>0.95174474459804925</v>
      </c>
      <c r="Z190" s="27">
        <f>Table25[[#This Row],[HDC3]]/Table25[[#This Row],[HCC3]]</f>
        <v>0.92124171034235258</v>
      </c>
      <c r="AA190" s="27">
        <f>Table25[[#This Row],[HDC4]]/Table25[[#This Row],[HCC4]]</f>
        <v>0.94041606658307564</v>
      </c>
      <c r="AB190" s="27">
        <f>Table25[[#This Row],[HDC5]]/Table25[[#This Row],[HCC5]]</f>
        <v>0.93960957707514614</v>
      </c>
    </row>
    <row r="191" spans="1:28" ht="15">
      <c r="A191" t="s">
        <v>320</v>
      </c>
      <c r="B191" s="85" t="s">
        <v>600</v>
      </c>
      <c r="C191" s="131">
        <v>114</v>
      </c>
      <c r="D191" s="75">
        <v>641</v>
      </c>
      <c r="E191" s="75">
        <v>122</v>
      </c>
      <c r="F191" s="75">
        <v>633</v>
      </c>
      <c r="G191" s="75">
        <v>120</v>
      </c>
      <c r="H191" s="75">
        <v>635</v>
      </c>
      <c r="I191" s="75">
        <v>124</v>
      </c>
      <c r="J191" s="83">
        <v>635</v>
      </c>
      <c r="K191" s="83">
        <v>131</v>
      </c>
      <c r="L191" s="132">
        <v>625</v>
      </c>
      <c r="M191" s="83">
        <v>24040.799999999999</v>
      </c>
      <c r="N191" s="83">
        <v>22621.8</v>
      </c>
      <c r="O191" s="75">
        <v>23852.2</v>
      </c>
      <c r="P191" s="75">
        <v>22473.599999999999</v>
      </c>
      <c r="Q191" s="75">
        <v>23077.5</v>
      </c>
      <c r="R191" s="75">
        <v>22417.1</v>
      </c>
      <c r="S191" s="75">
        <v>23747.8</v>
      </c>
      <c r="T191" s="75">
        <v>22374.6</v>
      </c>
      <c r="U191" s="75">
        <v>23926.3</v>
      </c>
      <c r="V191" s="75">
        <v>22593</v>
      </c>
      <c r="X191" s="27">
        <f>Table25[[#This Row],[HDC1]]/Table25[[#This Row],[HCC1]]</f>
        <v>0.94097534191873811</v>
      </c>
      <c r="Y191" s="27">
        <f>Table25[[#This Row],[HDC2]]/Table25[[#This Row],[HCC2]]</f>
        <v>0.94220239642464843</v>
      </c>
      <c r="Z191" s="27">
        <f>Table25[[#This Row],[HDC3]]/Table25[[#This Row],[HCC3]]</f>
        <v>0.9713833820821145</v>
      </c>
      <c r="AA191" s="27">
        <f>Table25[[#This Row],[HDC4]]/Table25[[#This Row],[HCC4]]</f>
        <v>0.94217569627502329</v>
      </c>
      <c r="AB191" s="27">
        <f>Table25[[#This Row],[HDC5]]/Table25[[#This Row],[HCC5]]</f>
        <v>0.94427471025607812</v>
      </c>
    </row>
    <row r="192" spans="1:28" ht="15">
      <c r="A192" t="s">
        <v>321</v>
      </c>
      <c r="B192" s="85" t="s">
        <v>601</v>
      </c>
      <c r="C192" s="131">
        <v>121</v>
      </c>
      <c r="D192" s="75">
        <v>637</v>
      </c>
      <c r="E192" s="75">
        <v>120</v>
      </c>
      <c r="F192" s="75">
        <v>632</v>
      </c>
      <c r="G192" s="75">
        <v>123</v>
      </c>
      <c r="H192" s="75">
        <v>633</v>
      </c>
      <c r="I192" s="75">
        <v>122</v>
      </c>
      <c r="J192" s="83">
        <v>646</v>
      </c>
      <c r="K192" s="83">
        <v>122</v>
      </c>
      <c r="L192" s="132">
        <v>633</v>
      </c>
      <c r="M192" s="83">
        <v>24066.799999999999</v>
      </c>
      <c r="N192" s="83">
        <v>22648.5</v>
      </c>
      <c r="O192" s="75">
        <v>23974.400000000001</v>
      </c>
      <c r="P192" s="75">
        <v>22582.5</v>
      </c>
      <c r="Q192" s="75">
        <v>23793.7</v>
      </c>
      <c r="R192" s="75">
        <v>22464.400000000001</v>
      </c>
      <c r="S192" s="75">
        <v>23877.5</v>
      </c>
      <c r="T192" s="75">
        <v>22427.9</v>
      </c>
      <c r="U192" s="75">
        <v>19290.400000000001</v>
      </c>
      <c r="V192" s="75">
        <v>18957.5</v>
      </c>
      <c r="X192" s="27">
        <f>Table25[[#This Row],[HDC1]]/Table25[[#This Row],[HCC1]]</f>
        <v>0.94106819352801374</v>
      </c>
      <c r="Y192" s="27">
        <f>Table25[[#This Row],[HDC2]]/Table25[[#This Row],[HCC2]]</f>
        <v>0.94194223838761337</v>
      </c>
      <c r="Z192" s="27">
        <f>Table25[[#This Row],[HDC3]]/Table25[[#This Row],[HCC3]]</f>
        <v>0.94413227030684599</v>
      </c>
      <c r="AA192" s="27">
        <f>Table25[[#This Row],[HDC4]]/Table25[[#This Row],[HCC4]]</f>
        <v>0.93929012668830492</v>
      </c>
      <c r="AB192" s="27">
        <f>Table25[[#This Row],[HDC5]]/Table25[[#This Row],[HCC5]]</f>
        <v>0.9827427114004893</v>
      </c>
    </row>
    <row r="193" spans="1:28" ht="15">
      <c r="A193" t="s">
        <v>322</v>
      </c>
      <c r="B193" s="85" t="s">
        <v>602</v>
      </c>
      <c r="C193" s="131">
        <v>115</v>
      </c>
      <c r="D193" s="75">
        <v>637</v>
      </c>
      <c r="E193" s="75">
        <v>124</v>
      </c>
      <c r="F193" s="75">
        <v>636</v>
      </c>
      <c r="G193" s="75">
        <v>123</v>
      </c>
      <c r="H193" s="75">
        <v>637</v>
      </c>
      <c r="I193" s="75">
        <v>136</v>
      </c>
      <c r="J193" s="83">
        <v>625</v>
      </c>
      <c r="K193" s="83">
        <v>131</v>
      </c>
      <c r="L193" s="132">
        <v>632</v>
      </c>
      <c r="M193" s="83">
        <v>17582.7</v>
      </c>
      <c r="N193" s="83">
        <v>16429.599999999999</v>
      </c>
      <c r="O193" s="75">
        <v>12711.6</v>
      </c>
      <c r="P193" s="75">
        <v>12516.9</v>
      </c>
      <c r="Q193" s="75">
        <v>17406.7</v>
      </c>
      <c r="R193" s="75">
        <v>16193.5</v>
      </c>
      <c r="S193" s="75">
        <v>17195.2</v>
      </c>
      <c r="T193" s="75">
        <v>16100.6</v>
      </c>
      <c r="U193" s="75">
        <v>14046.4</v>
      </c>
      <c r="V193" s="75">
        <v>13012.2</v>
      </c>
      <c r="X193" s="27">
        <f>Table25[[#This Row],[HDC1]]/Table25[[#This Row],[HCC1]]</f>
        <v>0.93441849090298978</v>
      </c>
      <c r="Y193" s="27">
        <f>Table25[[#This Row],[HDC2]]/Table25[[#This Row],[HCC2]]</f>
        <v>0.98468328141225336</v>
      </c>
      <c r="Z193" s="27">
        <f>Table25[[#This Row],[HDC3]]/Table25[[#This Row],[HCC3]]</f>
        <v>0.93030269953523637</v>
      </c>
      <c r="AA193" s="27">
        <f>Table25[[#This Row],[HDC4]]/Table25[[#This Row],[HCC4]]</f>
        <v>0.93634270028845257</v>
      </c>
      <c r="AB193" s="27">
        <f>Table25[[#This Row],[HDC5]]/Table25[[#This Row],[HCC5]]</f>
        <v>0.92637259368948632</v>
      </c>
    </row>
    <row r="194" spans="1:28" ht="15">
      <c r="A194" t="s">
        <v>323</v>
      </c>
      <c r="B194" s="85" t="s">
        <v>603</v>
      </c>
      <c r="C194" s="131">
        <v>125</v>
      </c>
      <c r="D194" s="75">
        <v>621</v>
      </c>
      <c r="E194" s="75">
        <v>117</v>
      </c>
      <c r="F194" s="75">
        <v>641</v>
      </c>
      <c r="G194" s="75">
        <v>136</v>
      </c>
      <c r="H194" s="75">
        <v>612</v>
      </c>
      <c r="I194" s="75">
        <v>130</v>
      </c>
      <c r="J194" s="83">
        <v>625</v>
      </c>
      <c r="K194" s="83">
        <v>133</v>
      </c>
      <c r="L194" s="132">
        <v>623</v>
      </c>
      <c r="M194" s="83">
        <v>22845</v>
      </c>
      <c r="N194" s="83">
        <v>21512.1</v>
      </c>
      <c r="O194" s="75">
        <v>22280.6</v>
      </c>
      <c r="P194" s="75">
        <v>21177.200000000001</v>
      </c>
      <c r="Q194" s="75">
        <v>22491.200000000001</v>
      </c>
      <c r="R194" s="75">
        <v>21168.799999999999</v>
      </c>
      <c r="S194" s="75">
        <v>22673.5</v>
      </c>
      <c r="T194" s="75">
        <v>21316.3</v>
      </c>
      <c r="U194" s="75">
        <v>22642.7</v>
      </c>
      <c r="V194" s="75">
        <v>21297.5</v>
      </c>
      <c r="X194" s="27">
        <f>Table25[[#This Row],[HDC1]]/Table25[[#This Row],[HCC1]]</f>
        <v>0.94165462902166774</v>
      </c>
      <c r="Y194" s="27">
        <f>Table25[[#This Row],[HDC2]]/Table25[[#This Row],[HCC2]]</f>
        <v>0.95047709666705571</v>
      </c>
      <c r="Z194" s="27">
        <f>Table25[[#This Row],[HDC3]]/Table25[[#This Row],[HCC3]]</f>
        <v>0.94120367076901179</v>
      </c>
      <c r="AA194" s="27">
        <f>Table25[[#This Row],[HDC4]]/Table25[[#This Row],[HCC4]]</f>
        <v>0.94014157496637041</v>
      </c>
      <c r="AB194" s="27">
        <f>Table25[[#This Row],[HDC5]]/Table25[[#This Row],[HCC5]]</f>
        <v>0.94059012396931463</v>
      </c>
    </row>
    <row r="195" spans="1:28" ht="15">
      <c r="A195" t="s">
        <v>324</v>
      </c>
      <c r="B195" s="85" t="s">
        <v>604</v>
      </c>
      <c r="C195" s="131">
        <v>131</v>
      </c>
      <c r="D195" s="75">
        <v>623</v>
      </c>
      <c r="E195" s="75">
        <v>128</v>
      </c>
      <c r="F195" s="75">
        <v>630</v>
      </c>
      <c r="G195" s="75">
        <v>129</v>
      </c>
      <c r="H195" s="75">
        <v>629</v>
      </c>
      <c r="I195" s="75">
        <v>128</v>
      </c>
      <c r="J195" s="83">
        <v>626</v>
      </c>
      <c r="K195" s="83">
        <v>127</v>
      </c>
      <c r="L195" s="132">
        <v>645</v>
      </c>
      <c r="M195" s="83">
        <v>22660.2</v>
      </c>
      <c r="N195" s="83">
        <v>22052.799999999999</v>
      </c>
      <c r="O195" s="75">
        <v>23186.9</v>
      </c>
      <c r="P195" s="75">
        <v>21858.799999999999</v>
      </c>
      <c r="Q195" s="75">
        <v>22491.7</v>
      </c>
      <c r="R195" s="75">
        <v>21384.1</v>
      </c>
      <c r="S195" s="75">
        <v>20780.099999999999</v>
      </c>
      <c r="T195" s="75">
        <v>20654.900000000001</v>
      </c>
      <c r="U195" s="75">
        <v>22987.5</v>
      </c>
      <c r="V195" s="75">
        <v>21772.5</v>
      </c>
      <c r="X195" s="27">
        <f>Table25[[#This Row],[HDC1]]/Table25[[#This Row],[HCC1]]</f>
        <v>0.97319529395150961</v>
      </c>
      <c r="Y195" s="27">
        <f>Table25[[#This Row],[HDC2]]/Table25[[#This Row],[HCC2]]</f>
        <v>0.9427219680077974</v>
      </c>
      <c r="Z195" s="27">
        <f>Table25[[#This Row],[HDC3]]/Table25[[#This Row],[HCC3]]</f>
        <v>0.95075516746177469</v>
      </c>
      <c r="AA195" s="27">
        <f>Table25[[#This Row],[HDC4]]/Table25[[#This Row],[HCC4]]</f>
        <v>0.99397500493260393</v>
      </c>
      <c r="AB195" s="27">
        <f>Table25[[#This Row],[HDC5]]/Table25[[#This Row],[HCC5]]</f>
        <v>0.94714518760195754</v>
      </c>
    </row>
    <row r="196" spans="1:28" ht="15">
      <c r="A196" t="s">
        <v>325</v>
      </c>
      <c r="B196" s="85" t="s">
        <v>605</v>
      </c>
      <c r="C196" s="131">
        <v>120</v>
      </c>
      <c r="D196" s="75">
        <v>658</v>
      </c>
      <c r="E196" s="75">
        <v>133</v>
      </c>
      <c r="F196" s="75">
        <v>647</v>
      </c>
      <c r="G196" s="75">
        <v>130</v>
      </c>
      <c r="H196" s="75">
        <v>647</v>
      </c>
      <c r="I196" s="75">
        <v>127</v>
      </c>
      <c r="J196" s="83">
        <v>621</v>
      </c>
      <c r="K196" s="83">
        <v>129</v>
      </c>
      <c r="L196" s="132">
        <v>655</v>
      </c>
      <c r="M196" s="83">
        <v>23165.4</v>
      </c>
      <c r="N196" s="83">
        <v>21880.2</v>
      </c>
      <c r="O196" s="75">
        <v>23127.7</v>
      </c>
      <c r="P196" s="75">
        <v>21936.3</v>
      </c>
      <c r="Q196" s="75">
        <v>22078.799999999999</v>
      </c>
      <c r="R196" s="75">
        <v>21493.200000000001</v>
      </c>
      <c r="S196" s="75">
        <v>23141.5</v>
      </c>
      <c r="T196" s="75">
        <v>21913.9</v>
      </c>
      <c r="U196" s="75">
        <v>22797.4</v>
      </c>
      <c r="V196" s="75">
        <v>21454.7</v>
      </c>
      <c r="X196" s="27">
        <f>Table25[[#This Row],[HDC1]]/Table25[[#This Row],[HCC1]]</f>
        <v>0.94452070760703455</v>
      </c>
      <c r="Y196" s="27">
        <f>Table25[[#This Row],[HDC2]]/Table25[[#This Row],[HCC2]]</f>
        <v>0.94848601460586213</v>
      </c>
      <c r="Z196" s="27">
        <f>Table25[[#This Row],[HDC3]]/Table25[[#This Row],[HCC3]]</f>
        <v>0.97347681939235831</v>
      </c>
      <c r="AA196" s="27">
        <f>Table25[[#This Row],[HDC4]]/Table25[[#This Row],[HCC4]]</f>
        <v>0.94695244474213003</v>
      </c>
      <c r="AB196" s="27">
        <f>Table25[[#This Row],[HDC5]]/Table25[[#This Row],[HCC5]]</f>
        <v>0.94110293279058133</v>
      </c>
    </row>
    <row r="197" spans="1:28" ht="15">
      <c r="A197" t="s">
        <v>326</v>
      </c>
      <c r="B197" s="85" t="s">
        <v>606</v>
      </c>
      <c r="C197" s="131">
        <v>154</v>
      </c>
      <c r="D197" s="75">
        <v>607</v>
      </c>
      <c r="E197" s="75">
        <v>152</v>
      </c>
      <c r="F197" s="75">
        <v>608</v>
      </c>
      <c r="G197" s="75">
        <v>143</v>
      </c>
      <c r="H197" s="75">
        <v>611</v>
      </c>
      <c r="I197" s="75">
        <v>94</v>
      </c>
      <c r="J197" s="83">
        <v>661</v>
      </c>
      <c r="K197" s="83">
        <v>135</v>
      </c>
      <c r="L197" s="132">
        <v>611</v>
      </c>
      <c r="M197" s="83">
        <v>7471.7</v>
      </c>
      <c r="N197" s="83">
        <v>6904.1</v>
      </c>
      <c r="O197" s="75">
        <v>22917</v>
      </c>
      <c r="P197" s="75">
        <v>21564.1</v>
      </c>
      <c r="Q197" s="75">
        <v>7371</v>
      </c>
      <c r="R197" s="75">
        <v>6806.6</v>
      </c>
      <c r="S197" s="75">
        <v>8294.2000000000007</v>
      </c>
      <c r="T197" s="75">
        <v>7687.3</v>
      </c>
      <c r="U197" s="75">
        <v>7389.5</v>
      </c>
      <c r="V197" s="75">
        <v>6815.6</v>
      </c>
      <c r="X197" s="27">
        <f>Table25[[#This Row],[HDC1]]/Table25[[#This Row],[HCC1]]</f>
        <v>0.92403335251683028</v>
      </c>
      <c r="Y197" s="27">
        <f>Table25[[#This Row],[HDC2]]/Table25[[#This Row],[HCC2]]</f>
        <v>0.9409652223240389</v>
      </c>
      <c r="Z197" s="27">
        <f>Table25[[#This Row],[HDC3]]/Table25[[#This Row],[HCC3]]</f>
        <v>0.92342965676299016</v>
      </c>
      <c r="AA197" s="27">
        <f>Table25[[#This Row],[HDC4]]/Table25[[#This Row],[HCC4]]</f>
        <v>0.92682838610113083</v>
      </c>
      <c r="AB197" s="27">
        <f>Table25[[#This Row],[HDC5]]/Table25[[#This Row],[HCC5]]</f>
        <v>0.9223357466675689</v>
      </c>
    </row>
    <row r="198" spans="1:28" ht="15">
      <c r="A198" t="s">
        <v>327</v>
      </c>
      <c r="B198" s="85" t="s">
        <v>607</v>
      </c>
      <c r="C198" s="131">
        <v>120</v>
      </c>
      <c r="D198" s="75">
        <v>657</v>
      </c>
      <c r="E198" s="75">
        <v>111</v>
      </c>
      <c r="F198" s="75">
        <v>655</v>
      </c>
      <c r="G198" s="75">
        <v>139</v>
      </c>
      <c r="H198" s="75">
        <v>627</v>
      </c>
      <c r="I198" s="75">
        <v>135</v>
      </c>
      <c r="J198" s="83">
        <v>647</v>
      </c>
      <c r="K198" s="83">
        <v>125</v>
      </c>
      <c r="L198" s="132">
        <v>644</v>
      </c>
      <c r="M198" s="83">
        <v>25025</v>
      </c>
      <c r="N198" s="83">
        <v>23534.400000000001</v>
      </c>
      <c r="O198" s="75">
        <v>24846.400000000001</v>
      </c>
      <c r="P198" s="75">
        <v>23395.200000000001</v>
      </c>
      <c r="Q198" s="75">
        <v>15309.7</v>
      </c>
      <c r="R198" s="75">
        <v>14211.5</v>
      </c>
      <c r="S198" s="75">
        <v>24571.5</v>
      </c>
      <c r="T198" s="75">
        <v>23130</v>
      </c>
      <c r="U198" s="75">
        <v>24725.5</v>
      </c>
      <c r="V198" s="75">
        <v>23252.799999999999</v>
      </c>
      <c r="X198" s="27">
        <f>Table25[[#This Row],[HDC1]]/Table25[[#This Row],[HCC1]]</f>
        <v>0.94043556443556453</v>
      </c>
      <c r="Y198" s="27">
        <f>Table25[[#This Row],[HDC2]]/Table25[[#This Row],[HCC2]]</f>
        <v>0.94159314830317464</v>
      </c>
      <c r="Z198" s="27">
        <f>Table25[[#This Row],[HDC3]]/Table25[[#This Row],[HCC3]]</f>
        <v>0.92826769956302213</v>
      </c>
      <c r="AA198" s="27">
        <f>Table25[[#This Row],[HDC4]]/Table25[[#This Row],[HCC4]]</f>
        <v>0.94133447286490446</v>
      </c>
      <c r="AB198" s="27">
        <f>Table25[[#This Row],[HDC5]]/Table25[[#This Row],[HCC5]]</f>
        <v>0.94043800934258148</v>
      </c>
    </row>
    <row r="199" spans="1:28" ht="15">
      <c r="A199" t="s">
        <v>328</v>
      </c>
      <c r="B199" s="85" t="s">
        <v>608</v>
      </c>
      <c r="C199" s="131">
        <v>116</v>
      </c>
      <c r="D199" s="75">
        <v>628</v>
      </c>
      <c r="E199" s="75">
        <v>118</v>
      </c>
      <c r="F199" s="75">
        <v>632</v>
      </c>
      <c r="G199" s="75">
        <v>116</v>
      </c>
      <c r="H199" s="75">
        <v>626</v>
      </c>
      <c r="I199" s="75">
        <v>127</v>
      </c>
      <c r="J199" s="83">
        <v>610</v>
      </c>
      <c r="K199" s="83">
        <v>117</v>
      </c>
      <c r="L199" s="132">
        <v>626</v>
      </c>
      <c r="M199" s="83">
        <v>23374.9</v>
      </c>
      <c r="N199" s="83">
        <v>21967.7</v>
      </c>
      <c r="O199" s="75">
        <v>22752.5</v>
      </c>
      <c r="P199" s="75">
        <v>21421.599999999999</v>
      </c>
      <c r="Q199" s="75">
        <v>23144.7</v>
      </c>
      <c r="R199" s="75">
        <v>21742.2</v>
      </c>
      <c r="S199" s="75">
        <v>22908.1</v>
      </c>
      <c r="T199" s="75">
        <v>21541.1</v>
      </c>
      <c r="U199" s="75">
        <v>23039.1</v>
      </c>
      <c r="V199" s="75">
        <v>21713.599999999999</v>
      </c>
      <c r="X199" s="27">
        <f>Table25[[#This Row],[HDC1]]/Table25[[#This Row],[HCC1]]</f>
        <v>0.93979867293549912</v>
      </c>
      <c r="Y199" s="27">
        <f>Table25[[#This Row],[HDC2]]/Table25[[#This Row],[HCC2]]</f>
        <v>0.94150532908471585</v>
      </c>
      <c r="Z199" s="27">
        <f>Table25[[#This Row],[HDC3]]/Table25[[#This Row],[HCC3]]</f>
        <v>0.93940297346692758</v>
      </c>
      <c r="AA199" s="27">
        <f>Table25[[#This Row],[HDC4]]/Table25[[#This Row],[HCC4]]</f>
        <v>0.94032678397597358</v>
      </c>
      <c r="AB199" s="27">
        <f>Table25[[#This Row],[HDC5]]/Table25[[#This Row],[HCC5]]</f>
        <v>0.94246737068722297</v>
      </c>
    </row>
    <row r="200" spans="1:28" ht="15">
      <c r="A200" t="s">
        <v>329</v>
      </c>
      <c r="B200" s="85" t="s">
        <v>609</v>
      </c>
      <c r="C200" s="131">
        <v>138</v>
      </c>
      <c r="D200" s="75">
        <v>624</v>
      </c>
      <c r="E200" s="75">
        <v>137</v>
      </c>
      <c r="F200" s="75">
        <v>622</v>
      </c>
      <c r="G200" s="75">
        <v>118</v>
      </c>
      <c r="H200" s="75">
        <v>637</v>
      </c>
      <c r="I200" s="75">
        <v>137</v>
      </c>
      <c r="J200" s="83">
        <v>622</v>
      </c>
      <c r="K200" s="83">
        <v>140</v>
      </c>
      <c r="L200" s="132">
        <v>616</v>
      </c>
      <c r="M200" s="83">
        <v>17083.599999999999</v>
      </c>
      <c r="N200" s="83">
        <v>15872.9</v>
      </c>
      <c r="O200" s="75">
        <v>16817.900000000001</v>
      </c>
      <c r="P200" s="75">
        <v>15624</v>
      </c>
      <c r="Q200" s="75">
        <v>16837.2</v>
      </c>
      <c r="R200" s="75">
        <v>15632.9</v>
      </c>
      <c r="S200" s="75">
        <v>16742.8</v>
      </c>
      <c r="T200" s="75">
        <v>15534.2</v>
      </c>
      <c r="U200" s="75">
        <v>16526.8</v>
      </c>
      <c r="V200" s="75">
        <v>15688</v>
      </c>
      <c r="X200" s="27">
        <f>Table25[[#This Row],[HDC1]]/Table25[[#This Row],[HCC1]]</f>
        <v>0.92913086234751463</v>
      </c>
      <c r="Y200" s="27">
        <f>Table25[[#This Row],[HDC2]]/Table25[[#This Row],[HCC2]]</f>
        <v>0.92901016179190021</v>
      </c>
      <c r="Z200" s="27">
        <f>Table25[[#This Row],[HDC3]]/Table25[[#This Row],[HCC3]]</f>
        <v>0.92847385551041739</v>
      </c>
      <c r="AA200" s="27">
        <f>Table25[[#This Row],[HDC4]]/Table25[[#This Row],[HCC4]]</f>
        <v>0.92781374680459672</v>
      </c>
      <c r="AB200" s="27">
        <f>Table25[[#This Row],[HDC5]]/Table25[[#This Row],[HCC5]]</f>
        <v>0.94924607304499364</v>
      </c>
    </row>
    <row r="201" spans="1:28" ht="15">
      <c r="A201" t="s">
        <v>330</v>
      </c>
      <c r="B201" s="85" t="s">
        <v>610</v>
      </c>
      <c r="C201" s="131">
        <v>131</v>
      </c>
      <c r="D201" s="75">
        <v>633</v>
      </c>
      <c r="E201" s="75">
        <v>136</v>
      </c>
      <c r="F201" s="75">
        <v>624</v>
      </c>
      <c r="G201" s="75">
        <v>120</v>
      </c>
      <c r="H201" s="75">
        <v>639</v>
      </c>
      <c r="I201" s="75">
        <v>134</v>
      </c>
      <c r="J201" s="83">
        <v>624</v>
      </c>
      <c r="K201" s="83">
        <v>141</v>
      </c>
      <c r="L201" s="132">
        <v>621</v>
      </c>
      <c r="M201" s="83">
        <v>23248.400000000001</v>
      </c>
      <c r="N201" s="83">
        <v>21913.200000000001</v>
      </c>
      <c r="O201" s="75">
        <v>22960.7</v>
      </c>
      <c r="P201" s="75">
        <v>21591.8</v>
      </c>
      <c r="Q201" s="75">
        <v>23157.200000000001</v>
      </c>
      <c r="R201" s="75">
        <v>21794.7</v>
      </c>
      <c r="S201" s="75">
        <v>22911.4</v>
      </c>
      <c r="T201" s="75">
        <v>21546.7</v>
      </c>
      <c r="U201" s="75">
        <v>22963.1</v>
      </c>
      <c r="V201" s="75">
        <v>21553.200000000001</v>
      </c>
      <c r="X201" s="27">
        <f>Table25[[#This Row],[HDC1]]/Table25[[#This Row],[HCC1]]</f>
        <v>0.94256809070731751</v>
      </c>
      <c r="Y201" s="27">
        <f>Table25[[#This Row],[HDC2]]/Table25[[#This Row],[HCC2]]</f>
        <v>0.94038073752106854</v>
      </c>
      <c r="Z201" s="27">
        <f>Table25[[#This Row],[HDC3]]/Table25[[#This Row],[HCC3]]</f>
        <v>0.94116300761750127</v>
      </c>
      <c r="AA201" s="27">
        <f>Table25[[#This Row],[HDC4]]/Table25[[#This Row],[HCC4]]</f>
        <v>0.94043576560140363</v>
      </c>
      <c r="AB201" s="27">
        <f>Table25[[#This Row],[HDC5]]/Table25[[#This Row],[HCC5]]</f>
        <v>0.93860149544268856</v>
      </c>
    </row>
    <row r="202" spans="1:28" ht="15">
      <c r="A202" t="s">
        <v>331</v>
      </c>
      <c r="B202" s="85" t="s">
        <v>611</v>
      </c>
      <c r="C202" s="131">
        <v>117</v>
      </c>
      <c r="D202" s="75">
        <v>625</v>
      </c>
      <c r="E202" s="75">
        <v>129</v>
      </c>
      <c r="F202" s="75">
        <v>612</v>
      </c>
      <c r="G202" s="75">
        <v>128</v>
      </c>
      <c r="H202" s="75">
        <v>613</v>
      </c>
      <c r="I202" s="75">
        <v>127</v>
      </c>
      <c r="J202" s="83">
        <v>616</v>
      </c>
      <c r="K202" s="83">
        <v>112</v>
      </c>
      <c r="L202" s="132">
        <v>627</v>
      </c>
      <c r="M202" s="83">
        <v>18018.5</v>
      </c>
      <c r="N202" s="83">
        <v>17511.5</v>
      </c>
      <c r="O202" s="75">
        <v>22299.4</v>
      </c>
      <c r="P202" s="75">
        <v>20966.599999999999</v>
      </c>
      <c r="Q202" s="75">
        <v>22358.7</v>
      </c>
      <c r="R202" s="75">
        <v>20941.2</v>
      </c>
      <c r="S202" s="75">
        <v>22451.5</v>
      </c>
      <c r="T202" s="75">
        <v>21022.3</v>
      </c>
      <c r="U202" s="75">
        <v>22544.1</v>
      </c>
      <c r="V202" s="75">
        <v>21181.4</v>
      </c>
      <c r="X202" s="27">
        <f>Table25[[#This Row],[HDC1]]/Table25[[#This Row],[HCC1]]</f>
        <v>0.97186225268474069</v>
      </c>
      <c r="Y202" s="27">
        <f>Table25[[#This Row],[HDC2]]/Table25[[#This Row],[HCC2]]</f>
        <v>0.94023157573746363</v>
      </c>
      <c r="Z202" s="27">
        <f>Table25[[#This Row],[HDC3]]/Table25[[#This Row],[HCC3]]</f>
        <v>0.93660185967878273</v>
      </c>
      <c r="AA202" s="27">
        <f>Table25[[#This Row],[HDC4]]/Table25[[#This Row],[HCC4]]</f>
        <v>0.93634278333296217</v>
      </c>
      <c r="AB202" s="27">
        <f>Table25[[#This Row],[HDC5]]/Table25[[#This Row],[HCC5]]</f>
        <v>0.93955402965742707</v>
      </c>
    </row>
    <row r="203" spans="1:28" ht="15">
      <c r="A203" t="s">
        <v>332</v>
      </c>
      <c r="B203" s="85" t="s">
        <v>612</v>
      </c>
      <c r="C203" s="131">
        <v>120</v>
      </c>
      <c r="D203" s="75">
        <v>640</v>
      </c>
      <c r="E203" s="75">
        <v>140</v>
      </c>
      <c r="F203" s="75">
        <v>620</v>
      </c>
      <c r="G203" s="75">
        <v>128</v>
      </c>
      <c r="H203" s="75">
        <v>633</v>
      </c>
      <c r="I203" s="75">
        <v>130</v>
      </c>
      <c r="J203" s="83">
        <v>630</v>
      </c>
      <c r="K203" s="83">
        <v>132</v>
      </c>
      <c r="L203" s="132">
        <v>635</v>
      </c>
      <c r="M203" s="83">
        <v>22963</v>
      </c>
      <c r="N203" s="83">
        <v>21702.799999999999</v>
      </c>
      <c r="O203" s="75">
        <v>22804.7</v>
      </c>
      <c r="P203" s="75">
        <v>21497.200000000001</v>
      </c>
      <c r="Q203" s="75">
        <v>22813.7</v>
      </c>
      <c r="R203" s="75">
        <v>21464.1</v>
      </c>
      <c r="S203" s="75">
        <v>22831.9</v>
      </c>
      <c r="T203" s="75">
        <v>21456.1</v>
      </c>
      <c r="U203" s="75">
        <v>22767.3</v>
      </c>
      <c r="V203" s="75">
        <v>21494.2</v>
      </c>
      <c r="X203" s="27">
        <f>Table25[[#This Row],[HDC1]]/Table25[[#This Row],[HCC1]]</f>
        <v>0.94512041109611111</v>
      </c>
      <c r="Y203" s="27">
        <f>Table25[[#This Row],[HDC2]]/Table25[[#This Row],[HCC2]]</f>
        <v>0.94266532776138257</v>
      </c>
      <c r="Z203" s="27">
        <f>Table25[[#This Row],[HDC3]]/Table25[[#This Row],[HCC3]]</f>
        <v>0.94084256389800858</v>
      </c>
      <c r="AA203" s="27">
        <f>Table25[[#This Row],[HDC4]]/Table25[[#This Row],[HCC4]]</f>
        <v>0.93974220279521181</v>
      </c>
      <c r="AB203" s="27">
        <f>Table25[[#This Row],[HDC5]]/Table25[[#This Row],[HCC5]]</f>
        <v>0.94408208263606141</v>
      </c>
    </row>
    <row r="204" spans="1:28" ht="15">
      <c r="A204" t="s">
        <v>333</v>
      </c>
      <c r="B204" s="85" t="s">
        <v>613</v>
      </c>
      <c r="C204" s="131">
        <v>126</v>
      </c>
      <c r="D204" s="75">
        <v>612</v>
      </c>
      <c r="E204" s="75">
        <v>125</v>
      </c>
      <c r="F204" s="75">
        <v>618</v>
      </c>
      <c r="G204" s="75">
        <v>117</v>
      </c>
      <c r="H204" s="75">
        <v>631</v>
      </c>
      <c r="I204" s="75">
        <v>129</v>
      </c>
      <c r="J204" s="83">
        <v>612</v>
      </c>
      <c r="K204" s="83">
        <v>123</v>
      </c>
      <c r="L204" s="132">
        <v>614</v>
      </c>
      <c r="M204" s="83">
        <v>22807</v>
      </c>
      <c r="N204" s="83">
        <v>21402.3</v>
      </c>
      <c r="O204" s="75">
        <v>22745.200000000001</v>
      </c>
      <c r="P204" s="75">
        <v>21267.4</v>
      </c>
      <c r="Q204" s="75">
        <v>22489.5</v>
      </c>
      <c r="R204" s="75">
        <v>21115.7</v>
      </c>
      <c r="S204" s="75">
        <v>22464.799999999999</v>
      </c>
      <c r="T204" s="75">
        <v>21083.200000000001</v>
      </c>
      <c r="U204" s="75">
        <v>22780.2</v>
      </c>
      <c r="V204" s="75">
        <v>21409.4</v>
      </c>
      <c r="X204" s="27">
        <f>Table25[[#This Row],[HDC1]]/Table25[[#This Row],[HCC1]]</f>
        <v>0.93840926031481564</v>
      </c>
      <c r="Y204" s="27">
        <f>Table25[[#This Row],[HDC2]]/Table25[[#This Row],[HCC2]]</f>
        <v>0.93502804987425925</v>
      </c>
      <c r="Z204" s="27">
        <f>Table25[[#This Row],[HDC3]]/Table25[[#This Row],[HCC3]]</f>
        <v>0.9389137152893573</v>
      </c>
      <c r="AA204" s="27">
        <f>Table25[[#This Row],[HDC4]]/Table25[[#This Row],[HCC4]]</f>
        <v>0.93849934119155309</v>
      </c>
      <c r="AB204" s="27">
        <f>Table25[[#This Row],[HDC5]]/Table25[[#This Row],[HCC5]]</f>
        <v>0.93982493568976566</v>
      </c>
    </row>
    <row r="205" spans="1:28" ht="15">
      <c r="A205" t="s">
        <v>334</v>
      </c>
      <c r="B205" s="85" t="s">
        <v>614</v>
      </c>
      <c r="C205" s="131">
        <v>137</v>
      </c>
      <c r="D205" s="75">
        <v>630</v>
      </c>
      <c r="E205" s="75">
        <v>131</v>
      </c>
      <c r="F205" s="75">
        <v>628</v>
      </c>
      <c r="G205" s="75">
        <v>118</v>
      </c>
      <c r="H205" s="75">
        <v>642</v>
      </c>
      <c r="I205" s="75">
        <v>139</v>
      </c>
      <c r="J205" s="83">
        <v>624</v>
      </c>
      <c r="K205" s="83">
        <v>138</v>
      </c>
      <c r="L205" s="132">
        <v>622</v>
      </c>
      <c r="M205" s="83">
        <v>22895.4</v>
      </c>
      <c r="N205" s="83">
        <v>21568.7</v>
      </c>
      <c r="O205" s="75">
        <v>17938.3</v>
      </c>
      <c r="P205" s="75">
        <v>17479.8</v>
      </c>
      <c r="Q205" s="75">
        <v>22778.3</v>
      </c>
      <c r="R205" s="75">
        <v>21390.400000000001</v>
      </c>
      <c r="S205" s="75">
        <v>22658.5</v>
      </c>
      <c r="T205" s="75">
        <v>21352.9</v>
      </c>
      <c r="U205" s="75">
        <v>22726.9</v>
      </c>
      <c r="V205" s="75">
        <v>21409</v>
      </c>
      <c r="X205" s="27">
        <f>Table25[[#This Row],[HDC1]]/Table25[[#This Row],[HCC1]]</f>
        <v>0.94205386234789523</v>
      </c>
      <c r="Y205" s="27">
        <f>Table25[[#This Row],[HDC2]]/Table25[[#This Row],[HCC2]]</f>
        <v>0.97444016434110259</v>
      </c>
      <c r="Z205" s="27">
        <f>Table25[[#This Row],[HDC3]]/Table25[[#This Row],[HCC3]]</f>
        <v>0.93906920182805576</v>
      </c>
      <c r="AA205" s="27">
        <f>Table25[[#This Row],[HDC4]]/Table25[[#This Row],[HCC4]]</f>
        <v>0.94237923957896597</v>
      </c>
      <c r="AB205" s="27">
        <f>Table25[[#This Row],[HDC5]]/Table25[[#This Row],[HCC5]]</f>
        <v>0.94201144898776334</v>
      </c>
    </row>
    <row r="206" spans="1:28" ht="15">
      <c r="A206" t="s">
        <v>335</v>
      </c>
      <c r="B206" s="85" t="s">
        <v>615</v>
      </c>
      <c r="C206" s="131">
        <v>121</v>
      </c>
      <c r="D206" s="75">
        <v>633</v>
      </c>
      <c r="E206" s="75">
        <v>120</v>
      </c>
      <c r="F206" s="75">
        <v>629</v>
      </c>
      <c r="G206" s="75">
        <v>122</v>
      </c>
      <c r="H206" s="75">
        <v>646</v>
      </c>
      <c r="I206" s="75">
        <v>124</v>
      </c>
      <c r="J206" s="83">
        <v>639</v>
      </c>
      <c r="K206" s="83">
        <v>121</v>
      </c>
      <c r="L206" s="132">
        <v>642</v>
      </c>
      <c r="M206" s="83">
        <v>20455.099999999999</v>
      </c>
      <c r="N206" s="83">
        <v>19211.5</v>
      </c>
      <c r="O206" s="75">
        <v>20379</v>
      </c>
      <c r="P206" s="75">
        <v>19067.599999999999</v>
      </c>
      <c r="Q206" s="75">
        <v>20418</v>
      </c>
      <c r="R206" s="75">
        <v>19096.599999999999</v>
      </c>
      <c r="S206" s="75">
        <v>20169.599999999999</v>
      </c>
      <c r="T206" s="75">
        <v>18900.3</v>
      </c>
      <c r="U206" s="75">
        <v>20353.8</v>
      </c>
      <c r="V206" s="75">
        <v>19064.5</v>
      </c>
      <c r="X206" s="27">
        <f>Table25[[#This Row],[HDC1]]/Table25[[#This Row],[HCC1]]</f>
        <v>0.9392034260404496</v>
      </c>
      <c r="Y206" s="27">
        <f>Table25[[#This Row],[HDC2]]/Table25[[#This Row],[HCC2]]</f>
        <v>0.93564944305412423</v>
      </c>
      <c r="Z206" s="27">
        <f>Table25[[#This Row],[HDC3]]/Table25[[#This Row],[HCC3]]</f>
        <v>0.93528259378979328</v>
      </c>
      <c r="AA206" s="27">
        <f>Table25[[#This Row],[HDC4]]/Table25[[#This Row],[HCC4]]</f>
        <v>0.93706865778200865</v>
      </c>
      <c r="AB206" s="27">
        <f>Table25[[#This Row],[HDC5]]/Table25[[#This Row],[HCC5]]</f>
        <v>0.93665556308895637</v>
      </c>
    </row>
    <row r="207" spans="1:28" ht="15">
      <c r="A207" t="s">
        <v>336</v>
      </c>
      <c r="B207" s="85" t="s">
        <v>616</v>
      </c>
      <c r="C207" s="131">
        <v>129</v>
      </c>
      <c r="D207" s="75">
        <v>635</v>
      </c>
      <c r="E207" s="75">
        <v>115</v>
      </c>
      <c r="F207" s="75">
        <v>647</v>
      </c>
      <c r="G207" s="75">
        <v>122</v>
      </c>
      <c r="H207" s="75">
        <v>642</v>
      </c>
      <c r="I207" s="75">
        <v>128</v>
      </c>
      <c r="J207" s="83">
        <v>637</v>
      </c>
      <c r="K207" s="83">
        <v>127</v>
      </c>
      <c r="L207" s="132">
        <v>637</v>
      </c>
      <c r="M207" s="83">
        <v>20432.3</v>
      </c>
      <c r="N207" s="83">
        <v>19161.7</v>
      </c>
      <c r="O207" s="75">
        <v>20186</v>
      </c>
      <c r="P207" s="75">
        <v>18967.3</v>
      </c>
      <c r="Q207" s="75">
        <v>20001.8</v>
      </c>
      <c r="R207" s="75">
        <v>18875.599999999999</v>
      </c>
      <c r="S207" s="75">
        <v>20318.099999999999</v>
      </c>
      <c r="T207" s="75">
        <v>19036.099999999999</v>
      </c>
      <c r="U207" s="75">
        <v>20391.7</v>
      </c>
      <c r="V207" s="75">
        <v>19116.2</v>
      </c>
      <c r="X207" s="27">
        <f>Table25[[#This Row],[HDC1]]/Table25[[#This Row],[HCC1]]</f>
        <v>0.93781414720809708</v>
      </c>
      <c r="Y207" s="27">
        <f>Table25[[#This Row],[HDC2]]/Table25[[#This Row],[HCC2]]</f>
        <v>0.93962647379371833</v>
      </c>
      <c r="Z207" s="27">
        <f>Table25[[#This Row],[HDC3]]/Table25[[#This Row],[HCC3]]</f>
        <v>0.94369506744393006</v>
      </c>
      <c r="AA207" s="27">
        <f>Table25[[#This Row],[HDC4]]/Table25[[#This Row],[HCC4]]</f>
        <v>0.93690354905232276</v>
      </c>
      <c r="AB207" s="27">
        <f>Table25[[#This Row],[HDC5]]/Table25[[#This Row],[HCC5]]</f>
        <v>0.93745004094803275</v>
      </c>
    </row>
    <row r="208" spans="1:28" ht="15">
      <c r="A208" t="s">
        <v>337</v>
      </c>
      <c r="B208" s="85" t="s">
        <v>617</v>
      </c>
      <c r="C208" s="131">
        <v>118</v>
      </c>
      <c r="D208" s="75">
        <v>648</v>
      </c>
      <c r="E208" s="75">
        <v>118</v>
      </c>
      <c r="F208" s="75">
        <v>648</v>
      </c>
      <c r="G208" s="75">
        <v>127</v>
      </c>
      <c r="H208" s="75">
        <v>639</v>
      </c>
      <c r="I208" s="75">
        <v>120</v>
      </c>
      <c r="J208" s="83">
        <v>653</v>
      </c>
      <c r="K208" s="83">
        <v>121</v>
      </c>
      <c r="L208" s="132">
        <v>643</v>
      </c>
      <c r="M208" s="83">
        <v>20626.599999999999</v>
      </c>
      <c r="N208" s="83">
        <v>19399.400000000001</v>
      </c>
      <c r="O208" s="75">
        <v>20623</v>
      </c>
      <c r="P208" s="75">
        <v>19260.900000000001</v>
      </c>
      <c r="Q208" s="75">
        <v>20539.099999999999</v>
      </c>
      <c r="R208" s="75">
        <v>19247.099999999999</v>
      </c>
      <c r="S208" s="75">
        <v>20196.900000000001</v>
      </c>
      <c r="T208" s="75">
        <v>18919.8</v>
      </c>
      <c r="U208" s="75">
        <v>20597.099999999999</v>
      </c>
      <c r="V208" s="75">
        <v>19303.900000000001</v>
      </c>
      <c r="X208" s="27">
        <f>Table25[[#This Row],[HDC1]]/Table25[[#This Row],[HCC1]]</f>
        <v>0.9405040093859387</v>
      </c>
      <c r="Y208" s="27">
        <f>Table25[[#This Row],[HDC2]]/Table25[[#This Row],[HCC2]]</f>
        <v>0.93395238326140728</v>
      </c>
      <c r="Z208" s="27">
        <f>Table25[[#This Row],[HDC3]]/Table25[[#This Row],[HCC3]]</f>
        <v>0.93709558841429275</v>
      </c>
      <c r="AA208" s="27">
        <f>Table25[[#This Row],[HDC4]]/Table25[[#This Row],[HCC4]]</f>
        <v>0.93676752372888894</v>
      </c>
      <c r="AB208" s="27">
        <f>Table25[[#This Row],[HDC5]]/Table25[[#This Row],[HCC5]]</f>
        <v>0.93721446223011995</v>
      </c>
    </row>
    <row r="209" spans="1:28" ht="15">
      <c r="A209" t="s">
        <v>338</v>
      </c>
      <c r="B209" s="85" t="s">
        <v>618</v>
      </c>
      <c r="C209" s="131">
        <v>119</v>
      </c>
      <c r="D209" s="75">
        <v>643</v>
      </c>
      <c r="E209" s="75">
        <v>121</v>
      </c>
      <c r="F209" s="75">
        <v>652</v>
      </c>
      <c r="G209" s="75">
        <v>121</v>
      </c>
      <c r="H209" s="75">
        <v>639</v>
      </c>
      <c r="I209" s="75">
        <v>119</v>
      </c>
      <c r="J209" s="83">
        <v>644</v>
      </c>
      <c r="K209" s="83">
        <v>127</v>
      </c>
      <c r="L209" s="132">
        <v>637</v>
      </c>
      <c r="M209" s="83">
        <v>23544.5</v>
      </c>
      <c r="N209" s="83">
        <v>22163.8</v>
      </c>
      <c r="O209" s="75">
        <v>20386.599999999999</v>
      </c>
      <c r="P209" s="75">
        <v>19090.5</v>
      </c>
      <c r="Q209" s="75">
        <v>23323.9</v>
      </c>
      <c r="R209" s="75">
        <v>21901.7</v>
      </c>
      <c r="S209" s="75">
        <v>20343.3</v>
      </c>
      <c r="T209" s="75">
        <v>19102.400000000001</v>
      </c>
      <c r="U209" s="75">
        <v>23474.1</v>
      </c>
      <c r="V209" s="75">
        <v>22060.7</v>
      </c>
      <c r="X209" s="27">
        <f>Table25[[#This Row],[HDC1]]/Table25[[#This Row],[HCC1]]</f>
        <v>0.94135785427594554</v>
      </c>
      <c r="Y209" s="27">
        <f>Table25[[#This Row],[HDC2]]/Table25[[#This Row],[HCC2]]</f>
        <v>0.93642392551970421</v>
      </c>
      <c r="Z209" s="27">
        <f>Table25[[#This Row],[HDC3]]/Table25[[#This Row],[HCC3]]</f>
        <v>0.93902391967038101</v>
      </c>
      <c r="AA209" s="27">
        <f>Table25[[#This Row],[HDC4]]/Table25[[#This Row],[HCC4]]</f>
        <v>0.93900203015243355</v>
      </c>
      <c r="AB209" s="27">
        <f>Table25[[#This Row],[HDC5]]/Table25[[#This Row],[HCC5]]</f>
        <v>0.93978895889512282</v>
      </c>
    </row>
    <row r="210" spans="1:28" ht="15">
      <c r="A210" t="s">
        <v>339</v>
      </c>
      <c r="B210" s="85" t="s">
        <v>619</v>
      </c>
      <c r="C210" s="131">
        <v>112</v>
      </c>
      <c r="D210" s="75">
        <v>627</v>
      </c>
      <c r="E210" s="75">
        <v>127</v>
      </c>
      <c r="F210" s="75">
        <v>613</v>
      </c>
      <c r="G210" s="75">
        <v>127</v>
      </c>
      <c r="H210" s="75">
        <v>618</v>
      </c>
      <c r="I210" s="75">
        <v>130</v>
      </c>
      <c r="J210" s="83">
        <v>609</v>
      </c>
      <c r="K210" s="83">
        <v>128</v>
      </c>
      <c r="L210" s="132">
        <v>616</v>
      </c>
      <c r="M210" s="83">
        <v>17926.7</v>
      </c>
      <c r="N210" s="83">
        <v>16764.2</v>
      </c>
      <c r="O210" s="75">
        <v>17881.599999999999</v>
      </c>
      <c r="P210" s="75">
        <v>16734.900000000001</v>
      </c>
      <c r="Q210" s="75">
        <v>17853.5</v>
      </c>
      <c r="R210" s="75">
        <v>16691.400000000001</v>
      </c>
      <c r="S210" s="75">
        <v>17744.2</v>
      </c>
      <c r="T210" s="75">
        <v>16580.900000000001</v>
      </c>
      <c r="U210" s="75">
        <v>17825.2</v>
      </c>
      <c r="V210" s="75">
        <v>16619.5</v>
      </c>
      <c r="X210" s="27">
        <f>Table25[[#This Row],[HDC1]]/Table25[[#This Row],[HCC1]]</f>
        <v>0.93515259361734171</v>
      </c>
      <c r="Y210" s="27">
        <f>Table25[[#This Row],[HDC2]]/Table25[[#This Row],[HCC2]]</f>
        <v>0.93587262884753053</v>
      </c>
      <c r="Z210" s="27">
        <f>Table25[[#This Row],[HDC3]]/Table25[[#This Row],[HCC3]]</f>
        <v>0.93490912146077809</v>
      </c>
      <c r="AA210" s="27">
        <f>Table25[[#This Row],[HDC4]]/Table25[[#This Row],[HCC4]]</f>
        <v>0.93444054958803446</v>
      </c>
      <c r="AB210" s="27">
        <f>Table25[[#This Row],[HDC5]]/Table25[[#This Row],[HCC5]]</f>
        <v>0.93235980521957673</v>
      </c>
    </row>
    <row r="211" spans="1:28" ht="15">
      <c r="A211" t="s">
        <v>340</v>
      </c>
      <c r="B211" s="85" t="s">
        <v>620</v>
      </c>
      <c r="C211" s="131">
        <v>111</v>
      </c>
      <c r="D211" s="75">
        <v>625</v>
      </c>
      <c r="E211" s="75">
        <v>130</v>
      </c>
      <c r="F211" s="75">
        <v>606</v>
      </c>
      <c r="G211" s="75">
        <v>123</v>
      </c>
      <c r="H211" s="75">
        <v>611</v>
      </c>
      <c r="I211" s="75">
        <v>123</v>
      </c>
      <c r="J211" s="83">
        <v>618</v>
      </c>
      <c r="K211" s="83">
        <v>124</v>
      </c>
      <c r="L211" s="132">
        <v>608</v>
      </c>
      <c r="M211" s="83">
        <v>24415.3</v>
      </c>
      <c r="N211" s="83">
        <v>22901</v>
      </c>
      <c r="O211" s="75">
        <v>23452.1</v>
      </c>
      <c r="P211" s="75">
        <v>22734.1</v>
      </c>
      <c r="Q211" s="75">
        <v>23453.599999999999</v>
      </c>
      <c r="R211" s="75">
        <v>22035.8</v>
      </c>
      <c r="S211" s="75">
        <v>24144.9</v>
      </c>
      <c r="T211" s="75">
        <v>22721.3</v>
      </c>
      <c r="U211" s="75">
        <v>24055.200000000001</v>
      </c>
      <c r="V211" s="75">
        <v>22658.400000000001</v>
      </c>
      <c r="X211" s="27">
        <f>Table25[[#This Row],[HDC1]]/Table25[[#This Row],[HCC1]]</f>
        <v>0.93797741580074789</v>
      </c>
      <c r="Y211" s="27">
        <f>Table25[[#This Row],[HDC2]]/Table25[[#This Row],[HCC2]]</f>
        <v>0.96938440480809818</v>
      </c>
      <c r="Z211" s="27">
        <f>Table25[[#This Row],[HDC3]]/Table25[[#This Row],[HCC3]]</f>
        <v>0.93954872599515638</v>
      </c>
      <c r="AA211" s="27">
        <f>Table25[[#This Row],[HDC4]]/Table25[[#This Row],[HCC4]]</f>
        <v>0.94103930850821493</v>
      </c>
      <c r="AB211" s="27">
        <f>Table25[[#This Row],[HDC5]]/Table25[[#This Row],[HCC5]]</f>
        <v>0.94193355282849445</v>
      </c>
    </row>
    <row r="212" spans="1:28" ht="15">
      <c r="A212" t="s">
        <v>341</v>
      </c>
      <c r="B212" s="85" t="s">
        <v>621</v>
      </c>
      <c r="C212" s="131">
        <v>143</v>
      </c>
      <c r="D212" s="75">
        <v>618</v>
      </c>
      <c r="E212" s="75">
        <v>144</v>
      </c>
      <c r="F212" s="75">
        <v>621</v>
      </c>
      <c r="G212" s="75">
        <v>127</v>
      </c>
      <c r="H212" s="75">
        <v>639</v>
      </c>
      <c r="I212" s="75">
        <v>145</v>
      </c>
      <c r="J212" s="83">
        <v>619</v>
      </c>
      <c r="K212" s="83">
        <v>145</v>
      </c>
      <c r="L212" s="132">
        <v>619</v>
      </c>
      <c r="M212" s="83">
        <v>24434</v>
      </c>
      <c r="N212" s="83">
        <v>23005.200000000001</v>
      </c>
      <c r="O212" s="75">
        <v>23346.7</v>
      </c>
      <c r="P212" s="75">
        <v>22747</v>
      </c>
      <c r="Q212" s="75">
        <v>24160.2</v>
      </c>
      <c r="R212" s="75">
        <v>22739.3</v>
      </c>
      <c r="S212" s="75">
        <v>23334.400000000001</v>
      </c>
      <c r="T212" s="75">
        <v>21961.8</v>
      </c>
      <c r="U212" s="75">
        <v>23453.9</v>
      </c>
      <c r="V212" s="75">
        <v>22090.2</v>
      </c>
      <c r="X212" s="27">
        <f>Table25[[#This Row],[HDC1]]/Table25[[#This Row],[HCC1]]</f>
        <v>0.94152410575427681</v>
      </c>
      <c r="Y212" s="27">
        <f>Table25[[#This Row],[HDC2]]/Table25[[#This Row],[HCC2]]</f>
        <v>0.97431328624602187</v>
      </c>
      <c r="Z212" s="27">
        <f>Table25[[#This Row],[HDC3]]/Table25[[#This Row],[HCC3]]</f>
        <v>0.94118840075827181</v>
      </c>
      <c r="AA212" s="27">
        <f>Table25[[#This Row],[HDC4]]/Table25[[#This Row],[HCC4]]</f>
        <v>0.94117697476686768</v>
      </c>
      <c r="AB212" s="27">
        <f>Table25[[#This Row],[HDC5]]/Table25[[#This Row],[HCC5]]</f>
        <v>0.94185615185534177</v>
      </c>
    </row>
    <row r="213" spans="1:28" ht="15">
      <c r="A213" t="s">
        <v>342</v>
      </c>
      <c r="B213" s="85" t="s">
        <v>622</v>
      </c>
      <c r="C213" s="131">
        <v>130</v>
      </c>
      <c r="D213" s="75">
        <v>610</v>
      </c>
      <c r="E213" s="75">
        <v>119</v>
      </c>
      <c r="F213" s="75">
        <v>614</v>
      </c>
      <c r="G213" s="75">
        <v>112</v>
      </c>
      <c r="H213" s="75">
        <v>617</v>
      </c>
      <c r="I213" s="75">
        <v>119</v>
      </c>
      <c r="J213" s="83">
        <v>613</v>
      </c>
      <c r="K213" s="83">
        <v>119</v>
      </c>
      <c r="L213" s="132">
        <v>611</v>
      </c>
      <c r="M213" s="83">
        <v>23382.1</v>
      </c>
      <c r="N213" s="83">
        <v>22101.599999999999</v>
      </c>
      <c r="O213" s="75">
        <v>19319.599999999999</v>
      </c>
      <c r="P213" s="75">
        <v>18853.900000000001</v>
      </c>
      <c r="Q213" s="75">
        <v>24119.599999999999</v>
      </c>
      <c r="R213" s="75">
        <v>22747.1</v>
      </c>
      <c r="S213" s="75">
        <v>23980.2</v>
      </c>
      <c r="T213" s="75">
        <v>22626.400000000001</v>
      </c>
      <c r="U213" s="75">
        <v>24135</v>
      </c>
      <c r="V213" s="75">
        <v>22740.6</v>
      </c>
      <c r="X213" s="27">
        <f>Table25[[#This Row],[HDC1]]/Table25[[#This Row],[HCC1]]</f>
        <v>0.94523588557058602</v>
      </c>
      <c r="Y213" s="27">
        <f>Table25[[#This Row],[HDC2]]/Table25[[#This Row],[HCC2]]</f>
        <v>0.97589494606513605</v>
      </c>
      <c r="Z213" s="27">
        <f>Table25[[#This Row],[HDC3]]/Table25[[#This Row],[HCC3]]</f>
        <v>0.94309607124496264</v>
      </c>
      <c r="AA213" s="27">
        <f>Table25[[#This Row],[HDC4]]/Table25[[#This Row],[HCC4]]</f>
        <v>0.94354509136704456</v>
      </c>
      <c r="AB213" s="27">
        <f>Table25[[#This Row],[HDC5]]/Table25[[#This Row],[HCC5]]</f>
        <v>0.942224984462399</v>
      </c>
    </row>
    <row r="214" spans="1:28" ht="15">
      <c r="A214" t="s">
        <v>343</v>
      </c>
      <c r="B214" s="85" t="s">
        <v>623</v>
      </c>
      <c r="C214" s="131">
        <v>125</v>
      </c>
      <c r="D214" s="75">
        <v>638</v>
      </c>
      <c r="E214" s="75">
        <v>127</v>
      </c>
      <c r="F214" s="75">
        <v>623</v>
      </c>
      <c r="G214" s="75">
        <v>122</v>
      </c>
      <c r="H214" s="75">
        <v>637</v>
      </c>
      <c r="I214" s="75">
        <v>124</v>
      </c>
      <c r="J214" s="83">
        <v>635</v>
      </c>
      <c r="K214" s="83">
        <v>123</v>
      </c>
      <c r="L214" s="132">
        <v>636</v>
      </c>
      <c r="M214" s="83">
        <v>23432.3</v>
      </c>
      <c r="N214" s="83">
        <v>22735</v>
      </c>
      <c r="O214" s="75">
        <v>24246.7</v>
      </c>
      <c r="P214" s="75">
        <v>22695.7</v>
      </c>
      <c r="Q214" s="75">
        <v>24321.9</v>
      </c>
      <c r="R214" s="75">
        <v>22812.3</v>
      </c>
      <c r="S214" s="75">
        <v>24257.7</v>
      </c>
      <c r="T214" s="75">
        <v>22758.1</v>
      </c>
      <c r="U214" s="75">
        <v>20115</v>
      </c>
      <c r="V214" s="75">
        <v>19499.599999999999</v>
      </c>
      <c r="X214" s="27">
        <f>Table25[[#This Row],[HDC1]]/Table25[[#This Row],[HCC1]]</f>
        <v>0.97024193100976008</v>
      </c>
      <c r="Y214" s="27">
        <f>Table25[[#This Row],[HDC2]]/Table25[[#This Row],[HCC2]]</f>
        <v>0.93603253226212224</v>
      </c>
      <c r="Z214" s="27">
        <f>Table25[[#This Row],[HDC3]]/Table25[[#This Row],[HCC3]]</f>
        <v>0.93793248060390011</v>
      </c>
      <c r="AA214" s="27">
        <f>Table25[[#This Row],[HDC4]]/Table25[[#This Row],[HCC4]]</f>
        <v>0.93818045404139705</v>
      </c>
      <c r="AB214" s="27">
        <f>Table25[[#This Row],[HDC5]]/Table25[[#This Row],[HCC5]]</f>
        <v>0.96940591598309711</v>
      </c>
    </row>
    <row r="215" spans="1:28" ht="15">
      <c r="A215" t="s">
        <v>344</v>
      </c>
      <c r="B215" s="85" t="s">
        <v>624</v>
      </c>
      <c r="C215" s="131">
        <v>127</v>
      </c>
      <c r="D215" s="75">
        <v>641</v>
      </c>
      <c r="E215" s="75">
        <v>128</v>
      </c>
      <c r="F215" s="75">
        <v>632</v>
      </c>
      <c r="G215" s="75">
        <v>131</v>
      </c>
      <c r="H215" s="75">
        <v>629</v>
      </c>
      <c r="I215" s="75">
        <v>125</v>
      </c>
      <c r="J215" s="83">
        <v>639</v>
      </c>
      <c r="K215" s="83">
        <v>131</v>
      </c>
      <c r="L215" s="132">
        <v>638</v>
      </c>
      <c r="M215" s="83">
        <v>16408</v>
      </c>
      <c r="N215" s="83">
        <v>15242.3</v>
      </c>
      <c r="O215" s="75">
        <v>16276.4</v>
      </c>
      <c r="P215" s="75">
        <v>15096</v>
      </c>
      <c r="Q215" s="75">
        <v>16154.3</v>
      </c>
      <c r="R215" s="75">
        <v>14983.7</v>
      </c>
      <c r="S215" s="75">
        <v>11186.4</v>
      </c>
      <c r="T215" s="75">
        <v>10890.3</v>
      </c>
      <c r="U215" s="75">
        <v>11404.7</v>
      </c>
      <c r="V215" s="75">
        <v>11263.3</v>
      </c>
      <c r="X215" s="27">
        <f>Table25[[#This Row],[HDC1]]/Table25[[#This Row],[HCC1]]</f>
        <v>0.9289553876157971</v>
      </c>
      <c r="Y215" s="27">
        <f>Table25[[#This Row],[HDC2]]/Table25[[#This Row],[HCC2]]</f>
        <v>0.92747782064830064</v>
      </c>
      <c r="Z215" s="27">
        <f>Table25[[#This Row],[HDC3]]/Table25[[#This Row],[HCC3]]</f>
        <v>0.92753632159858379</v>
      </c>
      <c r="AA215" s="27">
        <f>Table25[[#This Row],[HDC4]]/Table25[[#This Row],[HCC4]]</f>
        <v>0.97353035829221191</v>
      </c>
      <c r="AB215" s="27">
        <f>Table25[[#This Row],[HDC5]]/Table25[[#This Row],[HCC5]]</f>
        <v>0.98760160284794851</v>
      </c>
    </row>
    <row r="216" spans="1:28" ht="15">
      <c r="A216" t="s">
        <v>345</v>
      </c>
      <c r="B216" s="85" t="s">
        <v>625</v>
      </c>
      <c r="C216" s="131">
        <v>135</v>
      </c>
      <c r="D216" s="75">
        <v>624</v>
      </c>
      <c r="E216" s="75">
        <v>136</v>
      </c>
      <c r="F216" s="75">
        <v>619</v>
      </c>
      <c r="G216" s="75">
        <v>116</v>
      </c>
      <c r="H216" s="75">
        <v>642</v>
      </c>
      <c r="I216" s="75">
        <v>133</v>
      </c>
      <c r="J216" s="83">
        <v>634</v>
      </c>
      <c r="K216" s="83">
        <v>134</v>
      </c>
      <c r="L216" s="132">
        <v>633</v>
      </c>
      <c r="M216" s="83">
        <v>17775.099999999999</v>
      </c>
      <c r="N216" s="83">
        <v>17178.2</v>
      </c>
      <c r="O216" s="75">
        <v>18350.5</v>
      </c>
      <c r="P216" s="75">
        <v>17039.400000000001</v>
      </c>
      <c r="Q216" s="75">
        <v>17831.900000000001</v>
      </c>
      <c r="R216" s="75">
        <v>17367.3</v>
      </c>
      <c r="S216" s="75">
        <v>19205.2</v>
      </c>
      <c r="T216" s="75">
        <v>17870.7</v>
      </c>
      <c r="U216" s="75">
        <v>19282.2</v>
      </c>
      <c r="V216" s="75">
        <v>17963.900000000001</v>
      </c>
      <c r="X216" s="27">
        <f>Table25[[#This Row],[HDC1]]/Table25[[#This Row],[HCC1]]</f>
        <v>0.96641931690960958</v>
      </c>
      <c r="Y216" s="27">
        <f>Table25[[#This Row],[HDC2]]/Table25[[#This Row],[HCC2]]</f>
        <v>0.92855235552164794</v>
      </c>
      <c r="Z216" s="27">
        <f>Table25[[#This Row],[HDC3]]/Table25[[#This Row],[HCC3]]</f>
        <v>0.97394556945698429</v>
      </c>
      <c r="AA216" s="27">
        <f>Table25[[#This Row],[HDC4]]/Table25[[#This Row],[HCC4]]</f>
        <v>0.93051361089704876</v>
      </c>
      <c r="AB216" s="27">
        <f>Table25[[#This Row],[HDC5]]/Table25[[#This Row],[HCC5]]</f>
        <v>0.93163124539730946</v>
      </c>
    </row>
    <row r="217" spans="1:28" ht="15">
      <c r="A217" t="s">
        <v>346</v>
      </c>
      <c r="B217" s="85" t="s">
        <v>626</v>
      </c>
      <c r="C217" s="131">
        <v>132</v>
      </c>
      <c r="D217" s="75">
        <v>625</v>
      </c>
      <c r="E217" s="75">
        <v>117</v>
      </c>
      <c r="F217" s="75">
        <v>644</v>
      </c>
      <c r="G217" s="75">
        <v>133</v>
      </c>
      <c r="H217" s="75">
        <v>628</v>
      </c>
      <c r="I217" s="75">
        <v>135</v>
      </c>
      <c r="J217" s="83">
        <v>626</v>
      </c>
      <c r="K217" s="83">
        <v>135</v>
      </c>
      <c r="L217" s="132">
        <v>621</v>
      </c>
      <c r="M217" s="83">
        <v>18130.900000000001</v>
      </c>
      <c r="N217" s="83">
        <v>16920</v>
      </c>
      <c r="O217" s="75">
        <v>12727.3</v>
      </c>
      <c r="P217" s="75">
        <v>12396.8</v>
      </c>
      <c r="Q217" s="75">
        <v>18804</v>
      </c>
      <c r="R217" s="75">
        <v>17577.5</v>
      </c>
      <c r="S217" s="75">
        <v>16739.3</v>
      </c>
      <c r="T217" s="75">
        <v>16302.8</v>
      </c>
      <c r="U217" s="75">
        <v>18014.8</v>
      </c>
      <c r="V217" s="75">
        <v>16805</v>
      </c>
      <c r="X217" s="27">
        <f>Table25[[#This Row],[HDC1]]/Table25[[#This Row],[HCC1]]</f>
        <v>0.93321346430679109</v>
      </c>
      <c r="Y217" s="27">
        <f>Table25[[#This Row],[HDC2]]/Table25[[#This Row],[HCC2]]</f>
        <v>0.97403219850243183</v>
      </c>
      <c r="Z217" s="27">
        <f>Table25[[#This Row],[HDC3]]/Table25[[#This Row],[HCC3]]</f>
        <v>0.93477451606041273</v>
      </c>
      <c r="AA217" s="27">
        <f>Table25[[#This Row],[HDC4]]/Table25[[#This Row],[HCC4]]</f>
        <v>0.97392364077350901</v>
      </c>
      <c r="AB217" s="27">
        <f>Table25[[#This Row],[HDC5]]/Table25[[#This Row],[HCC5]]</f>
        <v>0.93284410595732403</v>
      </c>
    </row>
    <row r="218" spans="1:28" ht="15">
      <c r="A218" t="s">
        <v>347</v>
      </c>
      <c r="B218" s="85" t="s">
        <v>407</v>
      </c>
      <c r="C218" s="131">
        <v>124</v>
      </c>
      <c r="D218" s="75">
        <v>635</v>
      </c>
      <c r="E218" s="75">
        <v>137</v>
      </c>
      <c r="F218" s="75">
        <v>630</v>
      </c>
      <c r="G218" s="75">
        <v>126</v>
      </c>
      <c r="H218" s="75">
        <v>638</v>
      </c>
      <c r="I218" s="75">
        <v>132</v>
      </c>
      <c r="J218" s="83">
        <v>631</v>
      </c>
      <c r="K218" s="83">
        <v>117</v>
      </c>
      <c r="L218" s="132">
        <v>641</v>
      </c>
      <c r="M218" s="83">
        <v>18734.2</v>
      </c>
      <c r="N218" s="83">
        <v>17810.599999999999</v>
      </c>
      <c r="O218" s="75">
        <v>17691.900000000001</v>
      </c>
      <c r="P218" s="75">
        <v>16835.599999999999</v>
      </c>
      <c r="Q218" s="75">
        <v>18475.8</v>
      </c>
      <c r="R218" s="75">
        <v>17568.400000000001</v>
      </c>
      <c r="S218" s="75">
        <v>20387.8</v>
      </c>
      <c r="T218" s="75">
        <v>19138.3</v>
      </c>
      <c r="U218" s="75">
        <v>20356.099999999999</v>
      </c>
      <c r="V218" s="75">
        <v>19089.599999999999</v>
      </c>
      <c r="X218" s="27">
        <f>Table25[[#This Row],[HDC1]]/Table25[[#This Row],[HCC1]]</f>
        <v>0.95069978968944491</v>
      </c>
      <c r="Y218" s="27">
        <f>Table25[[#This Row],[HDC2]]/Table25[[#This Row],[HCC2]]</f>
        <v>0.95159931946257881</v>
      </c>
      <c r="Z218" s="27">
        <f>Table25[[#This Row],[HDC3]]/Table25[[#This Row],[HCC3]]</f>
        <v>0.95088710637699059</v>
      </c>
      <c r="AA218" s="27">
        <f>Table25[[#This Row],[HDC4]]/Table25[[#This Row],[HCC4]]</f>
        <v>0.9387133481788128</v>
      </c>
      <c r="AB218" s="27">
        <f>Table25[[#This Row],[HDC5]]/Table25[[#This Row],[HCC5]]</f>
        <v>0.93778277764404772</v>
      </c>
    </row>
    <row r="219" spans="1:28" ht="15">
      <c r="A219" t="s">
        <v>348</v>
      </c>
      <c r="B219" s="85" t="s">
        <v>406</v>
      </c>
      <c r="C219" s="131">
        <v>137</v>
      </c>
      <c r="D219" s="75">
        <v>623</v>
      </c>
      <c r="E219" s="75">
        <v>135</v>
      </c>
      <c r="F219" s="75">
        <v>625</v>
      </c>
      <c r="G219" s="75">
        <v>135</v>
      </c>
      <c r="H219" s="75">
        <v>625</v>
      </c>
      <c r="I219" s="75">
        <v>116</v>
      </c>
      <c r="J219" s="83">
        <v>644</v>
      </c>
      <c r="K219" s="83">
        <v>134</v>
      </c>
      <c r="L219" s="132">
        <v>627</v>
      </c>
      <c r="M219" s="83">
        <v>15458.6</v>
      </c>
      <c r="N219" s="83">
        <v>14351.9</v>
      </c>
      <c r="O219" s="75">
        <v>15380.4</v>
      </c>
      <c r="P219" s="75">
        <v>14258.5</v>
      </c>
      <c r="Q219" s="75">
        <v>15341.6</v>
      </c>
      <c r="R219" s="75">
        <v>14229.4</v>
      </c>
      <c r="S219" s="75">
        <v>15288.9</v>
      </c>
      <c r="T219" s="75">
        <v>14159.7</v>
      </c>
      <c r="U219" s="75">
        <v>15023</v>
      </c>
      <c r="V219" s="75">
        <v>13953.8</v>
      </c>
      <c r="X219" s="27">
        <f>Table25[[#This Row],[HDC1]]/Table25[[#This Row],[HCC1]]</f>
        <v>0.92840878216656098</v>
      </c>
      <c r="Y219" s="27">
        <f>Table25[[#This Row],[HDC2]]/Table25[[#This Row],[HCC2]]</f>
        <v>0.92705651348469487</v>
      </c>
      <c r="Z219" s="27">
        <f>Table25[[#This Row],[HDC3]]/Table25[[#This Row],[HCC3]]</f>
        <v>0.92750430202847156</v>
      </c>
      <c r="AA219" s="27">
        <f>Table25[[#This Row],[HDC4]]/Table25[[#This Row],[HCC4]]</f>
        <v>0.92614249553597716</v>
      </c>
      <c r="AB219" s="27">
        <f>Table25[[#This Row],[HDC5]]/Table25[[#This Row],[HCC5]]</f>
        <v>0.92882912866937362</v>
      </c>
    </row>
    <row r="220" spans="1:28" ht="15">
      <c r="A220" t="s">
        <v>349</v>
      </c>
      <c r="B220" s="85" t="s">
        <v>405</v>
      </c>
      <c r="C220" s="131">
        <v>124</v>
      </c>
      <c r="D220" s="75">
        <v>638</v>
      </c>
      <c r="E220" s="75">
        <v>126</v>
      </c>
      <c r="F220" s="75">
        <v>635</v>
      </c>
      <c r="G220" s="75">
        <v>123</v>
      </c>
      <c r="H220" s="75">
        <v>633</v>
      </c>
      <c r="I220" s="75">
        <v>117</v>
      </c>
      <c r="J220" s="83">
        <v>642</v>
      </c>
      <c r="K220" s="83">
        <v>135</v>
      </c>
      <c r="L220" s="132">
        <v>628</v>
      </c>
      <c r="M220" s="83">
        <v>18143.3</v>
      </c>
      <c r="N220" s="83">
        <v>17310</v>
      </c>
      <c r="O220" s="75">
        <v>19699.2</v>
      </c>
      <c r="P220" s="75">
        <v>18487.099999999999</v>
      </c>
      <c r="Q220" s="75">
        <v>19253.3</v>
      </c>
      <c r="R220" s="75">
        <v>18042.7</v>
      </c>
      <c r="S220" s="75">
        <v>19729.400000000001</v>
      </c>
      <c r="T220" s="75">
        <v>18499.599999999999</v>
      </c>
      <c r="U220" s="75">
        <v>17983.2</v>
      </c>
      <c r="V220" s="75">
        <v>17125.2</v>
      </c>
      <c r="X220" s="27">
        <f>Table25[[#This Row],[HDC1]]/Table25[[#This Row],[HCC1]]</f>
        <v>0.9540711998368544</v>
      </c>
      <c r="Y220" s="27">
        <f>Table25[[#This Row],[HDC2]]/Table25[[#This Row],[HCC2]]</f>
        <v>0.93846958252111745</v>
      </c>
      <c r="Z220" s="27">
        <f>Table25[[#This Row],[HDC3]]/Table25[[#This Row],[HCC3]]</f>
        <v>0.9371224673172911</v>
      </c>
      <c r="AA220" s="27">
        <f>Table25[[#This Row],[HDC4]]/Table25[[#This Row],[HCC4]]</f>
        <v>0.93766662949709556</v>
      </c>
      <c r="AB220" s="27">
        <f>Table25[[#This Row],[HDC5]]/Table25[[#This Row],[HCC5]]</f>
        <v>0.95228880288269047</v>
      </c>
    </row>
    <row r="221" spans="1:28" ht="15">
      <c r="A221" t="s">
        <v>350</v>
      </c>
      <c r="B221" s="85" t="s">
        <v>404</v>
      </c>
      <c r="C221" s="131">
        <v>126</v>
      </c>
      <c r="D221" s="75">
        <v>627</v>
      </c>
      <c r="E221" s="75">
        <v>121</v>
      </c>
      <c r="F221" s="75">
        <v>624</v>
      </c>
      <c r="G221" s="75">
        <v>136</v>
      </c>
      <c r="H221" s="75">
        <v>620</v>
      </c>
      <c r="I221" s="75">
        <v>113</v>
      </c>
      <c r="J221" s="83">
        <v>641</v>
      </c>
      <c r="K221" s="83">
        <v>130</v>
      </c>
      <c r="L221" s="132">
        <v>623</v>
      </c>
      <c r="M221" s="83">
        <v>20898.7</v>
      </c>
      <c r="N221" s="83">
        <v>19606.3</v>
      </c>
      <c r="O221" s="75">
        <v>20486</v>
      </c>
      <c r="P221" s="75">
        <v>19248.5</v>
      </c>
      <c r="Q221" s="75">
        <v>14433.8</v>
      </c>
      <c r="R221" s="75">
        <v>13342.3</v>
      </c>
      <c r="S221" s="75">
        <v>20408.7</v>
      </c>
      <c r="T221" s="75">
        <v>19133.3</v>
      </c>
      <c r="U221" s="75">
        <v>18748.400000000001</v>
      </c>
      <c r="V221" s="75">
        <v>17875.7</v>
      </c>
      <c r="X221" s="27">
        <f>Table25[[#This Row],[HDC1]]/Table25[[#This Row],[HCC1]]</f>
        <v>0.93815883284606216</v>
      </c>
      <c r="Y221" s="27">
        <f>Table25[[#This Row],[HDC2]]/Table25[[#This Row],[HCC2]]</f>
        <v>0.93959289270721469</v>
      </c>
      <c r="Z221" s="27">
        <f>Table25[[#This Row],[HDC3]]/Table25[[#This Row],[HCC3]]</f>
        <v>0.92437888844240601</v>
      </c>
      <c r="AA221" s="27">
        <f>Table25[[#This Row],[HDC4]]/Table25[[#This Row],[HCC4]]</f>
        <v>0.93750704356475423</v>
      </c>
      <c r="AB221" s="27">
        <f>Table25[[#This Row],[HDC5]]/Table25[[#This Row],[HCC5]]</f>
        <v>0.95345202790638128</v>
      </c>
    </row>
    <row r="222" spans="1:28" ht="15">
      <c r="A222" t="s">
        <v>351</v>
      </c>
      <c r="B222" s="85" t="s">
        <v>627</v>
      </c>
      <c r="C222" s="131">
        <v>127</v>
      </c>
      <c r="D222" s="75">
        <v>645</v>
      </c>
      <c r="E222" s="75">
        <v>125</v>
      </c>
      <c r="F222" s="75">
        <v>642</v>
      </c>
      <c r="G222" s="75">
        <v>119</v>
      </c>
      <c r="H222" s="75">
        <v>633</v>
      </c>
      <c r="I222" s="75">
        <v>130</v>
      </c>
      <c r="J222" s="83">
        <v>637</v>
      </c>
      <c r="K222" s="83">
        <v>119</v>
      </c>
      <c r="L222" s="132">
        <v>634</v>
      </c>
      <c r="M222" s="83">
        <v>19940.900000000001</v>
      </c>
      <c r="N222" s="83">
        <v>18700.599999999999</v>
      </c>
      <c r="O222" s="75">
        <v>21552.6</v>
      </c>
      <c r="P222" s="75">
        <v>20237.3</v>
      </c>
      <c r="Q222" s="75">
        <v>21490.6</v>
      </c>
      <c r="R222" s="75">
        <v>20182.599999999999</v>
      </c>
      <c r="S222" s="75">
        <v>21289</v>
      </c>
      <c r="T222" s="75">
        <v>20027.2</v>
      </c>
      <c r="U222" s="75">
        <v>21529.5</v>
      </c>
      <c r="V222" s="75">
        <v>20212.3</v>
      </c>
      <c r="X222" s="27">
        <f>Table25[[#This Row],[HDC1]]/Table25[[#This Row],[HCC1]]</f>
        <v>0.9378012025535456</v>
      </c>
      <c r="Y222" s="27">
        <f>Table25[[#This Row],[HDC2]]/Table25[[#This Row],[HCC2]]</f>
        <v>0.93897256015515529</v>
      </c>
      <c r="Z222" s="27">
        <f>Table25[[#This Row],[HDC3]]/Table25[[#This Row],[HCC3]]</f>
        <v>0.93913618046960068</v>
      </c>
      <c r="AA222" s="27">
        <f>Table25[[#This Row],[HDC4]]/Table25[[#This Row],[HCC4]]</f>
        <v>0.94072995443656349</v>
      </c>
      <c r="AB222" s="27">
        <f>Table25[[#This Row],[HDC5]]/Table25[[#This Row],[HCC5]]</f>
        <v>0.93881882997747279</v>
      </c>
    </row>
    <row r="223" spans="1:28" ht="15">
      <c r="A223" t="s">
        <v>352</v>
      </c>
      <c r="B223" s="85" t="s">
        <v>628</v>
      </c>
      <c r="C223" s="131">
        <v>0</v>
      </c>
      <c r="D223" s="75">
        <v>741</v>
      </c>
      <c r="E223" s="75">
        <v>0</v>
      </c>
      <c r="F223" s="75">
        <v>738</v>
      </c>
      <c r="G223" s="75">
        <v>0</v>
      </c>
      <c r="H223" s="75">
        <v>735</v>
      </c>
      <c r="I223" s="75">
        <v>10</v>
      </c>
      <c r="J223" s="83">
        <v>740</v>
      </c>
      <c r="K223" s="83">
        <v>0</v>
      </c>
      <c r="L223" s="132">
        <v>742</v>
      </c>
      <c r="M223" s="83">
        <v>22191.8</v>
      </c>
      <c r="N223" s="83">
        <v>20711.599999999999</v>
      </c>
      <c r="O223" s="75">
        <v>20448</v>
      </c>
      <c r="P223" s="75">
        <v>19545.400000000001</v>
      </c>
      <c r="Q223" s="75">
        <v>21605.5</v>
      </c>
      <c r="R223" s="75">
        <v>20172.900000000001</v>
      </c>
      <c r="S223" s="75">
        <v>20253.400000000001</v>
      </c>
      <c r="T223" s="75">
        <v>19278.400000000001</v>
      </c>
      <c r="U223" s="75">
        <v>22287.8</v>
      </c>
      <c r="V223" s="75">
        <v>20832.2</v>
      </c>
      <c r="X223" s="27">
        <f>Table25[[#This Row],[HDC1]]/Table25[[#This Row],[HCC1]]</f>
        <v>0.93329968727187518</v>
      </c>
      <c r="Y223" s="27">
        <f>Table25[[#This Row],[HDC2]]/Table25[[#This Row],[HCC2]]</f>
        <v>0.95585876369327083</v>
      </c>
      <c r="Z223" s="27">
        <f>Table25[[#This Row],[HDC3]]/Table25[[#This Row],[HCC3]]</f>
        <v>0.93369280970123358</v>
      </c>
      <c r="AA223" s="27">
        <f>Table25[[#This Row],[HDC4]]/Table25[[#This Row],[HCC4]]</f>
        <v>0.95185993462825991</v>
      </c>
      <c r="AB223" s="27">
        <f>Table25[[#This Row],[HDC5]]/Table25[[#This Row],[HCC5]]</f>
        <v>0.93469072766266759</v>
      </c>
    </row>
    <row r="224" spans="1:28" ht="15">
      <c r="A224" t="s">
        <v>353</v>
      </c>
      <c r="B224" s="85" t="s">
        <v>629</v>
      </c>
      <c r="C224" s="131">
        <v>108</v>
      </c>
      <c r="D224" s="75">
        <v>638</v>
      </c>
      <c r="E224" s="75">
        <v>128</v>
      </c>
      <c r="F224" s="75">
        <v>625</v>
      </c>
      <c r="G224" s="75">
        <v>125</v>
      </c>
      <c r="H224" s="75">
        <v>622</v>
      </c>
      <c r="I224" s="75">
        <v>124</v>
      </c>
      <c r="J224" s="83">
        <v>621</v>
      </c>
      <c r="K224" s="83">
        <v>122</v>
      </c>
      <c r="L224" s="132">
        <v>629</v>
      </c>
      <c r="M224" s="83">
        <v>24924.799999999999</v>
      </c>
      <c r="N224" s="83">
        <v>23422.7</v>
      </c>
      <c r="O224" s="75">
        <v>23105.4</v>
      </c>
      <c r="P224" s="75">
        <v>22022.7</v>
      </c>
      <c r="Q224" s="75">
        <v>24023</v>
      </c>
      <c r="R224" s="75">
        <v>22528.400000000001</v>
      </c>
      <c r="S224" s="75">
        <v>24040.3</v>
      </c>
      <c r="T224" s="75">
        <v>23161.3</v>
      </c>
      <c r="U224" s="75">
        <v>24911.1</v>
      </c>
      <c r="V224" s="75">
        <v>23379.9</v>
      </c>
      <c r="X224" s="27">
        <f>Table25[[#This Row],[HDC1]]/Table25[[#This Row],[HCC1]]</f>
        <v>0.93973472204390818</v>
      </c>
      <c r="Y224" s="27">
        <f>Table25[[#This Row],[HDC2]]/Table25[[#This Row],[HCC2]]</f>
        <v>0.95314082422290891</v>
      </c>
      <c r="Z224" s="27">
        <f>Table25[[#This Row],[HDC3]]/Table25[[#This Row],[HCC3]]</f>
        <v>0.93778462306955845</v>
      </c>
      <c r="AA224" s="27">
        <f>Table25[[#This Row],[HDC4]]/Table25[[#This Row],[HCC4]]</f>
        <v>0.96343639638440448</v>
      </c>
      <c r="AB224" s="27">
        <f>Table25[[#This Row],[HDC5]]/Table25[[#This Row],[HCC5]]</f>
        <v>0.93853342485879798</v>
      </c>
    </row>
    <row r="225" spans="1:28" ht="15">
      <c r="A225" t="s">
        <v>354</v>
      </c>
      <c r="B225" s="85" t="s">
        <v>630</v>
      </c>
      <c r="C225" s="131">
        <v>106</v>
      </c>
      <c r="D225" s="75">
        <v>639</v>
      </c>
      <c r="E225" s="75">
        <v>124</v>
      </c>
      <c r="F225" s="75">
        <v>623</v>
      </c>
      <c r="G225" s="75">
        <v>127</v>
      </c>
      <c r="H225" s="75">
        <v>614</v>
      </c>
      <c r="I225" s="75">
        <v>127</v>
      </c>
      <c r="J225" s="83">
        <v>621</v>
      </c>
      <c r="K225" s="83">
        <v>128</v>
      </c>
      <c r="L225" s="132">
        <v>620</v>
      </c>
      <c r="M225" s="83">
        <v>25031.1</v>
      </c>
      <c r="N225" s="83">
        <v>23571.7</v>
      </c>
      <c r="O225" s="75">
        <v>24618.5</v>
      </c>
      <c r="P225" s="75">
        <v>23172</v>
      </c>
      <c r="Q225" s="75">
        <v>22953.9</v>
      </c>
      <c r="R225" s="75">
        <v>21954.9</v>
      </c>
      <c r="S225" s="75">
        <v>24478.799999999999</v>
      </c>
      <c r="T225" s="75">
        <v>23071.1</v>
      </c>
      <c r="U225" s="75">
        <v>24485.5</v>
      </c>
      <c r="V225" s="75">
        <v>23070.2</v>
      </c>
      <c r="X225" s="27">
        <f>Table25[[#This Row],[HDC1]]/Table25[[#This Row],[HCC1]]</f>
        <v>0.94169652951728056</v>
      </c>
      <c r="Y225" s="27">
        <f>Table25[[#This Row],[HDC2]]/Table25[[#This Row],[HCC2]]</f>
        <v>0.94124337388549262</v>
      </c>
      <c r="Z225" s="27">
        <f>Table25[[#This Row],[HDC3]]/Table25[[#This Row],[HCC3]]</f>
        <v>0.95647798413341523</v>
      </c>
      <c r="AA225" s="27">
        <f>Table25[[#This Row],[HDC4]]/Table25[[#This Row],[HCC4]]</f>
        <v>0.94249309606680065</v>
      </c>
      <c r="AB225" s="27">
        <f>Table25[[#This Row],[HDC5]]/Table25[[#This Row],[HCC5]]</f>
        <v>0.94219844397704766</v>
      </c>
    </row>
    <row r="226" spans="1:28" ht="15">
      <c r="A226" t="s">
        <v>355</v>
      </c>
      <c r="B226" s="85" t="s">
        <v>631</v>
      </c>
      <c r="C226" s="131">
        <v>126</v>
      </c>
      <c r="D226" s="75">
        <v>608</v>
      </c>
      <c r="E226" s="75">
        <v>110</v>
      </c>
      <c r="F226" s="75">
        <v>642</v>
      </c>
      <c r="G226" s="75">
        <v>125</v>
      </c>
      <c r="H226" s="75">
        <v>628</v>
      </c>
      <c r="I226" s="75">
        <v>125</v>
      </c>
      <c r="J226" s="83">
        <v>605</v>
      </c>
      <c r="K226" s="83">
        <v>128</v>
      </c>
      <c r="L226" s="132">
        <v>613</v>
      </c>
      <c r="M226" s="83">
        <v>14944.2</v>
      </c>
      <c r="N226" s="83">
        <v>13870.9</v>
      </c>
      <c r="O226" s="75">
        <v>13970.5</v>
      </c>
      <c r="P226" s="75">
        <v>13205.8</v>
      </c>
      <c r="Q226" s="75">
        <v>13897.6</v>
      </c>
      <c r="R226" s="75">
        <v>13173.8</v>
      </c>
      <c r="S226" s="75">
        <v>14846.9</v>
      </c>
      <c r="T226" s="75">
        <v>13753.2</v>
      </c>
      <c r="U226" s="75">
        <v>13844.6</v>
      </c>
      <c r="V226" s="75">
        <v>13172.1</v>
      </c>
      <c r="X226" s="27">
        <f>Table25[[#This Row],[HDC1]]/Table25[[#This Row],[HCC1]]</f>
        <v>0.92817949438578173</v>
      </c>
      <c r="Y226" s="27">
        <f>Table25[[#This Row],[HDC2]]/Table25[[#This Row],[HCC2]]</f>
        <v>0.9452632332414731</v>
      </c>
      <c r="Z226" s="27">
        <f>Table25[[#This Row],[HDC3]]/Table25[[#This Row],[HCC3]]</f>
        <v>0.94791906516233015</v>
      </c>
      <c r="AA226" s="27">
        <f>Table25[[#This Row],[HDC4]]/Table25[[#This Row],[HCC4]]</f>
        <v>0.92633479042763145</v>
      </c>
      <c r="AB226" s="27">
        <f>Table25[[#This Row],[HDC5]]/Table25[[#This Row],[HCC5]]</f>
        <v>0.95142510437282402</v>
      </c>
    </row>
    <row r="227" spans="1:28" ht="15">
      <c r="A227" t="s">
        <v>356</v>
      </c>
      <c r="B227" s="85" t="s">
        <v>632</v>
      </c>
      <c r="C227" s="131">
        <v>120</v>
      </c>
      <c r="D227" s="75">
        <v>620</v>
      </c>
      <c r="E227" s="75">
        <v>120</v>
      </c>
      <c r="F227" s="75">
        <v>614</v>
      </c>
      <c r="G227" s="75">
        <v>113</v>
      </c>
      <c r="H227" s="75">
        <v>614</v>
      </c>
      <c r="I227" s="75">
        <v>118</v>
      </c>
      <c r="J227" s="83">
        <v>616</v>
      </c>
      <c r="K227" s="83">
        <v>122</v>
      </c>
      <c r="L227" s="132">
        <v>617</v>
      </c>
      <c r="M227" s="83">
        <v>14108.3</v>
      </c>
      <c r="N227" s="83">
        <v>13328.6</v>
      </c>
      <c r="O227" s="75">
        <v>14813.1</v>
      </c>
      <c r="P227" s="75">
        <v>13749.2</v>
      </c>
      <c r="Q227" s="75">
        <v>13961.2</v>
      </c>
      <c r="R227" s="75">
        <v>13514.4</v>
      </c>
      <c r="S227" s="75">
        <v>14021.2</v>
      </c>
      <c r="T227" s="75">
        <v>13328.3</v>
      </c>
      <c r="U227" s="75">
        <v>13762</v>
      </c>
      <c r="V227" s="75">
        <v>12985</v>
      </c>
      <c r="X227" s="27">
        <f>Table25[[#This Row],[HDC1]]/Table25[[#This Row],[HCC1]]</f>
        <v>0.94473465973930248</v>
      </c>
      <c r="Y227" s="27">
        <f>Table25[[#This Row],[HDC2]]/Table25[[#This Row],[HCC2]]</f>
        <v>0.92817843665404276</v>
      </c>
      <c r="Z227" s="27">
        <f>Table25[[#This Row],[HDC3]]/Table25[[#This Row],[HCC3]]</f>
        <v>0.96799702031344004</v>
      </c>
      <c r="AA227" s="27">
        <f>Table25[[#This Row],[HDC4]]/Table25[[#This Row],[HCC4]]</f>
        <v>0.95058197586511839</v>
      </c>
      <c r="AB227" s="27">
        <f>Table25[[#This Row],[HDC5]]/Table25[[#This Row],[HCC5]]</f>
        <v>0.94354018311291965</v>
      </c>
    </row>
    <row r="228" spans="1:28" ht="15">
      <c r="A228" t="s">
        <v>357</v>
      </c>
      <c r="B228" s="85" t="s">
        <v>633</v>
      </c>
      <c r="C228" s="131">
        <v>122</v>
      </c>
      <c r="D228" s="75">
        <v>630</v>
      </c>
      <c r="E228" s="75">
        <v>139</v>
      </c>
      <c r="F228" s="75">
        <v>629</v>
      </c>
      <c r="G228" s="75">
        <v>135</v>
      </c>
      <c r="H228" s="75">
        <v>633</v>
      </c>
      <c r="I228" s="75">
        <v>133</v>
      </c>
      <c r="J228" s="83">
        <v>635</v>
      </c>
      <c r="K228" s="83">
        <v>129</v>
      </c>
      <c r="L228" s="132">
        <v>633</v>
      </c>
      <c r="M228" s="83">
        <v>14174.5</v>
      </c>
      <c r="N228" s="83">
        <v>13326.4</v>
      </c>
      <c r="O228" s="75">
        <v>14926.9</v>
      </c>
      <c r="P228" s="75">
        <v>13897.9</v>
      </c>
      <c r="Q228" s="75">
        <v>14157.2</v>
      </c>
      <c r="R228" s="75">
        <v>13285.7</v>
      </c>
      <c r="S228" s="75">
        <v>14106.2</v>
      </c>
      <c r="T228" s="75">
        <v>13289.6</v>
      </c>
      <c r="U228" s="75">
        <v>14186.2</v>
      </c>
      <c r="V228" s="75">
        <v>13340.5</v>
      </c>
      <c r="X228" s="27">
        <f>Table25[[#This Row],[HDC1]]/Table25[[#This Row],[HCC1]]</f>
        <v>0.9401672016649617</v>
      </c>
      <c r="Y228" s="27">
        <f>Table25[[#This Row],[HDC2]]/Table25[[#This Row],[HCC2]]</f>
        <v>0.93106405214746535</v>
      </c>
      <c r="Z228" s="27">
        <f>Table25[[#This Row],[HDC3]]/Table25[[#This Row],[HCC3]]</f>
        <v>0.93844121718983975</v>
      </c>
      <c r="AA228" s="27">
        <f>Table25[[#This Row],[HDC4]]/Table25[[#This Row],[HCC4]]</f>
        <v>0.94211056131346493</v>
      </c>
      <c r="AB228" s="27">
        <f>Table25[[#This Row],[HDC5]]/Table25[[#This Row],[HCC5]]</f>
        <v>0.9403857269741015</v>
      </c>
    </row>
    <row r="229" spans="1:28" ht="15">
      <c r="A229" t="s">
        <v>358</v>
      </c>
      <c r="B229" s="85" t="s">
        <v>634</v>
      </c>
      <c r="C229" s="131">
        <v>126</v>
      </c>
      <c r="D229" s="75">
        <v>648</v>
      </c>
      <c r="E229" s="75">
        <v>122</v>
      </c>
      <c r="F229" s="75">
        <v>624</v>
      </c>
      <c r="G229" s="75">
        <v>123</v>
      </c>
      <c r="H229" s="75">
        <v>624</v>
      </c>
      <c r="I229" s="75">
        <v>130</v>
      </c>
      <c r="J229" s="83">
        <v>642</v>
      </c>
      <c r="K229" s="83">
        <v>133</v>
      </c>
      <c r="L229" s="132">
        <v>626</v>
      </c>
      <c r="M229" s="83">
        <v>14272.3</v>
      </c>
      <c r="N229" s="83">
        <v>13362.7</v>
      </c>
      <c r="O229" s="75">
        <v>14996.3</v>
      </c>
      <c r="P229" s="75">
        <v>13924.3</v>
      </c>
      <c r="Q229" s="75">
        <v>14110</v>
      </c>
      <c r="R229" s="75">
        <v>13247.3</v>
      </c>
      <c r="S229" s="75">
        <v>14880.8</v>
      </c>
      <c r="T229" s="75">
        <v>13758.5</v>
      </c>
      <c r="U229" s="75">
        <v>14132.8</v>
      </c>
      <c r="V229" s="75">
        <v>13272.4</v>
      </c>
      <c r="X229" s="27">
        <f>Table25[[#This Row],[HDC1]]/Table25[[#This Row],[HCC1]]</f>
        <v>0.9362681557982947</v>
      </c>
      <c r="Y229" s="27">
        <f>Table25[[#This Row],[HDC2]]/Table25[[#This Row],[HCC2]]</f>
        <v>0.92851570053946642</v>
      </c>
      <c r="Z229" s="27">
        <f>Table25[[#This Row],[HDC3]]/Table25[[#This Row],[HCC3]]</f>
        <v>0.93885896527285606</v>
      </c>
      <c r="AA229" s="27">
        <f>Table25[[#This Row],[HDC4]]/Table25[[#This Row],[HCC4]]</f>
        <v>0.92458066770603731</v>
      </c>
      <c r="AB229" s="27">
        <f>Table25[[#This Row],[HDC5]]/Table25[[#This Row],[HCC5]]</f>
        <v>0.93912034416393075</v>
      </c>
    </row>
    <row r="230" spans="1:28" ht="15">
      <c r="A230" t="s">
        <v>359</v>
      </c>
      <c r="B230" s="85" t="s">
        <v>635</v>
      </c>
      <c r="C230" s="131">
        <v>87</v>
      </c>
      <c r="D230" s="75">
        <v>670</v>
      </c>
      <c r="E230" s="75">
        <v>90</v>
      </c>
      <c r="F230" s="75">
        <v>670</v>
      </c>
      <c r="G230" s="75">
        <v>86.3</v>
      </c>
      <c r="H230" s="75">
        <v>688.1</v>
      </c>
      <c r="I230" s="75">
        <v>177.3</v>
      </c>
      <c r="J230" s="83">
        <v>576.4</v>
      </c>
      <c r="K230" s="83">
        <v>176</v>
      </c>
      <c r="L230" s="132">
        <v>578.6</v>
      </c>
      <c r="M230" s="83">
        <v>19912.8</v>
      </c>
      <c r="N230" s="83">
        <v>19111.2</v>
      </c>
      <c r="O230" s="75">
        <v>20344.599999999999</v>
      </c>
      <c r="P230" s="75">
        <v>19556.8</v>
      </c>
      <c r="Q230" s="75">
        <v>20283.3</v>
      </c>
      <c r="R230" s="75">
        <v>19486</v>
      </c>
      <c r="S230" s="75">
        <v>22326.6</v>
      </c>
      <c r="T230" s="75">
        <v>20897.099999999999</v>
      </c>
      <c r="U230" s="75">
        <v>20763.5</v>
      </c>
      <c r="V230" s="75">
        <v>19968.900000000001</v>
      </c>
      <c r="X230" s="27">
        <f>Table25[[#This Row],[HDC1]]/Table25[[#This Row],[HCC1]]</f>
        <v>0.95974448595878037</v>
      </c>
      <c r="Y230" s="27">
        <f>Table25[[#This Row],[HDC2]]/Table25[[#This Row],[HCC2]]</f>
        <v>0.96127719394827127</v>
      </c>
      <c r="Z230" s="27">
        <f>Table25[[#This Row],[HDC3]]/Table25[[#This Row],[HCC3]]</f>
        <v>0.96069180064387949</v>
      </c>
      <c r="AA230" s="27">
        <f>Table25[[#This Row],[HDC4]]/Table25[[#This Row],[HCC4]]</f>
        <v>0.93597323372121144</v>
      </c>
      <c r="AB230" s="27">
        <f>Table25[[#This Row],[HDC5]]/Table25[[#This Row],[HCC5]]</f>
        <v>0.96173092205071409</v>
      </c>
    </row>
    <row r="231" spans="1:28" ht="15">
      <c r="A231" t="s">
        <v>360</v>
      </c>
      <c r="B231" s="85" t="s">
        <v>636</v>
      </c>
      <c r="C231" s="131">
        <v>120</v>
      </c>
      <c r="D231" s="75">
        <v>638</v>
      </c>
      <c r="E231" s="75">
        <v>135</v>
      </c>
      <c r="F231" s="75">
        <v>616</v>
      </c>
      <c r="G231" s="75">
        <v>138</v>
      </c>
      <c r="H231" s="75">
        <v>619</v>
      </c>
      <c r="I231" s="75">
        <v>133</v>
      </c>
      <c r="J231" s="83">
        <v>622</v>
      </c>
      <c r="K231" s="83">
        <v>137</v>
      </c>
      <c r="L231" s="132">
        <v>616</v>
      </c>
      <c r="M231" s="83">
        <v>20996</v>
      </c>
      <c r="N231" s="83">
        <v>20388.099999999999</v>
      </c>
      <c r="O231" s="75">
        <v>21836.7</v>
      </c>
      <c r="P231" s="75">
        <v>20538.7</v>
      </c>
      <c r="Q231" s="75">
        <v>21848.799999999999</v>
      </c>
      <c r="R231" s="75">
        <v>20600.8</v>
      </c>
      <c r="S231" s="75">
        <v>20906.3</v>
      </c>
      <c r="T231" s="75">
        <v>20312.2</v>
      </c>
      <c r="U231" s="75">
        <v>21894.799999999999</v>
      </c>
      <c r="V231" s="75">
        <v>20606.8</v>
      </c>
      <c r="X231" s="27">
        <f>Table25[[#This Row],[HDC1]]/Table25[[#This Row],[HCC1]]</f>
        <v>0.97104686606972745</v>
      </c>
      <c r="Y231" s="27">
        <f>Table25[[#This Row],[HDC2]]/Table25[[#This Row],[HCC2]]</f>
        <v>0.94055878406535787</v>
      </c>
      <c r="Z231" s="27">
        <f>Table25[[#This Row],[HDC3]]/Table25[[#This Row],[HCC3]]</f>
        <v>0.94288015817802351</v>
      </c>
      <c r="AA231" s="27">
        <f>Table25[[#This Row],[HDC4]]/Table25[[#This Row],[HCC4]]</f>
        <v>0.97158272865117223</v>
      </c>
      <c r="AB231" s="27">
        <f>Table25[[#This Row],[HDC5]]/Table25[[#This Row],[HCC5]]</f>
        <v>0.94117324661563473</v>
      </c>
    </row>
    <row r="232" spans="1:28" ht="15">
      <c r="A232" t="s">
        <v>361</v>
      </c>
      <c r="B232" s="85" t="s">
        <v>637</v>
      </c>
      <c r="C232" s="131">
        <v>121</v>
      </c>
      <c r="D232" s="75">
        <v>673</v>
      </c>
      <c r="E232" s="75">
        <v>128</v>
      </c>
      <c r="F232" s="75">
        <v>667</v>
      </c>
      <c r="G232" s="75">
        <v>121</v>
      </c>
      <c r="H232" s="75">
        <v>677</v>
      </c>
      <c r="I232" s="75">
        <v>148</v>
      </c>
      <c r="J232" s="83">
        <v>621</v>
      </c>
      <c r="K232" s="83">
        <v>133</v>
      </c>
      <c r="L232" s="132">
        <v>664</v>
      </c>
      <c r="M232" s="83">
        <v>23769.7</v>
      </c>
      <c r="N232" s="83">
        <v>22965.7</v>
      </c>
      <c r="O232" s="75">
        <v>23531</v>
      </c>
      <c r="P232" s="75">
        <v>22678.799999999999</v>
      </c>
      <c r="Q232" s="75">
        <v>23443.9</v>
      </c>
      <c r="R232" s="75">
        <v>22654.400000000001</v>
      </c>
      <c r="S232" s="75">
        <v>10320.5</v>
      </c>
      <c r="T232" s="75">
        <v>9391.4</v>
      </c>
      <c r="U232" s="75">
        <v>23276.400000000001</v>
      </c>
      <c r="V232" s="75">
        <v>22486.3</v>
      </c>
      <c r="X232" s="27">
        <f>Table25[[#This Row],[HDC1]]/Table25[[#This Row],[HCC1]]</f>
        <v>0.96617542501588161</v>
      </c>
      <c r="Y232" s="27">
        <f>Table25[[#This Row],[HDC2]]/Table25[[#This Row],[HCC2]]</f>
        <v>0.96378394458374061</v>
      </c>
      <c r="Z232" s="27">
        <f>Table25[[#This Row],[HDC3]]/Table25[[#This Row],[HCC3]]</f>
        <v>0.96632386249728075</v>
      </c>
      <c r="AA232" s="27">
        <f>Table25[[#This Row],[HDC4]]/Table25[[#This Row],[HCC4]]</f>
        <v>0.90997529189477255</v>
      </c>
      <c r="AB232" s="27">
        <f>Table25[[#This Row],[HDC5]]/Table25[[#This Row],[HCC5]]</f>
        <v>0.96605574745235512</v>
      </c>
    </row>
    <row r="233" spans="1:28" ht="15">
      <c r="A233" t="s">
        <v>362</v>
      </c>
      <c r="B233" s="85" t="s">
        <v>638</v>
      </c>
      <c r="C233" s="131">
        <v>130</v>
      </c>
      <c r="D233" s="75">
        <v>628</v>
      </c>
      <c r="E233" s="75">
        <v>128</v>
      </c>
      <c r="F233" s="75">
        <v>632</v>
      </c>
      <c r="G233" s="75">
        <v>132</v>
      </c>
      <c r="H233" s="75">
        <v>632</v>
      </c>
      <c r="I233" s="75">
        <v>128</v>
      </c>
      <c r="J233" s="83">
        <v>643</v>
      </c>
      <c r="K233" s="83">
        <v>130</v>
      </c>
      <c r="L233" s="132">
        <v>626</v>
      </c>
      <c r="M233" s="83">
        <v>20238.7</v>
      </c>
      <c r="N233" s="83">
        <v>19646</v>
      </c>
      <c r="O233" s="75">
        <v>21587.5</v>
      </c>
      <c r="P233" s="75">
        <v>20277.8</v>
      </c>
      <c r="Q233" s="75">
        <v>19422.8</v>
      </c>
      <c r="R233" s="75">
        <v>18909.599999999999</v>
      </c>
      <c r="S233" s="75">
        <v>19824</v>
      </c>
      <c r="T233" s="75">
        <v>19238.400000000001</v>
      </c>
      <c r="U233" s="75">
        <v>21534.3</v>
      </c>
      <c r="V233" s="75">
        <v>20248.8</v>
      </c>
      <c r="X233" s="27">
        <f>Table25[[#This Row],[HDC1]]/Table25[[#This Row],[HCC1]]</f>
        <v>0.97071452217780785</v>
      </c>
      <c r="Y233" s="27">
        <f>Table25[[#This Row],[HDC2]]/Table25[[#This Row],[HCC2]]</f>
        <v>0.93933063115228721</v>
      </c>
      <c r="Z233" s="27">
        <f>Table25[[#This Row],[HDC3]]/Table25[[#This Row],[HCC3]]</f>
        <v>0.97357744506456323</v>
      </c>
      <c r="AA233" s="27">
        <f>Table25[[#This Row],[HDC4]]/Table25[[#This Row],[HCC4]]</f>
        <v>0.97046004842615019</v>
      </c>
      <c r="AB233" s="27">
        <f>Table25[[#This Row],[HDC5]]/Table25[[#This Row],[HCC5]]</f>
        <v>0.94030453741240716</v>
      </c>
    </row>
    <row r="234" spans="1:28" ht="15">
      <c r="A234" t="s">
        <v>363</v>
      </c>
      <c r="B234" s="85" t="s">
        <v>639</v>
      </c>
      <c r="C234" s="131">
        <v>129</v>
      </c>
      <c r="D234" s="75">
        <v>641</v>
      </c>
      <c r="E234" s="75">
        <v>127</v>
      </c>
      <c r="F234" s="75">
        <v>642</v>
      </c>
      <c r="G234" s="75">
        <v>132</v>
      </c>
      <c r="H234" s="75">
        <v>636</v>
      </c>
      <c r="I234" s="75">
        <v>129</v>
      </c>
      <c r="J234" s="83">
        <v>639</v>
      </c>
      <c r="K234" s="83">
        <v>132</v>
      </c>
      <c r="L234" s="132">
        <v>633</v>
      </c>
      <c r="M234" s="83">
        <v>23604.1</v>
      </c>
      <c r="N234" s="83">
        <v>22544.6</v>
      </c>
      <c r="O234" s="75">
        <v>23470.9</v>
      </c>
      <c r="P234" s="75">
        <v>22426.3</v>
      </c>
      <c r="Q234" s="75">
        <v>24737.9</v>
      </c>
      <c r="R234" s="75">
        <v>23181.8</v>
      </c>
      <c r="S234" s="75">
        <v>24856.7</v>
      </c>
      <c r="T234" s="75">
        <v>23297.4</v>
      </c>
      <c r="U234" s="75">
        <v>24655.3</v>
      </c>
      <c r="V234" s="75">
        <v>23089.4</v>
      </c>
      <c r="X234" s="27">
        <f>Table25[[#This Row],[HDC1]]/Table25[[#This Row],[HCC1]]</f>
        <v>0.95511373024178003</v>
      </c>
      <c r="Y234" s="27">
        <f>Table25[[#This Row],[HDC2]]/Table25[[#This Row],[HCC2]]</f>
        <v>0.95549382426749707</v>
      </c>
      <c r="Z234" s="27">
        <f>Table25[[#This Row],[HDC3]]/Table25[[#This Row],[HCC3]]</f>
        <v>0.93709651991478649</v>
      </c>
      <c r="AA234" s="27">
        <f>Table25[[#This Row],[HDC4]]/Table25[[#This Row],[HCC4]]</f>
        <v>0.93726842259833365</v>
      </c>
      <c r="AB234" s="27">
        <f>Table25[[#This Row],[HDC5]]/Table25[[#This Row],[HCC5]]</f>
        <v>0.93648830068991262</v>
      </c>
    </row>
    <row r="235" spans="1:28" ht="15">
      <c r="A235" t="s">
        <v>364</v>
      </c>
      <c r="B235" s="85" t="s">
        <v>640</v>
      </c>
      <c r="C235" s="131">
        <v>124</v>
      </c>
      <c r="D235" s="75">
        <v>636</v>
      </c>
      <c r="E235" s="75">
        <v>96</v>
      </c>
      <c r="F235" s="75">
        <v>658</v>
      </c>
      <c r="G235" s="75">
        <v>145</v>
      </c>
      <c r="H235" s="75">
        <v>623</v>
      </c>
      <c r="I235" s="75">
        <v>147</v>
      </c>
      <c r="J235" s="83">
        <v>612</v>
      </c>
      <c r="K235" s="83">
        <v>146</v>
      </c>
      <c r="L235" s="132">
        <v>609</v>
      </c>
      <c r="M235" s="83">
        <v>19186.099999999999</v>
      </c>
      <c r="N235" s="83">
        <v>17838.2</v>
      </c>
      <c r="O235" s="75">
        <v>17795.099999999999</v>
      </c>
      <c r="P235" s="75">
        <v>17003.8</v>
      </c>
      <c r="Q235" s="75">
        <v>19081.400000000001</v>
      </c>
      <c r="R235" s="75">
        <v>17772</v>
      </c>
      <c r="S235" s="75">
        <v>19002.400000000001</v>
      </c>
      <c r="T235" s="75">
        <v>17718.8</v>
      </c>
      <c r="U235" s="75">
        <v>19128.7</v>
      </c>
      <c r="V235" s="75">
        <v>17846.400000000001</v>
      </c>
      <c r="X235" s="27">
        <f>Table25[[#This Row],[HDC1]]/Table25[[#This Row],[HCC1]]</f>
        <v>0.92974601404141555</v>
      </c>
      <c r="Y235" s="27">
        <f>Table25[[#This Row],[HDC2]]/Table25[[#This Row],[HCC2]]</f>
        <v>0.95553270282268721</v>
      </c>
      <c r="Z235" s="27">
        <f>Table25[[#This Row],[HDC3]]/Table25[[#This Row],[HCC3]]</f>
        <v>0.93137820076095035</v>
      </c>
      <c r="AA235" s="27">
        <f>Table25[[#This Row],[HDC4]]/Table25[[#This Row],[HCC4]]</f>
        <v>0.9324506378141707</v>
      </c>
      <c r="AB235" s="27">
        <f>Table25[[#This Row],[HDC5]]/Table25[[#This Row],[HCC5]]</f>
        <v>0.93296460292649275</v>
      </c>
    </row>
    <row r="236" spans="1:28" ht="15">
      <c r="A236" t="s">
        <v>365</v>
      </c>
      <c r="B236" s="85" t="s">
        <v>641</v>
      </c>
      <c r="C236" s="131">
        <v>133</v>
      </c>
      <c r="D236" s="75">
        <v>628</v>
      </c>
      <c r="E236" s="75">
        <v>125</v>
      </c>
      <c r="F236" s="75">
        <v>647</v>
      </c>
      <c r="G236" s="75">
        <v>125</v>
      </c>
      <c r="H236" s="75">
        <v>643</v>
      </c>
      <c r="I236" s="75">
        <v>122</v>
      </c>
      <c r="J236" s="83">
        <v>631</v>
      </c>
      <c r="K236" s="83">
        <v>120</v>
      </c>
      <c r="L236" s="132">
        <v>637</v>
      </c>
      <c r="M236" s="83">
        <v>16830.5</v>
      </c>
      <c r="N236" s="83">
        <v>16228.6</v>
      </c>
      <c r="O236" s="75">
        <v>17191.8</v>
      </c>
      <c r="P236" s="75">
        <v>15972.9</v>
      </c>
      <c r="Q236" s="75">
        <v>17477.099999999999</v>
      </c>
      <c r="R236" s="75">
        <v>16235.5</v>
      </c>
      <c r="S236" s="75">
        <v>17442.3</v>
      </c>
      <c r="T236" s="75">
        <v>16215.4</v>
      </c>
      <c r="U236" s="75">
        <v>16567.599999999999</v>
      </c>
      <c r="V236" s="75">
        <v>16006.2</v>
      </c>
      <c r="X236" s="27">
        <f>Table25[[#This Row],[HDC1]]/Table25[[#This Row],[HCC1]]</f>
        <v>0.9642375449333056</v>
      </c>
      <c r="Y236" s="27">
        <f>Table25[[#This Row],[HDC2]]/Table25[[#This Row],[HCC2]]</f>
        <v>0.92909991972917327</v>
      </c>
      <c r="Z236" s="27">
        <f>Table25[[#This Row],[HDC3]]/Table25[[#This Row],[HCC3]]</f>
        <v>0.92895846564933549</v>
      </c>
      <c r="AA236" s="27">
        <f>Table25[[#This Row],[HDC4]]/Table25[[#This Row],[HCC4]]</f>
        <v>0.92965950591378432</v>
      </c>
      <c r="AB236" s="27">
        <f>Table25[[#This Row],[HDC5]]/Table25[[#This Row],[HCC5]]</f>
        <v>0.96611458509379766</v>
      </c>
    </row>
    <row r="237" spans="1:28" ht="15">
      <c r="A237" t="s">
        <v>366</v>
      </c>
      <c r="B237" s="85" t="s">
        <v>642</v>
      </c>
      <c r="C237" s="131">
        <v>126</v>
      </c>
      <c r="D237" s="75">
        <v>637</v>
      </c>
      <c r="E237" s="75">
        <v>126</v>
      </c>
      <c r="F237" s="75">
        <v>638</v>
      </c>
      <c r="G237" s="75">
        <v>127</v>
      </c>
      <c r="H237" s="75">
        <v>639</v>
      </c>
      <c r="I237" s="75">
        <v>127</v>
      </c>
      <c r="J237" s="83">
        <v>634</v>
      </c>
      <c r="K237" s="83">
        <v>127</v>
      </c>
      <c r="L237" s="132">
        <v>644</v>
      </c>
      <c r="M237" s="83">
        <v>10410.700000000001</v>
      </c>
      <c r="N237" s="83">
        <v>9418.4</v>
      </c>
      <c r="O237" s="75">
        <v>8901.2999999999993</v>
      </c>
      <c r="P237" s="75">
        <v>8411.7000000000007</v>
      </c>
      <c r="Q237" s="75">
        <v>8866</v>
      </c>
      <c r="R237" s="75">
        <v>8383.7000000000007</v>
      </c>
      <c r="S237" s="75">
        <v>10313.5</v>
      </c>
      <c r="T237" s="75">
        <v>9317.2000000000007</v>
      </c>
      <c r="U237" s="75">
        <v>8928.9</v>
      </c>
      <c r="V237" s="75">
        <v>8440.2000000000007</v>
      </c>
      <c r="X237" s="27">
        <f>Table25[[#This Row],[HDC1]]/Table25[[#This Row],[HCC1]]</f>
        <v>0.90468460334079348</v>
      </c>
      <c r="Y237" s="27">
        <f>Table25[[#This Row],[HDC2]]/Table25[[#This Row],[HCC2]]</f>
        <v>0.94499679822048477</v>
      </c>
      <c r="Z237" s="27">
        <f>Table25[[#This Row],[HDC3]]/Table25[[#This Row],[HCC3]]</f>
        <v>0.94560117302052793</v>
      </c>
      <c r="AA237" s="27">
        <f>Table25[[#This Row],[HDC4]]/Table25[[#This Row],[HCC4]]</f>
        <v>0.90339845833131338</v>
      </c>
      <c r="AB237" s="27">
        <f>Table25[[#This Row],[HDC5]]/Table25[[#This Row],[HCC5]]</f>
        <v>0.94526761415179938</v>
      </c>
    </row>
    <row r="238" spans="1:28" ht="15">
      <c r="A238" t="s">
        <v>367</v>
      </c>
      <c r="B238" s="85" t="s">
        <v>643</v>
      </c>
      <c r="C238" s="131">
        <v>121</v>
      </c>
      <c r="D238" s="75">
        <v>619</v>
      </c>
      <c r="E238" s="75">
        <v>116</v>
      </c>
      <c r="F238" s="75">
        <v>623</v>
      </c>
      <c r="G238" s="75">
        <v>112</v>
      </c>
      <c r="H238" s="75">
        <v>628</v>
      </c>
      <c r="I238" s="75">
        <v>131</v>
      </c>
      <c r="J238" s="83">
        <v>611</v>
      </c>
      <c r="K238" s="83">
        <v>133</v>
      </c>
      <c r="L238" s="132">
        <v>605</v>
      </c>
      <c r="M238" s="83">
        <v>22372.799999999999</v>
      </c>
      <c r="N238" s="83">
        <v>21152.5</v>
      </c>
      <c r="O238" s="75">
        <v>22797</v>
      </c>
      <c r="P238" s="75">
        <v>21416.799999999999</v>
      </c>
      <c r="Q238" s="75">
        <v>22169.1</v>
      </c>
      <c r="R238" s="75">
        <v>20932.7</v>
      </c>
      <c r="S238" s="75">
        <v>22283.9</v>
      </c>
      <c r="T238" s="75">
        <v>20893.7</v>
      </c>
      <c r="U238" s="75">
        <v>22082.5</v>
      </c>
      <c r="V238" s="75">
        <v>20926.900000000001</v>
      </c>
      <c r="X238" s="27">
        <f>Table25[[#This Row],[HDC1]]/Table25[[#This Row],[HCC1]]</f>
        <v>0.94545608953729532</v>
      </c>
      <c r="Y238" s="27">
        <f>Table25[[#This Row],[HDC2]]/Table25[[#This Row],[HCC2]]</f>
        <v>0.93945694608939767</v>
      </c>
      <c r="Z238" s="27">
        <f>Table25[[#This Row],[HDC3]]/Table25[[#This Row],[HCC3]]</f>
        <v>0.94422867865632809</v>
      </c>
      <c r="AA238" s="27">
        <f>Table25[[#This Row],[HDC4]]/Table25[[#This Row],[HCC4]]</f>
        <v>0.93761415192134223</v>
      </c>
      <c r="AB238" s="27">
        <f>Table25[[#This Row],[HDC5]]/Table25[[#This Row],[HCC5]]</f>
        <v>0.94766896864032613</v>
      </c>
    </row>
    <row r="239" spans="1:28" ht="15">
      <c r="A239" t="s">
        <v>368</v>
      </c>
      <c r="B239" s="85" t="s">
        <v>644</v>
      </c>
      <c r="C239" s="131">
        <v>137</v>
      </c>
      <c r="D239" s="75">
        <v>622</v>
      </c>
      <c r="E239" s="75">
        <v>118</v>
      </c>
      <c r="F239" s="75">
        <v>641</v>
      </c>
      <c r="G239" s="75">
        <v>137</v>
      </c>
      <c r="H239" s="75">
        <v>624</v>
      </c>
      <c r="I239" s="75">
        <v>129</v>
      </c>
      <c r="J239" s="83">
        <v>641</v>
      </c>
      <c r="K239" s="83">
        <v>121</v>
      </c>
      <c r="L239" s="132">
        <v>636</v>
      </c>
      <c r="M239" s="83">
        <v>22895.200000000001</v>
      </c>
      <c r="N239" s="83">
        <v>21751.9</v>
      </c>
      <c r="O239" s="75">
        <v>22810.7</v>
      </c>
      <c r="P239" s="75">
        <v>21658.799999999999</v>
      </c>
      <c r="Q239" s="75">
        <v>22705.7</v>
      </c>
      <c r="R239" s="75">
        <v>21529.599999999999</v>
      </c>
      <c r="S239" s="75">
        <v>22977.5</v>
      </c>
      <c r="T239" s="75">
        <v>21645</v>
      </c>
      <c r="U239" s="75">
        <v>22797.9</v>
      </c>
      <c r="V239" s="75">
        <v>21607.9</v>
      </c>
      <c r="X239" s="27">
        <f>Table25[[#This Row],[HDC1]]/Table25[[#This Row],[HCC1]]</f>
        <v>0.95006376882490662</v>
      </c>
      <c r="Y239" s="27">
        <f>Table25[[#This Row],[HDC2]]/Table25[[#This Row],[HCC2]]</f>
        <v>0.94950176890669724</v>
      </c>
      <c r="Z239" s="27">
        <f>Table25[[#This Row],[HDC3]]/Table25[[#This Row],[HCC3]]</f>
        <v>0.94820243375011548</v>
      </c>
      <c r="AA239" s="27">
        <f>Table25[[#This Row],[HDC4]]/Table25[[#This Row],[HCC4]]</f>
        <v>0.942008486562942</v>
      </c>
      <c r="AB239" s="27">
        <f>Table25[[#This Row],[HDC5]]/Table25[[#This Row],[HCC5]]</f>
        <v>0.94780220985266184</v>
      </c>
    </row>
    <row r="240" spans="1:28" ht="15">
      <c r="A240" t="s">
        <v>369</v>
      </c>
      <c r="B240" s="85" t="s">
        <v>645</v>
      </c>
      <c r="C240" s="131">
        <v>136</v>
      </c>
      <c r="D240" s="75">
        <v>617</v>
      </c>
      <c r="E240" s="75">
        <v>136</v>
      </c>
      <c r="F240" s="75">
        <v>613</v>
      </c>
      <c r="G240" s="75">
        <v>118</v>
      </c>
      <c r="H240" s="75">
        <v>633</v>
      </c>
      <c r="I240" s="75">
        <v>138</v>
      </c>
      <c r="J240" s="83">
        <v>618</v>
      </c>
      <c r="K240" s="83">
        <v>135</v>
      </c>
      <c r="L240" s="132">
        <v>624</v>
      </c>
      <c r="M240" s="83">
        <v>22976.9</v>
      </c>
      <c r="N240" s="83">
        <v>21823.3</v>
      </c>
      <c r="O240" s="75">
        <v>22677.4</v>
      </c>
      <c r="P240" s="75">
        <v>21542.799999999999</v>
      </c>
      <c r="Q240" s="75">
        <v>22847.599999999999</v>
      </c>
      <c r="R240" s="75">
        <v>21497.599999999999</v>
      </c>
      <c r="S240" s="75">
        <v>22486.1</v>
      </c>
      <c r="T240" s="75">
        <v>21390.5</v>
      </c>
      <c r="U240" s="75">
        <v>22753.4</v>
      </c>
      <c r="V240" s="75">
        <v>21596.7</v>
      </c>
      <c r="X240" s="27">
        <f>Table25[[#This Row],[HDC1]]/Table25[[#This Row],[HCC1]]</f>
        <v>0.94979305302281847</v>
      </c>
      <c r="Y240" s="27">
        <f>Table25[[#This Row],[HDC2]]/Table25[[#This Row],[HCC2]]</f>
        <v>0.94996780936086134</v>
      </c>
      <c r="Z240" s="27">
        <f>Table25[[#This Row],[HDC3]]/Table25[[#This Row],[HCC3]]</f>
        <v>0.9409128311069872</v>
      </c>
      <c r="AA240" s="27">
        <f>Table25[[#This Row],[HDC4]]/Table25[[#This Row],[HCC4]]</f>
        <v>0.95127656641213909</v>
      </c>
      <c r="AB240" s="27">
        <f>Table25[[#This Row],[HDC5]]/Table25[[#This Row],[HCC5]]</f>
        <v>0.94916364147775711</v>
      </c>
    </row>
    <row r="241" spans="1:28" ht="15">
      <c r="A241" t="s">
        <v>370</v>
      </c>
      <c r="B241" s="85" t="s">
        <v>646</v>
      </c>
      <c r="C241" s="131">
        <v>118</v>
      </c>
      <c r="D241" s="75">
        <v>638</v>
      </c>
      <c r="E241" s="75">
        <v>128</v>
      </c>
      <c r="F241" s="75">
        <v>625</v>
      </c>
      <c r="G241" s="75">
        <v>127</v>
      </c>
      <c r="H241" s="75">
        <v>640</v>
      </c>
      <c r="I241" s="75">
        <v>130</v>
      </c>
      <c r="J241" s="83">
        <v>637</v>
      </c>
      <c r="K241" s="83">
        <v>131</v>
      </c>
      <c r="L241" s="132">
        <v>626</v>
      </c>
      <c r="M241" s="83">
        <v>23372.7</v>
      </c>
      <c r="N241" s="83">
        <v>22089</v>
      </c>
      <c r="O241" s="75">
        <v>22309.599999999999</v>
      </c>
      <c r="P241" s="75">
        <v>21313.5</v>
      </c>
      <c r="Q241" s="75">
        <v>23058.400000000001</v>
      </c>
      <c r="R241" s="75">
        <v>21777.200000000001</v>
      </c>
      <c r="S241" s="75">
        <v>22969.5</v>
      </c>
      <c r="T241" s="75">
        <v>21665.7</v>
      </c>
      <c r="U241" s="75">
        <v>22928.9</v>
      </c>
      <c r="V241" s="75">
        <v>21696.1</v>
      </c>
      <c r="X241" s="27">
        <f>Table25[[#This Row],[HDC1]]/Table25[[#This Row],[HCC1]]</f>
        <v>0.94507694874789816</v>
      </c>
      <c r="Y241" s="27">
        <f>Table25[[#This Row],[HDC2]]/Table25[[#This Row],[HCC2]]</f>
        <v>0.95535105963352107</v>
      </c>
      <c r="Z241" s="27">
        <f>Table25[[#This Row],[HDC3]]/Table25[[#This Row],[HCC3]]</f>
        <v>0.94443673455226729</v>
      </c>
      <c r="AA241" s="27">
        <f>Table25[[#This Row],[HDC4]]/Table25[[#This Row],[HCC4]]</f>
        <v>0.94323777182785873</v>
      </c>
      <c r="AB241" s="27">
        <f>Table25[[#This Row],[HDC5]]/Table25[[#This Row],[HCC5]]</f>
        <v>0.94623379228833471</v>
      </c>
    </row>
    <row r="242" spans="1:28" ht="15">
      <c r="A242" t="s">
        <v>371</v>
      </c>
      <c r="B242" s="85" t="s">
        <v>647</v>
      </c>
      <c r="C242" s="131">
        <v>122</v>
      </c>
      <c r="D242" s="75">
        <v>612</v>
      </c>
      <c r="E242" s="75">
        <v>108</v>
      </c>
      <c r="F242" s="75">
        <v>627</v>
      </c>
      <c r="G242" s="75">
        <v>126</v>
      </c>
      <c r="H242" s="75">
        <v>604</v>
      </c>
      <c r="I242" s="75">
        <v>122</v>
      </c>
      <c r="J242" s="83">
        <v>610</v>
      </c>
      <c r="K242" s="83">
        <v>123</v>
      </c>
      <c r="L242" s="132">
        <v>619</v>
      </c>
      <c r="M242" s="83">
        <v>23133.1</v>
      </c>
      <c r="N242" s="83">
        <v>21746.1</v>
      </c>
      <c r="O242" s="75">
        <v>21928.1</v>
      </c>
      <c r="P242" s="75">
        <v>20893.3</v>
      </c>
      <c r="Q242" s="75">
        <v>21800.6</v>
      </c>
      <c r="R242" s="75">
        <v>20861.3</v>
      </c>
      <c r="S242" s="75">
        <v>22032.1</v>
      </c>
      <c r="T242" s="75">
        <v>21089.9</v>
      </c>
      <c r="U242" s="75">
        <v>18354.3</v>
      </c>
      <c r="V242" s="75">
        <v>17266.2</v>
      </c>
      <c r="X242" s="27">
        <f>Table25[[#This Row],[HDC1]]/Table25[[#This Row],[HCC1]]</f>
        <v>0.94004262290830021</v>
      </c>
      <c r="Y242" s="27">
        <f>Table25[[#This Row],[HDC2]]/Table25[[#This Row],[HCC2]]</f>
        <v>0.95280940893191846</v>
      </c>
      <c r="Z242" s="27">
        <f>Table25[[#This Row],[HDC3]]/Table25[[#This Row],[HCC3]]</f>
        <v>0.95691402988908569</v>
      </c>
      <c r="AA242" s="27">
        <f>Table25[[#This Row],[HDC4]]/Table25[[#This Row],[HCC4]]</f>
        <v>0.95723512511290354</v>
      </c>
      <c r="AB242" s="27">
        <f>Table25[[#This Row],[HDC5]]/Table25[[#This Row],[HCC5]]</f>
        <v>0.94071688923031671</v>
      </c>
    </row>
    <row r="243" spans="1:28" ht="15">
      <c r="A243" t="s">
        <v>372</v>
      </c>
      <c r="B243" s="85" t="s">
        <v>648</v>
      </c>
      <c r="C243" s="131">
        <v>148</v>
      </c>
      <c r="D243" s="75">
        <v>630</v>
      </c>
      <c r="E243" s="75">
        <v>138</v>
      </c>
      <c r="F243" s="75">
        <v>654</v>
      </c>
      <c r="G243" s="75">
        <v>137</v>
      </c>
      <c r="H243" s="75">
        <v>654</v>
      </c>
      <c r="I243" s="75">
        <v>122</v>
      </c>
      <c r="J243" s="83">
        <v>669</v>
      </c>
      <c r="K243" s="83">
        <v>135</v>
      </c>
      <c r="L243" s="132">
        <v>652</v>
      </c>
      <c r="M243" s="83">
        <v>12263.7</v>
      </c>
      <c r="N243" s="83">
        <v>11272.2</v>
      </c>
      <c r="O243" s="75">
        <v>27065.599999999999</v>
      </c>
      <c r="P243" s="75">
        <v>25580.9</v>
      </c>
      <c r="Q243" s="75">
        <v>26361.7</v>
      </c>
      <c r="R243" s="75">
        <v>24824</v>
      </c>
      <c r="S243" s="75">
        <v>26450.400000000001</v>
      </c>
      <c r="T243" s="75">
        <v>25005.1</v>
      </c>
      <c r="U243" s="75">
        <v>27142.2</v>
      </c>
      <c r="V243" s="75">
        <v>25506.3</v>
      </c>
      <c r="X243" s="27">
        <f>Table25[[#This Row],[HDC1]]/Table25[[#This Row],[HCC1]]</f>
        <v>0.91915164265270677</v>
      </c>
      <c r="Y243" s="27">
        <f>Table25[[#This Row],[HDC2]]/Table25[[#This Row],[HCC2]]</f>
        <v>0.94514438992669669</v>
      </c>
      <c r="Z243" s="27">
        <f>Table25[[#This Row],[HDC3]]/Table25[[#This Row],[HCC3]]</f>
        <v>0.94166916397652656</v>
      </c>
      <c r="AA243" s="27">
        <f>Table25[[#This Row],[HDC4]]/Table25[[#This Row],[HCC4]]</f>
        <v>0.94535810422526678</v>
      </c>
      <c r="AB243" s="27">
        <f>Table25[[#This Row],[HDC5]]/Table25[[#This Row],[HCC5]]</f>
        <v>0.93972854079625079</v>
      </c>
    </row>
    <row r="244" spans="1:28" ht="15">
      <c r="A244" t="s">
        <v>373</v>
      </c>
      <c r="B244" s="85" t="s">
        <v>649</v>
      </c>
      <c r="C244" s="131">
        <v>125</v>
      </c>
      <c r="D244" s="75">
        <v>631</v>
      </c>
      <c r="E244" s="75">
        <v>138</v>
      </c>
      <c r="F244" s="75">
        <v>612</v>
      </c>
      <c r="G244" s="75">
        <v>117</v>
      </c>
      <c r="H244" s="75">
        <v>636</v>
      </c>
      <c r="I244" s="75">
        <v>135</v>
      </c>
      <c r="J244" s="83">
        <v>618</v>
      </c>
      <c r="K244" s="83">
        <v>136</v>
      </c>
      <c r="L244" s="132">
        <v>616</v>
      </c>
      <c r="M244" s="83">
        <v>23947.599999999999</v>
      </c>
      <c r="N244" s="83">
        <v>22569.5</v>
      </c>
      <c r="O244" s="75">
        <v>23041.8</v>
      </c>
      <c r="P244" s="75">
        <v>21677</v>
      </c>
      <c r="Q244" s="75">
        <v>23713.7</v>
      </c>
      <c r="R244" s="75">
        <v>22301.4</v>
      </c>
      <c r="S244" s="75">
        <v>22491.3</v>
      </c>
      <c r="T244" s="75">
        <v>21394.400000000001</v>
      </c>
      <c r="U244" s="75">
        <v>22558.1</v>
      </c>
      <c r="V244" s="75">
        <v>21505.8</v>
      </c>
      <c r="X244" s="27">
        <f>Table25[[#This Row],[HDC1]]/Table25[[#This Row],[HCC1]]</f>
        <v>0.94245352352636591</v>
      </c>
      <c r="Y244" s="27">
        <f>Table25[[#This Row],[HDC2]]/Table25[[#This Row],[HCC2]]</f>
        <v>0.94076851634854919</v>
      </c>
      <c r="Z244" s="27">
        <f>Table25[[#This Row],[HDC3]]/Table25[[#This Row],[HCC3]]</f>
        <v>0.94044370975427705</v>
      </c>
      <c r="AA244" s="27">
        <f>Table25[[#This Row],[HDC4]]/Table25[[#This Row],[HCC4]]</f>
        <v>0.95123003116760707</v>
      </c>
      <c r="AB244" s="27">
        <f>Table25[[#This Row],[HDC5]]/Table25[[#This Row],[HCC5]]</f>
        <v>0.95335156772955176</v>
      </c>
    </row>
    <row r="245" spans="1:28" ht="15">
      <c r="A245" t="s">
        <v>374</v>
      </c>
      <c r="B245" s="85" t="s">
        <v>650</v>
      </c>
      <c r="C245" s="131">
        <v>134</v>
      </c>
      <c r="D245" s="75">
        <v>620</v>
      </c>
      <c r="E245" s="75">
        <v>133</v>
      </c>
      <c r="F245" s="75">
        <v>623</v>
      </c>
      <c r="G245" s="75">
        <v>136</v>
      </c>
      <c r="H245" s="75">
        <v>621.9</v>
      </c>
      <c r="I245" s="75">
        <v>119</v>
      </c>
      <c r="J245" s="83">
        <v>642</v>
      </c>
      <c r="K245" s="83">
        <v>133</v>
      </c>
      <c r="L245" s="132">
        <v>626</v>
      </c>
      <c r="M245" s="83">
        <v>23104</v>
      </c>
      <c r="N245" s="83">
        <v>21861.7</v>
      </c>
      <c r="O245" s="75">
        <v>23529.5</v>
      </c>
      <c r="P245" s="75">
        <v>22171</v>
      </c>
      <c r="Q245" s="75">
        <v>22120.3</v>
      </c>
      <c r="R245" s="75">
        <v>21089.599999999999</v>
      </c>
      <c r="S245" s="75">
        <v>22285.8</v>
      </c>
      <c r="T245" s="75">
        <v>21345.7</v>
      </c>
      <c r="U245" s="75">
        <v>23492.5</v>
      </c>
      <c r="V245" s="75">
        <v>22098.400000000001</v>
      </c>
      <c r="X245" s="27">
        <f>Table25[[#This Row],[HDC1]]/Table25[[#This Row],[HCC1]]</f>
        <v>0.94623009002770087</v>
      </c>
      <c r="Y245" s="27">
        <f>Table25[[#This Row],[HDC2]]/Table25[[#This Row],[HCC2]]</f>
        <v>0.94226396651012556</v>
      </c>
      <c r="Z245" s="27">
        <f>Table25[[#This Row],[HDC3]]/Table25[[#This Row],[HCC3]]</f>
        <v>0.95340479107426201</v>
      </c>
      <c r="AA245" s="27">
        <f>Table25[[#This Row],[HDC4]]/Table25[[#This Row],[HCC4]]</f>
        <v>0.95781618788645695</v>
      </c>
      <c r="AB245" s="27">
        <f>Table25[[#This Row],[HDC5]]/Table25[[#This Row],[HCC5]]</f>
        <v>0.94065765669894652</v>
      </c>
    </row>
    <row r="246" spans="1:28" ht="15">
      <c r="A246" t="s">
        <v>118</v>
      </c>
      <c r="B246" s="85" t="s">
        <v>651</v>
      </c>
      <c r="C246" s="131">
        <v>330</v>
      </c>
      <c r="D246" s="75">
        <v>445</v>
      </c>
      <c r="E246" s="75">
        <v>336</v>
      </c>
      <c r="F246" s="75">
        <v>450</v>
      </c>
      <c r="G246" s="75">
        <v>334</v>
      </c>
      <c r="H246" s="75">
        <v>451</v>
      </c>
      <c r="I246" s="75">
        <v>325</v>
      </c>
      <c r="J246" s="83">
        <v>452</v>
      </c>
      <c r="K246" s="83">
        <v>327</v>
      </c>
      <c r="L246" s="132">
        <v>458</v>
      </c>
      <c r="M246" s="83">
        <v>12417.2</v>
      </c>
      <c r="N246" s="83">
        <v>11590.1</v>
      </c>
      <c r="O246" s="75">
        <v>11067.7</v>
      </c>
      <c r="P246" s="75">
        <v>10669.3</v>
      </c>
      <c r="Q246" s="75">
        <v>11173</v>
      </c>
      <c r="R246" s="75">
        <v>10791.9</v>
      </c>
      <c r="S246" s="75">
        <v>10972.7</v>
      </c>
      <c r="T246" s="75">
        <v>10608.9</v>
      </c>
      <c r="U246" s="75">
        <v>11082.9</v>
      </c>
      <c r="V246" s="75">
        <v>10885.6</v>
      </c>
      <c r="X246" s="27">
        <f>Table25[[#This Row],[HDC1]]/Table25[[#This Row],[HCC1]]</f>
        <v>0.93339078053023228</v>
      </c>
      <c r="Y246" s="27">
        <f>Table25[[#This Row],[HDC2]]/Table25[[#This Row],[HCC2]]</f>
        <v>0.9640033611319424</v>
      </c>
      <c r="Z246" s="27">
        <f>Table25[[#This Row],[HDC3]]/Table25[[#This Row],[HCC3]]</f>
        <v>0.96589098720128874</v>
      </c>
      <c r="AA246" s="27">
        <f>Table25[[#This Row],[HDC4]]/Table25[[#This Row],[HCC4]]</f>
        <v>0.96684498801571161</v>
      </c>
      <c r="AB246" s="27">
        <f>Table25[[#This Row],[HDC5]]/Table25[[#This Row],[HCC5]]</f>
        <v>0.98219780021474534</v>
      </c>
    </row>
    <row r="247" spans="1:28" ht="15">
      <c r="A247" t="s">
        <v>375</v>
      </c>
      <c r="B247" s="85" t="s">
        <v>652</v>
      </c>
      <c r="C247" s="131">
        <v>345</v>
      </c>
      <c r="D247" s="75">
        <v>421</v>
      </c>
      <c r="E247" s="75">
        <v>324</v>
      </c>
      <c r="F247" s="75">
        <v>445</v>
      </c>
      <c r="G247" s="75">
        <v>346</v>
      </c>
      <c r="H247" s="75">
        <v>425</v>
      </c>
      <c r="I247" s="75">
        <v>346</v>
      </c>
      <c r="J247" s="83">
        <v>426</v>
      </c>
      <c r="K247" s="83">
        <v>344</v>
      </c>
      <c r="L247" s="132">
        <v>425</v>
      </c>
      <c r="M247" s="83">
        <v>10777.3</v>
      </c>
      <c r="N247" s="83">
        <v>10349.9</v>
      </c>
      <c r="O247" s="75">
        <v>11301.1</v>
      </c>
      <c r="P247" s="75">
        <v>10371.4</v>
      </c>
      <c r="Q247" s="75">
        <v>11331.3</v>
      </c>
      <c r="R247" s="75">
        <v>10607.4</v>
      </c>
      <c r="S247" s="75">
        <v>11165.7</v>
      </c>
      <c r="T247" s="75">
        <v>10286.9</v>
      </c>
      <c r="U247" s="75">
        <v>11174.5</v>
      </c>
      <c r="V247" s="75">
        <v>10299</v>
      </c>
      <c r="X247" s="27">
        <f>Table25[[#This Row],[HDC1]]/Table25[[#This Row],[HCC1]]</f>
        <v>0.9603425718872074</v>
      </c>
      <c r="Y247" s="27">
        <f>Table25[[#This Row],[HDC2]]/Table25[[#This Row],[HCC2]]</f>
        <v>0.91773367194343902</v>
      </c>
      <c r="Z247" s="27">
        <f>Table25[[#This Row],[HDC3]]/Table25[[#This Row],[HCC3]]</f>
        <v>0.93611500886923837</v>
      </c>
      <c r="AA247" s="27">
        <f>Table25[[#This Row],[HDC4]]/Table25[[#This Row],[HCC4]]</f>
        <v>0.92129467924088937</v>
      </c>
      <c r="AB247" s="27">
        <f>Table25[[#This Row],[HDC5]]/Table25[[#This Row],[HCC5]]</f>
        <v>0.9216519754798872</v>
      </c>
    </row>
    <row r="248" spans="1:28" ht="15">
      <c r="A248" t="s">
        <v>376</v>
      </c>
      <c r="B248" s="85" t="s">
        <v>653</v>
      </c>
      <c r="C248" s="131">
        <v>274</v>
      </c>
      <c r="D248" s="75">
        <v>493</v>
      </c>
      <c r="E248" s="75">
        <v>267</v>
      </c>
      <c r="F248" s="75">
        <v>497</v>
      </c>
      <c r="G248" s="75">
        <v>251</v>
      </c>
      <c r="H248" s="75">
        <v>518</v>
      </c>
      <c r="I248" s="75">
        <v>265</v>
      </c>
      <c r="J248" s="83">
        <v>506</v>
      </c>
      <c r="K248" s="83">
        <v>269</v>
      </c>
      <c r="L248" s="132">
        <v>501</v>
      </c>
      <c r="M248" s="83">
        <v>11077.6</v>
      </c>
      <c r="N248" s="83">
        <v>10557.6</v>
      </c>
      <c r="O248" s="75">
        <v>10868.2</v>
      </c>
      <c r="P248" s="75">
        <v>10320.5</v>
      </c>
      <c r="Q248" s="75">
        <v>10783.7</v>
      </c>
      <c r="R248" s="75">
        <v>10249.9</v>
      </c>
      <c r="S248" s="75">
        <v>10775</v>
      </c>
      <c r="T248" s="75">
        <v>10230.5</v>
      </c>
      <c r="U248" s="75">
        <v>11361.3</v>
      </c>
      <c r="V248" s="75">
        <v>10348</v>
      </c>
      <c r="X248" s="27">
        <f>Table25[[#This Row],[HDC1]]/Table25[[#This Row],[HCC1]]</f>
        <v>0.95305842420740949</v>
      </c>
      <c r="Y248" s="27">
        <f>Table25[[#This Row],[HDC2]]/Table25[[#This Row],[HCC2]]</f>
        <v>0.94960527042196496</v>
      </c>
      <c r="Z248" s="27">
        <f>Table25[[#This Row],[HDC3]]/Table25[[#This Row],[HCC3]]</f>
        <v>0.95049936478203201</v>
      </c>
      <c r="AA248" s="27">
        <f>Table25[[#This Row],[HDC4]]/Table25[[#This Row],[HCC4]]</f>
        <v>0.94946635730858464</v>
      </c>
      <c r="AB248" s="27">
        <f>Table25[[#This Row],[HDC5]]/Table25[[#This Row],[HCC5]]</f>
        <v>0.91081126279563085</v>
      </c>
    </row>
    <row r="249" spans="1:28" ht="15">
      <c r="A249" t="s">
        <v>377</v>
      </c>
      <c r="B249" s="85" t="s">
        <v>654</v>
      </c>
      <c r="C249" s="131">
        <v>685</v>
      </c>
      <c r="D249" s="75">
        <v>102</v>
      </c>
      <c r="E249" s="75">
        <v>668</v>
      </c>
      <c r="F249" s="75">
        <v>94</v>
      </c>
      <c r="G249" s="75">
        <v>672</v>
      </c>
      <c r="H249" s="75">
        <v>107</v>
      </c>
      <c r="I249" s="75">
        <v>688</v>
      </c>
      <c r="J249" s="83">
        <v>90</v>
      </c>
      <c r="K249" s="83">
        <v>688</v>
      </c>
      <c r="L249" s="132">
        <v>99</v>
      </c>
      <c r="M249" s="83">
        <v>11456</v>
      </c>
      <c r="N249" s="83">
        <v>11451.7</v>
      </c>
      <c r="O249" s="75">
        <v>1757.3</v>
      </c>
      <c r="P249" s="75">
        <v>2062.9</v>
      </c>
      <c r="Q249" s="75">
        <v>11348</v>
      </c>
      <c r="R249" s="75">
        <v>11355.7</v>
      </c>
      <c r="S249" s="75">
        <v>11394.8</v>
      </c>
      <c r="T249" s="75">
        <v>11440.2</v>
      </c>
      <c r="U249" s="75">
        <v>11449.7</v>
      </c>
      <c r="V249" s="75">
        <v>11459.9</v>
      </c>
      <c r="X249" s="27">
        <f>Table25[[#This Row],[HDC1]]/Table25[[#This Row],[HCC1]]</f>
        <v>0.9996246508379889</v>
      </c>
      <c r="Y249" s="27">
        <f>Table25[[#This Row],[HDC2]]/Table25[[#This Row],[HCC2]]</f>
        <v>1.1739031468730439</v>
      </c>
      <c r="Z249" s="27">
        <f>Table25[[#This Row],[HDC3]]/Table25[[#This Row],[HCC3]]</f>
        <v>1.0006785336623194</v>
      </c>
      <c r="AA249" s="27">
        <f>Table25[[#This Row],[HDC4]]/Table25[[#This Row],[HCC4]]</f>
        <v>1.0039842735282762</v>
      </c>
      <c r="AB249" s="27">
        <f>Table25[[#This Row],[HDC5]]/Table25[[#This Row],[HCC5]]</f>
        <v>1.0008908530354506</v>
      </c>
    </row>
    <row r="250" spans="1:28" ht="15">
      <c r="A250" t="s">
        <v>378</v>
      </c>
      <c r="B250" s="85" t="s">
        <v>655</v>
      </c>
      <c r="C250" s="131">
        <v>126</v>
      </c>
      <c r="D250" s="75">
        <v>622</v>
      </c>
      <c r="E250" s="75">
        <v>132</v>
      </c>
      <c r="F250" s="75">
        <v>617</v>
      </c>
      <c r="G250" s="75">
        <v>125</v>
      </c>
      <c r="H250" s="75">
        <v>642</v>
      </c>
      <c r="I250" s="75">
        <v>131</v>
      </c>
      <c r="J250" s="83">
        <v>623</v>
      </c>
      <c r="K250" s="83">
        <v>122</v>
      </c>
      <c r="L250" s="132">
        <v>629</v>
      </c>
      <c r="M250" s="83">
        <v>21458</v>
      </c>
      <c r="N250" s="83">
        <v>20660.099999999999</v>
      </c>
      <c r="O250" s="75">
        <v>21935.8</v>
      </c>
      <c r="P250" s="75">
        <v>20719.7</v>
      </c>
      <c r="Q250" s="75">
        <v>20999.599999999999</v>
      </c>
      <c r="R250" s="75">
        <v>20166.2</v>
      </c>
      <c r="S250" s="75">
        <v>19883.5</v>
      </c>
      <c r="T250" s="75">
        <v>19427.900000000001</v>
      </c>
      <c r="U250" s="75">
        <v>21935.200000000001</v>
      </c>
      <c r="V250" s="75">
        <v>20630.2</v>
      </c>
      <c r="X250" s="27">
        <f>Table25[[#This Row],[HDC1]]/Table25[[#This Row],[HCC1]]</f>
        <v>0.96281573305993096</v>
      </c>
      <c r="Y250" s="27">
        <f>Table25[[#This Row],[HDC2]]/Table25[[#This Row],[HCC2]]</f>
        <v>0.94456094603342489</v>
      </c>
      <c r="Z250" s="27">
        <f>Table25[[#This Row],[HDC3]]/Table25[[#This Row],[HCC3]]</f>
        <v>0.96031352978151974</v>
      </c>
      <c r="AA250" s="27">
        <f>Table25[[#This Row],[HDC4]]/Table25[[#This Row],[HCC4]]</f>
        <v>0.9770865290316092</v>
      </c>
      <c r="AB250" s="27">
        <f>Table25[[#This Row],[HDC5]]/Table25[[#This Row],[HCC5]]</f>
        <v>0.94050658302636858</v>
      </c>
    </row>
    <row r="251" spans="1:28" ht="15">
      <c r="A251" t="s">
        <v>379</v>
      </c>
      <c r="B251" s="85" t="s">
        <v>656</v>
      </c>
      <c r="C251" s="131">
        <v>111</v>
      </c>
      <c r="D251" s="75">
        <v>628</v>
      </c>
      <c r="E251" s="75">
        <v>119</v>
      </c>
      <c r="F251" s="75">
        <v>624</v>
      </c>
      <c r="G251" s="75">
        <v>121</v>
      </c>
      <c r="H251" s="75">
        <v>623</v>
      </c>
      <c r="I251" s="75">
        <v>130</v>
      </c>
      <c r="J251" s="83">
        <v>617</v>
      </c>
      <c r="K251" s="83">
        <v>126</v>
      </c>
      <c r="L251" s="132">
        <v>614</v>
      </c>
      <c r="M251" s="83">
        <v>21213.7</v>
      </c>
      <c r="N251" s="83">
        <v>20552.5</v>
      </c>
      <c r="O251" s="75">
        <v>20828</v>
      </c>
      <c r="P251" s="75">
        <v>20096.400000000001</v>
      </c>
      <c r="Q251" s="75">
        <v>20863.599999999999</v>
      </c>
      <c r="R251" s="75">
        <v>20132.3</v>
      </c>
      <c r="S251" s="75">
        <v>20705.3</v>
      </c>
      <c r="T251" s="75">
        <v>19939.400000000001</v>
      </c>
      <c r="U251" s="75">
        <v>22051.7</v>
      </c>
      <c r="V251" s="75">
        <v>20728.3</v>
      </c>
      <c r="X251" s="27">
        <f>Table25[[#This Row],[HDC1]]/Table25[[#This Row],[HCC1]]</f>
        <v>0.96883146268684861</v>
      </c>
      <c r="Y251" s="27">
        <f>Table25[[#This Row],[HDC2]]/Table25[[#This Row],[HCC2]]</f>
        <v>0.96487420779719613</v>
      </c>
      <c r="Z251" s="27">
        <f>Table25[[#This Row],[HDC3]]/Table25[[#This Row],[HCC3]]</f>
        <v>0.96494852278609644</v>
      </c>
      <c r="AA251" s="27">
        <f>Table25[[#This Row],[HDC4]]/Table25[[#This Row],[HCC4]]</f>
        <v>0.96300947100500844</v>
      </c>
      <c r="AB251" s="27">
        <f>Table25[[#This Row],[HDC5]]/Table25[[#This Row],[HCC5]]</f>
        <v>0.93998648630264325</v>
      </c>
    </row>
    <row r="252" spans="1:28" ht="15">
      <c r="A252" t="s">
        <v>380</v>
      </c>
      <c r="B252" s="85" t="s">
        <v>657</v>
      </c>
      <c r="C252" s="131">
        <v>123</v>
      </c>
      <c r="D252" s="75">
        <v>615</v>
      </c>
      <c r="E252" s="75">
        <v>114</v>
      </c>
      <c r="F252" s="75">
        <v>629</v>
      </c>
      <c r="G252" s="75">
        <v>126</v>
      </c>
      <c r="H252" s="75">
        <v>617</v>
      </c>
      <c r="I252" s="75">
        <v>128</v>
      </c>
      <c r="J252" s="83">
        <v>618</v>
      </c>
      <c r="K252" s="83">
        <v>129</v>
      </c>
      <c r="L252" s="132">
        <v>614</v>
      </c>
      <c r="M252" s="83">
        <v>22247</v>
      </c>
      <c r="N252" s="83">
        <v>20963.8</v>
      </c>
      <c r="O252" s="75">
        <v>19857.7</v>
      </c>
      <c r="P252" s="75">
        <v>19426.099999999999</v>
      </c>
      <c r="Q252" s="75">
        <v>20897.900000000001</v>
      </c>
      <c r="R252" s="75">
        <v>20203.400000000001</v>
      </c>
      <c r="S252" s="75">
        <v>20735.900000000001</v>
      </c>
      <c r="T252" s="75">
        <v>20010.7</v>
      </c>
      <c r="U252" s="75">
        <v>20793.5</v>
      </c>
      <c r="V252" s="75">
        <v>20162.8</v>
      </c>
      <c r="X252" s="27">
        <f>Table25[[#This Row],[HDC1]]/Table25[[#This Row],[HCC1]]</f>
        <v>0.9423203128511709</v>
      </c>
      <c r="Y252" s="27">
        <f>Table25[[#This Row],[HDC2]]/Table25[[#This Row],[HCC2]]</f>
        <v>0.97826535802232872</v>
      </c>
      <c r="Z252" s="27">
        <f>Table25[[#This Row],[HDC3]]/Table25[[#This Row],[HCC3]]</f>
        <v>0.96676699572684333</v>
      </c>
      <c r="AA252" s="27">
        <f>Table25[[#This Row],[HDC4]]/Table25[[#This Row],[HCC4]]</f>
        <v>0.96502683751368401</v>
      </c>
      <c r="AB252" s="27">
        <f>Table25[[#This Row],[HDC5]]/Table25[[#This Row],[HCC5]]</f>
        <v>0.96966840599225712</v>
      </c>
    </row>
    <row r="253" spans="1:28" ht="15">
      <c r="A253" t="s">
        <v>381</v>
      </c>
      <c r="B253" s="85" t="s">
        <v>658</v>
      </c>
      <c r="C253" s="131">
        <v>128</v>
      </c>
      <c r="D253" s="75">
        <v>634</v>
      </c>
      <c r="E253" s="75">
        <v>132</v>
      </c>
      <c r="F253" s="75">
        <v>634</v>
      </c>
      <c r="G253" s="75">
        <v>110</v>
      </c>
      <c r="H253" s="75">
        <v>658</v>
      </c>
      <c r="I253" s="75">
        <v>132</v>
      </c>
      <c r="J253" s="83">
        <v>641</v>
      </c>
      <c r="K253" s="83">
        <v>126</v>
      </c>
      <c r="L253" s="132">
        <v>648</v>
      </c>
      <c r="M253" s="83">
        <v>21766.5</v>
      </c>
      <c r="N253" s="83">
        <v>21051.3</v>
      </c>
      <c r="O253" s="75">
        <v>21248.5</v>
      </c>
      <c r="P253" s="75">
        <v>20479.7</v>
      </c>
      <c r="Q253" s="75">
        <v>20699.599999999999</v>
      </c>
      <c r="R253" s="75">
        <v>20650.400000000001</v>
      </c>
      <c r="S253" s="75">
        <v>21215.1</v>
      </c>
      <c r="T253" s="75">
        <v>20471.2</v>
      </c>
      <c r="U253" s="75">
        <v>20896.2</v>
      </c>
      <c r="V253" s="75">
        <v>20844.8</v>
      </c>
      <c r="X253" s="27">
        <f>Table25[[#This Row],[HDC1]]/Table25[[#This Row],[HCC1]]</f>
        <v>0.96714216801047481</v>
      </c>
      <c r="Y253" s="27">
        <f>Table25[[#This Row],[HDC2]]/Table25[[#This Row],[HCC2]]</f>
        <v>0.96381862249099937</v>
      </c>
      <c r="Z253" s="27">
        <f>Table25[[#This Row],[HDC3]]/Table25[[#This Row],[HCC3]]</f>
        <v>0.99762314247618322</v>
      </c>
      <c r="AA253" s="27">
        <f>Table25[[#This Row],[HDC4]]/Table25[[#This Row],[HCC4]]</f>
        <v>0.96493535264976371</v>
      </c>
      <c r="AB253" s="27">
        <f>Table25[[#This Row],[HDC5]]/Table25[[#This Row],[HCC5]]</f>
        <v>0.99754022262420916</v>
      </c>
    </row>
    <row r="254" spans="1:28" ht="15">
      <c r="A254" t="s">
        <v>42</v>
      </c>
      <c r="B254" s="85" t="s">
        <v>659</v>
      </c>
      <c r="C254" s="131">
        <v>127</v>
      </c>
      <c r="D254" s="75">
        <v>631</v>
      </c>
      <c r="E254" s="75">
        <v>131</v>
      </c>
      <c r="F254" s="75">
        <v>641</v>
      </c>
      <c r="G254" s="75">
        <v>129</v>
      </c>
      <c r="H254" s="75">
        <v>625</v>
      </c>
      <c r="I254" s="75">
        <v>119</v>
      </c>
      <c r="J254" s="83">
        <v>639</v>
      </c>
      <c r="K254" s="83">
        <v>125</v>
      </c>
      <c r="L254" s="132">
        <v>636</v>
      </c>
      <c r="M254" s="83">
        <v>21530.5</v>
      </c>
      <c r="N254" s="83">
        <v>20148.8</v>
      </c>
      <c r="O254" s="75">
        <v>21106.6</v>
      </c>
      <c r="P254" s="75">
        <v>19729.599999999999</v>
      </c>
      <c r="Q254" s="75">
        <v>20192.900000000001</v>
      </c>
      <c r="R254" s="75">
        <v>18929.099999999999</v>
      </c>
      <c r="S254" s="75">
        <v>19477</v>
      </c>
      <c r="T254" s="75">
        <v>18262</v>
      </c>
      <c r="U254" s="75">
        <v>19067.2</v>
      </c>
      <c r="V254" s="75">
        <v>17860.400000000001</v>
      </c>
      <c r="X254" s="27">
        <f>Table25[[#This Row],[HDC1]]/Table25[[#This Row],[HCC1]]</f>
        <v>0.93582592136736253</v>
      </c>
      <c r="Y254" s="27">
        <f>Table25[[#This Row],[HDC2]]/Table25[[#This Row],[HCC2]]</f>
        <v>0.93475974339779977</v>
      </c>
      <c r="Z254" s="27">
        <f>Table25[[#This Row],[HDC3]]/Table25[[#This Row],[HCC3]]</f>
        <v>0.93741364539021133</v>
      </c>
      <c r="AA254" s="27">
        <f>Table25[[#This Row],[HDC4]]/Table25[[#This Row],[HCC4]]</f>
        <v>0.93761872978384764</v>
      </c>
      <c r="AB254" s="27">
        <f>Table25[[#This Row],[HDC5]]/Table25[[#This Row],[HCC5]]</f>
        <v>0.93670806411009488</v>
      </c>
    </row>
    <row r="255" spans="1:28" ht="15">
      <c r="A255" t="s">
        <v>43</v>
      </c>
      <c r="B255" s="85" t="s">
        <v>660</v>
      </c>
      <c r="C255" s="131">
        <v>125</v>
      </c>
      <c r="D255" s="75">
        <v>639</v>
      </c>
      <c r="E255" s="75">
        <v>117</v>
      </c>
      <c r="F255" s="75">
        <v>639</v>
      </c>
      <c r="G255" s="75">
        <v>123</v>
      </c>
      <c r="H255" s="75">
        <v>637</v>
      </c>
      <c r="I255" s="75">
        <v>123</v>
      </c>
      <c r="J255" s="83">
        <v>637</v>
      </c>
      <c r="K255" s="83">
        <v>130</v>
      </c>
      <c r="L255" s="132">
        <v>627</v>
      </c>
      <c r="M255" s="83">
        <v>19388.900000000001</v>
      </c>
      <c r="N255" s="83">
        <v>18268.099999999999</v>
      </c>
      <c r="O255" s="75">
        <v>19613.2</v>
      </c>
      <c r="P255" s="75">
        <v>18549.099999999999</v>
      </c>
      <c r="Q255" s="75">
        <v>19401.099999999999</v>
      </c>
      <c r="R255" s="75">
        <v>18302.599999999999</v>
      </c>
      <c r="S255" s="75">
        <v>18609.5</v>
      </c>
      <c r="T255" s="75">
        <v>18112.3</v>
      </c>
      <c r="U255" s="75">
        <v>19169.099999999999</v>
      </c>
      <c r="V255" s="75">
        <v>18030.099999999999</v>
      </c>
      <c r="X255" s="27">
        <f>Table25[[#This Row],[HDC1]]/Table25[[#This Row],[HCC1]]</f>
        <v>0.94219372940187407</v>
      </c>
      <c r="Y255" s="27">
        <f>Table25[[#This Row],[HDC2]]/Table25[[#This Row],[HCC2]]</f>
        <v>0.94574572226867604</v>
      </c>
      <c r="Z255" s="27">
        <f>Table25[[#This Row],[HDC3]]/Table25[[#This Row],[HCC3]]</f>
        <v>0.94337949910056651</v>
      </c>
      <c r="AA255" s="27">
        <f>Table25[[#This Row],[HDC4]]/Table25[[#This Row],[HCC4]]</f>
        <v>0.97328246325801338</v>
      </c>
      <c r="AB255" s="27">
        <f>Table25[[#This Row],[HDC5]]/Table25[[#This Row],[HCC5]]</f>
        <v>0.9405814566150732</v>
      </c>
    </row>
    <row r="256" spans="1:28" ht="15">
      <c r="A256" t="s">
        <v>44</v>
      </c>
      <c r="B256" s="85" t="s">
        <v>661</v>
      </c>
      <c r="C256" s="131">
        <v>137</v>
      </c>
      <c r="D256" s="75">
        <v>657</v>
      </c>
      <c r="E256" s="75">
        <v>122</v>
      </c>
      <c r="F256" s="75">
        <v>657</v>
      </c>
      <c r="G256" s="75">
        <v>131</v>
      </c>
      <c r="H256" s="75">
        <v>656</v>
      </c>
      <c r="I256" s="75">
        <v>140</v>
      </c>
      <c r="J256" s="83">
        <v>654</v>
      </c>
      <c r="K256" s="83">
        <v>132</v>
      </c>
      <c r="L256" s="132">
        <v>655</v>
      </c>
      <c r="M256" s="83">
        <v>20093.599999999999</v>
      </c>
      <c r="N256" s="83">
        <v>18924.7</v>
      </c>
      <c r="O256" s="75">
        <v>20592.2</v>
      </c>
      <c r="P256" s="75">
        <v>19441.3</v>
      </c>
      <c r="Q256" s="75">
        <v>20402</v>
      </c>
      <c r="R256" s="75">
        <v>19167.5</v>
      </c>
      <c r="S256" s="75">
        <v>20764.2</v>
      </c>
      <c r="T256" s="75">
        <v>19465.900000000001</v>
      </c>
      <c r="U256" s="75">
        <v>20481.5</v>
      </c>
      <c r="V256" s="75">
        <v>19321.2</v>
      </c>
      <c r="X256" s="27">
        <f>Table25[[#This Row],[HDC1]]/Table25[[#This Row],[HCC1]]</f>
        <v>0.94182724847712718</v>
      </c>
      <c r="Y256" s="27">
        <f>Table25[[#This Row],[HDC2]]/Table25[[#This Row],[HCC2]]</f>
        <v>0.94410990569244657</v>
      </c>
      <c r="Z256" s="27">
        <f>Table25[[#This Row],[HDC3]]/Table25[[#This Row],[HCC3]]</f>
        <v>0.93949122635035776</v>
      </c>
      <c r="AA256" s="27">
        <f>Table25[[#This Row],[HDC4]]/Table25[[#This Row],[HCC4]]</f>
        <v>0.93747411410023029</v>
      </c>
      <c r="AB256" s="27">
        <f>Table25[[#This Row],[HDC5]]/Table25[[#This Row],[HCC5]]</f>
        <v>0.94334887581475968</v>
      </c>
    </row>
    <row r="257" spans="1:28" ht="15">
      <c r="A257" t="s">
        <v>45</v>
      </c>
      <c r="B257" s="85" t="s">
        <v>662</v>
      </c>
      <c r="C257" s="131">
        <v>113</v>
      </c>
      <c r="D257" s="75">
        <v>625</v>
      </c>
      <c r="E257" s="75">
        <v>107</v>
      </c>
      <c r="F257" s="75">
        <v>624</v>
      </c>
      <c r="G257" s="75">
        <v>118</v>
      </c>
      <c r="H257" s="75">
        <v>617</v>
      </c>
      <c r="I257" s="75">
        <v>115</v>
      </c>
      <c r="J257" s="83">
        <v>623</v>
      </c>
      <c r="K257" s="83">
        <v>106</v>
      </c>
      <c r="L257" s="132">
        <v>620</v>
      </c>
      <c r="M257" s="83">
        <v>20629.3</v>
      </c>
      <c r="N257" s="83">
        <v>19444.3</v>
      </c>
      <c r="O257" s="75">
        <v>20324.099999999999</v>
      </c>
      <c r="P257" s="75">
        <v>19135.8</v>
      </c>
      <c r="Q257" s="75">
        <v>20249.5</v>
      </c>
      <c r="R257" s="75">
        <v>19194.2</v>
      </c>
      <c r="S257" s="75">
        <v>19899.3</v>
      </c>
      <c r="T257" s="75">
        <v>18752.3</v>
      </c>
      <c r="U257" s="75">
        <v>19586.099999999999</v>
      </c>
      <c r="V257" s="75">
        <v>18415.5</v>
      </c>
      <c r="X257" s="27">
        <f>Table25[[#This Row],[HDC1]]/Table25[[#This Row],[HCC1]]</f>
        <v>0.9425574304508636</v>
      </c>
      <c r="Y257" s="27">
        <f>Table25[[#This Row],[HDC2]]/Table25[[#This Row],[HCC2]]</f>
        <v>0.94153246638227528</v>
      </c>
      <c r="Z257" s="27">
        <f>Table25[[#This Row],[HDC3]]/Table25[[#This Row],[HCC3]]</f>
        <v>0.9478851329662461</v>
      </c>
      <c r="AA257" s="27">
        <f>Table25[[#This Row],[HDC4]]/Table25[[#This Row],[HCC4]]</f>
        <v>0.94235978149985178</v>
      </c>
      <c r="AB257" s="27">
        <f>Table25[[#This Row],[HDC5]]/Table25[[#This Row],[HCC5]]</f>
        <v>0.94023312451177121</v>
      </c>
    </row>
    <row r="258" spans="1:28" ht="15">
      <c r="A258" t="s">
        <v>46</v>
      </c>
      <c r="B258" s="85" t="s">
        <v>663</v>
      </c>
      <c r="C258" s="131">
        <v>129</v>
      </c>
      <c r="D258" s="75">
        <v>631</v>
      </c>
      <c r="E258" s="75">
        <v>131</v>
      </c>
      <c r="F258" s="75">
        <v>631</v>
      </c>
      <c r="G258" s="75">
        <v>126</v>
      </c>
      <c r="H258" s="75">
        <v>631</v>
      </c>
      <c r="I258" s="75">
        <v>137</v>
      </c>
      <c r="J258" s="83">
        <v>625</v>
      </c>
      <c r="K258" s="83">
        <v>116</v>
      </c>
      <c r="L258" s="132">
        <v>644</v>
      </c>
      <c r="M258" s="83">
        <v>22467.200000000001</v>
      </c>
      <c r="N258" s="83">
        <v>20992.7</v>
      </c>
      <c r="O258" s="75">
        <v>22407.5</v>
      </c>
      <c r="P258" s="75">
        <v>21043.8</v>
      </c>
      <c r="Q258" s="75">
        <v>6598</v>
      </c>
      <c r="R258" s="75">
        <v>6077.4</v>
      </c>
      <c r="S258" s="75">
        <v>21944.6</v>
      </c>
      <c r="T258" s="75">
        <v>20718</v>
      </c>
      <c r="U258" s="75">
        <v>22455.5</v>
      </c>
      <c r="V258" s="75">
        <v>21086.2</v>
      </c>
      <c r="X258" s="27">
        <f>Table25[[#This Row],[HDC1]]/Table25[[#This Row],[HCC1]]</f>
        <v>0.93437099416037606</v>
      </c>
      <c r="Y258" s="27">
        <f>Table25[[#This Row],[HDC2]]/Table25[[#This Row],[HCC2]]</f>
        <v>0.93914091264085686</v>
      </c>
      <c r="Z258" s="27">
        <f>Table25[[#This Row],[HDC3]]/Table25[[#This Row],[HCC3]]</f>
        <v>0.92109730221279174</v>
      </c>
      <c r="AA258" s="27">
        <f>Table25[[#This Row],[HDC4]]/Table25[[#This Row],[HCC4]]</f>
        <v>0.94410470001731639</v>
      </c>
      <c r="AB258" s="27">
        <f>Table25[[#This Row],[HDC5]]/Table25[[#This Row],[HCC5]]</f>
        <v>0.93902162053839822</v>
      </c>
    </row>
    <row r="259" spans="1:28" ht="15">
      <c r="A259" t="s">
        <v>47</v>
      </c>
      <c r="B259" s="85" t="s">
        <v>664</v>
      </c>
      <c r="C259" s="131">
        <v>125</v>
      </c>
      <c r="D259" s="75">
        <v>638</v>
      </c>
      <c r="E259" s="75">
        <v>118.3</v>
      </c>
      <c r="F259" s="75">
        <v>636.5</v>
      </c>
      <c r="G259" s="75">
        <v>127.6</v>
      </c>
      <c r="H259" s="75">
        <v>635.20000000000005</v>
      </c>
      <c r="I259" s="75">
        <v>130.19999999999999</v>
      </c>
      <c r="J259" s="83">
        <v>629.79999999999995</v>
      </c>
      <c r="K259" s="83">
        <v>130.69999999999999</v>
      </c>
      <c r="L259" s="132">
        <v>629.9</v>
      </c>
      <c r="M259" s="83">
        <v>22398.6</v>
      </c>
      <c r="N259" s="83">
        <v>21012.7</v>
      </c>
      <c r="O259" s="75">
        <v>22522.2</v>
      </c>
      <c r="P259" s="75">
        <v>21177.3</v>
      </c>
      <c r="Q259" s="75">
        <v>22212.9</v>
      </c>
      <c r="R259" s="75">
        <v>20856.7</v>
      </c>
      <c r="S259" s="75">
        <v>21294</v>
      </c>
      <c r="T259" s="75">
        <v>20567.5</v>
      </c>
      <c r="U259" s="75">
        <v>22264.9</v>
      </c>
      <c r="V259" s="75">
        <v>21004.7</v>
      </c>
      <c r="X259" s="27">
        <f>Table25[[#This Row],[HDC1]]/Table25[[#This Row],[HCC1]]</f>
        <v>0.93812559713553534</v>
      </c>
      <c r="Y259" s="27">
        <f>Table25[[#This Row],[HDC2]]/Table25[[#This Row],[HCC2]]</f>
        <v>0.94028558488957559</v>
      </c>
      <c r="Z259" s="27">
        <f>Table25[[#This Row],[HDC3]]/Table25[[#This Row],[HCC3]]</f>
        <v>0.93894538759009405</v>
      </c>
      <c r="AA259" s="27">
        <f>Table25[[#This Row],[HDC4]]/Table25[[#This Row],[HCC4]]</f>
        <v>0.96588240819010052</v>
      </c>
      <c r="AB259" s="27">
        <f>Table25[[#This Row],[HDC5]]/Table25[[#This Row],[HCC5]]</f>
        <v>0.94339970087447056</v>
      </c>
    </row>
    <row r="260" spans="1:28" ht="15">
      <c r="A260" t="s">
        <v>48</v>
      </c>
      <c r="B260" s="85" t="s">
        <v>665</v>
      </c>
      <c r="C260" s="131">
        <v>133</v>
      </c>
      <c r="D260" s="75">
        <v>639</v>
      </c>
      <c r="E260" s="75">
        <v>115</v>
      </c>
      <c r="F260" s="75">
        <v>643</v>
      </c>
      <c r="G260" s="75">
        <v>132</v>
      </c>
      <c r="H260" s="75">
        <v>630</v>
      </c>
      <c r="I260" s="75">
        <v>134</v>
      </c>
      <c r="J260" s="83">
        <v>628</v>
      </c>
      <c r="K260" s="83">
        <v>136</v>
      </c>
      <c r="L260" s="132">
        <v>622</v>
      </c>
      <c r="M260" s="83">
        <v>21918.2</v>
      </c>
      <c r="N260" s="83">
        <v>20577.8</v>
      </c>
      <c r="O260" s="75">
        <v>21833.3</v>
      </c>
      <c r="P260" s="75">
        <v>20484.3</v>
      </c>
      <c r="Q260" s="75">
        <v>20816.599999999999</v>
      </c>
      <c r="R260" s="75">
        <v>20273.599999999999</v>
      </c>
      <c r="S260" s="75">
        <v>21188.2</v>
      </c>
      <c r="T260" s="75">
        <v>20228</v>
      </c>
      <c r="U260" s="75">
        <v>22103.5</v>
      </c>
      <c r="V260" s="75">
        <v>20746</v>
      </c>
      <c r="X260" s="27">
        <f>Table25[[#This Row],[HDC1]]/Table25[[#This Row],[HCC1]]</f>
        <v>0.93884534313949131</v>
      </c>
      <c r="Y260" s="27">
        <f>Table25[[#This Row],[HDC2]]/Table25[[#This Row],[HCC2]]</f>
        <v>0.93821364612770397</v>
      </c>
      <c r="Z260" s="27">
        <f>Table25[[#This Row],[HDC3]]/Table25[[#This Row],[HCC3]]</f>
        <v>0.97391504856700906</v>
      </c>
      <c r="AA260" s="27">
        <f>Table25[[#This Row],[HDC4]]/Table25[[#This Row],[HCC4]]</f>
        <v>0.95468232317988311</v>
      </c>
      <c r="AB260" s="27">
        <f>Table25[[#This Row],[HDC5]]/Table25[[#This Row],[HCC5]]</f>
        <v>0.93858438708801772</v>
      </c>
    </row>
    <row r="261" spans="1:28" ht="15">
      <c r="A261" t="s">
        <v>49</v>
      </c>
      <c r="B261" s="85" t="s">
        <v>666</v>
      </c>
      <c r="C261" s="131">
        <v>134</v>
      </c>
      <c r="D261" s="75">
        <v>629</v>
      </c>
      <c r="E261" s="75">
        <v>132</v>
      </c>
      <c r="F261" s="75">
        <v>632</v>
      </c>
      <c r="G261" s="75">
        <v>129</v>
      </c>
      <c r="H261" s="75">
        <v>639</v>
      </c>
      <c r="I261" s="75">
        <v>129</v>
      </c>
      <c r="J261" s="83">
        <v>643</v>
      </c>
      <c r="K261" s="83">
        <v>116</v>
      </c>
      <c r="L261" s="132">
        <v>638</v>
      </c>
      <c r="M261" s="83">
        <v>22662.400000000001</v>
      </c>
      <c r="N261" s="83">
        <v>21470</v>
      </c>
      <c r="O261" s="75">
        <v>22228.9</v>
      </c>
      <c r="P261" s="75">
        <v>20977.3</v>
      </c>
      <c r="Q261" s="75">
        <v>22391.8</v>
      </c>
      <c r="R261" s="75">
        <v>21055.1</v>
      </c>
      <c r="S261" s="75">
        <v>20989.1</v>
      </c>
      <c r="T261" s="75">
        <v>20251.400000000001</v>
      </c>
      <c r="U261" s="75">
        <v>22234.3</v>
      </c>
      <c r="V261" s="75">
        <v>20938</v>
      </c>
      <c r="X261" s="27">
        <f>Table25[[#This Row],[HDC1]]/Table25[[#This Row],[HCC1]]</f>
        <v>0.94738421349901147</v>
      </c>
      <c r="Y261" s="27">
        <f>Table25[[#This Row],[HDC2]]/Table25[[#This Row],[HCC2]]</f>
        <v>0.9436949196766371</v>
      </c>
      <c r="Z261" s="27">
        <f>Table25[[#This Row],[HDC3]]/Table25[[#This Row],[HCC3]]</f>
        <v>0.94030403987173872</v>
      </c>
      <c r="AA261" s="27">
        <f>Table25[[#This Row],[HDC4]]/Table25[[#This Row],[HCC4]]</f>
        <v>0.96485318570114975</v>
      </c>
      <c r="AB261" s="27">
        <f>Table25[[#This Row],[HDC5]]/Table25[[#This Row],[HCC5]]</f>
        <v>0.94169818703534636</v>
      </c>
    </row>
    <row r="262" spans="1:28" ht="15">
      <c r="A262" t="s">
        <v>50</v>
      </c>
      <c r="B262" s="85" t="s">
        <v>667</v>
      </c>
      <c r="C262" s="131">
        <v>112</v>
      </c>
      <c r="D262" s="75">
        <v>641</v>
      </c>
      <c r="E262" s="75">
        <v>124</v>
      </c>
      <c r="F262" s="75">
        <v>627</v>
      </c>
      <c r="G262" s="75">
        <v>121</v>
      </c>
      <c r="H262" s="75">
        <v>626</v>
      </c>
      <c r="I262" s="75">
        <v>133</v>
      </c>
      <c r="J262" s="83">
        <v>619</v>
      </c>
      <c r="K262" s="83">
        <v>134</v>
      </c>
      <c r="L262" s="132">
        <v>617</v>
      </c>
      <c r="M262" s="83">
        <v>24678.799999999999</v>
      </c>
      <c r="N262" s="83">
        <v>23251.9</v>
      </c>
      <c r="O262" s="75">
        <v>24384.5</v>
      </c>
      <c r="P262" s="75">
        <v>22982</v>
      </c>
      <c r="Q262" s="75">
        <v>24536.7</v>
      </c>
      <c r="R262" s="75">
        <v>23096.1</v>
      </c>
      <c r="S262" s="75">
        <v>23943</v>
      </c>
      <c r="T262" s="75">
        <v>22633.9</v>
      </c>
      <c r="U262" s="75">
        <v>23247.8</v>
      </c>
      <c r="V262" s="75">
        <v>22290.799999999999</v>
      </c>
      <c r="X262" s="27">
        <f>Table25[[#This Row],[HDC1]]/Table25[[#This Row],[HCC1]]</f>
        <v>0.94218114332949743</v>
      </c>
      <c r="Y262" s="27">
        <f>Table25[[#This Row],[HDC2]]/Table25[[#This Row],[HCC2]]</f>
        <v>0.94248395497139581</v>
      </c>
      <c r="Z262" s="27">
        <f>Table25[[#This Row],[HDC3]]/Table25[[#This Row],[HCC3]]</f>
        <v>0.94128794825710049</v>
      </c>
      <c r="AA262" s="27">
        <f>Table25[[#This Row],[HDC4]]/Table25[[#This Row],[HCC4]]</f>
        <v>0.94532431190744692</v>
      </c>
      <c r="AB262" s="27">
        <f>Table25[[#This Row],[HDC5]]/Table25[[#This Row],[HCC5]]</f>
        <v>0.95883481447706875</v>
      </c>
    </row>
    <row r="263" spans="1:28" ht="15">
      <c r="A263" t="s">
        <v>51</v>
      </c>
      <c r="B263" s="85" t="s">
        <v>668</v>
      </c>
      <c r="C263" s="131">
        <v>124</v>
      </c>
      <c r="D263" s="75">
        <v>633</v>
      </c>
      <c r="E263" s="75">
        <v>118</v>
      </c>
      <c r="F263" s="75">
        <v>640</v>
      </c>
      <c r="G263" s="75">
        <v>127</v>
      </c>
      <c r="H263" s="75">
        <v>628</v>
      </c>
      <c r="I263" s="75">
        <v>130</v>
      </c>
      <c r="J263" s="83">
        <v>627</v>
      </c>
      <c r="K263" s="83">
        <v>127</v>
      </c>
      <c r="L263" s="132">
        <v>625</v>
      </c>
      <c r="M263" s="83">
        <v>23697.599999999999</v>
      </c>
      <c r="N263" s="83">
        <v>22341.8</v>
      </c>
      <c r="O263" s="75">
        <v>23676.6</v>
      </c>
      <c r="P263" s="75">
        <v>22277</v>
      </c>
      <c r="Q263" s="75">
        <v>22875.7</v>
      </c>
      <c r="R263" s="75">
        <v>21588.7</v>
      </c>
      <c r="S263" s="75">
        <v>23574.2</v>
      </c>
      <c r="T263" s="75">
        <v>22226.5</v>
      </c>
      <c r="U263" s="75">
        <v>23477.1</v>
      </c>
      <c r="V263" s="75">
        <v>22218.6</v>
      </c>
      <c r="X263" s="27">
        <f>Table25[[#This Row],[HDC1]]/Table25[[#This Row],[HCC1]]</f>
        <v>0.94278745526973196</v>
      </c>
      <c r="Y263" s="27">
        <f>Table25[[#This Row],[HDC2]]/Table25[[#This Row],[HCC2]]</f>
        <v>0.94088678273062865</v>
      </c>
      <c r="Z263" s="27">
        <f>Table25[[#This Row],[HDC3]]/Table25[[#This Row],[HCC3]]</f>
        <v>0.9437394265530672</v>
      </c>
      <c r="AA263" s="27">
        <f>Table25[[#This Row],[HDC4]]/Table25[[#This Row],[HCC4]]</f>
        <v>0.94283157010630259</v>
      </c>
      <c r="AB263" s="27">
        <f>Table25[[#This Row],[HDC5]]/Table25[[#This Row],[HCC5]]</f>
        <v>0.94639457173160224</v>
      </c>
    </row>
    <row r="264" spans="1:28" ht="15">
      <c r="A264" t="s">
        <v>52</v>
      </c>
      <c r="B264" s="85" t="s">
        <v>669</v>
      </c>
      <c r="C264" s="131">
        <v>119</v>
      </c>
      <c r="D264" s="75">
        <v>640</v>
      </c>
      <c r="E264" s="75">
        <v>126</v>
      </c>
      <c r="F264" s="75">
        <v>634</v>
      </c>
      <c r="G264" s="75">
        <v>130</v>
      </c>
      <c r="H264" s="75">
        <v>638</v>
      </c>
      <c r="I264" s="75">
        <v>134</v>
      </c>
      <c r="J264" s="83">
        <v>628</v>
      </c>
      <c r="K264" s="83">
        <v>134</v>
      </c>
      <c r="L264" s="132">
        <v>626</v>
      </c>
      <c r="M264" s="83">
        <v>22543.8</v>
      </c>
      <c r="N264" s="83">
        <v>21680</v>
      </c>
      <c r="O264" s="75">
        <v>23814.9</v>
      </c>
      <c r="P264" s="75">
        <v>22388.2</v>
      </c>
      <c r="Q264" s="75">
        <v>23737</v>
      </c>
      <c r="R264" s="75">
        <v>22325.200000000001</v>
      </c>
      <c r="S264" s="75">
        <v>23170.9</v>
      </c>
      <c r="T264" s="75">
        <v>21806</v>
      </c>
      <c r="U264" s="75">
        <v>23914.5</v>
      </c>
      <c r="V264" s="75">
        <v>22507.5</v>
      </c>
      <c r="X264" s="27">
        <f>Table25[[#This Row],[HDC1]]/Table25[[#This Row],[HCC1]]</f>
        <v>0.96168347838430079</v>
      </c>
      <c r="Y264" s="27">
        <f>Table25[[#This Row],[HDC2]]/Table25[[#This Row],[HCC2]]</f>
        <v>0.94009212719767876</v>
      </c>
      <c r="Z264" s="27">
        <f>Table25[[#This Row],[HDC3]]/Table25[[#This Row],[HCC3]]</f>
        <v>0.94052323377006364</v>
      </c>
      <c r="AA264" s="27">
        <f>Table25[[#This Row],[HDC4]]/Table25[[#This Row],[HCC4]]</f>
        <v>0.94109421731568466</v>
      </c>
      <c r="AB264" s="27">
        <f>Table25[[#This Row],[HDC5]]/Table25[[#This Row],[HCC5]]</f>
        <v>0.94116540174371199</v>
      </c>
    </row>
    <row r="265" spans="1:28" ht="15">
      <c r="A265" t="s">
        <v>53</v>
      </c>
      <c r="B265" s="85" t="s">
        <v>670</v>
      </c>
      <c r="C265" s="131">
        <v>126</v>
      </c>
      <c r="D265" s="75">
        <v>638</v>
      </c>
      <c r="E265" s="75">
        <v>124</v>
      </c>
      <c r="F265" s="75">
        <v>643</v>
      </c>
      <c r="G265" s="75">
        <v>128</v>
      </c>
      <c r="H265" s="75">
        <v>638</v>
      </c>
      <c r="I265" s="75">
        <v>129</v>
      </c>
      <c r="J265" s="83">
        <v>630</v>
      </c>
      <c r="K265" s="83">
        <v>118</v>
      </c>
      <c r="L265" s="132">
        <v>644</v>
      </c>
      <c r="M265" s="83">
        <v>22966.1</v>
      </c>
      <c r="N265" s="83">
        <v>21572.3</v>
      </c>
      <c r="O265" s="75">
        <v>22220.1</v>
      </c>
      <c r="P265" s="75">
        <v>21546</v>
      </c>
      <c r="Q265" s="75">
        <v>23389.5</v>
      </c>
      <c r="R265" s="75">
        <v>21990.799999999999</v>
      </c>
      <c r="S265" s="75">
        <v>20619.2</v>
      </c>
      <c r="T265" s="75">
        <v>20453.3</v>
      </c>
      <c r="U265" s="75">
        <v>23492.5</v>
      </c>
      <c r="V265" s="75">
        <v>22091.5</v>
      </c>
      <c r="X265" s="27">
        <f>Table25[[#This Row],[HDC1]]/Table25[[#This Row],[HCC1]]</f>
        <v>0.93931054902660882</v>
      </c>
      <c r="Y265" s="27">
        <f>Table25[[#This Row],[HDC2]]/Table25[[#This Row],[HCC2]]</f>
        <v>0.96966260277856542</v>
      </c>
      <c r="Z265" s="27">
        <f>Table25[[#This Row],[HDC3]]/Table25[[#This Row],[HCC3]]</f>
        <v>0.94019966224160412</v>
      </c>
      <c r="AA265" s="27">
        <f>Table25[[#This Row],[HDC4]]/Table25[[#This Row],[HCC4]]</f>
        <v>0.99195410103204773</v>
      </c>
      <c r="AB265" s="27">
        <f>Table25[[#This Row],[HDC5]]/Table25[[#This Row],[HCC5]]</f>
        <v>0.94036394594019368</v>
      </c>
    </row>
    <row r="266" spans="1:28" ht="15">
      <c r="A266" t="s">
        <v>54</v>
      </c>
      <c r="B266" s="85" t="s">
        <v>671</v>
      </c>
      <c r="C266" s="131">
        <v>11</v>
      </c>
      <c r="D266" s="75">
        <v>750</v>
      </c>
      <c r="E266" s="75">
        <v>11</v>
      </c>
      <c r="F266" s="75">
        <v>748</v>
      </c>
      <c r="G266" s="75">
        <v>1</v>
      </c>
      <c r="H266" s="75">
        <v>742</v>
      </c>
      <c r="I266" s="75">
        <v>9</v>
      </c>
      <c r="J266" s="83">
        <v>750</v>
      </c>
      <c r="K266" s="83">
        <v>13</v>
      </c>
      <c r="L266" s="132">
        <v>748</v>
      </c>
      <c r="M266" s="83">
        <v>19647.599999999999</v>
      </c>
      <c r="N266" s="83">
        <v>18215.5</v>
      </c>
      <c r="O266" s="75">
        <v>19505.400000000001</v>
      </c>
      <c r="P266" s="75">
        <v>18145.900000000001</v>
      </c>
      <c r="Q266" s="75">
        <v>18793.5</v>
      </c>
      <c r="R266" s="75">
        <v>17460</v>
      </c>
      <c r="S266" s="75">
        <v>18513.2</v>
      </c>
      <c r="T266" s="75">
        <v>17129.5</v>
      </c>
      <c r="U266" s="75">
        <v>18900.7</v>
      </c>
      <c r="V266" s="75">
        <v>17508.3</v>
      </c>
      <c r="X266" s="27">
        <f>Table25[[#This Row],[HDC1]]/Table25[[#This Row],[HCC1]]</f>
        <v>0.92711069036421756</v>
      </c>
      <c r="Y266" s="27">
        <f>Table25[[#This Row],[HDC2]]/Table25[[#This Row],[HCC2]]</f>
        <v>0.93030135244598933</v>
      </c>
      <c r="Z266" s="27">
        <f>Table25[[#This Row],[HDC3]]/Table25[[#This Row],[HCC3]]</f>
        <v>0.92904461648974379</v>
      </c>
      <c r="AA266" s="27">
        <f>Table25[[#This Row],[HDC4]]/Table25[[#This Row],[HCC4]]</f>
        <v>0.92525873430849337</v>
      </c>
      <c r="AB266" s="27">
        <f>Table25[[#This Row],[HDC5]]/Table25[[#This Row],[HCC5]]</f>
        <v>0.92633077081801196</v>
      </c>
    </row>
    <row r="267" spans="1:28" ht="15">
      <c r="A267" t="s">
        <v>55</v>
      </c>
      <c r="B267" s="85" t="s">
        <v>672</v>
      </c>
      <c r="C267" s="131">
        <v>1</v>
      </c>
      <c r="D267" s="75">
        <v>752</v>
      </c>
      <c r="E267" s="75">
        <v>9</v>
      </c>
      <c r="F267" s="75">
        <v>750</v>
      </c>
      <c r="G267" s="75">
        <v>23</v>
      </c>
      <c r="H267" s="75">
        <v>750</v>
      </c>
      <c r="I267" s="75">
        <v>25</v>
      </c>
      <c r="J267" s="83">
        <v>731</v>
      </c>
      <c r="K267" s="83">
        <v>9</v>
      </c>
      <c r="L267" s="132">
        <v>752</v>
      </c>
      <c r="M267" s="83">
        <v>18999.599999999999</v>
      </c>
      <c r="N267" s="83">
        <v>17717.099999999999</v>
      </c>
      <c r="O267" s="75">
        <v>18852.599999999999</v>
      </c>
      <c r="P267" s="75">
        <v>17423.3</v>
      </c>
      <c r="Q267" s="75">
        <v>18003.099999999999</v>
      </c>
      <c r="R267" s="75">
        <v>17492.5</v>
      </c>
      <c r="S267" s="75">
        <v>18767.900000000001</v>
      </c>
      <c r="T267" s="75">
        <v>17507</v>
      </c>
      <c r="U267" s="75">
        <v>18927</v>
      </c>
      <c r="V267" s="75">
        <v>17531.7</v>
      </c>
      <c r="X267" s="27">
        <f>Table25[[#This Row],[HDC1]]/Table25[[#This Row],[HCC1]]</f>
        <v>0.93249857891745092</v>
      </c>
      <c r="Y267" s="27">
        <f>Table25[[#This Row],[HDC2]]/Table25[[#This Row],[HCC2]]</f>
        <v>0.9241855234821722</v>
      </c>
      <c r="Z267" s="27">
        <f>Table25[[#This Row],[HDC3]]/Table25[[#This Row],[HCC3]]</f>
        <v>0.97163821786247928</v>
      </c>
      <c r="AA267" s="27">
        <f>Table25[[#This Row],[HDC4]]/Table25[[#This Row],[HCC4]]</f>
        <v>0.93281613819340459</v>
      </c>
      <c r="AB267" s="27">
        <f>Table25[[#This Row],[HDC5]]/Table25[[#This Row],[HCC5]]</f>
        <v>0.92627991757806316</v>
      </c>
    </row>
    <row r="268" spans="1:28" ht="15">
      <c r="A268" t="s">
        <v>56</v>
      </c>
      <c r="B268" s="85" t="s">
        <v>673</v>
      </c>
      <c r="C268" s="131">
        <v>1</v>
      </c>
      <c r="D268" s="75">
        <v>776</v>
      </c>
      <c r="E268" s="75">
        <v>0</v>
      </c>
      <c r="F268" s="75">
        <v>776</v>
      </c>
      <c r="G268" s="75">
        <v>6</v>
      </c>
      <c r="H268" s="75">
        <v>768</v>
      </c>
      <c r="I268" s="75">
        <v>0</v>
      </c>
      <c r="J268" s="83">
        <v>774</v>
      </c>
      <c r="K268" s="83">
        <v>0</v>
      </c>
      <c r="L268" s="132">
        <v>780</v>
      </c>
      <c r="M268" s="83">
        <v>16083.2</v>
      </c>
      <c r="N268" s="83">
        <v>14985.7</v>
      </c>
      <c r="O268" s="75">
        <v>15991.5</v>
      </c>
      <c r="P268" s="75">
        <v>14892.1</v>
      </c>
      <c r="Q268" s="75">
        <v>15847.8</v>
      </c>
      <c r="R268" s="75">
        <v>14761.3</v>
      </c>
      <c r="S268" s="75">
        <v>16164.7</v>
      </c>
      <c r="T268" s="75">
        <v>14912.3</v>
      </c>
      <c r="U268" s="75">
        <v>15993.9</v>
      </c>
      <c r="V268" s="75">
        <v>14895</v>
      </c>
      <c r="X268" s="27">
        <f>Table25[[#This Row],[HDC1]]/Table25[[#This Row],[HCC1]]</f>
        <v>0.93176109231993631</v>
      </c>
      <c r="Y268" s="27">
        <f>Table25[[#This Row],[HDC2]]/Table25[[#This Row],[HCC2]]</f>
        <v>0.93125097708157456</v>
      </c>
      <c r="Z268" s="27">
        <f>Table25[[#This Row],[HDC3]]/Table25[[#This Row],[HCC3]]</f>
        <v>0.93144158810686661</v>
      </c>
      <c r="AA268" s="27">
        <f>Table25[[#This Row],[HDC4]]/Table25[[#This Row],[HCC4]]</f>
        <v>0.92252253366904424</v>
      </c>
      <c r="AB268" s="27">
        <f>Table25[[#This Row],[HDC5]]/Table25[[#This Row],[HCC5]]</f>
        <v>0.93129255528670307</v>
      </c>
    </row>
    <row r="269" spans="1:28" ht="15">
      <c r="A269" t="s">
        <v>57</v>
      </c>
      <c r="B269" s="85" t="s">
        <v>674</v>
      </c>
      <c r="C269" s="131">
        <v>17</v>
      </c>
      <c r="D269" s="75">
        <v>756</v>
      </c>
      <c r="E269" s="75">
        <v>20</v>
      </c>
      <c r="F269" s="75">
        <v>736</v>
      </c>
      <c r="G269" s="75">
        <v>1</v>
      </c>
      <c r="H269" s="75">
        <v>744</v>
      </c>
      <c r="I269" s="75">
        <v>19</v>
      </c>
      <c r="J269" s="83">
        <v>740</v>
      </c>
      <c r="K269" s="83">
        <v>21</v>
      </c>
      <c r="L269" s="132">
        <v>733</v>
      </c>
      <c r="M269" s="83">
        <v>17629.7</v>
      </c>
      <c r="N269" s="83">
        <v>16515</v>
      </c>
      <c r="O269" s="75">
        <v>18424.599999999999</v>
      </c>
      <c r="P269" s="75">
        <v>17129.099999999999</v>
      </c>
      <c r="Q269" s="75">
        <v>17941.7</v>
      </c>
      <c r="R269" s="75">
        <v>16798.7</v>
      </c>
      <c r="S269" s="75">
        <v>17894.099999999999</v>
      </c>
      <c r="T269" s="75">
        <v>16733.599999999999</v>
      </c>
      <c r="U269" s="75">
        <v>18463.900000000001</v>
      </c>
      <c r="V269" s="75">
        <v>17221.3</v>
      </c>
      <c r="X269" s="27">
        <f>Table25[[#This Row],[HDC1]]/Table25[[#This Row],[HCC1]]</f>
        <v>0.93677147087017931</v>
      </c>
      <c r="Y269" s="27">
        <f>Table25[[#This Row],[HDC2]]/Table25[[#This Row],[HCC2]]</f>
        <v>0.92968639753373206</v>
      </c>
      <c r="Z269" s="27">
        <f>Table25[[#This Row],[HDC3]]/Table25[[#This Row],[HCC3]]</f>
        <v>0.93629366225051136</v>
      </c>
      <c r="AA269" s="27">
        <f>Table25[[#This Row],[HDC4]]/Table25[[#This Row],[HCC4]]</f>
        <v>0.93514622138023151</v>
      </c>
      <c r="AB269" s="27">
        <f>Table25[[#This Row],[HDC5]]/Table25[[#This Row],[HCC5]]</f>
        <v>0.93270110864985178</v>
      </c>
    </row>
    <row r="270" spans="1:28" ht="15">
      <c r="A270" t="s">
        <v>58</v>
      </c>
      <c r="B270" s="85" t="s">
        <v>675</v>
      </c>
      <c r="C270" s="131">
        <v>124</v>
      </c>
      <c r="D270" s="75">
        <v>637</v>
      </c>
      <c r="E270" s="75">
        <v>121</v>
      </c>
      <c r="F270" s="75">
        <v>647</v>
      </c>
      <c r="G270" s="75">
        <v>125</v>
      </c>
      <c r="H270" s="75">
        <v>644</v>
      </c>
      <c r="I270" s="75">
        <v>126</v>
      </c>
      <c r="J270" s="83">
        <v>642</v>
      </c>
      <c r="K270" s="83">
        <v>120</v>
      </c>
      <c r="L270" s="132">
        <v>648</v>
      </c>
      <c r="M270" s="83">
        <v>7691.8</v>
      </c>
      <c r="N270" s="83">
        <v>6798.6</v>
      </c>
      <c r="O270" s="75">
        <v>7621.3</v>
      </c>
      <c r="P270" s="75">
        <v>6727.3</v>
      </c>
      <c r="Q270" s="75">
        <v>7560.5</v>
      </c>
      <c r="R270" s="75">
        <v>6676.1</v>
      </c>
      <c r="S270" s="75">
        <v>7529.9</v>
      </c>
      <c r="T270" s="75">
        <v>6649.7</v>
      </c>
      <c r="U270" s="75">
        <v>7646.4</v>
      </c>
      <c r="V270" s="75">
        <v>6752.7</v>
      </c>
      <c r="X270" s="27">
        <f>Table25[[#This Row],[HDC1]]/Table25[[#This Row],[HCC1]]</f>
        <v>0.88387633583816538</v>
      </c>
      <c r="Y270" s="27">
        <f>Table25[[#This Row],[HDC2]]/Table25[[#This Row],[HCC2]]</f>
        <v>0.88269717764685818</v>
      </c>
      <c r="Z270" s="27">
        <f>Table25[[#This Row],[HDC3]]/Table25[[#This Row],[HCC3]]</f>
        <v>0.88302360954963299</v>
      </c>
      <c r="AA270" s="27">
        <f>Table25[[#This Row],[HDC4]]/Table25[[#This Row],[HCC4]]</f>
        <v>0.88310601734418781</v>
      </c>
      <c r="AB270" s="27">
        <f>Table25[[#This Row],[HDC5]]/Table25[[#This Row],[HCC5]]</f>
        <v>0.88312146892655374</v>
      </c>
    </row>
    <row r="271" spans="1:28" ht="15">
      <c r="A271" t="s">
        <v>59</v>
      </c>
      <c r="B271" s="85" t="s">
        <v>676</v>
      </c>
      <c r="C271" s="131">
        <v>130</v>
      </c>
      <c r="D271" s="75">
        <v>639</v>
      </c>
      <c r="E271" s="75">
        <v>125</v>
      </c>
      <c r="F271" s="75">
        <v>643</v>
      </c>
      <c r="G271" s="75">
        <v>135</v>
      </c>
      <c r="H271" s="75">
        <v>634</v>
      </c>
      <c r="I271" s="75">
        <v>119</v>
      </c>
      <c r="J271" s="83">
        <v>644</v>
      </c>
      <c r="K271" s="83">
        <v>131</v>
      </c>
      <c r="L271" s="132">
        <v>638</v>
      </c>
      <c r="M271" s="83">
        <v>8108.4</v>
      </c>
      <c r="N271" s="83">
        <v>8018.6</v>
      </c>
      <c r="O271" s="75">
        <v>9668.1</v>
      </c>
      <c r="P271" s="75">
        <v>8707.7000000000007</v>
      </c>
      <c r="Q271" s="75">
        <v>9582.7999999999993</v>
      </c>
      <c r="R271" s="75">
        <v>8659.2000000000007</v>
      </c>
      <c r="S271" s="75">
        <v>9700.4</v>
      </c>
      <c r="T271" s="75">
        <v>8729.2999999999993</v>
      </c>
      <c r="U271" s="75">
        <v>9633.2999999999993</v>
      </c>
      <c r="V271" s="75">
        <v>8682.6</v>
      </c>
      <c r="X271" s="27">
        <f>Table25[[#This Row],[HDC1]]/Table25[[#This Row],[HCC1]]</f>
        <v>0.98892506536431368</v>
      </c>
      <c r="Y271" s="27">
        <f>Table25[[#This Row],[HDC2]]/Table25[[#This Row],[HCC2]]</f>
        <v>0.90066300514061715</v>
      </c>
      <c r="Z271" s="27">
        <f>Table25[[#This Row],[HDC3]]/Table25[[#This Row],[HCC3]]</f>
        <v>0.90361898401302343</v>
      </c>
      <c r="AA271" s="27">
        <f>Table25[[#This Row],[HDC4]]/Table25[[#This Row],[HCC4]]</f>
        <v>0.89989072615562238</v>
      </c>
      <c r="AB271" s="27">
        <f>Table25[[#This Row],[HDC5]]/Table25[[#This Row],[HCC5]]</f>
        <v>0.90131107720095927</v>
      </c>
    </row>
    <row r="272" spans="1:28" ht="15">
      <c r="A272" t="s">
        <v>60</v>
      </c>
      <c r="B272" s="85" t="s">
        <v>677</v>
      </c>
      <c r="C272" s="131">
        <v>125</v>
      </c>
      <c r="D272" s="75">
        <v>636</v>
      </c>
      <c r="E272" s="75">
        <v>124</v>
      </c>
      <c r="F272" s="75">
        <v>641</v>
      </c>
      <c r="G272" s="75">
        <v>116</v>
      </c>
      <c r="H272" s="75">
        <v>644</v>
      </c>
      <c r="I272" s="75">
        <v>133</v>
      </c>
      <c r="J272" s="83">
        <v>627</v>
      </c>
      <c r="K272" s="83">
        <v>135</v>
      </c>
      <c r="L272" s="132">
        <v>638</v>
      </c>
      <c r="M272" s="83">
        <v>8365.4</v>
      </c>
      <c r="N272" s="83">
        <v>7454.6</v>
      </c>
      <c r="O272" s="75">
        <v>4612.8999999999996</v>
      </c>
      <c r="P272" s="75">
        <v>4680.2</v>
      </c>
      <c r="Q272" s="75">
        <v>8306.2999999999993</v>
      </c>
      <c r="R272" s="75">
        <v>7410.3</v>
      </c>
      <c r="S272" s="75">
        <v>8255.4</v>
      </c>
      <c r="T272" s="75">
        <v>7363.5</v>
      </c>
      <c r="U272" s="75">
        <v>8266.4</v>
      </c>
      <c r="V272" s="75">
        <v>7369.2</v>
      </c>
      <c r="X272" s="27">
        <f>Table25[[#This Row],[HDC1]]/Table25[[#This Row],[HCC1]]</f>
        <v>0.89112295885432857</v>
      </c>
      <c r="Y272" s="27">
        <f>Table25[[#This Row],[HDC2]]/Table25[[#This Row],[HCC2]]</f>
        <v>1.0145895206919726</v>
      </c>
      <c r="Z272" s="27">
        <f>Table25[[#This Row],[HDC3]]/Table25[[#This Row],[HCC3]]</f>
        <v>0.89213006994690791</v>
      </c>
      <c r="AA272" s="27">
        <f>Table25[[#This Row],[HDC4]]/Table25[[#This Row],[HCC4]]</f>
        <v>0.89196162511810451</v>
      </c>
      <c r="AB272" s="27">
        <f>Table25[[#This Row],[HDC5]]/Table25[[#This Row],[HCC5]]</f>
        <v>0.89146424078196074</v>
      </c>
    </row>
    <row r="273" spans="1:28" ht="15">
      <c r="A273" t="s">
        <v>61</v>
      </c>
      <c r="B273" s="85" t="s">
        <v>678</v>
      </c>
      <c r="C273" s="131">
        <v>118</v>
      </c>
      <c r="D273" s="75">
        <v>633</v>
      </c>
      <c r="E273" s="75">
        <v>121</v>
      </c>
      <c r="F273" s="75">
        <v>631</v>
      </c>
      <c r="G273" s="75">
        <v>115</v>
      </c>
      <c r="H273" s="75">
        <v>639</v>
      </c>
      <c r="I273" s="75">
        <v>123</v>
      </c>
      <c r="J273" s="83">
        <v>634</v>
      </c>
      <c r="K273" s="83">
        <v>122</v>
      </c>
      <c r="L273" s="132">
        <v>629</v>
      </c>
      <c r="M273" s="83">
        <v>14445.6</v>
      </c>
      <c r="N273" s="83">
        <v>13251.8</v>
      </c>
      <c r="O273" s="75">
        <v>14299.8</v>
      </c>
      <c r="P273" s="75">
        <v>13150.1</v>
      </c>
      <c r="Q273" s="75">
        <v>14226.4</v>
      </c>
      <c r="R273" s="75">
        <v>13075.7</v>
      </c>
      <c r="S273" s="75">
        <v>14237</v>
      </c>
      <c r="T273" s="75">
        <v>13090.2</v>
      </c>
      <c r="U273" s="75">
        <v>14262.4</v>
      </c>
      <c r="V273" s="75">
        <v>13121.9</v>
      </c>
      <c r="X273" s="27">
        <f>Table25[[#This Row],[HDC1]]/Table25[[#This Row],[HCC1]]</f>
        <v>0.9173589189787893</v>
      </c>
      <c r="Y273" s="27">
        <f>Table25[[#This Row],[HDC2]]/Table25[[#This Row],[HCC2]]</f>
        <v>0.91960027412970813</v>
      </c>
      <c r="Z273" s="27">
        <f>Table25[[#This Row],[HDC3]]/Table25[[#This Row],[HCC3]]</f>
        <v>0.9191151661699376</v>
      </c>
      <c r="AA273" s="27">
        <f>Table25[[#This Row],[HDC4]]/Table25[[#This Row],[HCC4]]</f>
        <v>0.91944932218866338</v>
      </c>
      <c r="AB273" s="27">
        <f>Table25[[#This Row],[HDC5]]/Table25[[#This Row],[HCC5]]</f>
        <v>0.9200344962979583</v>
      </c>
    </row>
    <row r="274" spans="1:28" ht="15">
      <c r="A274" t="s">
        <v>62</v>
      </c>
      <c r="B274" s="85" t="s">
        <v>679</v>
      </c>
      <c r="C274" s="131">
        <v>132</v>
      </c>
      <c r="D274" s="75">
        <v>636</v>
      </c>
      <c r="E274" s="75">
        <v>134</v>
      </c>
      <c r="F274" s="75">
        <v>633</v>
      </c>
      <c r="G274" s="75">
        <v>126</v>
      </c>
      <c r="H274" s="75">
        <v>640</v>
      </c>
      <c r="I274" s="75">
        <v>135</v>
      </c>
      <c r="J274" s="83">
        <v>632</v>
      </c>
      <c r="K274" s="83">
        <v>134</v>
      </c>
      <c r="L274" s="132">
        <v>633</v>
      </c>
      <c r="M274" s="83">
        <v>20126.5</v>
      </c>
      <c r="N274" s="83">
        <v>18813.900000000001</v>
      </c>
      <c r="O274" s="75">
        <v>20053.900000000001</v>
      </c>
      <c r="P274" s="75">
        <v>18807.400000000001</v>
      </c>
      <c r="Q274" s="75">
        <v>19959.900000000001</v>
      </c>
      <c r="R274" s="75">
        <v>18691.7</v>
      </c>
      <c r="S274" s="75">
        <v>19163.3</v>
      </c>
      <c r="T274" s="75">
        <v>18639.7</v>
      </c>
      <c r="U274" s="75">
        <v>20007.900000000001</v>
      </c>
      <c r="V274" s="75">
        <v>18727.7</v>
      </c>
      <c r="X274" s="27">
        <f>Table25[[#This Row],[HDC1]]/Table25[[#This Row],[HCC1]]</f>
        <v>0.93478250068317892</v>
      </c>
      <c r="Y274" s="27">
        <f>Table25[[#This Row],[HDC2]]/Table25[[#This Row],[HCC2]]</f>
        <v>0.93784251442362832</v>
      </c>
      <c r="Z274" s="27">
        <f>Table25[[#This Row],[HDC3]]/Table25[[#This Row],[HCC3]]</f>
        <v>0.93646260752809385</v>
      </c>
      <c r="AA274" s="27">
        <f>Table25[[#This Row],[HDC4]]/Table25[[#This Row],[HCC4]]</f>
        <v>0.97267693977550851</v>
      </c>
      <c r="AB274" s="27">
        <f>Table25[[#This Row],[HDC5]]/Table25[[#This Row],[HCC5]]</f>
        <v>0.93601527396678308</v>
      </c>
    </row>
    <row r="275" spans="1:28" ht="15">
      <c r="A275" t="s">
        <v>63</v>
      </c>
      <c r="B275" s="85" t="s">
        <v>680</v>
      </c>
      <c r="C275" s="131">
        <v>129</v>
      </c>
      <c r="D275" s="75">
        <v>629</v>
      </c>
      <c r="E275" s="75">
        <v>117</v>
      </c>
      <c r="F275" s="75">
        <v>640</v>
      </c>
      <c r="G275" s="75">
        <v>133</v>
      </c>
      <c r="H275" s="75">
        <v>622</v>
      </c>
      <c r="I275" s="75">
        <v>133</v>
      </c>
      <c r="J275" s="83">
        <v>622</v>
      </c>
      <c r="K275" s="83">
        <v>126</v>
      </c>
      <c r="L275" s="132">
        <v>629</v>
      </c>
      <c r="M275" s="83">
        <v>17315.400000000001</v>
      </c>
      <c r="N275" s="83">
        <v>17555.8</v>
      </c>
      <c r="O275" s="75">
        <v>20851</v>
      </c>
      <c r="P275" s="75">
        <v>19505.8</v>
      </c>
      <c r="Q275" s="75">
        <v>20787.3</v>
      </c>
      <c r="R275" s="75">
        <v>19418.2</v>
      </c>
      <c r="S275" s="75">
        <v>20826.900000000001</v>
      </c>
      <c r="T275" s="75">
        <v>19459.599999999999</v>
      </c>
      <c r="U275" s="75">
        <v>20813.8</v>
      </c>
      <c r="V275" s="75">
        <v>19502</v>
      </c>
      <c r="X275" s="27">
        <f>Table25[[#This Row],[HDC1]]/Table25[[#This Row],[HCC1]]</f>
        <v>1.0138835949501599</v>
      </c>
      <c r="Y275" s="27">
        <f>Table25[[#This Row],[HDC2]]/Table25[[#This Row],[HCC2]]</f>
        <v>0.93548510862788348</v>
      </c>
      <c r="Z275" s="27">
        <f>Table25[[#This Row],[HDC3]]/Table25[[#This Row],[HCC3]]</f>
        <v>0.93413767059695108</v>
      </c>
      <c r="AA275" s="27">
        <f>Table25[[#This Row],[HDC4]]/Table25[[#This Row],[HCC4]]</f>
        <v>0.93434932707219975</v>
      </c>
      <c r="AB275" s="27">
        <f>Table25[[#This Row],[HDC5]]/Table25[[#This Row],[HCC5]]</f>
        <v>0.93697450729804266</v>
      </c>
    </row>
    <row r="276" spans="1:28" ht="15">
      <c r="A276" t="s">
        <v>64</v>
      </c>
      <c r="B276" s="85" t="s">
        <v>681</v>
      </c>
      <c r="C276" s="131">
        <v>134</v>
      </c>
      <c r="D276" s="75">
        <v>627</v>
      </c>
      <c r="E276" s="75">
        <v>117</v>
      </c>
      <c r="F276" s="75">
        <v>640</v>
      </c>
      <c r="G276" s="75">
        <v>134</v>
      </c>
      <c r="H276" s="75">
        <v>634</v>
      </c>
      <c r="I276" s="75">
        <v>138</v>
      </c>
      <c r="J276" s="83">
        <v>629</v>
      </c>
      <c r="K276" s="83">
        <v>138</v>
      </c>
      <c r="L276" s="132">
        <v>630</v>
      </c>
      <c r="M276" s="83">
        <v>14736.3</v>
      </c>
      <c r="N276" s="83">
        <v>14113.2</v>
      </c>
      <c r="O276" s="75">
        <v>14588</v>
      </c>
      <c r="P276" s="75">
        <v>13957.5</v>
      </c>
      <c r="Q276" s="75">
        <v>15182.5</v>
      </c>
      <c r="R276" s="75">
        <v>14024.5</v>
      </c>
      <c r="S276" s="75">
        <v>14635.9</v>
      </c>
      <c r="T276" s="75">
        <v>14059</v>
      </c>
      <c r="U276" s="75">
        <v>15261.5</v>
      </c>
      <c r="V276" s="75">
        <v>14127.2</v>
      </c>
      <c r="X276" s="27">
        <f>Table25[[#This Row],[HDC1]]/Table25[[#This Row],[HCC1]]</f>
        <v>0.95771665886280821</v>
      </c>
      <c r="Y276" s="27">
        <f>Table25[[#This Row],[HDC2]]/Table25[[#This Row],[HCC2]]</f>
        <v>0.95677954483136829</v>
      </c>
      <c r="Z276" s="27">
        <f>Table25[[#This Row],[HDC3]]/Table25[[#This Row],[HCC3]]</f>
        <v>0.92372797628849002</v>
      </c>
      <c r="AA276" s="27">
        <f>Table25[[#This Row],[HDC4]]/Table25[[#This Row],[HCC4]]</f>
        <v>0.96058322344372404</v>
      </c>
      <c r="AB276" s="27">
        <f>Table25[[#This Row],[HDC5]]/Table25[[#This Row],[HCC5]]</f>
        <v>0.92567571994889108</v>
      </c>
    </row>
    <row r="277" spans="1:28" ht="15">
      <c r="A277" t="s">
        <v>65</v>
      </c>
      <c r="B277" s="85" t="s">
        <v>682</v>
      </c>
      <c r="C277" s="131">
        <v>116</v>
      </c>
      <c r="D277" s="75">
        <v>632</v>
      </c>
      <c r="E277" s="75">
        <v>109</v>
      </c>
      <c r="F277" s="75">
        <v>638</v>
      </c>
      <c r="G277" s="75">
        <v>127</v>
      </c>
      <c r="H277" s="75">
        <v>617</v>
      </c>
      <c r="I277" s="75">
        <v>130</v>
      </c>
      <c r="J277" s="83">
        <v>612</v>
      </c>
      <c r="K277" s="83">
        <v>120</v>
      </c>
      <c r="L277" s="132">
        <v>628</v>
      </c>
      <c r="M277" s="83">
        <v>13505.8</v>
      </c>
      <c r="N277" s="83">
        <v>13069.9</v>
      </c>
      <c r="O277" s="75">
        <v>13802</v>
      </c>
      <c r="P277" s="75">
        <v>12777.2</v>
      </c>
      <c r="Q277" s="75">
        <v>13684.4</v>
      </c>
      <c r="R277" s="75">
        <v>12685.7</v>
      </c>
      <c r="S277" s="75">
        <v>12907</v>
      </c>
      <c r="T277" s="75">
        <v>12702</v>
      </c>
      <c r="U277" s="75">
        <v>13051.3</v>
      </c>
      <c r="V277" s="75">
        <v>12819</v>
      </c>
      <c r="X277" s="27">
        <f>Table25[[#This Row],[HDC1]]/Table25[[#This Row],[HCC1]]</f>
        <v>0.96772497741710972</v>
      </c>
      <c r="Y277" s="27">
        <f>Table25[[#This Row],[HDC2]]/Table25[[#This Row],[HCC2]]</f>
        <v>0.92574989132009855</v>
      </c>
      <c r="Z277" s="27">
        <f>Table25[[#This Row],[HDC3]]/Table25[[#This Row],[HCC3]]</f>
        <v>0.92701908742802031</v>
      </c>
      <c r="AA277" s="27">
        <f>Table25[[#This Row],[HDC4]]/Table25[[#This Row],[HCC4]]</f>
        <v>0.98411714573487252</v>
      </c>
      <c r="AB277" s="27">
        <f>Table25[[#This Row],[HDC5]]/Table25[[#This Row],[HCC5]]</f>
        <v>0.98220100679625788</v>
      </c>
    </row>
    <row r="278" spans="1:28" ht="15">
      <c r="A278" t="s">
        <v>66</v>
      </c>
      <c r="B278" s="85" t="s">
        <v>683</v>
      </c>
      <c r="C278" s="131">
        <v>129</v>
      </c>
      <c r="D278" s="75">
        <v>636</v>
      </c>
      <c r="E278" s="75">
        <v>131</v>
      </c>
      <c r="F278" s="75">
        <v>633</v>
      </c>
      <c r="G278" s="75">
        <v>131</v>
      </c>
      <c r="H278" s="75">
        <v>638</v>
      </c>
      <c r="I278" s="75">
        <v>134</v>
      </c>
      <c r="J278" s="83">
        <v>629</v>
      </c>
      <c r="K278" s="83">
        <v>115</v>
      </c>
      <c r="L278" s="132">
        <v>643</v>
      </c>
      <c r="M278" s="83">
        <v>22243.3</v>
      </c>
      <c r="N278" s="83">
        <v>21797.8</v>
      </c>
      <c r="O278" s="75">
        <v>22621.4</v>
      </c>
      <c r="P278" s="75">
        <v>21336.3</v>
      </c>
      <c r="Q278" s="75">
        <v>22525.9</v>
      </c>
      <c r="R278" s="75">
        <v>21206.1</v>
      </c>
      <c r="S278" s="75">
        <v>22553.4</v>
      </c>
      <c r="T278" s="75">
        <v>21190.3</v>
      </c>
      <c r="U278" s="75">
        <v>22724.1</v>
      </c>
      <c r="V278" s="75">
        <v>21481.5</v>
      </c>
      <c r="X278" s="27">
        <f>Table25[[#This Row],[HDC1]]/Table25[[#This Row],[HCC1]]</f>
        <v>0.97997149703506226</v>
      </c>
      <c r="Y278" s="27">
        <f>Table25[[#This Row],[HDC2]]/Table25[[#This Row],[HCC2]]</f>
        <v>0.94319096077165865</v>
      </c>
      <c r="Z278" s="27">
        <f>Table25[[#This Row],[HDC3]]/Table25[[#This Row],[HCC3]]</f>
        <v>0.94140966620645561</v>
      </c>
      <c r="AA278" s="27">
        <f>Table25[[#This Row],[HDC4]]/Table25[[#This Row],[HCC4]]</f>
        <v>0.93956121915099267</v>
      </c>
      <c r="AB278" s="27">
        <f>Table25[[#This Row],[HDC5]]/Table25[[#This Row],[HCC5]]</f>
        <v>0.94531796638810783</v>
      </c>
    </row>
    <row r="279" spans="1:28" ht="15">
      <c r="A279" t="s">
        <v>67</v>
      </c>
      <c r="B279" s="85" t="s">
        <v>684</v>
      </c>
      <c r="C279" s="131">
        <v>126</v>
      </c>
      <c r="D279" s="75">
        <v>638</v>
      </c>
      <c r="E279" s="75">
        <v>132</v>
      </c>
      <c r="F279" s="75">
        <v>626</v>
      </c>
      <c r="G279" s="75">
        <v>114</v>
      </c>
      <c r="H279" s="75">
        <v>641</v>
      </c>
      <c r="I279" s="75">
        <v>125</v>
      </c>
      <c r="J279" s="83">
        <v>637</v>
      </c>
      <c r="K279" s="83">
        <v>126</v>
      </c>
      <c r="L279" s="132">
        <v>634</v>
      </c>
      <c r="M279" s="83">
        <v>23262.6</v>
      </c>
      <c r="N279" s="83">
        <v>21931</v>
      </c>
      <c r="O279" s="75">
        <v>22817.8</v>
      </c>
      <c r="P279" s="75">
        <v>21393.7</v>
      </c>
      <c r="Q279" s="75">
        <v>23195.4</v>
      </c>
      <c r="R279" s="75">
        <v>21760.5</v>
      </c>
      <c r="S279" s="75">
        <v>22582</v>
      </c>
      <c r="T279" s="75">
        <v>21285.9</v>
      </c>
      <c r="U279" s="75">
        <v>22977.4</v>
      </c>
      <c r="V279" s="75">
        <v>21588</v>
      </c>
      <c r="X279" s="27">
        <f>Table25[[#This Row],[HDC1]]/Table25[[#This Row],[HCC1]]</f>
        <v>0.94275790324383346</v>
      </c>
      <c r="Y279" s="27">
        <f>Table25[[#This Row],[HDC2]]/Table25[[#This Row],[HCC2]]</f>
        <v>0.93758819868699006</v>
      </c>
      <c r="Z279" s="27">
        <f>Table25[[#This Row],[HDC3]]/Table25[[#This Row],[HCC3]]</f>
        <v>0.93813859644584696</v>
      </c>
      <c r="AA279" s="27">
        <f>Table25[[#This Row],[HDC4]]/Table25[[#This Row],[HCC4]]</f>
        <v>0.94260472943051998</v>
      </c>
      <c r="AB279" s="27">
        <f>Table25[[#This Row],[HDC5]]/Table25[[#This Row],[HCC5]]</f>
        <v>0.93953188785502273</v>
      </c>
    </row>
    <row r="280" spans="1:28" ht="15">
      <c r="A280" t="s">
        <v>68</v>
      </c>
      <c r="B280" s="85" t="s">
        <v>685</v>
      </c>
      <c r="C280" s="131">
        <v>130</v>
      </c>
      <c r="D280" s="75">
        <v>629</v>
      </c>
      <c r="E280" s="75">
        <v>120</v>
      </c>
      <c r="F280" s="75">
        <v>639</v>
      </c>
      <c r="G280" s="75">
        <v>129</v>
      </c>
      <c r="H280" s="75">
        <v>631</v>
      </c>
      <c r="I280" s="75">
        <v>128</v>
      </c>
      <c r="J280" s="83">
        <v>632</v>
      </c>
      <c r="K280" s="83">
        <v>129</v>
      </c>
      <c r="L280" s="132">
        <v>631</v>
      </c>
      <c r="M280" s="83">
        <v>22683.200000000001</v>
      </c>
      <c r="N280" s="83">
        <v>21276.799999999999</v>
      </c>
      <c r="O280" s="75">
        <v>21909.9</v>
      </c>
      <c r="P280" s="75">
        <v>21368</v>
      </c>
      <c r="Q280" s="75">
        <v>22525.3</v>
      </c>
      <c r="R280" s="75">
        <v>21250.5</v>
      </c>
      <c r="S280" s="75">
        <v>22985.7</v>
      </c>
      <c r="T280" s="75">
        <v>21598.6</v>
      </c>
      <c r="U280" s="75">
        <v>22783</v>
      </c>
      <c r="V280" s="75">
        <v>21467.4</v>
      </c>
      <c r="X280" s="27">
        <f>Table25[[#This Row],[HDC1]]/Table25[[#This Row],[HCC1]]</f>
        <v>0.93799816604359165</v>
      </c>
      <c r="Y280" s="27">
        <f>Table25[[#This Row],[HDC2]]/Table25[[#This Row],[HCC2]]</f>
        <v>0.97526688848420118</v>
      </c>
      <c r="Z280" s="27">
        <f>Table25[[#This Row],[HDC3]]/Table25[[#This Row],[HCC3]]</f>
        <v>0.94340585918944475</v>
      </c>
      <c r="AA280" s="27">
        <f>Table25[[#This Row],[HDC4]]/Table25[[#This Row],[HCC4]]</f>
        <v>0.93965378474442796</v>
      </c>
      <c r="AB280" s="27">
        <f>Table25[[#This Row],[HDC5]]/Table25[[#This Row],[HCC5]]</f>
        <v>0.94225519027344962</v>
      </c>
    </row>
    <row r="281" spans="1:28" ht="15">
      <c r="A281" t="s">
        <v>69</v>
      </c>
      <c r="B281" s="85" t="s">
        <v>686</v>
      </c>
      <c r="C281" s="131">
        <v>120</v>
      </c>
      <c r="D281" s="75">
        <v>641</v>
      </c>
      <c r="E281" s="75">
        <v>132</v>
      </c>
      <c r="F281" s="75">
        <v>631</v>
      </c>
      <c r="G281" s="75">
        <v>130</v>
      </c>
      <c r="H281" s="75">
        <v>629</v>
      </c>
      <c r="I281" s="75">
        <v>130</v>
      </c>
      <c r="J281" s="83">
        <v>633</v>
      </c>
      <c r="K281" s="83">
        <v>133</v>
      </c>
      <c r="L281" s="132">
        <v>633</v>
      </c>
      <c r="M281" s="83">
        <v>22134.2</v>
      </c>
      <c r="N281" s="83">
        <v>21592.3</v>
      </c>
      <c r="O281" s="75">
        <v>21808.7</v>
      </c>
      <c r="P281" s="75">
        <v>20622.7</v>
      </c>
      <c r="Q281" s="75">
        <v>21427.5</v>
      </c>
      <c r="R281" s="75">
        <v>20868.2</v>
      </c>
      <c r="S281" s="75">
        <v>21898.2</v>
      </c>
      <c r="T281" s="75">
        <v>21369.8</v>
      </c>
      <c r="U281" s="75">
        <v>21687.200000000001</v>
      </c>
      <c r="V281" s="75">
        <v>20408.599999999999</v>
      </c>
      <c r="X281" s="27">
        <f>Table25[[#This Row],[HDC1]]/Table25[[#This Row],[HCC1]]</f>
        <v>0.97551752491619292</v>
      </c>
      <c r="Y281" s="27">
        <f>Table25[[#This Row],[HDC2]]/Table25[[#This Row],[HCC2]]</f>
        <v>0.94561803317024862</v>
      </c>
      <c r="Z281" s="27">
        <f>Table25[[#This Row],[HDC3]]/Table25[[#This Row],[HCC3]]</f>
        <v>0.97389802823474514</v>
      </c>
      <c r="AA281" s="27">
        <f>Table25[[#This Row],[HDC4]]/Table25[[#This Row],[HCC4]]</f>
        <v>0.97587016284443462</v>
      </c>
      <c r="AB281" s="27">
        <f>Table25[[#This Row],[HDC5]]/Table25[[#This Row],[HCC5]]</f>
        <v>0.94104356486775598</v>
      </c>
    </row>
    <row r="282" spans="1:28" ht="15">
      <c r="A282" t="s">
        <v>70</v>
      </c>
      <c r="B282" s="85" t="s">
        <v>687</v>
      </c>
      <c r="C282" s="131">
        <v>135</v>
      </c>
      <c r="D282" s="75">
        <v>637</v>
      </c>
      <c r="E282" s="75">
        <v>134</v>
      </c>
      <c r="F282" s="75">
        <v>634</v>
      </c>
      <c r="G282" s="75">
        <v>133</v>
      </c>
      <c r="H282" s="75">
        <v>635</v>
      </c>
      <c r="I282" s="75">
        <v>134</v>
      </c>
      <c r="J282" s="83">
        <v>634</v>
      </c>
      <c r="K282" s="83">
        <v>116</v>
      </c>
      <c r="L282" s="132">
        <v>640</v>
      </c>
      <c r="M282" s="83">
        <v>22860.2</v>
      </c>
      <c r="N282" s="83">
        <v>21515.9</v>
      </c>
      <c r="O282" s="75">
        <v>23145.599999999999</v>
      </c>
      <c r="P282" s="75">
        <v>21792.799999999999</v>
      </c>
      <c r="Q282" s="75">
        <v>22791</v>
      </c>
      <c r="R282" s="75">
        <v>21484.9</v>
      </c>
      <c r="S282" s="75">
        <v>22821.5</v>
      </c>
      <c r="T282" s="75">
        <v>21646.1</v>
      </c>
      <c r="U282" s="75">
        <v>22804.400000000001</v>
      </c>
      <c r="V282" s="75">
        <v>21453.9</v>
      </c>
      <c r="X282" s="27">
        <f>Table25[[#This Row],[HDC1]]/Table25[[#This Row],[HCC1]]</f>
        <v>0.9411947402034978</v>
      </c>
      <c r="Y282" s="27">
        <f>Table25[[#This Row],[HDC2]]/Table25[[#This Row],[HCC2]]</f>
        <v>0.94155260611088076</v>
      </c>
      <c r="Z282" s="27">
        <f>Table25[[#This Row],[HDC3]]/Table25[[#This Row],[HCC3]]</f>
        <v>0.94269229081655048</v>
      </c>
      <c r="AA282" s="27">
        <f>Table25[[#This Row],[HDC4]]/Table25[[#This Row],[HCC4]]</f>
        <v>0.94849593584996594</v>
      </c>
      <c r="AB282" s="27">
        <f>Table25[[#This Row],[HDC5]]/Table25[[#This Row],[HCC5]]</f>
        <v>0.94077897247899533</v>
      </c>
    </row>
    <row r="283" spans="1:28" ht="15">
      <c r="A283" t="s">
        <v>71</v>
      </c>
      <c r="B283" s="85" t="s">
        <v>688</v>
      </c>
      <c r="C283" s="131">
        <v>117</v>
      </c>
      <c r="D283" s="75">
        <v>645</v>
      </c>
      <c r="E283" s="75">
        <v>133</v>
      </c>
      <c r="F283" s="75">
        <v>640</v>
      </c>
      <c r="G283" s="75">
        <v>126</v>
      </c>
      <c r="H283" s="75">
        <v>637</v>
      </c>
      <c r="I283" s="75">
        <v>134</v>
      </c>
      <c r="J283" s="83">
        <v>639</v>
      </c>
      <c r="K283" s="83">
        <v>127</v>
      </c>
      <c r="L283" s="132">
        <v>637</v>
      </c>
      <c r="M283" s="83">
        <v>21916.7</v>
      </c>
      <c r="N283" s="83">
        <v>21259.7</v>
      </c>
      <c r="O283" s="75">
        <v>21885.200000000001</v>
      </c>
      <c r="P283" s="75">
        <v>21376.6</v>
      </c>
      <c r="Q283" s="75">
        <v>22896.1</v>
      </c>
      <c r="R283" s="75">
        <v>21560.9</v>
      </c>
      <c r="S283" s="75">
        <v>7154.3</v>
      </c>
      <c r="T283" s="75">
        <v>6611.8</v>
      </c>
      <c r="U283" s="75">
        <v>22462.9</v>
      </c>
      <c r="V283" s="75">
        <v>21237.7</v>
      </c>
      <c r="X283" s="27">
        <f>Table25[[#This Row],[HDC1]]/Table25[[#This Row],[HCC1]]</f>
        <v>0.97002285928082244</v>
      </c>
      <c r="Y283" s="27">
        <f>Table25[[#This Row],[HDC2]]/Table25[[#This Row],[HCC2]]</f>
        <v>0.97676055050901966</v>
      </c>
      <c r="Z283" s="27">
        <f>Table25[[#This Row],[HDC3]]/Table25[[#This Row],[HCC3]]</f>
        <v>0.94168439166495621</v>
      </c>
      <c r="AA283" s="27">
        <f>Table25[[#This Row],[HDC4]]/Table25[[#This Row],[HCC4]]</f>
        <v>0.92417147729337601</v>
      </c>
      <c r="AB283" s="27">
        <f>Table25[[#This Row],[HDC5]]/Table25[[#This Row],[HCC5]]</f>
        <v>0.94545673087624482</v>
      </c>
    </row>
    <row r="284" spans="1:28" ht="15">
      <c r="A284" t="s">
        <v>72</v>
      </c>
      <c r="B284" s="85" t="s">
        <v>689</v>
      </c>
      <c r="C284" s="131">
        <v>114</v>
      </c>
      <c r="D284" s="75">
        <v>642</v>
      </c>
      <c r="E284" s="75">
        <v>124</v>
      </c>
      <c r="F284" s="75">
        <v>640</v>
      </c>
      <c r="G284" s="75">
        <v>122</v>
      </c>
      <c r="H284" s="75">
        <v>638</v>
      </c>
      <c r="I284" s="75">
        <v>123</v>
      </c>
      <c r="J284" s="83">
        <v>639</v>
      </c>
      <c r="K284" s="83">
        <v>132</v>
      </c>
      <c r="L284" s="132">
        <v>630</v>
      </c>
      <c r="M284" s="83">
        <v>22978.7</v>
      </c>
      <c r="N284" s="83">
        <v>21672.1</v>
      </c>
      <c r="O284" s="75">
        <v>23014</v>
      </c>
      <c r="P284" s="75">
        <v>21639.4</v>
      </c>
      <c r="Q284" s="75">
        <v>22911.9</v>
      </c>
      <c r="R284" s="75">
        <v>21600.799999999999</v>
      </c>
      <c r="S284" s="75">
        <v>22813.200000000001</v>
      </c>
      <c r="T284" s="75">
        <v>21538.799999999999</v>
      </c>
      <c r="U284" s="75">
        <v>22916.799999999999</v>
      </c>
      <c r="V284" s="75">
        <v>21618</v>
      </c>
      <c r="X284" s="27">
        <f>Table25[[#This Row],[HDC1]]/Table25[[#This Row],[HCC1]]</f>
        <v>0.94313864578936135</v>
      </c>
      <c r="Y284" s="27">
        <f>Table25[[#This Row],[HDC2]]/Table25[[#This Row],[HCC2]]</f>
        <v>0.94027113930650918</v>
      </c>
      <c r="Z284" s="27">
        <f>Table25[[#This Row],[HDC3]]/Table25[[#This Row],[HCC3]]</f>
        <v>0.94277646114028069</v>
      </c>
      <c r="AA284" s="27">
        <f>Table25[[#This Row],[HDC4]]/Table25[[#This Row],[HCC4]]</f>
        <v>0.94413760454473716</v>
      </c>
      <c r="AB284" s="27">
        <f>Table25[[#This Row],[HDC5]]/Table25[[#This Row],[HCC5]]</f>
        <v>0.94332542065209801</v>
      </c>
    </row>
    <row r="285" spans="1:28" ht="15">
      <c r="A285" t="s">
        <v>73</v>
      </c>
      <c r="B285" s="85" t="s">
        <v>690</v>
      </c>
      <c r="C285" s="131">
        <v>127</v>
      </c>
      <c r="D285" s="75">
        <v>642</v>
      </c>
      <c r="E285" s="75">
        <v>128</v>
      </c>
      <c r="F285" s="75">
        <v>640</v>
      </c>
      <c r="G285" s="75">
        <v>131</v>
      </c>
      <c r="H285" s="75">
        <v>627</v>
      </c>
      <c r="I285" s="75">
        <v>132</v>
      </c>
      <c r="J285" s="83">
        <v>628</v>
      </c>
      <c r="K285" s="83">
        <v>115</v>
      </c>
      <c r="L285" s="132">
        <v>637</v>
      </c>
      <c r="M285" s="83">
        <v>23169.599999999999</v>
      </c>
      <c r="N285" s="83">
        <v>21783</v>
      </c>
      <c r="O285" s="75">
        <v>22897.8</v>
      </c>
      <c r="P285" s="75">
        <v>21619.3</v>
      </c>
      <c r="Q285" s="75">
        <v>22699.4</v>
      </c>
      <c r="R285" s="75">
        <v>21433.1</v>
      </c>
      <c r="S285" s="75">
        <v>22889.8</v>
      </c>
      <c r="T285" s="75">
        <v>21608.7</v>
      </c>
      <c r="U285" s="75">
        <v>23088.2</v>
      </c>
      <c r="V285" s="75">
        <v>21746.799999999999</v>
      </c>
      <c r="X285" s="27">
        <f>Table25[[#This Row],[HDC1]]/Table25[[#This Row],[HCC1]]</f>
        <v>0.94015434016987787</v>
      </c>
      <c r="Y285" s="27">
        <f>Table25[[#This Row],[HDC2]]/Table25[[#This Row],[HCC2]]</f>
        <v>0.944164941610111</v>
      </c>
      <c r="Z285" s="27">
        <f>Table25[[#This Row],[HDC3]]/Table25[[#This Row],[HCC3]]</f>
        <v>0.94421438452117668</v>
      </c>
      <c r="AA285" s="27">
        <f>Table25[[#This Row],[HDC4]]/Table25[[#This Row],[HCC4]]</f>
        <v>0.94403183950930114</v>
      </c>
      <c r="AB285" s="27">
        <f>Table25[[#This Row],[HDC5]]/Table25[[#This Row],[HCC5]]</f>
        <v>0.94190105768314547</v>
      </c>
    </row>
    <row r="286" spans="1:28" ht="15">
      <c r="A286" t="s">
        <v>74</v>
      </c>
      <c r="B286" s="85" t="s">
        <v>691</v>
      </c>
      <c r="C286" s="131">
        <v>62</v>
      </c>
      <c r="D286" s="75">
        <v>708</v>
      </c>
      <c r="E286" s="75">
        <v>55</v>
      </c>
      <c r="F286" s="75">
        <v>707</v>
      </c>
      <c r="G286" s="75">
        <v>56</v>
      </c>
      <c r="H286" s="75">
        <v>707</v>
      </c>
      <c r="I286" s="75">
        <v>59</v>
      </c>
      <c r="J286" s="83">
        <v>702</v>
      </c>
      <c r="K286" s="83">
        <v>51</v>
      </c>
      <c r="L286" s="132">
        <v>704</v>
      </c>
      <c r="M286" s="83">
        <v>18385.599999999999</v>
      </c>
      <c r="N286" s="83">
        <v>17090.5</v>
      </c>
      <c r="O286" s="75">
        <v>18312.3</v>
      </c>
      <c r="P286" s="75">
        <v>17008.400000000001</v>
      </c>
      <c r="Q286" s="75">
        <v>17673.900000000001</v>
      </c>
      <c r="R286" s="75">
        <v>16397.8</v>
      </c>
      <c r="S286" s="75">
        <v>18142.7</v>
      </c>
      <c r="T286" s="75">
        <v>16830</v>
      </c>
      <c r="U286" s="75">
        <v>17422.400000000001</v>
      </c>
      <c r="V286" s="75">
        <v>16861.2</v>
      </c>
      <c r="X286" s="27">
        <f>Table25[[#This Row],[HDC1]]/Table25[[#This Row],[HCC1]]</f>
        <v>0.92955900269776359</v>
      </c>
      <c r="Y286" s="27">
        <f>Table25[[#This Row],[HDC2]]/Table25[[#This Row],[HCC2]]</f>
        <v>0.92879649197533909</v>
      </c>
      <c r="Z286" s="27">
        <f>Table25[[#This Row],[HDC3]]/Table25[[#This Row],[HCC3]]</f>
        <v>0.92779748668941198</v>
      </c>
      <c r="AA286" s="27">
        <f>Table25[[#This Row],[HDC4]]/Table25[[#This Row],[HCC4]]</f>
        <v>0.92764583000325196</v>
      </c>
      <c r="AB286" s="27">
        <f>Table25[[#This Row],[HDC5]]/Table25[[#This Row],[HCC5]]</f>
        <v>0.96778859399393879</v>
      </c>
    </row>
    <row r="287" spans="1:28" ht="15">
      <c r="A287" t="s">
        <v>75</v>
      </c>
      <c r="B287" s="85" t="s">
        <v>692</v>
      </c>
      <c r="C287" s="131">
        <v>58</v>
      </c>
      <c r="D287" s="75">
        <v>706</v>
      </c>
      <c r="E287" s="75">
        <v>50</v>
      </c>
      <c r="F287" s="75">
        <v>705</v>
      </c>
      <c r="G287" s="75">
        <v>50</v>
      </c>
      <c r="H287" s="75">
        <v>706</v>
      </c>
      <c r="I287" s="75">
        <v>56</v>
      </c>
      <c r="J287" s="83">
        <v>707</v>
      </c>
      <c r="K287" s="83">
        <v>61</v>
      </c>
      <c r="L287" s="132">
        <v>704</v>
      </c>
      <c r="M287" s="83">
        <v>21770.1</v>
      </c>
      <c r="N287" s="83">
        <v>20309.7</v>
      </c>
      <c r="O287" s="75">
        <v>21735</v>
      </c>
      <c r="P287" s="75">
        <v>20278.400000000001</v>
      </c>
      <c r="Q287" s="75">
        <v>19587.7</v>
      </c>
      <c r="R287" s="75">
        <v>18341</v>
      </c>
      <c r="S287" s="75">
        <v>21242.1</v>
      </c>
      <c r="T287" s="75">
        <v>19831.900000000001</v>
      </c>
      <c r="U287" s="75">
        <v>18889.5</v>
      </c>
      <c r="V287" s="75">
        <v>18305.599999999999</v>
      </c>
      <c r="X287" s="27">
        <f>Table25[[#This Row],[HDC1]]/Table25[[#This Row],[HCC1]]</f>
        <v>0.93291716620502441</v>
      </c>
      <c r="Y287" s="27">
        <f>Table25[[#This Row],[HDC2]]/Table25[[#This Row],[HCC2]]</f>
        <v>0.93298366689671042</v>
      </c>
      <c r="Z287" s="27">
        <f>Table25[[#This Row],[HDC3]]/Table25[[#This Row],[HCC3]]</f>
        <v>0.93635291534993892</v>
      </c>
      <c r="AA287" s="27">
        <f>Table25[[#This Row],[HDC4]]/Table25[[#This Row],[HCC4]]</f>
        <v>0.9336129667029156</v>
      </c>
      <c r="AB287" s="27">
        <f>Table25[[#This Row],[HDC5]]/Table25[[#This Row],[HCC5]]</f>
        <v>0.96908864713200449</v>
      </c>
    </row>
    <row r="288" spans="1:28" ht="15">
      <c r="A288" t="s">
        <v>76</v>
      </c>
      <c r="B288" s="85" t="s">
        <v>693</v>
      </c>
      <c r="C288" s="131">
        <v>50</v>
      </c>
      <c r="D288" s="75">
        <v>720</v>
      </c>
      <c r="E288" s="75">
        <v>58</v>
      </c>
      <c r="F288" s="75">
        <v>717</v>
      </c>
      <c r="G288" s="75">
        <v>59</v>
      </c>
      <c r="H288" s="75">
        <v>725</v>
      </c>
      <c r="I288" s="75">
        <v>58</v>
      </c>
      <c r="J288" s="83">
        <v>716</v>
      </c>
      <c r="K288" s="83">
        <v>58</v>
      </c>
      <c r="L288" s="132">
        <v>718</v>
      </c>
      <c r="M288" s="83">
        <v>19785.099999999999</v>
      </c>
      <c r="N288" s="83">
        <v>18388.099999999999</v>
      </c>
      <c r="O288" s="75">
        <v>19720.7</v>
      </c>
      <c r="P288" s="75">
        <v>18279.400000000001</v>
      </c>
      <c r="Q288" s="75">
        <v>19658.099999999999</v>
      </c>
      <c r="R288" s="75">
        <v>18267.7</v>
      </c>
      <c r="S288" s="75">
        <v>19569.900000000001</v>
      </c>
      <c r="T288" s="75">
        <v>18172.400000000001</v>
      </c>
      <c r="U288" s="75">
        <v>19156.5</v>
      </c>
      <c r="V288" s="75">
        <v>17801.900000000001</v>
      </c>
      <c r="X288" s="27">
        <f>Table25[[#This Row],[HDC1]]/Table25[[#This Row],[HCC1]]</f>
        <v>0.92939130962188721</v>
      </c>
      <c r="Y288" s="27">
        <f>Table25[[#This Row],[HDC2]]/Table25[[#This Row],[HCC2]]</f>
        <v>0.92691435902376695</v>
      </c>
      <c r="Z288" s="27">
        <f>Table25[[#This Row],[HDC3]]/Table25[[#This Row],[HCC3]]</f>
        <v>0.92927088579262507</v>
      </c>
      <c r="AA288" s="27">
        <f>Table25[[#This Row],[HDC4]]/Table25[[#This Row],[HCC4]]</f>
        <v>0.92858931317993454</v>
      </c>
      <c r="AB288" s="27">
        <f>Table25[[#This Row],[HDC5]]/Table25[[#This Row],[HCC5]]</f>
        <v>0.92928770913267045</v>
      </c>
    </row>
    <row r="289" spans="1:28" ht="15.75" thickBot="1">
      <c r="A289" t="s">
        <v>77</v>
      </c>
      <c r="B289" s="85" t="s">
        <v>694</v>
      </c>
      <c r="C289" s="133">
        <v>49</v>
      </c>
      <c r="D289" s="134">
        <v>706</v>
      </c>
      <c r="E289" s="134">
        <v>65</v>
      </c>
      <c r="F289" s="134">
        <v>705</v>
      </c>
      <c r="G289" s="134">
        <v>59</v>
      </c>
      <c r="H289" s="134">
        <v>711</v>
      </c>
      <c r="I289" s="134">
        <v>61</v>
      </c>
      <c r="J289" s="135">
        <v>709</v>
      </c>
      <c r="K289" s="135">
        <v>66</v>
      </c>
      <c r="L289" s="136">
        <v>700</v>
      </c>
      <c r="M289" s="83">
        <v>18857.2</v>
      </c>
      <c r="N289" s="83">
        <v>17539.599999999999</v>
      </c>
      <c r="O289" s="75">
        <v>18660.599999999999</v>
      </c>
      <c r="P289" s="75">
        <v>17377.099999999999</v>
      </c>
      <c r="Q289" s="75">
        <v>18780.099999999999</v>
      </c>
      <c r="R289" s="75">
        <v>17489</v>
      </c>
      <c r="S289" s="75">
        <v>18773.099999999999</v>
      </c>
      <c r="T289" s="75">
        <v>17449.400000000001</v>
      </c>
      <c r="U289" s="75">
        <v>18168.400000000001</v>
      </c>
      <c r="V289" s="75">
        <v>16914.7</v>
      </c>
      <c r="X289" s="27">
        <f>Table25[[#This Row],[HDC1]]/Table25[[#This Row],[HCC1]]</f>
        <v>0.9301274844621682</v>
      </c>
      <c r="Y289" s="27">
        <f>Table25[[#This Row],[HDC2]]/Table25[[#This Row],[HCC2]]</f>
        <v>0.93121871751176277</v>
      </c>
      <c r="Z289" s="27">
        <f>Table25[[#This Row],[HDC3]]/Table25[[#This Row],[HCC3]]</f>
        <v>0.93125169727530743</v>
      </c>
      <c r="AA289" s="27">
        <f>Table25[[#This Row],[HDC4]]/Table25[[#This Row],[HCC4]]</f>
        <v>0.92948953555885827</v>
      </c>
      <c r="AB289" s="27">
        <f>Table25[[#This Row],[HDC5]]/Table25[[#This Row],[HCC5]]</f>
        <v>0.93099557473415373</v>
      </c>
    </row>
    <row r="290" spans="1:28">
      <c r="C290" s="75"/>
      <c r="D290" s="75"/>
      <c r="E290" s="75"/>
      <c r="F290" s="75"/>
      <c r="G290" s="75"/>
      <c r="H290" s="75"/>
      <c r="I290" s="75"/>
      <c r="J290" s="83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</sheetData>
  <phoneticPr fontId="1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CapCsv">
                <anchor>
                  <from>
                    <xdr:col>29</xdr:col>
                    <xdr:colOff>609600</xdr:colOff>
                    <xdr:row>1</xdr:row>
                    <xdr:rowOff>0</xdr:rowOff>
                  </from>
                  <to>
                    <xdr:col>31</xdr:col>
                    <xdr:colOff>133350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62"/>
  <sheetViews>
    <sheetView workbookViewId="0">
      <pane ySplit="1" topLeftCell="A2" activePane="bottomLeft" state="frozen"/>
      <selection pane="bottomLeft" activeCell="I11" sqref="I11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78</v>
      </c>
      <c r="C1" t="s">
        <v>709</v>
      </c>
      <c r="E1" t="s">
        <v>38</v>
      </c>
      <c r="F1" s="47" t="s">
        <v>80</v>
      </c>
      <c r="I1" t="s">
        <v>27</v>
      </c>
      <c r="J1" s="127" t="s">
        <v>325</v>
      </c>
    </row>
    <row r="2" spans="1:10">
      <c r="A2">
        <v>0</v>
      </c>
      <c r="B2" s="32">
        <v>0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81</v>
      </c>
      <c r="H2" t="s">
        <v>710</v>
      </c>
      <c r="I2" s="88">
        <f>SUM(B2:B97)</f>
        <v>0</v>
      </c>
    </row>
    <row r="3" spans="1:10">
      <c r="A3">
        <v>1</v>
      </c>
      <c r="B3" s="32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81</v>
      </c>
    </row>
    <row r="4" spans="1:10">
      <c r="A4">
        <v>2</v>
      </c>
      <c r="B4" s="32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82</v>
      </c>
    </row>
    <row r="5" spans="1:10">
      <c r="A5">
        <v>3</v>
      </c>
      <c r="B5" s="32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719</v>
      </c>
    </row>
    <row r="6" spans="1:10">
      <c r="A6">
        <v>4</v>
      </c>
      <c r="B6" s="32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83</v>
      </c>
    </row>
    <row r="7" spans="1:10">
      <c r="A7">
        <v>5</v>
      </c>
      <c r="B7" s="32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84</v>
      </c>
    </row>
    <row r="8" spans="1:10">
      <c r="A8">
        <v>6</v>
      </c>
      <c r="B8" s="32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85</v>
      </c>
    </row>
    <row r="9" spans="1:10">
      <c r="A9">
        <v>7</v>
      </c>
      <c r="B9" s="32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701</v>
      </c>
    </row>
    <row r="10" spans="1:10">
      <c r="A10">
        <v>8</v>
      </c>
      <c r="B10" s="32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86</v>
      </c>
    </row>
    <row r="11" spans="1:10">
      <c r="A11">
        <v>9</v>
      </c>
      <c r="B11" s="32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87</v>
      </c>
    </row>
    <row r="12" spans="1:10">
      <c r="A12">
        <v>10</v>
      </c>
      <c r="B12" s="32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88</v>
      </c>
    </row>
    <row r="13" spans="1:10">
      <c r="A13">
        <v>11</v>
      </c>
      <c r="B13" s="32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89</v>
      </c>
    </row>
    <row r="14" spans="1:10">
      <c r="A14">
        <v>12</v>
      </c>
      <c r="B14" s="32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90</v>
      </c>
    </row>
    <row r="15" spans="1:10">
      <c r="A15">
        <v>13</v>
      </c>
      <c r="B15" s="32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91</v>
      </c>
    </row>
    <row r="16" spans="1:10">
      <c r="A16">
        <v>14</v>
      </c>
      <c r="B16" s="32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96</v>
      </c>
    </row>
    <row r="17" spans="1:10">
      <c r="A17">
        <v>15</v>
      </c>
      <c r="B17" s="32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92</v>
      </c>
    </row>
    <row r="18" spans="1:10">
      <c r="A18">
        <f t="shared" ref="A18:A33" si="0">A2+1024</f>
        <v>1024</v>
      </c>
      <c r="B18" s="32">
        <v>0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93</v>
      </c>
      <c r="H18" t="s">
        <v>726</v>
      </c>
      <c r="J18" t="s">
        <v>727</v>
      </c>
    </row>
    <row r="19" spans="1:10">
      <c r="A19">
        <f t="shared" si="0"/>
        <v>1025</v>
      </c>
      <c r="B19" s="32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94</v>
      </c>
    </row>
    <row r="20" spans="1:10">
      <c r="A20">
        <f t="shared" si="0"/>
        <v>1026</v>
      </c>
      <c r="B20" s="32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95</v>
      </c>
    </row>
    <row r="21" spans="1:10">
      <c r="A21">
        <f t="shared" si="0"/>
        <v>1027</v>
      </c>
      <c r="B21" s="32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98</v>
      </c>
    </row>
    <row r="22" spans="1:10">
      <c r="A22">
        <f t="shared" si="0"/>
        <v>1028</v>
      </c>
      <c r="B22" s="32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99</v>
      </c>
    </row>
    <row r="23" spans="1:10">
      <c r="A23">
        <f t="shared" si="0"/>
        <v>1029</v>
      </c>
      <c r="B23" s="32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100</v>
      </c>
    </row>
    <row r="24" spans="1:10">
      <c r="A24">
        <f t="shared" si="0"/>
        <v>1030</v>
      </c>
      <c r="B24" s="32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101</v>
      </c>
    </row>
    <row r="25" spans="1:10">
      <c r="A25">
        <f t="shared" si="0"/>
        <v>1031</v>
      </c>
      <c r="B25" s="32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102</v>
      </c>
    </row>
    <row r="26" spans="1:10">
      <c r="A26">
        <f t="shared" si="0"/>
        <v>1032</v>
      </c>
      <c r="B26" s="32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103</v>
      </c>
    </row>
    <row r="27" spans="1:10">
      <c r="A27">
        <f t="shared" si="0"/>
        <v>1033</v>
      </c>
      <c r="B27" s="32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104</v>
      </c>
    </row>
    <row r="28" spans="1:10">
      <c r="A28">
        <f t="shared" si="0"/>
        <v>1034</v>
      </c>
      <c r="B28" s="32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105</v>
      </c>
    </row>
    <row r="29" spans="1:10">
      <c r="A29">
        <f t="shared" si="0"/>
        <v>1035</v>
      </c>
      <c r="B29" s="32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106</v>
      </c>
    </row>
    <row r="30" spans="1:10">
      <c r="A30">
        <f t="shared" si="0"/>
        <v>1036</v>
      </c>
      <c r="B30" s="32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107</v>
      </c>
    </row>
    <row r="31" spans="1:10">
      <c r="A31">
        <f t="shared" si="0"/>
        <v>1037</v>
      </c>
      <c r="B31" s="32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108</v>
      </c>
    </row>
    <row r="32" spans="1:10">
      <c r="A32">
        <f t="shared" si="0"/>
        <v>1038</v>
      </c>
      <c r="B32" s="32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109</v>
      </c>
    </row>
    <row r="33" spans="1:10">
      <c r="A33">
        <f t="shared" si="0"/>
        <v>1039</v>
      </c>
      <c r="B33" s="32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110</v>
      </c>
    </row>
    <row r="34" spans="1:10">
      <c r="A34">
        <f>A18+1024</f>
        <v>2048</v>
      </c>
      <c r="B34" s="32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111</v>
      </c>
    </row>
    <row r="35" spans="1:10">
      <c r="A35">
        <f t="shared" ref="A35:A97" si="2">A19+1024</f>
        <v>2049</v>
      </c>
      <c r="B35" s="32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112</v>
      </c>
    </row>
    <row r="36" spans="1:10">
      <c r="A36">
        <f t="shared" si="2"/>
        <v>2050</v>
      </c>
      <c r="B36" s="32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113</v>
      </c>
    </row>
    <row r="37" spans="1:10">
      <c r="A37">
        <f t="shared" si="2"/>
        <v>2051</v>
      </c>
      <c r="B37" s="32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114</v>
      </c>
    </row>
    <row r="38" spans="1:10">
      <c r="A38">
        <f t="shared" si="2"/>
        <v>2052</v>
      </c>
      <c r="B38" s="32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115</v>
      </c>
    </row>
    <row r="39" spans="1:10">
      <c r="A39">
        <f t="shared" si="2"/>
        <v>2053</v>
      </c>
      <c r="B39" s="32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116</v>
      </c>
    </row>
    <row r="40" spans="1:10">
      <c r="A40">
        <f t="shared" si="2"/>
        <v>2054</v>
      </c>
      <c r="B40" s="32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117</v>
      </c>
    </row>
    <row r="41" spans="1:10">
      <c r="A41">
        <f t="shared" si="2"/>
        <v>2055</v>
      </c>
      <c r="B41" s="32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97</v>
      </c>
      <c r="G41" t="str">
        <f>DEC2HEX(Table14[[#This Row],[Value]]*10)</f>
        <v>0</v>
      </c>
    </row>
    <row r="42" spans="1:10">
      <c r="A42">
        <f t="shared" si="2"/>
        <v>2056</v>
      </c>
      <c r="B42" s="32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398</v>
      </c>
    </row>
    <row r="43" spans="1:10">
      <c r="A43">
        <f t="shared" si="2"/>
        <v>2057</v>
      </c>
      <c r="B43" s="32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695</v>
      </c>
      <c r="G43">
        <f t="shared" ref="G43:G48" si="3">E43+1024</f>
        <v>2102</v>
      </c>
      <c r="H43">
        <f t="shared" ref="H43:J48" si="4">G43+1024</f>
        <v>3126</v>
      </c>
      <c r="I43">
        <f t="shared" si="4"/>
        <v>4150</v>
      </c>
      <c r="J43">
        <f t="shared" si="4"/>
        <v>5174</v>
      </c>
    </row>
    <row r="44" spans="1:10">
      <c r="A44">
        <f t="shared" si="2"/>
        <v>2058</v>
      </c>
      <c r="B44" s="32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696</v>
      </c>
      <c r="G44">
        <f t="shared" si="3"/>
        <v>2103</v>
      </c>
      <c r="H44">
        <f t="shared" si="4"/>
        <v>3127</v>
      </c>
      <c r="I44">
        <f t="shared" si="4"/>
        <v>4151</v>
      </c>
      <c r="J44">
        <f t="shared" si="4"/>
        <v>5175</v>
      </c>
    </row>
    <row r="45" spans="1:10">
      <c r="A45">
        <f t="shared" si="2"/>
        <v>2059</v>
      </c>
      <c r="B45" s="32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697</v>
      </c>
      <c r="G45">
        <f t="shared" si="3"/>
        <v>2132</v>
      </c>
      <c r="H45">
        <f t="shared" si="4"/>
        <v>3156</v>
      </c>
      <c r="I45">
        <f t="shared" si="4"/>
        <v>4180</v>
      </c>
      <c r="J45">
        <f t="shared" si="4"/>
        <v>5204</v>
      </c>
    </row>
    <row r="46" spans="1:10">
      <c r="A46">
        <f t="shared" si="2"/>
        <v>2060</v>
      </c>
      <c r="B46" s="32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698</v>
      </c>
      <c r="G46">
        <f t="shared" si="3"/>
        <v>2133</v>
      </c>
      <c r="H46">
        <f t="shared" si="4"/>
        <v>3157</v>
      </c>
      <c r="I46">
        <f t="shared" si="4"/>
        <v>4181</v>
      </c>
      <c r="J46">
        <f t="shared" si="4"/>
        <v>5205</v>
      </c>
    </row>
    <row r="47" spans="1:10">
      <c r="A47">
        <f t="shared" si="2"/>
        <v>2061</v>
      </c>
      <c r="B47" s="32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699</v>
      </c>
      <c r="G47">
        <f t="shared" si="3"/>
        <v>2134</v>
      </c>
      <c r="H47">
        <f t="shared" si="4"/>
        <v>3158</v>
      </c>
      <c r="I47">
        <f t="shared" si="4"/>
        <v>4182</v>
      </c>
      <c r="J47">
        <f t="shared" si="4"/>
        <v>5206</v>
      </c>
    </row>
    <row r="48" spans="1:10">
      <c r="A48">
        <f t="shared" si="2"/>
        <v>2062</v>
      </c>
      <c r="B48" s="32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700</v>
      </c>
      <c r="G48">
        <f t="shared" si="3"/>
        <v>2135</v>
      </c>
      <c r="H48">
        <f t="shared" si="4"/>
        <v>3159</v>
      </c>
      <c r="I48">
        <f t="shared" si="4"/>
        <v>4183</v>
      </c>
      <c r="J48">
        <f t="shared" si="4"/>
        <v>5207</v>
      </c>
    </row>
    <row r="49" spans="1:6">
      <c r="A49">
        <f t="shared" si="2"/>
        <v>2063</v>
      </c>
      <c r="B49" s="32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720</v>
      </c>
    </row>
    <row r="50" spans="1:6">
      <c r="A50">
        <f t="shared" si="2"/>
        <v>3072</v>
      </c>
      <c r="B50" s="32">
        <v>0</v>
      </c>
      <c r="C50" t="str">
        <f>"0x"&amp;REPT("0",4-LEN(DEC2HEX(Table14[[#This Row],[Register]])))&amp;DEC2HEX(Table14[[#This Row],[Register]])</f>
        <v>0x0C00</v>
      </c>
      <c r="F50" t="s">
        <v>728</v>
      </c>
    </row>
    <row r="51" spans="1:6">
      <c r="A51">
        <f t="shared" si="2"/>
        <v>3073</v>
      </c>
      <c r="B51" s="32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2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2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2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2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2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2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2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2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2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2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2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2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2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2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2">
        <v>0</v>
      </c>
      <c r="C66" t="str">
        <f>"0x"&amp;REPT("0",4-LEN(DEC2HEX(Table14[[#This Row],[Register]])))&amp;DEC2HEX(Table14[[#This Row],[Register]])</f>
        <v>0x1000</v>
      </c>
      <c r="F66" t="s">
        <v>729</v>
      </c>
    </row>
    <row r="67" spans="1:6">
      <c r="A67">
        <f t="shared" si="2"/>
        <v>4097</v>
      </c>
      <c r="B67" s="32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2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2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2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2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2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2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2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2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2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2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2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2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2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2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2">
        <v>0</v>
      </c>
      <c r="C82" t="str">
        <f>"0x"&amp;REPT("0",4-LEN(DEC2HEX(Table14[[#This Row],[Register]])))&amp;DEC2HEX(Table14[[#This Row],[Register]])</f>
        <v>0x1400</v>
      </c>
      <c r="F82" t="s">
        <v>730</v>
      </c>
    </row>
    <row r="83" spans="1:6">
      <c r="A83">
        <f t="shared" si="2"/>
        <v>5121</v>
      </c>
      <c r="B83" s="32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2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2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2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2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2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2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2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2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2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2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2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2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2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2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2">
        <v>0</v>
      </c>
      <c r="C98" t="str">
        <f>"0x"&amp;REPT("0",4-LEN(DEC2HEX(Table14[[#This Row],[Register]])))&amp;DEC2HEX(Table14[[#This Row],[Register]])</f>
        <v>0x0304</v>
      </c>
      <c r="F98" t="s">
        <v>720</v>
      </c>
    </row>
    <row r="99" spans="1:8">
      <c r="A99">
        <v>256</v>
      </c>
      <c r="B99" s="32">
        <v>16717</v>
      </c>
      <c r="C99" t="str">
        <f>"0x"&amp;REPT("0",4-LEN(DEC2HEX(Table14[[#This Row],[Register]])))&amp;DEC2HEX(Table14[[#This Row],[Register]])</f>
        <v>0x0100</v>
      </c>
      <c r="F99" t="str">
        <f>DEC2HEX(Table14[[#This Row],[Value]])</f>
        <v>414D</v>
      </c>
      <c r="G99" t="str">
        <f>CHAR(HEX2DEC(LEFT(F99,2)))&amp;CHAR(HEX2DEC(RIGHT(F99,2)))</f>
        <v>AM</v>
      </c>
    </row>
    <row r="100" spans="1:8">
      <c r="A100">
        <v>257</v>
      </c>
      <c r="B100" s="32">
        <v>16973</v>
      </c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424D</v>
      </c>
      <c r="G100" t="str">
        <f t="shared" ref="G100:G105" si="5">CHAR(HEX2DEC(LEFT(F100,2)))&amp;CHAR(HEX2DEC(RIGHT(F100,2)))</f>
        <v>BM</v>
      </c>
    </row>
    <row r="101" spans="1:8">
      <c r="A101">
        <v>258</v>
      </c>
      <c r="B101" s="32">
        <v>21830</v>
      </c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5546</v>
      </c>
      <c r="G101" t="str">
        <f t="shared" si="5"/>
        <v>UF</v>
      </c>
    </row>
    <row r="102" spans="1:8">
      <c r="A102">
        <v>259</v>
      </c>
      <c r="B102" s="32">
        <v>13109</v>
      </c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3335</v>
      </c>
      <c r="G102" t="str">
        <f t="shared" si="5"/>
        <v>35</v>
      </c>
    </row>
    <row r="103" spans="1:8">
      <c r="A103">
        <v>260</v>
      </c>
      <c r="B103" s="32">
        <v>14675</v>
      </c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3953</v>
      </c>
      <c r="G103" t="str">
        <f t="shared" si="5"/>
        <v>9S</v>
      </c>
    </row>
    <row r="104" spans="1:8">
      <c r="A104">
        <v>261</v>
      </c>
      <c r="B104" s="32">
        <v>13617</v>
      </c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3531</v>
      </c>
      <c r="G104" t="str">
        <f t="shared" si="5"/>
        <v>51</v>
      </c>
    </row>
    <row r="105" spans="1:8">
      <c r="A105">
        <v>262</v>
      </c>
      <c r="B105" s="32">
        <v>16982</v>
      </c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4256</v>
      </c>
      <c r="G105" t="str">
        <f t="shared" si="5"/>
        <v>BV</v>
      </c>
    </row>
    <row r="106" spans="1:8">
      <c r="A106">
        <v>263</v>
      </c>
      <c r="B106" s="32">
        <v>12341</v>
      </c>
      <c r="C106" t="str">
        <f>"0x"&amp;REPT("0",4-LEN(DEC2HEX(Table14[[#This Row],[Register]])))&amp;DEC2HEX(Table14[[#This Row],[Register]])</f>
        <v>0x0107</v>
      </c>
      <c r="E106" t="s">
        <v>713</v>
      </c>
      <c r="F106" t="str">
        <f>DEC2HEX(Table14[[#This Row],[Value]])</f>
        <v>3035</v>
      </c>
      <c r="G106" t="str">
        <f>CHAR(HEX2DEC(LEFT(F106,2)))&amp;CHAR(HEX2DEC(RIGHT(F106,2)))</f>
        <v>05</v>
      </c>
      <c r="H106" t="str">
        <f>_xlfn.CONCAT(G99:G106)</f>
        <v>AMBMUF359S51BV05</v>
      </c>
    </row>
    <row r="107" spans="1:8">
      <c r="A107">
        <v>272</v>
      </c>
      <c r="B107" s="32">
        <v>16689</v>
      </c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4131</v>
      </c>
      <c r="G107" t="str">
        <f t="shared" ref="G107:G162" si="6">CHAR(HEX2DEC(LEFT(F107,2)))&amp;CHAR(HEX2DEC(RIGHT(F107,2)))</f>
        <v>A1</v>
      </c>
    </row>
    <row r="108" spans="1:8">
      <c r="A108">
        <v>273</v>
      </c>
      <c r="B108" s="32">
        <v>17748</v>
      </c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4554</v>
      </c>
      <c r="G108" t="str">
        <f t="shared" si="6"/>
        <v>ET</v>
      </c>
    </row>
    <row r="109" spans="1:8">
      <c r="A109">
        <v>274</v>
      </c>
      <c r="B109" s="32">
        <v>18502</v>
      </c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4846</v>
      </c>
      <c r="G109" t="str">
        <f t="shared" si="6"/>
        <v>HF</v>
      </c>
    </row>
    <row r="110" spans="1:8">
      <c r="A110">
        <v>275</v>
      </c>
      <c r="B110" s="32">
        <v>12613</v>
      </c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3145</v>
      </c>
      <c r="G110" t="str">
        <f t="shared" si="6"/>
        <v>1E</v>
      </c>
    </row>
    <row r="111" spans="1:8">
      <c r="A111">
        <v>276</v>
      </c>
      <c r="B111" s="32">
        <v>12371</v>
      </c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3053</v>
      </c>
      <c r="G111" t="str">
        <f t="shared" si="6"/>
        <v>0S</v>
      </c>
    </row>
    <row r="112" spans="1:8">
      <c r="A112">
        <v>277</v>
      </c>
      <c r="B112" s="32">
        <v>13104</v>
      </c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3330</v>
      </c>
      <c r="G112" t="str">
        <f t="shared" si="6"/>
        <v>30</v>
      </c>
    </row>
    <row r="113" spans="1:8">
      <c r="A113">
        <v>278</v>
      </c>
      <c r="B113" s="32">
        <v>16982</v>
      </c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4256</v>
      </c>
      <c r="G113" t="str">
        <f t="shared" si="6"/>
        <v>BV</v>
      </c>
    </row>
    <row r="114" spans="1:8">
      <c r="A114">
        <v>279</v>
      </c>
      <c r="B114" s="32">
        <v>12345</v>
      </c>
      <c r="C114" t="str">
        <f>"0x"&amp;REPT("0",4-LEN(DEC2HEX(Table14[[#This Row],[Register]])))&amp;DEC2HEX(Table14[[#This Row],[Register]])</f>
        <v>0x0117</v>
      </c>
      <c r="E114" t="s">
        <v>714</v>
      </c>
      <c r="F114" t="str">
        <f>DEC2HEX(Table14[[#This Row],[Value]])</f>
        <v>3039</v>
      </c>
      <c r="G114" t="str">
        <f t="shared" si="6"/>
        <v>09</v>
      </c>
      <c r="H114" t="str">
        <f>_xlfn.CONCAT(G107:G114)</f>
        <v>A1ETHF1E0S30BV09</v>
      </c>
    </row>
    <row r="115" spans="1:8">
      <c r="A115">
        <v>1984</v>
      </c>
      <c r="B115" s="32">
        <v>16723</v>
      </c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4153</v>
      </c>
      <c r="G115" t="str">
        <f t="shared" si="6"/>
        <v>AS</v>
      </c>
    </row>
    <row r="116" spans="1:8">
      <c r="A116">
        <v>1985</v>
      </c>
      <c r="B116" s="32">
        <v>16973</v>
      </c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424D</v>
      </c>
      <c r="G116" t="str">
        <f t="shared" si="6"/>
        <v>BM</v>
      </c>
    </row>
    <row r="117" spans="1:8">
      <c r="A117">
        <v>1986</v>
      </c>
      <c r="B117" s="32">
        <v>21830</v>
      </c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5546</v>
      </c>
      <c r="G117" t="str">
        <f t="shared" si="6"/>
        <v>UF</v>
      </c>
    </row>
    <row r="118" spans="1:8">
      <c r="A118">
        <v>1987</v>
      </c>
      <c r="B118" s="32">
        <v>13109</v>
      </c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3335</v>
      </c>
      <c r="G118" t="str">
        <f t="shared" si="6"/>
        <v>35</v>
      </c>
    </row>
    <row r="119" spans="1:8">
      <c r="A119">
        <v>1988</v>
      </c>
      <c r="B119" s="32">
        <v>14675</v>
      </c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3953</v>
      </c>
      <c r="G119" t="str">
        <f t="shared" si="6"/>
        <v>9S</v>
      </c>
    </row>
    <row r="120" spans="1:8">
      <c r="A120">
        <v>1989</v>
      </c>
      <c r="B120" s="32">
        <v>13617</v>
      </c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3531</v>
      </c>
      <c r="G120" t="str">
        <f t="shared" si="6"/>
        <v>51</v>
      </c>
    </row>
    <row r="121" spans="1:8">
      <c r="A121">
        <v>1990</v>
      </c>
      <c r="B121" s="32">
        <v>16982</v>
      </c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4256</v>
      </c>
      <c r="G121" t="str">
        <f t="shared" si="6"/>
        <v>BV</v>
      </c>
    </row>
    <row r="122" spans="1:8">
      <c r="A122">
        <v>1991</v>
      </c>
      <c r="B122" s="32">
        <v>12342</v>
      </c>
      <c r="C122" t="str">
        <f>"0x"&amp;REPT("0",4-LEN(DEC2HEX(Table14[[#This Row],[Register]])))&amp;DEC2HEX(Table14[[#This Row],[Register]])</f>
        <v>0x07C7</v>
      </c>
      <c r="E122" t="s">
        <v>721</v>
      </c>
      <c r="F122" t="str">
        <f>DEC2HEX(Table14[[#This Row],[Value]])</f>
        <v>3036</v>
      </c>
      <c r="G122" t="str">
        <f t="shared" si="6"/>
        <v>06</v>
      </c>
      <c r="H122" t="str">
        <f>_xlfn.CONCAT(G115:G122)</f>
        <v>ASBMUF359S51BV06</v>
      </c>
    </row>
    <row r="123" spans="1:8">
      <c r="A123">
        <f>A115+1024</f>
        <v>3008</v>
      </c>
      <c r="B123" s="32">
        <v>16723</v>
      </c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4153</v>
      </c>
      <c r="G123" t="str">
        <f t="shared" si="6"/>
        <v>AS</v>
      </c>
    </row>
    <row r="124" spans="1:8">
      <c r="A124">
        <f t="shared" ref="A124:A129" si="7">A116+1024</f>
        <v>3009</v>
      </c>
      <c r="B124" s="32">
        <v>16973</v>
      </c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424D</v>
      </c>
      <c r="G124" t="str">
        <f t="shared" si="6"/>
        <v>BM</v>
      </c>
    </row>
    <row r="125" spans="1:8">
      <c r="A125">
        <f t="shared" si="7"/>
        <v>3010</v>
      </c>
      <c r="B125" s="32">
        <v>21830</v>
      </c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5546</v>
      </c>
      <c r="G125" t="str">
        <f t="shared" si="6"/>
        <v>UF</v>
      </c>
    </row>
    <row r="126" spans="1:8">
      <c r="A126">
        <f t="shared" si="7"/>
        <v>3011</v>
      </c>
      <c r="B126" s="32">
        <v>13109</v>
      </c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3335</v>
      </c>
      <c r="G126" t="str">
        <f t="shared" si="6"/>
        <v>35</v>
      </c>
    </row>
    <row r="127" spans="1:8">
      <c r="A127">
        <f t="shared" si="7"/>
        <v>3012</v>
      </c>
      <c r="B127" s="32">
        <v>14675</v>
      </c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3953</v>
      </c>
      <c r="G127" t="str">
        <f t="shared" si="6"/>
        <v>9S</v>
      </c>
    </row>
    <row r="128" spans="1:8">
      <c r="A128">
        <f t="shared" si="7"/>
        <v>3013</v>
      </c>
      <c r="B128" s="32">
        <v>13617</v>
      </c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3531</v>
      </c>
      <c r="G128" t="str">
        <f t="shared" si="6"/>
        <v>51</v>
      </c>
    </row>
    <row r="129" spans="1:8">
      <c r="A129">
        <f t="shared" si="7"/>
        <v>3014</v>
      </c>
      <c r="B129" s="32">
        <v>16982</v>
      </c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4256</v>
      </c>
      <c r="G129" t="str">
        <f t="shared" si="6"/>
        <v>BV</v>
      </c>
    </row>
    <row r="130" spans="1:8">
      <c r="A130">
        <f>A122+1024</f>
        <v>3015</v>
      </c>
      <c r="B130" s="32">
        <v>12342</v>
      </c>
      <c r="C130" t="str">
        <f>"0x"&amp;REPT("0",4-LEN(DEC2HEX(Table14[[#This Row],[Register]])))&amp;DEC2HEX(Table14[[#This Row],[Register]])</f>
        <v>0x0BC7</v>
      </c>
      <c r="E130" t="s">
        <v>725</v>
      </c>
      <c r="F130" t="str">
        <f>DEC2HEX(Table14[[#This Row],[Value]])</f>
        <v>3036</v>
      </c>
      <c r="G130" t="str">
        <f t="shared" si="6"/>
        <v>06</v>
      </c>
      <c r="H130" t="str">
        <f>_xlfn.CONCAT(G123:G130)</f>
        <v>ASBMUF359S51BV06</v>
      </c>
    </row>
    <row r="131" spans="1:8">
      <c r="A131">
        <f t="shared" ref="A131:A154" si="8">A123+1024</f>
        <v>4032</v>
      </c>
      <c r="B131" s="32">
        <v>16723</v>
      </c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4153</v>
      </c>
      <c r="G131" t="str">
        <f t="shared" si="6"/>
        <v>AS</v>
      </c>
    </row>
    <row r="132" spans="1:8">
      <c r="A132">
        <f t="shared" si="8"/>
        <v>4033</v>
      </c>
      <c r="B132" s="32">
        <v>16973</v>
      </c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424D</v>
      </c>
      <c r="G132" t="str">
        <f t="shared" si="6"/>
        <v>BM</v>
      </c>
    </row>
    <row r="133" spans="1:8">
      <c r="A133">
        <f t="shared" si="8"/>
        <v>4034</v>
      </c>
      <c r="B133" s="32">
        <v>21830</v>
      </c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5546</v>
      </c>
      <c r="G133" t="str">
        <f t="shared" si="6"/>
        <v>UF</v>
      </c>
    </row>
    <row r="134" spans="1:8">
      <c r="A134">
        <f t="shared" si="8"/>
        <v>4035</v>
      </c>
      <c r="B134" s="32">
        <v>13109</v>
      </c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3335</v>
      </c>
      <c r="G134" t="str">
        <f t="shared" si="6"/>
        <v>35</v>
      </c>
    </row>
    <row r="135" spans="1:8">
      <c r="A135">
        <f t="shared" si="8"/>
        <v>4036</v>
      </c>
      <c r="B135" s="32">
        <v>14675</v>
      </c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3953</v>
      </c>
      <c r="G135" t="str">
        <f t="shared" si="6"/>
        <v>9S</v>
      </c>
    </row>
    <row r="136" spans="1:8">
      <c r="A136">
        <f t="shared" si="8"/>
        <v>4037</v>
      </c>
      <c r="B136" s="32">
        <v>13617</v>
      </c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3531</v>
      </c>
      <c r="G136" t="str">
        <f t="shared" si="6"/>
        <v>51</v>
      </c>
    </row>
    <row r="137" spans="1:8">
      <c r="A137">
        <f t="shared" si="8"/>
        <v>4038</v>
      </c>
      <c r="B137" s="32">
        <v>16982</v>
      </c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4256</v>
      </c>
      <c r="G137" t="str">
        <f t="shared" si="6"/>
        <v>BV</v>
      </c>
    </row>
    <row r="138" spans="1:8">
      <c r="A138">
        <f t="shared" si="8"/>
        <v>4039</v>
      </c>
      <c r="B138" s="32">
        <v>12342</v>
      </c>
      <c r="C138" t="str">
        <f>"0x"&amp;REPT("0",4-LEN(DEC2HEX(Table14[[#This Row],[Register]])))&amp;DEC2HEX(Table14[[#This Row],[Register]])</f>
        <v>0x0FC7</v>
      </c>
      <c r="E138" t="s">
        <v>724</v>
      </c>
      <c r="F138" t="str">
        <f>DEC2HEX(Table14[[#This Row],[Value]])</f>
        <v>3036</v>
      </c>
      <c r="G138" t="str">
        <f t="shared" si="6"/>
        <v>06</v>
      </c>
      <c r="H138" t="str">
        <f>_xlfn.CONCAT(G131:G138)</f>
        <v>ASBMUF359S51BV06</v>
      </c>
    </row>
    <row r="139" spans="1:8">
      <c r="A139">
        <f>A131+1024</f>
        <v>5056</v>
      </c>
      <c r="B139" s="32">
        <v>16723</v>
      </c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4153</v>
      </c>
      <c r="G139" t="str">
        <f t="shared" si="6"/>
        <v>AS</v>
      </c>
    </row>
    <row r="140" spans="1:8">
      <c r="A140">
        <f t="shared" si="8"/>
        <v>5057</v>
      </c>
      <c r="B140" s="32">
        <v>16973</v>
      </c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424D</v>
      </c>
      <c r="G140" t="str">
        <f t="shared" si="6"/>
        <v>BM</v>
      </c>
    </row>
    <row r="141" spans="1:8">
      <c r="A141">
        <f t="shared" si="8"/>
        <v>5058</v>
      </c>
      <c r="B141" s="32">
        <v>21830</v>
      </c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5546</v>
      </c>
      <c r="G141" t="str">
        <f t="shared" si="6"/>
        <v>UF</v>
      </c>
    </row>
    <row r="142" spans="1:8">
      <c r="A142">
        <f t="shared" si="8"/>
        <v>5059</v>
      </c>
      <c r="B142" s="32">
        <v>13109</v>
      </c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3335</v>
      </c>
      <c r="G142" t="str">
        <f t="shared" si="6"/>
        <v>35</v>
      </c>
    </row>
    <row r="143" spans="1:8">
      <c r="A143">
        <f t="shared" si="8"/>
        <v>5060</v>
      </c>
      <c r="B143" s="32">
        <v>14675</v>
      </c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3953</v>
      </c>
      <c r="G143" t="str">
        <f t="shared" si="6"/>
        <v>9S</v>
      </c>
    </row>
    <row r="144" spans="1:8">
      <c r="A144">
        <f t="shared" si="8"/>
        <v>5061</v>
      </c>
      <c r="B144" s="32">
        <v>13617</v>
      </c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3531</v>
      </c>
      <c r="G144" t="str">
        <f t="shared" si="6"/>
        <v>51</v>
      </c>
    </row>
    <row r="145" spans="1:8">
      <c r="A145">
        <f t="shared" si="8"/>
        <v>5062</v>
      </c>
      <c r="B145" s="32">
        <v>16982</v>
      </c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4256</v>
      </c>
      <c r="G145" t="str">
        <f t="shared" si="6"/>
        <v>BV</v>
      </c>
    </row>
    <row r="146" spans="1:8">
      <c r="A146">
        <f t="shared" si="8"/>
        <v>5063</v>
      </c>
      <c r="B146" s="32">
        <v>12342</v>
      </c>
      <c r="C146" t="str">
        <f>"0x"&amp;REPT("0",4-LEN(DEC2HEX(Table14[[#This Row],[Register]])))&amp;DEC2HEX(Table14[[#This Row],[Register]])</f>
        <v>0x13C7</v>
      </c>
      <c r="E146" t="s">
        <v>723</v>
      </c>
      <c r="F146" t="str">
        <f>DEC2HEX(Table14[[#This Row],[Value]])</f>
        <v>3036</v>
      </c>
      <c r="G146" t="str">
        <f t="shared" si="6"/>
        <v>06</v>
      </c>
      <c r="H146" t="str">
        <f>_xlfn.CONCAT(G139:G146)</f>
        <v>ASBMUF359S51BV06</v>
      </c>
    </row>
    <row r="147" spans="1:8">
      <c r="A147">
        <f t="shared" si="8"/>
        <v>6080</v>
      </c>
      <c r="B147" s="32">
        <v>16723</v>
      </c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4153</v>
      </c>
      <c r="G147" t="str">
        <f t="shared" si="6"/>
        <v>AS</v>
      </c>
    </row>
    <row r="148" spans="1:8">
      <c r="A148">
        <f t="shared" si="8"/>
        <v>6081</v>
      </c>
      <c r="B148" s="32">
        <v>16973</v>
      </c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424D</v>
      </c>
      <c r="G148" t="str">
        <f t="shared" si="6"/>
        <v>BM</v>
      </c>
    </row>
    <row r="149" spans="1:8">
      <c r="A149">
        <f t="shared" si="8"/>
        <v>6082</v>
      </c>
      <c r="B149" s="32">
        <v>21830</v>
      </c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5546</v>
      </c>
      <c r="G149" t="str">
        <f t="shared" si="6"/>
        <v>UF</v>
      </c>
    </row>
    <row r="150" spans="1:8">
      <c r="A150">
        <f t="shared" si="8"/>
        <v>6083</v>
      </c>
      <c r="B150" s="32">
        <v>13109</v>
      </c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3335</v>
      </c>
      <c r="G150" t="str">
        <f t="shared" si="6"/>
        <v>35</v>
      </c>
    </row>
    <row r="151" spans="1:8">
      <c r="A151">
        <f t="shared" si="8"/>
        <v>6084</v>
      </c>
      <c r="B151" s="32">
        <v>14675</v>
      </c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3953</v>
      </c>
      <c r="G151" t="str">
        <f t="shared" si="6"/>
        <v>9S</v>
      </c>
    </row>
    <row r="152" spans="1:8">
      <c r="A152">
        <f t="shared" si="8"/>
        <v>6085</v>
      </c>
      <c r="B152" s="32">
        <v>13617</v>
      </c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3531</v>
      </c>
      <c r="G152" t="str">
        <f t="shared" si="6"/>
        <v>51</v>
      </c>
    </row>
    <row r="153" spans="1:8">
      <c r="A153">
        <f t="shared" si="8"/>
        <v>6086</v>
      </c>
      <c r="B153" s="32">
        <v>16982</v>
      </c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4256</v>
      </c>
      <c r="G153" t="str">
        <f t="shared" si="6"/>
        <v>BV</v>
      </c>
    </row>
    <row r="154" spans="1:8">
      <c r="A154">
        <f t="shared" si="8"/>
        <v>6087</v>
      </c>
      <c r="B154" s="32">
        <v>12342</v>
      </c>
      <c r="C154" t="str">
        <f>"0x"&amp;REPT("0",4-LEN(DEC2HEX(Table14[[#This Row],[Register]])))&amp;DEC2HEX(Table14[[#This Row],[Register]])</f>
        <v>0x17C7</v>
      </c>
      <c r="E154" s="92" t="s">
        <v>722</v>
      </c>
      <c r="F154" t="str">
        <f>DEC2HEX(Table14[[#This Row],[Value]])</f>
        <v>3036</v>
      </c>
      <c r="G154" t="str">
        <f t="shared" si="6"/>
        <v>06</v>
      </c>
      <c r="H154" t="str">
        <f>_xlfn.CONCAT(G147:G154)</f>
        <v>ASBMUF359S51BV06</v>
      </c>
    </row>
    <row r="155" spans="1:8">
      <c r="A155">
        <v>288</v>
      </c>
      <c r="B155" s="32">
        <v>0</v>
      </c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0</v>
      </c>
      <c r="G155" t="e">
        <f t="shared" si="6"/>
        <v>#VALUE!</v>
      </c>
    </row>
    <row r="156" spans="1:8">
      <c r="A156">
        <v>289</v>
      </c>
      <c r="B156" s="32">
        <v>0</v>
      </c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0</v>
      </c>
      <c r="G156" t="e">
        <f t="shared" si="6"/>
        <v>#VALUE!</v>
      </c>
    </row>
    <row r="157" spans="1:8">
      <c r="A157">
        <v>290</v>
      </c>
      <c r="B157" s="32">
        <v>0</v>
      </c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0</v>
      </c>
      <c r="G157" t="e">
        <f t="shared" si="6"/>
        <v>#VALUE!</v>
      </c>
    </row>
    <row r="158" spans="1:8">
      <c r="A158">
        <v>291</v>
      </c>
      <c r="B158" s="32">
        <v>0</v>
      </c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0</v>
      </c>
      <c r="G158" t="e">
        <f t="shared" si="6"/>
        <v>#VALUE!</v>
      </c>
    </row>
    <row r="159" spans="1:8">
      <c r="A159">
        <v>292</v>
      </c>
      <c r="B159" s="32">
        <v>0</v>
      </c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0</v>
      </c>
      <c r="G159" t="e">
        <f t="shared" si="6"/>
        <v>#VALUE!</v>
      </c>
    </row>
    <row r="160" spans="1:8">
      <c r="A160">
        <v>293</v>
      </c>
      <c r="B160" s="32">
        <v>0</v>
      </c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0</v>
      </c>
      <c r="G160" t="e">
        <f t="shared" si="6"/>
        <v>#VALUE!</v>
      </c>
    </row>
    <row r="161" spans="1:8">
      <c r="A161">
        <v>294</v>
      </c>
      <c r="B161" s="32">
        <v>0</v>
      </c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0</v>
      </c>
      <c r="G161" t="e">
        <f t="shared" si="6"/>
        <v>#VALUE!</v>
      </c>
    </row>
    <row r="162" spans="1:8">
      <c r="A162">
        <v>295</v>
      </c>
      <c r="B162" s="32">
        <v>0</v>
      </c>
      <c r="C162" t="str">
        <f>"0x"&amp;REPT("0",4-LEN(DEC2HEX(Table14[[#This Row],[Register]])))&amp;DEC2HEX(Table14[[#This Row],[Register]])</f>
        <v>0x0127</v>
      </c>
      <c r="E162" t="s">
        <v>731</v>
      </c>
      <c r="F162" t="str">
        <f>DEC2HEX(Table14[[#This Row],[Value]])</f>
        <v>0</v>
      </c>
      <c r="G162" t="e">
        <f t="shared" si="6"/>
        <v>#VALUE!</v>
      </c>
      <c r="H162" t="e">
        <f>_xlfn.CONCAT(G155:G162)</f>
        <v>#VALUE!</v>
      </c>
    </row>
  </sheetData>
  <phoneticPr fontId="12" type="noConversion"/>
  <conditionalFormatting sqref="B2:B162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328B-54B4-4545-9C1D-FDED3DADB316}">
  <sheetPr codeName="Sheet7"/>
  <dimension ref="A1:R2"/>
  <sheetViews>
    <sheetView workbookViewId="0">
      <selection activeCell="C3" sqref="C3"/>
    </sheetView>
  </sheetViews>
  <sheetFormatPr defaultRowHeight="13.5"/>
  <cols>
    <col min="1" max="1" width="12.375" customWidth="1"/>
    <col min="8" max="12" width="7.875" bestFit="1" customWidth="1"/>
    <col min="13" max="13" width="6.75" bestFit="1" customWidth="1"/>
  </cols>
  <sheetData>
    <row r="1" spans="1:18">
      <c r="A1" s="93" t="s">
        <v>27</v>
      </c>
      <c r="B1" s="93" t="s">
        <v>732</v>
      </c>
      <c r="C1" s="93" t="s">
        <v>78</v>
      </c>
      <c r="D1" s="93" t="s">
        <v>741</v>
      </c>
      <c r="H1" s="93" t="s">
        <v>733</v>
      </c>
      <c r="I1" s="93" t="s">
        <v>734</v>
      </c>
      <c r="J1" s="93" t="s">
        <v>735</v>
      </c>
      <c r="K1" s="93" t="s">
        <v>736</v>
      </c>
      <c r="L1" s="93" t="s">
        <v>737</v>
      </c>
      <c r="M1" s="93" t="s">
        <v>78</v>
      </c>
      <c r="Q1">
        <v>0</v>
      </c>
      <c r="R1" t="s">
        <v>738</v>
      </c>
    </row>
    <row r="2" spans="1:18">
      <c r="A2" s="93" t="s">
        <v>207</v>
      </c>
      <c r="B2" s="93">
        <v>909</v>
      </c>
      <c r="C2" s="93">
        <v>31</v>
      </c>
      <c r="D2" s="93">
        <v>31</v>
      </c>
      <c r="H2" s="93">
        <v>0</v>
      </c>
      <c r="I2" s="93">
        <v>1</v>
      </c>
      <c r="J2" s="93">
        <v>1</v>
      </c>
      <c r="K2" s="93">
        <v>1</v>
      </c>
      <c r="L2" s="93">
        <v>1</v>
      </c>
      <c r="M2" s="93">
        <f>H2+2*I2+2^2*J2+2^3*K2+2^4*L2</f>
        <v>30</v>
      </c>
      <c r="Q2">
        <v>1</v>
      </c>
      <c r="R2" t="s">
        <v>739</v>
      </c>
    </row>
  </sheetData>
  <phoneticPr fontId="12" type="noConversion"/>
  <dataValidations count="1">
    <dataValidation type="list" allowBlank="1" showInputMessage="1" showErrorMessage="1" sqref="H2:L2" xr:uid="{BCC2048A-CF03-47A5-8A31-8C2D531332E0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WriteReg">
                <anchor moveWithCells="1" sizeWithCells="1">
                  <from>
                    <xdr:col>4</xdr:col>
                    <xdr:colOff>552450</xdr:colOff>
                    <xdr:row>0</xdr:row>
                    <xdr:rowOff>95250</xdr:rowOff>
                  </from>
                  <to>
                    <xdr:col>6</xdr:col>
                    <xdr:colOff>180975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HotComm</vt:lpstr>
      <vt:lpstr>ReadETH</vt:lpstr>
      <vt:lpstr>CalibrateH</vt:lpstr>
      <vt:lpstr>CalibrateL</vt:lpstr>
      <vt:lpstr>ReadSOC</vt:lpstr>
      <vt:lpstr>ReadCap</vt:lpstr>
      <vt:lpstr>ReadTest</vt:lpstr>
      <vt:lpstr>WriteReg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2025-02-01T05:02:12Z</dcterms:modified>
</cp:coreProperties>
</file>