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ownloads\00-CATL\CBESS\ExcelTool\"/>
    </mc:Choice>
  </mc:AlternateContent>
  <xr:revisionPtr revIDLastSave="0" documentId="13_ncr:1_{1FE432D9-2EBC-4DA1-9016-C452707D1729}" xr6:coauthVersionLast="47" xr6:coauthVersionMax="47" xr10:uidLastSave="{00000000-0000-0000-0000-000000000000}"/>
  <bookViews>
    <workbookView xWindow="-120" yWindow="-120" windowWidth="29040" windowHeight="17520" xr2:uid="{69402E6D-338B-4842-BCA5-C578EAE77A3E}"/>
  </bookViews>
  <sheets>
    <sheet name="ReadBCI-BMS" sheetId="10" r:id="rId1"/>
    <sheet name="MOD STATUS" sheetId="11" r:id="rId2"/>
    <sheet name="LAST EVENTS 1&amp;2" sheetId="13" r:id="rId3"/>
    <sheet name="LAST EVENTS 3&amp;4" sheetId="14" r:id="rId4"/>
    <sheet name="MOD PCB TEMP" sheetId="15" r:id="rId5"/>
  </sheets>
  <functionGroups builtInGroupCount="19"/>
  <definedNames>
    <definedName name="_xleta.AND" hidden="1" xlm="1">#NAME?</definedName>
    <definedName name="_xleta.AVERAGE" hidden="1" xlm="1">#NAME?</definedName>
    <definedName name="_xleta.IFS" hidden="1" xlm="1">#NAME?</definedName>
    <definedName name="_xleta.MEDIAN" hidden="1" xlm="1">#NAME?</definedName>
    <definedName name="_xleta.M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7" i="15" l="1"/>
  <c r="B37" i="15"/>
  <c r="I36" i="15"/>
  <c r="B36" i="15"/>
  <c r="I35" i="15"/>
  <c r="B35" i="15"/>
  <c r="I34" i="15"/>
  <c r="B34" i="15"/>
  <c r="I33" i="15"/>
  <c r="B33" i="15"/>
  <c r="I32" i="15"/>
  <c r="B32" i="15"/>
  <c r="I31" i="15"/>
  <c r="B31" i="15"/>
  <c r="I30" i="15"/>
  <c r="B30" i="15"/>
  <c r="I29" i="15"/>
  <c r="B29" i="15"/>
  <c r="I28" i="15"/>
  <c r="B28" i="15"/>
  <c r="I27" i="15"/>
  <c r="B27" i="15"/>
  <c r="I26" i="15"/>
  <c r="B26" i="15"/>
  <c r="I25" i="15"/>
  <c r="B25" i="15"/>
  <c r="I24" i="15"/>
  <c r="B24" i="15"/>
  <c r="I23" i="15"/>
  <c r="B23" i="15"/>
  <c r="I22" i="15"/>
  <c r="B22" i="15"/>
  <c r="I21" i="15"/>
  <c r="B21" i="15"/>
  <c r="I20" i="15"/>
  <c r="B20" i="15"/>
  <c r="I19" i="15"/>
  <c r="B19" i="15"/>
  <c r="I18" i="15"/>
  <c r="B18" i="15"/>
  <c r="I17" i="15"/>
  <c r="B17" i="15"/>
  <c r="I16" i="15"/>
  <c r="B16" i="15"/>
  <c r="I15" i="15"/>
  <c r="B15" i="15"/>
  <c r="I14" i="15"/>
  <c r="B14" i="15"/>
  <c r="I13" i="15"/>
  <c r="B13" i="15"/>
  <c r="I12" i="15"/>
  <c r="B12" i="15"/>
  <c r="I11" i="15"/>
  <c r="B11" i="15"/>
  <c r="I10" i="15"/>
  <c r="B10" i="15"/>
  <c r="I9" i="15"/>
  <c r="B9" i="15"/>
  <c r="I8" i="15"/>
  <c r="B8" i="15"/>
  <c r="I7" i="15"/>
  <c r="B7" i="15"/>
  <c r="I6" i="15"/>
  <c r="B6" i="15"/>
  <c r="I5" i="15"/>
  <c r="B5" i="15"/>
  <c r="I4" i="15"/>
  <c r="B4" i="15"/>
  <c r="I3" i="15"/>
  <c r="B3" i="15"/>
  <c r="AD2" i="15"/>
  <c r="AD3" i="15" s="1"/>
  <c r="AD4" i="15" s="1"/>
  <c r="AD5" i="15" s="1"/>
  <c r="I2" i="15"/>
  <c r="B2" i="15"/>
  <c r="I37" i="14"/>
  <c r="B37" i="14"/>
  <c r="I36" i="14"/>
  <c r="B36" i="14"/>
  <c r="I35" i="14"/>
  <c r="B35" i="14"/>
  <c r="I34" i="14"/>
  <c r="B34" i="14"/>
  <c r="I33" i="14"/>
  <c r="B33" i="14"/>
  <c r="I32" i="14"/>
  <c r="B32" i="14"/>
  <c r="I31" i="14"/>
  <c r="B31" i="14"/>
  <c r="I30" i="14"/>
  <c r="B30" i="14"/>
  <c r="I29" i="14"/>
  <c r="B29" i="14"/>
  <c r="I28" i="14"/>
  <c r="B28" i="14"/>
  <c r="I27" i="14"/>
  <c r="B27" i="14"/>
  <c r="I26" i="14"/>
  <c r="B26" i="14"/>
  <c r="I25" i="14"/>
  <c r="B25" i="14"/>
  <c r="I24" i="14"/>
  <c r="B24" i="14"/>
  <c r="I23" i="14"/>
  <c r="B23" i="14"/>
  <c r="I22" i="14"/>
  <c r="B22" i="14"/>
  <c r="I21" i="14"/>
  <c r="B21" i="14"/>
  <c r="I20" i="14"/>
  <c r="B20" i="14"/>
  <c r="I19" i="14"/>
  <c r="B19" i="14"/>
  <c r="I18" i="14"/>
  <c r="B18" i="14"/>
  <c r="I17" i="14"/>
  <c r="B17" i="14"/>
  <c r="I16" i="14"/>
  <c r="B16" i="14"/>
  <c r="I15" i="14"/>
  <c r="B15" i="14"/>
  <c r="I14" i="14"/>
  <c r="B14" i="14"/>
  <c r="I13" i="14"/>
  <c r="B13" i="14"/>
  <c r="I12" i="14"/>
  <c r="B12" i="14"/>
  <c r="I11" i="14"/>
  <c r="B11" i="14"/>
  <c r="I10" i="14"/>
  <c r="B10" i="14"/>
  <c r="I9" i="14"/>
  <c r="B9" i="14"/>
  <c r="I8" i="14"/>
  <c r="B8" i="14"/>
  <c r="I7" i="14"/>
  <c r="B7" i="14"/>
  <c r="I6" i="14"/>
  <c r="B6" i="14"/>
  <c r="I5" i="14"/>
  <c r="B5" i="14"/>
  <c r="I4" i="14"/>
  <c r="B4" i="14"/>
  <c r="AD3" i="14"/>
  <c r="AD4" i="14" s="1"/>
  <c r="AD5" i="14" s="1"/>
  <c r="I3" i="14"/>
  <c r="B3" i="14"/>
  <c r="AD2" i="14"/>
  <c r="I2" i="14"/>
  <c r="B2" i="14"/>
  <c r="I37" i="13"/>
  <c r="B37" i="13"/>
  <c r="I36" i="13"/>
  <c r="B36" i="13"/>
  <c r="I35" i="13"/>
  <c r="B35" i="13"/>
  <c r="I34" i="13"/>
  <c r="B34" i="13"/>
  <c r="I33" i="13"/>
  <c r="B33" i="13"/>
  <c r="I32" i="13"/>
  <c r="B32" i="13"/>
  <c r="I31" i="13"/>
  <c r="B31" i="13"/>
  <c r="I30" i="13"/>
  <c r="B30" i="13"/>
  <c r="I29" i="13"/>
  <c r="B29" i="13"/>
  <c r="I28" i="13"/>
  <c r="B28" i="13"/>
  <c r="I27" i="13"/>
  <c r="B27" i="13"/>
  <c r="I26" i="13"/>
  <c r="B26" i="13"/>
  <c r="I25" i="13"/>
  <c r="B25" i="13"/>
  <c r="I24" i="13"/>
  <c r="B24" i="13"/>
  <c r="I23" i="13"/>
  <c r="B23" i="13"/>
  <c r="I22" i="13"/>
  <c r="B22" i="13"/>
  <c r="I21" i="13"/>
  <c r="B21" i="13"/>
  <c r="I20" i="13"/>
  <c r="B20" i="13"/>
  <c r="I19" i="13"/>
  <c r="B19" i="13"/>
  <c r="I18" i="13"/>
  <c r="B18" i="13"/>
  <c r="I17" i="13"/>
  <c r="B17" i="13"/>
  <c r="I16" i="13"/>
  <c r="B16" i="13"/>
  <c r="I15" i="13"/>
  <c r="B15" i="13"/>
  <c r="I14" i="13"/>
  <c r="B14" i="13"/>
  <c r="I13" i="13"/>
  <c r="B13" i="13"/>
  <c r="I12" i="13"/>
  <c r="B12" i="13"/>
  <c r="I11" i="13"/>
  <c r="B11" i="13"/>
  <c r="I10" i="13"/>
  <c r="B10" i="13"/>
  <c r="I9" i="13"/>
  <c r="B9" i="13"/>
  <c r="I8" i="13"/>
  <c r="B8" i="13"/>
  <c r="I7" i="13"/>
  <c r="B7" i="13"/>
  <c r="I6" i="13"/>
  <c r="B6" i="13"/>
  <c r="I5" i="13"/>
  <c r="B5" i="13"/>
  <c r="I4" i="13"/>
  <c r="B4" i="13"/>
  <c r="I3" i="13"/>
  <c r="B3" i="13"/>
  <c r="AD2" i="13"/>
  <c r="AD3" i="13" s="1"/>
  <c r="AD4" i="13" s="1"/>
  <c r="AD5" i="13" s="1"/>
  <c r="I2" i="13"/>
  <c r="B2" i="13"/>
  <c r="AA2" i="10"/>
  <c r="AA3" i="10" s="1"/>
  <c r="AA4" i="10" s="1"/>
  <c r="AA5" i="10" s="1"/>
  <c r="AD2" i="11"/>
  <c r="AD3" i="11" s="1"/>
  <c r="AD4" i="11" s="1"/>
  <c r="AD5" i="11" s="1"/>
  <c r="I37" i="11"/>
  <c r="B37" i="11"/>
  <c r="I36" i="11"/>
  <c r="B36" i="11"/>
  <c r="I35" i="11"/>
  <c r="B35" i="11"/>
  <c r="I34" i="11"/>
  <c r="B34" i="11"/>
  <c r="I33" i="11"/>
  <c r="B33" i="11"/>
  <c r="I32" i="11"/>
  <c r="B32" i="11"/>
  <c r="I31" i="11"/>
  <c r="B31" i="11"/>
  <c r="I30" i="11"/>
  <c r="B30" i="11"/>
  <c r="I29" i="11"/>
  <c r="B29" i="11"/>
  <c r="I28" i="11"/>
  <c r="B28" i="11"/>
  <c r="I27" i="11"/>
  <c r="B27" i="11"/>
  <c r="I26" i="11"/>
  <c r="B26" i="11"/>
  <c r="I25" i="11"/>
  <c r="B25" i="11"/>
  <c r="I24" i="11"/>
  <c r="B24" i="11"/>
  <c r="I23" i="11"/>
  <c r="B23" i="11"/>
  <c r="I22" i="11"/>
  <c r="B22" i="11"/>
  <c r="I21" i="11"/>
  <c r="B21" i="11"/>
  <c r="I20" i="11"/>
  <c r="B20" i="11"/>
  <c r="I19" i="11"/>
  <c r="B19" i="11"/>
  <c r="I18" i="11"/>
  <c r="B18" i="11"/>
  <c r="I17" i="11"/>
  <c r="B17" i="11"/>
  <c r="I16" i="11"/>
  <c r="B16" i="11"/>
  <c r="I15" i="11"/>
  <c r="B15" i="11"/>
  <c r="I14" i="11"/>
  <c r="B14" i="11"/>
  <c r="I13" i="11"/>
  <c r="B13" i="11"/>
  <c r="I12" i="11"/>
  <c r="B12" i="11"/>
  <c r="I11" i="11"/>
  <c r="B11" i="11"/>
  <c r="I10" i="11"/>
  <c r="B10" i="11"/>
  <c r="I9" i="11"/>
  <c r="B9" i="11"/>
  <c r="I8" i="11"/>
  <c r="B8" i="11"/>
  <c r="I7" i="11"/>
  <c r="B7" i="11"/>
  <c r="I6" i="11"/>
  <c r="B6" i="11"/>
  <c r="I5" i="11"/>
  <c r="B5" i="11"/>
  <c r="I4" i="11"/>
  <c r="B4" i="11"/>
  <c r="I3" i="11"/>
  <c r="B3" i="11"/>
  <c r="I2" i="11"/>
  <c r="B2" i="11"/>
  <c r="AB2" i="10"/>
  <c r="AB3" i="10" s="1"/>
  <c r="AB4" i="10" s="1"/>
  <c r="AB5" i="10" s="1"/>
</calcChain>
</file>

<file path=xl/sharedStrings.xml><?xml version="1.0" encoding="utf-8"?>
<sst xmlns="http://schemas.openxmlformats.org/spreadsheetml/2006/main" count="566" uniqueCount="326">
  <si>
    <t>Volt</t>
  </si>
  <si>
    <t>Current</t>
  </si>
  <si>
    <t>IP</t>
  </si>
  <si>
    <t>PI</t>
  </si>
  <si>
    <t>D</t>
  </si>
  <si>
    <t>C</t>
  </si>
  <si>
    <t>B</t>
  </si>
  <si>
    <t>A</t>
  </si>
  <si>
    <t>10.238.1.11</t>
  </si>
  <si>
    <t>10.238.1.21</t>
  </si>
  <si>
    <t>10.238.1.31</t>
  </si>
  <si>
    <t>10.238.1.41</t>
  </si>
  <si>
    <t>10.238.1.51</t>
  </si>
  <si>
    <t>10.238.1.61</t>
  </si>
  <si>
    <t>10.238.1.71</t>
  </si>
  <si>
    <t>10.238.1.81</t>
  </si>
  <si>
    <t>10.238.1.91</t>
  </si>
  <si>
    <t>10.238.2.11</t>
  </si>
  <si>
    <t>10.238.2.21</t>
  </si>
  <si>
    <t>10.238.2.31</t>
  </si>
  <si>
    <t>10.238.2.41</t>
  </si>
  <si>
    <t>10.238.2.51</t>
  </si>
  <si>
    <t>10.238.2.61</t>
  </si>
  <si>
    <t>10.238.2.71</t>
  </si>
  <si>
    <t>10.238.2.81</t>
  </si>
  <si>
    <t>10.238.2.91</t>
  </si>
  <si>
    <t>10.238.3.11</t>
  </si>
  <si>
    <t>10.238.3.21</t>
  </si>
  <si>
    <t>10.238.3.31</t>
  </si>
  <si>
    <t>10.238.3.41</t>
  </si>
  <si>
    <t>10.238.3.51</t>
  </si>
  <si>
    <t>10.238.3.61</t>
  </si>
  <si>
    <t>10.238.3.71</t>
  </si>
  <si>
    <t>10.238.3.81</t>
  </si>
  <si>
    <t>10.238.3.91</t>
  </si>
  <si>
    <t>10.238.4.11</t>
  </si>
  <si>
    <t>10.238.4.21</t>
  </si>
  <si>
    <t>10.238.4.31</t>
  </si>
  <si>
    <t>10.238.4.41</t>
  </si>
  <si>
    <t>10.238.4.51</t>
  </si>
  <si>
    <t>10.238.4.61</t>
  </si>
  <si>
    <t>10.238.4.71</t>
  </si>
  <si>
    <t>10.238.4.81</t>
  </si>
  <si>
    <t>10.238.4.91</t>
  </si>
  <si>
    <t>10.238.5.11</t>
  </si>
  <si>
    <t>10.238.5.21</t>
  </si>
  <si>
    <t>10.238.5.31</t>
  </si>
  <si>
    <t>10.238.5.41</t>
  </si>
  <si>
    <t>10.238.5.51</t>
  </si>
  <si>
    <t>10.238.5.61</t>
  </si>
  <si>
    <t>10.238.5.71</t>
  </si>
  <si>
    <t>10.238.5.81</t>
  </si>
  <si>
    <t>10.238.5.91</t>
  </si>
  <si>
    <t>10.238.6.11</t>
  </si>
  <si>
    <t>10.238.6.21</t>
  </si>
  <si>
    <t>10.238.6.31</t>
  </si>
  <si>
    <t>10.238.6.41</t>
  </si>
  <si>
    <t>10.238.6.51</t>
  </si>
  <si>
    <t>10.238.6.61</t>
  </si>
  <si>
    <t>10.238.6.71</t>
  </si>
  <si>
    <t>10.238.6.81</t>
  </si>
  <si>
    <t>10.238.6.91</t>
  </si>
  <si>
    <t>10.238.7.11</t>
  </si>
  <si>
    <t>10.238.7.21</t>
  </si>
  <si>
    <t>10.238.7.31</t>
  </si>
  <si>
    <t>10.238.7.41</t>
  </si>
  <si>
    <t>10.238.7.51</t>
  </si>
  <si>
    <t>10.238.7.61</t>
  </si>
  <si>
    <t>10.238.7.71</t>
  </si>
  <si>
    <t>10.238.7.81</t>
  </si>
  <si>
    <t>10.238.7.91</t>
  </si>
  <si>
    <t>10.238.8.11</t>
  </si>
  <si>
    <t>10.238.8.21</t>
  </si>
  <si>
    <t>10.238.8.31</t>
  </si>
  <si>
    <t>10.238.8.41</t>
  </si>
  <si>
    <t>10.238.8.51</t>
  </si>
  <si>
    <t>10.238.8.61</t>
  </si>
  <si>
    <t>10.238.8.71</t>
  </si>
  <si>
    <t>10.238.8.81</t>
  </si>
  <si>
    <t>10.238.8.91</t>
  </si>
  <si>
    <t>BMS status</t>
  </si>
  <si>
    <t>Num of Subsys</t>
  </si>
  <si>
    <t>Soc</t>
  </si>
  <si>
    <t>Max_Charge_Curr_Allowed</t>
  </si>
  <si>
    <t>Max_Discharge_Curr_Allowed</t>
  </si>
  <si>
    <t>Remaining_Charge_Energy</t>
  </si>
  <si>
    <t>Remaining_Discharge_Energy</t>
  </si>
  <si>
    <t>Ambient_Temp_Average</t>
  </si>
  <si>
    <t>Cell_Volt_Max</t>
  </si>
  <si>
    <t>Cell_Volt_Min</t>
  </si>
  <si>
    <t>Cell_Volt_Avg</t>
  </si>
  <si>
    <t>Cell_Temp_Max</t>
  </si>
  <si>
    <t>Cell_Temp_Min</t>
  </si>
  <si>
    <t>Cell_Temp_Avg</t>
  </si>
  <si>
    <t>MBMU_Warn_Fault_16</t>
  </si>
  <si>
    <t>MBMU_Warn_Fault_17</t>
  </si>
  <si>
    <t>SBMU1_Warn_Fault_Bitmap_6</t>
  </si>
  <si>
    <t>Sys_Soc_Maintenance_Req</t>
  </si>
  <si>
    <t>TMS_Fault_Code</t>
  </si>
  <si>
    <t>Aux_Power_Lost</t>
  </si>
  <si>
    <t>9TH.1</t>
  </si>
  <si>
    <t>LAST.1</t>
  </si>
  <si>
    <t>LAST.2</t>
  </si>
  <si>
    <t>9TH.2</t>
  </si>
  <si>
    <t>LAST.3</t>
  </si>
  <si>
    <t>9TH.3</t>
  </si>
  <si>
    <t>9TH.4</t>
  </si>
  <si>
    <t>LAST.4</t>
  </si>
  <si>
    <t>MOD1</t>
  </si>
  <si>
    <t>MOD2</t>
  </si>
  <si>
    <t>MOD3</t>
  </si>
  <si>
    <t>MOD4</t>
  </si>
  <si>
    <t>10.238.1.12</t>
  </si>
  <si>
    <t>10.238.1.22</t>
  </si>
  <si>
    <t>10.238.1.32</t>
  </si>
  <si>
    <t>10.238.1.42</t>
  </si>
  <si>
    <t>10.238.1.52</t>
  </si>
  <si>
    <t>10.238.1.62</t>
  </si>
  <si>
    <t>10.238.1.72</t>
  </si>
  <si>
    <t>10.238.1.82</t>
  </si>
  <si>
    <t>10.238.1.92</t>
  </si>
  <si>
    <t>10.238.2.12</t>
  </si>
  <si>
    <t>10.238.2.22</t>
  </si>
  <si>
    <t>10.238.2.32</t>
  </si>
  <si>
    <t>10.238.2.42</t>
  </si>
  <si>
    <t>10.238.2.52</t>
  </si>
  <si>
    <t>10.238.2.62</t>
  </si>
  <si>
    <t>10.238.2.72</t>
  </si>
  <si>
    <t>10.238.2.82</t>
  </si>
  <si>
    <t>10.238.2.92</t>
  </si>
  <si>
    <t>10.238.3.12</t>
  </si>
  <si>
    <t>10.238.3.22</t>
  </si>
  <si>
    <t>10.238.3.32</t>
  </si>
  <si>
    <t>10.238.3.42</t>
  </si>
  <si>
    <t>10.238.3.52</t>
  </si>
  <si>
    <t>10.238.3.62</t>
  </si>
  <si>
    <t>10.238.3.72</t>
  </si>
  <si>
    <t>10.238.3.82</t>
  </si>
  <si>
    <t>10.238.3.92</t>
  </si>
  <si>
    <t>10.238.4.12</t>
  </si>
  <si>
    <t>10.238.4.22</t>
  </si>
  <si>
    <t>10.238.4.32</t>
  </si>
  <si>
    <t>10.238.4.42</t>
  </si>
  <si>
    <t>10.238.4.52</t>
  </si>
  <si>
    <t>10.238.4.62</t>
  </si>
  <si>
    <t>10.238.4.72</t>
  </si>
  <si>
    <t>10.238.4.82</t>
  </si>
  <si>
    <t>10.238.4.92</t>
  </si>
  <si>
    <t>10.238.5.12</t>
  </si>
  <si>
    <t>10.238.5.22</t>
  </si>
  <si>
    <t>10.238.5.32</t>
  </si>
  <si>
    <t>10.238.5.42</t>
  </si>
  <si>
    <t>10.238.5.52</t>
  </si>
  <si>
    <t>10.238.5.62</t>
  </si>
  <si>
    <t>10.238.5.72</t>
  </si>
  <si>
    <t>10.238.5.82</t>
  </si>
  <si>
    <t>10.238.5.92</t>
  </si>
  <si>
    <t>10.238.6.12</t>
  </si>
  <si>
    <t>10.238.6.22</t>
  </si>
  <si>
    <t>10.238.6.32</t>
  </si>
  <si>
    <t>10.238.6.42</t>
  </si>
  <si>
    <t>10.238.6.52</t>
  </si>
  <si>
    <t>10.238.6.62</t>
  </si>
  <si>
    <t>10.238.6.72</t>
  </si>
  <si>
    <t>10.238.6.82</t>
  </si>
  <si>
    <t>10.238.6.92</t>
  </si>
  <si>
    <t>10.238.7.12</t>
  </si>
  <si>
    <t>10.238.7.22</t>
  </si>
  <si>
    <t>10.238.7.32</t>
  </si>
  <si>
    <t>10.238.7.42</t>
  </si>
  <si>
    <t>10.238.7.52</t>
  </si>
  <si>
    <t>10.238.7.62</t>
  </si>
  <si>
    <t>10.238.7.72</t>
  </si>
  <si>
    <t>10.238.7.82</t>
  </si>
  <si>
    <t>10.238.7.92</t>
  </si>
  <si>
    <t>10.238.8.12</t>
  </si>
  <si>
    <t>10.238.8.22</t>
  </si>
  <si>
    <t>10.238.8.32</t>
  </si>
  <si>
    <t>10.238.8.42</t>
  </si>
  <si>
    <t>10.238.8.52</t>
  </si>
  <si>
    <t>10.238.8.62</t>
  </si>
  <si>
    <t>10.238.8.72</t>
  </si>
  <si>
    <t>10.238.8.82</t>
  </si>
  <si>
    <t>10.238.8.92</t>
  </si>
  <si>
    <t xml:space="preserve">Tª  PCB </t>
  </si>
  <si>
    <t>LAST FAULT INV</t>
  </si>
  <si>
    <t>CURRENT STATUS</t>
  </si>
  <si>
    <t>POWER UP</t>
  </si>
  <si>
    <t>INIT</t>
  </si>
  <si>
    <t>OFF</t>
  </si>
  <si>
    <t>STANDBY DC</t>
  </si>
  <si>
    <t>PRECHARGE DC</t>
  </si>
  <si>
    <t>SOFTCHARGE DC</t>
  </si>
  <si>
    <t>DC READY</t>
  </si>
  <si>
    <t>STANBY AC</t>
  </si>
  <si>
    <t>BLACK START</t>
  </si>
  <si>
    <t>READY</t>
  </si>
  <si>
    <t>WAIT</t>
  </si>
  <si>
    <t>PRE ON</t>
  </si>
  <si>
    <t>ON</t>
  </si>
  <si>
    <t>STOP</t>
  </si>
  <si>
    <t>READY AC</t>
  </si>
  <si>
    <t>AC DIAG</t>
  </si>
  <si>
    <t>DISCHARGE</t>
  </si>
  <si>
    <t>FAULT</t>
  </si>
  <si>
    <t>CURRENT STATUS CODE</t>
  </si>
  <si>
    <t>10.149.101.110</t>
  </si>
  <si>
    <t>10.149.101.120</t>
  </si>
  <si>
    <t>10.149.101.130</t>
  </si>
  <si>
    <t>10.149.101.140</t>
  </si>
  <si>
    <t>10.149.101.150</t>
  </si>
  <si>
    <t>10.149.101.160</t>
  </si>
  <si>
    <t>10.149.101.170</t>
  </si>
  <si>
    <t>10.149.101.180</t>
  </si>
  <si>
    <t>10.149.102.110</t>
  </si>
  <si>
    <t>10.149.102.120</t>
  </si>
  <si>
    <t>10.149.102.130</t>
  </si>
  <si>
    <t>10.149.102.140</t>
  </si>
  <si>
    <t>10.149.102.150</t>
  </si>
  <si>
    <t>10.149.102.160</t>
  </si>
  <si>
    <t>10.149.102.170</t>
  </si>
  <si>
    <t>10.149.102.180</t>
  </si>
  <si>
    <t>10.149.106.110</t>
  </si>
  <si>
    <t>10.149.106.120</t>
  </si>
  <si>
    <t>10.149.106.130</t>
  </si>
  <si>
    <t>10.149.106.140</t>
  </si>
  <si>
    <t>10.149.106.150</t>
  </si>
  <si>
    <t>10.149.106.160</t>
  </si>
  <si>
    <t>10.149.106.170</t>
  </si>
  <si>
    <t>10.149.106.180</t>
  </si>
  <si>
    <t>10.149.107.110</t>
  </si>
  <si>
    <t>10.149.107.120</t>
  </si>
  <si>
    <t>10.149.107.130</t>
  </si>
  <si>
    <t>10.149.107.140</t>
  </si>
  <si>
    <t>10.149.107.150</t>
  </si>
  <si>
    <t>10.149.107.160</t>
  </si>
  <si>
    <t>10.149.107.170</t>
  </si>
  <si>
    <t>10.149.107.180</t>
  </si>
  <si>
    <t>10.149.108.110</t>
  </si>
  <si>
    <t>10.149.108.120</t>
  </si>
  <si>
    <t>10.149.108.130</t>
  </si>
  <si>
    <t>10.149.108.140</t>
  </si>
  <si>
    <t>10.149.108.150</t>
  </si>
  <si>
    <t>10.149.108.160</t>
  </si>
  <si>
    <t>10.149.108.170</t>
  </si>
  <si>
    <t>10.149.108.180</t>
  </si>
  <si>
    <t>10.149.109.110</t>
  </si>
  <si>
    <t>10.149.109.120</t>
  </si>
  <si>
    <t>10.149.109.130</t>
  </si>
  <si>
    <t>10.149.109.140</t>
  </si>
  <si>
    <t>10.149.109.150</t>
  </si>
  <si>
    <t>10.149.109.160</t>
  </si>
  <si>
    <t>10.149.109.170</t>
  </si>
  <si>
    <t>10.149.109.180</t>
  </si>
  <si>
    <t>10.149.110.110</t>
  </si>
  <si>
    <t>10.149.110.120</t>
  </si>
  <si>
    <t>10.149.110.130</t>
  </si>
  <si>
    <t>10.149.110.140</t>
  </si>
  <si>
    <t>10.149.110.150</t>
  </si>
  <si>
    <t>10.149.110.160</t>
  </si>
  <si>
    <t>10.149.110.170</t>
  </si>
  <si>
    <t>10.149.110.180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</si>
  <si>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</si>
  <si>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</si>
  <si>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</si>
  <si>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</si>
  <si>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</si>
  <si>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</si>
  <si>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</si>
  <si>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</si>
  <si>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</si>
  <si>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</si>
  <si>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</si>
  <si>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</si>
  <si>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</si>
  <si>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</si>
  <si>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</si>
  <si>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</si>
  <si>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10.149.103.110</t>
  </si>
  <si>
    <t>17</t>
  </si>
  <si>
    <t>10.149.103.120</t>
  </si>
  <si>
    <t>18</t>
  </si>
  <si>
    <t>10.149.103.130</t>
  </si>
  <si>
    <t>19</t>
  </si>
  <si>
    <t>10.149.103.140</t>
  </si>
  <si>
    <t>20</t>
  </si>
  <si>
    <t>10.149.103.150</t>
  </si>
  <si>
    <t>21</t>
  </si>
  <si>
    <t>10.149.103.160</t>
  </si>
  <si>
    <t>22</t>
  </si>
  <si>
    <t>10.149.103.170</t>
  </si>
  <si>
    <t>23</t>
  </si>
  <si>
    <t>10.149.103.180</t>
  </si>
  <si>
    <t>24</t>
  </si>
  <si>
    <t>10.149.104.110</t>
  </si>
  <si>
    <t>25</t>
  </si>
  <si>
    <t>10.149.104.120</t>
  </si>
  <si>
    <t>26</t>
  </si>
  <si>
    <t>10.149.104.130</t>
  </si>
  <si>
    <t>27</t>
  </si>
  <si>
    <t>10.149.104.140</t>
  </si>
  <si>
    <t>28</t>
  </si>
  <si>
    <t>10.149.104.150</t>
  </si>
  <si>
    <t>29</t>
  </si>
  <si>
    <t>10.149.104.160</t>
  </si>
  <si>
    <t>30</t>
  </si>
  <si>
    <t>10.149.104.170</t>
  </si>
  <si>
    <t>31</t>
  </si>
  <si>
    <t>10.149.104.180</t>
  </si>
  <si>
    <t>32</t>
  </si>
  <si>
    <t>10.149.105.110</t>
  </si>
  <si>
    <t>33</t>
  </si>
  <si>
    <t>10.149.105.120</t>
  </si>
  <si>
    <t>34</t>
  </si>
  <si>
    <t>10.149.105.130</t>
  </si>
  <si>
    <t>35</t>
  </si>
  <si>
    <t>10.149.105.140</t>
  </si>
  <si>
    <t>36</t>
  </si>
  <si>
    <t>10.149.105.150</t>
  </si>
  <si>
    <t>37</t>
  </si>
  <si>
    <t>10.149.105.160</t>
  </si>
  <si>
    <t>38</t>
  </si>
  <si>
    <t>10.149.105.170</t>
  </si>
  <si>
    <t>39</t>
  </si>
  <si>
    <t>10.149.105.180</t>
  </si>
  <si>
    <t>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</si>
</sst>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Aptos Narrow"/>
      <family val="2"/>
      <charset val="134"/>
      <scheme val="minor"/>
    </font>
    <font>
      <b/>
      <sz val="11"/>
      <color theme="0"/>
      <name val="Aptos Narrow"/>
      <family val="2"/>
      <charset val="134"/>
      <scheme val="minor"/>
    </font>
    <font>
      <sz val="8"/>
      <name val="Aptos Narrow"/>
      <family val="2"/>
      <charset val="134"/>
      <scheme val="minor"/>
    </font>
    <font>
      <b/>
      <sz val="11"/>
      <color theme="1"/>
      <name val="Arial"/>
      <family val="2"/>
    </font>
    <font>
      <sz val="11"/>
      <color rgb="FF000000"/>
      <name val="Aptos Narrow"/>
      <family val="2"/>
    </font>
    <font>
      <u/>
      <sz val="11"/>
      <color theme="1"/>
      <name val="Aptos Narrow"/>
      <family val="2"/>
      <charset val="134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/>
        <bgColor theme="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</fills>
  <borders count="29">
    <border>
      <left/>
      <right/>
      <top/>
      <bottom/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5" tint="0.39997558519241921"/>
      </bottom>
      <diagonal/>
    </border>
    <border>
      <left/>
      <right/>
      <top style="medium">
        <color indexed="64"/>
      </top>
      <bottom style="thin">
        <color theme="5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5" tint="0.39997558519241921"/>
      </bottom>
      <diagonal/>
    </border>
    <border>
      <left style="medium">
        <color indexed="64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medium">
        <color indexed="64"/>
      </right>
      <top style="thin">
        <color theme="5" tint="0.39997558519241921"/>
      </top>
      <bottom style="thin">
        <color theme="5" tint="0.39997558519241921"/>
      </bottom>
      <diagonal/>
    </border>
    <border>
      <left style="medium">
        <color indexed="64"/>
      </left>
      <right/>
      <top style="thin">
        <color theme="5" tint="0.39997558519241921"/>
      </top>
      <bottom style="medium">
        <color indexed="64"/>
      </bottom>
      <diagonal/>
    </border>
    <border>
      <left/>
      <right/>
      <top style="thin">
        <color theme="5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5" tint="0.39997558519241921"/>
      </top>
      <bottom style="medium">
        <color indexed="64"/>
      </bottom>
      <diagonal/>
    </border>
    <border>
      <left style="medium">
        <color indexed="64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medium">
        <color indexed="64"/>
      </right>
      <top style="thin">
        <color theme="5" tint="0.39997558519241921"/>
      </top>
      <bottom/>
      <diagonal/>
    </border>
    <border>
      <left style="medium">
        <color indexed="64"/>
      </left>
      <right/>
      <top/>
      <bottom style="thin">
        <color theme="5" tint="0.39997558519241921"/>
      </bottom>
      <diagonal/>
    </border>
    <border>
      <left/>
      <right/>
      <top/>
      <bottom style="thin">
        <color theme="5" tint="0.39997558519241921"/>
      </bottom>
      <diagonal/>
    </border>
    <border>
      <left/>
      <right style="medium">
        <color indexed="64"/>
      </right>
      <top/>
      <bottom style="thin">
        <color theme="5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0" fillId="3" borderId="0" xfId="0" applyFill="1">
      <alignment vertical="center"/>
    </xf>
    <xf numFmtId="0" fontId="0" fillId="4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3" fillId="0" borderId="0" xfId="0" applyFont="1">
      <alignment vertical="center"/>
    </xf>
    <xf numFmtId="0" fontId="3" fillId="4" borderId="2" xfId="0" applyFont="1" applyFill="1" applyBorder="1">
      <alignment vertical="center"/>
    </xf>
    <xf numFmtId="0" fontId="0" fillId="0" borderId="4" xfId="0" quotePrefix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0" fillId="0" borderId="7" xfId="0" quotePrefix="1" applyBorder="1" applyAlignment="1">
      <alignment horizontal="center" vertical="center"/>
    </xf>
    <xf numFmtId="0" fontId="0" fillId="0" borderId="9" xfId="0" quotePrefix="1" applyBorder="1" applyAlignment="1">
      <alignment horizontal="center" vertical="center"/>
    </xf>
    <xf numFmtId="0" fontId="0" fillId="0" borderId="10" xfId="0" quotePrefix="1" applyBorder="1" applyAlignment="1">
      <alignment horizontal="center" vertical="center"/>
    </xf>
    <xf numFmtId="0" fontId="0" fillId="4" borderId="12" xfId="0" quotePrefix="1" applyFill="1" applyBorder="1" applyAlignment="1">
      <alignment horizontal="center" vertical="center"/>
    </xf>
    <xf numFmtId="0" fontId="0" fillId="4" borderId="13" xfId="0" quotePrefix="1" applyFill="1" applyBorder="1" applyAlignment="1">
      <alignment horizontal="center" vertical="center"/>
    </xf>
    <xf numFmtId="0" fontId="0" fillId="0" borderId="15" xfId="0" quotePrefix="1" applyBorder="1" applyAlignment="1">
      <alignment horizontal="center" vertical="center"/>
    </xf>
    <xf numFmtId="0" fontId="0" fillId="0" borderId="2" xfId="0" quotePrefix="1" applyBorder="1" applyAlignment="1">
      <alignment horizontal="center" vertical="center"/>
    </xf>
    <xf numFmtId="0" fontId="0" fillId="4" borderId="15" xfId="0" quotePrefix="1" applyFill="1" applyBorder="1" applyAlignment="1">
      <alignment horizontal="center" vertical="center"/>
    </xf>
    <xf numFmtId="0" fontId="0" fillId="4" borderId="2" xfId="0" quotePrefix="1" applyFill="1" applyBorder="1" applyAlignment="1">
      <alignment horizontal="center" vertical="center"/>
    </xf>
    <xf numFmtId="0" fontId="0" fillId="0" borderId="17" xfId="0" quotePrefix="1" applyBorder="1" applyAlignment="1">
      <alignment horizontal="center" vertical="center"/>
    </xf>
    <xf numFmtId="0" fontId="0" fillId="0" borderId="18" xfId="0" quotePrefix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8" xfId="0" quotePrefix="1" applyBorder="1" applyAlignment="1">
      <alignment horizontal="center" vertical="center"/>
    </xf>
    <xf numFmtId="0" fontId="0" fillId="0" borderId="11" xfId="0" quotePrefix="1" applyBorder="1" applyAlignment="1">
      <alignment horizontal="center" vertical="center"/>
    </xf>
    <xf numFmtId="0" fontId="0" fillId="4" borderId="14" xfId="0" quotePrefix="1" applyFill="1" applyBorder="1" applyAlignment="1">
      <alignment horizontal="center" vertical="center"/>
    </xf>
    <xf numFmtId="0" fontId="0" fillId="0" borderId="16" xfId="0" quotePrefix="1" applyBorder="1" applyAlignment="1">
      <alignment horizontal="center" vertical="center"/>
    </xf>
    <xf numFmtId="0" fontId="0" fillId="4" borderId="16" xfId="0" quotePrefix="1" applyFill="1" applyBorder="1" applyAlignment="1">
      <alignment horizontal="center" vertical="center"/>
    </xf>
    <xf numFmtId="0" fontId="0" fillId="0" borderId="19" xfId="0" quotePrefix="1" applyBorder="1" applyAlignment="1">
      <alignment horizontal="center"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0" fillId="4" borderId="20" xfId="0" quotePrefix="1" applyFill="1" applyBorder="1" applyAlignment="1">
      <alignment horizontal="center" vertical="center"/>
    </xf>
    <xf numFmtId="0" fontId="0" fillId="4" borderId="21" xfId="0" quotePrefix="1" applyFill="1" applyBorder="1" applyAlignment="1">
      <alignment horizontal="center" vertical="center"/>
    </xf>
    <xf numFmtId="0" fontId="0" fillId="4" borderId="22" xfId="0" quotePrefix="1" applyFill="1" applyBorder="1" applyAlignment="1">
      <alignment horizontal="center" vertical="center"/>
    </xf>
    <xf numFmtId="0" fontId="0" fillId="4" borderId="23" xfId="0" quotePrefix="1" applyFill="1" applyBorder="1" applyAlignment="1">
      <alignment horizontal="center" vertical="center"/>
    </xf>
    <xf numFmtId="0" fontId="0" fillId="4" borderId="24" xfId="0" quotePrefix="1" applyFill="1" applyBorder="1" applyAlignment="1">
      <alignment horizontal="center" vertical="center"/>
    </xf>
    <xf numFmtId="0" fontId="0" fillId="4" borderId="25" xfId="0" quotePrefix="1" applyFill="1" applyBorder="1" applyAlignment="1">
      <alignment horizontal="center" vertical="center"/>
    </xf>
    <xf numFmtId="0" fontId="0" fillId="0" borderId="12" xfId="0" quotePrefix="1" applyBorder="1" applyAlignment="1">
      <alignment horizontal="center" vertical="center"/>
    </xf>
    <xf numFmtId="0" fontId="0" fillId="0" borderId="13" xfId="0" quotePrefix="1" applyBorder="1" applyAlignment="1">
      <alignment horizontal="center" vertical="center"/>
    </xf>
    <xf numFmtId="0" fontId="0" fillId="0" borderId="14" xfId="0" quotePrefix="1" applyBorder="1" applyAlignment="1">
      <alignment horizontal="center" vertical="center"/>
    </xf>
    <xf numFmtId="0" fontId="5" fillId="4" borderId="14" xfId="0" quotePrefix="1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right" vertical="center"/>
    </xf>
    <xf numFmtId="164" fontId="0" fillId="0" borderId="4" xfId="0" quotePrefix="1" applyNumberFormat="1" applyBorder="1" applyAlignment="1">
      <alignment horizontal="center" vertical="center"/>
    </xf>
    <xf numFmtId="164" fontId="0" fillId="0" borderId="5" xfId="0" quotePrefix="1" applyNumberFormat="1" applyBorder="1" applyAlignment="1">
      <alignment horizontal="center" vertical="center"/>
    </xf>
    <xf numFmtId="164" fontId="0" fillId="0" borderId="6" xfId="0" quotePrefix="1" applyNumberFormat="1" applyBorder="1" applyAlignment="1">
      <alignment horizontal="center" vertical="center"/>
    </xf>
    <xf numFmtId="164" fontId="0" fillId="0" borderId="7" xfId="0" quotePrefix="1" applyNumberFormat="1" applyBorder="1" applyAlignment="1">
      <alignment horizontal="center" vertical="center"/>
    </xf>
    <xf numFmtId="164" fontId="0" fillId="0" borderId="8" xfId="0" quotePrefix="1" applyNumberFormat="1" applyBorder="1" applyAlignment="1">
      <alignment horizontal="center" vertical="center"/>
    </xf>
    <xf numFmtId="164" fontId="0" fillId="0" borderId="9" xfId="0" quotePrefix="1" applyNumberFormat="1" applyBorder="1" applyAlignment="1">
      <alignment horizontal="center" vertical="center"/>
    </xf>
    <xf numFmtId="164" fontId="0" fillId="0" borderId="10" xfId="0" quotePrefix="1" applyNumberFormat="1" applyBorder="1" applyAlignment="1">
      <alignment horizontal="center" vertical="center"/>
    </xf>
    <xf numFmtId="164" fontId="0" fillId="0" borderId="11" xfId="0" quotePrefix="1" applyNumberFormat="1" applyBorder="1" applyAlignment="1">
      <alignment horizontal="center" vertical="center"/>
    </xf>
    <xf numFmtId="164" fontId="0" fillId="0" borderId="0" xfId="0" quotePrefix="1" applyNumberFormat="1" applyAlignment="1">
      <alignment horizontal="center" vertical="center"/>
    </xf>
    <xf numFmtId="0" fontId="0" fillId="6" borderId="26" xfId="0" applyFill="1" applyBorder="1">
      <alignment vertical="center"/>
    </xf>
    <xf numFmtId="0" fontId="0" fillId="6" borderId="27" xfId="0" applyFill="1" applyBorder="1">
      <alignment vertical="center"/>
    </xf>
    <xf numFmtId="0" fontId="0" fillId="6" borderId="28" xfId="0" applyFill="1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164" fontId="0" fillId="4" borderId="12" xfId="0" quotePrefix="1" applyNumberFormat="1" applyFill="1" applyBorder="1" applyAlignment="1">
      <alignment horizontal="center" vertical="center"/>
    </xf>
    <xf numFmtId="164" fontId="0" fillId="4" borderId="13" xfId="0" quotePrefix="1" applyNumberFormat="1" applyFill="1" applyBorder="1" applyAlignment="1">
      <alignment horizontal="center" vertical="center"/>
    </xf>
    <xf numFmtId="164" fontId="0" fillId="4" borderId="14" xfId="0" quotePrefix="1" applyNumberFormat="1" applyFill="1" applyBorder="1" applyAlignment="1">
      <alignment horizontal="center" vertical="center"/>
    </xf>
    <xf numFmtId="164" fontId="0" fillId="0" borderId="15" xfId="0" quotePrefix="1" applyNumberFormat="1" applyBorder="1" applyAlignment="1">
      <alignment horizontal="center" vertical="center"/>
    </xf>
    <xf numFmtId="164" fontId="0" fillId="0" borderId="2" xfId="0" quotePrefix="1" applyNumberFormat="1" applyBorder="1" applyAlignment="1">
      <alignment horizontal="center" vertical="center"/>
    </xf>
    <xf numFmtId="164" fontId="0" fillId="0" borderId="16" xfId="0" quotePrefix="1" applyNumberFormat="1" applyBorder="1" applyAlignment="1">
      <alignment horizontal="center" vertical="center"/>
    </xf>
    <xf numFmtId="164" fontId="0" fillId="4" borderId="15" xfId="0" quotePrefix="1" applyNumberFormat="1" applyFill="1" applyBorder="1" applyAlignment="1">
      <alignment horizontal="center" vertical="center"/>
    </xf>
    <xf numFmtId="164" fontId="0" fillId="4" borderId="2" xfId="0" quotePrefix="1" applyNumberFormat="1" applyFill="1" applyBorder="1" applyAlignment="1">
      <alignment horizontal="center" vertical="center"/>
    </xf>
    <xf numFmtId="164" fontId="0" fillId="4" borderId="16" xfId="0" quotePrefix="1" applyNumberFormat="1" applyFill="1" applyBorder="1" applyAlignment="1">
      <alignment horizontal="center" vertical="center"/>
    </xf>
    <xf numFmtId="164" fontId="0" fillId="0" borderId="20" xfId="0" quotePrefix="1" applyNumberFormat="1" applyBorder="1" applyAlignment="1">
      <alignment horizontal="center" vertical="center"/>
    </xf>
    <xf numFmtId="164" fontId="0" fillId="0" borderId="21" xfId="0" quotePrefix="1" applyNumberFormat="1" applyBorder="1" applyAlignment="1">
      <alignment horizontal="center" vertical="center"/>
    </xf>
    <xf numFmtId="164" fontId="0" fillId="0" borderId="22" xfId="0" quotePrefix="1" applyNumberFormat="1" applyBorder="1" applyAlignment="1">
      <alignment horizontal="center" vertical="center"/>
    </xf>
    <xf numFmtId="164" fontId="0" fillId="4" borderId="0" xfId="0" quotePrefix="1" applyNumberFormat="1" applyFill="1" applyAlignment="1">
      <alignment horizontal="center" vertical="center"/>
    </xf>
    <xf numFmtId="164" fontId="0" fillId="4" borderId="4" xfId="0" quotePrefix="1" applyNumberFormat="1" applyFill="1" applyBorder="1" applyAlignment="1">
      <alignment horizontal="center" vertical="center"/>
    </xf>
    <xf numFmtId="164" fontId="0" fillId="4" borderId="5" xfId="0" quotePrefix="1" applyNumberFormat="1" applyFill="1" applyBorder="1" applyAlignment="1">
      <alignment horizontal="center" vertical="center"/>
    </xf>
    <xf numFmtId="164" fontId="0" fillId="4" borderId="6" xfId="0" quotePrefix="1" applyNumberFormat="1" applyFill="1" applyBorder="1" applyAlignment="1">
      <alignment horizontal="center" vertical="center"/>
    </xf>
    <xf numFmtId="164" fontId="0" fillId="4" borderId="7" xfId="0" quotePrefix="1" applyNumberFormat="1" applyFill="1" applyBorder="1" applyAlignment="1">
      <alignment horizontal="center" vertical="center"/>
    </xf>
    <xf numFmtId="164" fontId="0" fillId="4" borderId="8" xfId="0" quotePrefix="1" applyNumberFormat="1" applyFill="1" applyBorder="1" applyAlignment="1">
      <alignment horizontal="center" vertical="center"/>
    </xf>
    <xf numFmtId="0" fontId="0" fillId="4" borderId="27" xfId="0" applyFill="1" applyBorder="1">
      <alignment vertical="center"/>
    </xf>
  </cellXfs>
  <cellStyles count="1">
    <cellStyle name="Normal" xfId="0" builtinId="0"/>
  </cellStyles>
  <dxfs count="37"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</font>
      <numFmt numFmtId="0" formatCode="General"/>
    </dxf>
    <dxf>
      <numFmt numFmtId="30" formatCode="@"/>
    </dxf>
    <dxf>
      <alignment horizontal="center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466725</xdr:colOff>
          <xdr:row>1</xdr:row>
          <xdr:rowOff>57150</xdr:rowOff>
        </xdr:from>
        <xdr:to>
          <xdr:col>20</xdr:col>
          <xdr:colOff>676275</xdr:colOff>
          <xdr:row>3</xdr:row>
          <xdr:rowOff>57150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276225</xdr:colOff>
          <xdr:row>1</xdr:row>
          <xdr:rowOff>57150</xdr:rowOff>
        </xdr:from>
        <xdr:to>
          <xdr:col>21</xdr:col>
          <xdr:colOff>266700</xdr:colOff>
          <xdr:row>3</xdr:row>
          <xdr:rowOff>57150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1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276225</xdr:colOff>
          <xdr:row>1</xdr:row>
          <xdr:rowOff>57150</xdr:rowOff>
        </xdr:from>
        <xdr:to>
          <xdr:col>21</xdr:col>
          <xdr:colOff>266700</xdr:colOff>
          <xdr:row>3</xdr:row>
          <xdr:rowOff>57150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2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276225</xdr:colOff>
          <xdr:row>1</xdr:row>
          <xdr:rowOff>57150</xdr:rowOff>
        </xdr:from>
        <xdr:to>
          <xdr:col>21</xdr:col>
          <xdr:colOff>266700</xdr:colOff>
          <xdr:row>3</xdr:row>
          <xdr:rowOff>57150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3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276225</xdr:colOff>
          <xdr:row>1</xdr:row>
          <xdr:rowOff>57150</xdr:rowOff>
        </xdr:from>
        <xdr:to>
          <xdr:col>20</xdr:col>
          <xdr:colOff>1152525</xdr:colOff>
          <xdr:row>3</xdr:row>
          <xdr:rowOff>57150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4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Reg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F62EC6-26F4-4915-8C58-B22BF3FA4C69}" name="Table1896" displayName="Table1896" ref="A1:F41" totalsRowShown="0" headerRowDxfId="33">
  <tableColumns count="6">
    <tableColumn id="1" xr3:uid="{C8822275-3754-4020-B348-B043EBA10E11}" name="IP" dataDxfId="32">
      <calculatedColumnFormula>SUBSTITUTE(T2,".8.","."&amp;$P$1&amp;".")</calculatedColumnFormula>
    </tableColumn>
    <tableColumn id="4" xr3:uid="{60B6D9F2-8F49-4C22-B7E9-8B08C6803AE1}" name="PI" dataDxfId="31">
      <calculatedColumnFormula>TEXT(MID(Table1896[[#This Row],[IP]],LEN(Table1896[[#This Row],[IP]])-1,1)+(--MID(Table1896[[#This Row],[IP]],8,1)-1)*9,"00")</calculatedColumnFormula>
    </tableColumn>
    <tableColumn id="2" xr3:uid="{832E870E-56F8-4D1C-B337-01D08F2FA759}" name="A" dataDxfId="30"/>
    <tableColumn id="3" xr3:uid="{22422C57-263D-44AB-A726-3EBA79A4F944}" name="B" dataDxfId="29"/>
    <tableColumn id="6" xr3:uid="{C9B5CA5E-B309-44BB-B362-DE27887F554D}" name="C" dataDxfId="28"/>
    <tableColumn id="7" xr3:uid="{4146567D-B352-46F3-8728-65E84A4D82A5}" name="D" dataDxfId="27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E779415-4D7E-4C90-BB9B-3E8B388A0A95}" name="Table18967" displayName="Table18967" ref="A1:F37" totalsRowShown="0" headerRowDxfId="26">
  <tableColumns count="6">
    <tableColumn id="1" xr3:uid="{D1BC5CF4-FF6D-41A5-9671-D713208CE904}" name="IP">
      <calculatedColumnFormula>SUBSTITUTE(T2,".8.","."&amp;$P$1&amp;".")</calculatedColumnFormula>
    </tableColumn>
    <tableColumn id="4" xr3:uid="{570B266B-951C-4CEB-AD68-0019724EB53F}" name="PI" dataDxfId="25">
      <calculatedColumnFormula>TEXT(MID(Table18967[[#This Row],[IP]],LEN(Table18967[[#This Row],[IP]])-1,1)+(--MID(Table18967[[#This Row],[IP]],8,1)-1)*9,"00")</calculatedColumnFormula>
    </tableColumn>
    <tableColumn id="2" xr3:uid="{25B881EC-9B22-45B5-A5B4-C8FC1D48CF0D}" name="MOD1" dataDxfId="24"/>
    <tableColumn id="3" xr3:uid="{17B0454C-4C80-464B-9C67-5054A86335AC}" name="MOD2" dataDxfId="23"/>
    <tableColumn id="6" xr3:uid="{7FC234CE-75AD-4C7D-BE81-E50509A52FAF}" name="MOD3" dataDxfId="22"/>
    <tableColumn id="7" xr3:uid="{A3523F4F-332E-4878-A435-55B5DC2B9F16}" name="MOD4" dataDxfId="2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16538DB-AB0D-4002-A4C1-E82588368133}" name="Table189673" displayName="Table189673" ref="A1:F37" totalsRowShown="0" headerRowDxfId="20">
  <tableColumns count="6">
    <tableColumn id="1" xr3:uid="{0E62DE11-E859-4893-9FBC-8E5A68B1E3FA}" name="IP" dataDxfId="19"/>
    <tableColumn id="4" xr3:uid="{1F8C3DA1-D0EC-4A96-9FCB-62347D059439}" name="PI" dataDxfId="18">
      <calculatedColumnFormula>TEXT(MID(Table189673[[#This Row],[IP]],LEN(Table189673[[#This Row],[IP]])-1,1)+(--MID(Table189673[[#This Row],[IP]],8,1)-1)*9,"00")</calculatedColumnFormula>
    </tableColumn>
    <tableColumn id="2" xr3:uid="{5AC3A4A8-800E-4C3F-9489-CEAC3B3FDF62}" name="LAST.1" dataDxfId="17"/>
    <tableColumn id="3" xr3:uid="{CAEB13FF-0617-44DB-8E3F-17DE9E4F3507}" name="9TH.1" dataDxfId="16"/>
    <tableColumn id="6" xr3:uid="{1BFA6D3D-E4A8-4F63-806F-CD74798202F3}" name="LAST.2" dataDxfId="15"/>
    <tableColumn id="7" xr3:uid="{8A435668-9D6B-4DF4-9C3C-0753925093C9}" name="9TH.2" dataDxfId="14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60497A-9B89-4257-9CA0-129686A710B2}" name="Table1896734" displayName="Table1896734" ref="A1:F37" totalsRowShown="0" headerRowDxfId="13">
  <tableColumns count="6">
    <tableColumn id="1" xr3:uid="{59AB6E82-63E2-4CB6-939A-0F8F5B057B1D}" name="IP" dataDxfId="12"/>
    <tableColumn id="4" xr3:uid="{092C231B-834C-4AD5-97F7-C988A0855076}" name="PI" dataDxfId="11">
      <calculatedColumnFormula>TEXT(MID(Table1896734[[#This Row],[IP]],LEN(Table1896734[[#This Row],[IP]])-1,1)+(--MID(Table1896734[[#This Row],[IP]],8,1)-1)*9,"00")</calculatedColumnFormula>
    </tableColumn>
    <tableColumn id="2" xr3:uid="{6264E4AC-C13E-43BD-8587-CDF357C5CBDC}" name="LAST.3" dataDxfId="10"/>
    <tableColumn id="3" xr3:uid="{E9833BDA-8C18-4302-B300-26A109727BC8}" name="9TH.3" dataDxfId="9"/>
    <tableColumn id="6" xr3:uid="{8F8AD3BD-17D0-450C-9136-CBEBFA5880BA}" name="LAST.4" dataDxfId="8"/>
    <tableColumn id="7" xr3:uid="{480FB915-E075-49E3-A008-58F29E28C917}" name="9TH.4" dataDxfId="7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05E54C5-8639-46A5-A76E-BC40575BF56B}" name="Table189675" displayName="Table189675" ref="A1:F37" totalsRowShown="0" headerRowDxfId="6">
  <tableColumns count="6">
    <tableColumn id="1" xr3:uid="{223C5CB4-726E-47AB-9B13-E22C93520268}" name="IP" dataDxfId="5"/>
    <tableColumn id="4" xr3:uid="{F1D310E1-A85F-418D-8773-50F08063B6B7}" name="PI" dataDxfId="4">
      <calculatedColumnFormula>TEXT(MID(Table189675[[#This Row],[IP]],LEN(Table189675[[#This Row],[IP]])-1,1)+(--MID(Table189675[[#This Row],[IP]],8,1)-1)*9,"00")</calculatedColumnFormula>
    </tableColumn>
    <tableColumn id="2" xr3:uid="{57E8C351-27EB-415B-935B-790FF5A53E75}" name="MOD1" dataDxfId="3"/>
    <tableColumn id="3" xr3:uid="{C493DDCE-3C41-494B-AE00-6E1F4DC36939}" name="MOD2" dataDxfId="2"/>
    <tableColumn id="6" xr3:uid="{62BD4AF8-9CDD-4C06-9A2D-623D087E7C4D}" name="MOD3" dataDxfId="1"/>
    <tableColumn id="7" xr3:uid="{785BFBB9-DBC8-4D66-A58E-2CF5C3A1366B}" name="MOD4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F3752-CF24-4D22-AE22-1C4E1B5AEE6C}">
  <sheetPr codeName="Sheet10"/>
  <dimension ref="A1:AB41"/>
  <sheetViews>
    <sheetView tabSelected="1" zoomScaleNormal="100" workbookViewId="0">
      <pane ySplit="1" topLeftCell="A2" activePane="bottomLeft" state="frozen"/>
      <selection activeCell="AH10" sqref="AH10"/>
      <selection pane="bottomLeft" activeCell="P16" sqref="P16"/>
    </sheetView>
  </sheetViews>
  <sheetFormatPr defaultColWidth="8.875" defaultRowHeight="13.5" x14ac:dyDescent="0.15"/>
  <cols>
    <col min="1" max="1" width="15.125" bestFit="1" customWidth="1"/>
    <col min="2" max="2" width="3.375" bestFit="1" customWidth="1"/>
    <col min="3" max="6" width="6.875" bestFit="1" customWidth="1"/>
    <col min="7" max="7" width="7.875" customWidth="1"/>
    <col min="8" max="8" width="15.125" bestFit="1" customWidth="1"/>
    <col min="9" max="9" width="2.8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28" ht="14.25" thickBot="1" x14ac:dyDescent="0.2">
      <c r="A1" t="s">
        <v>2</v>
      </c>
      <c r="B1" s="4" t="s">
        <v>3</v>
      </c>
      <c r="C1" s="4" t="s">
        <v>7</v>
      </c>
      <c r="D1" s="4" t="s">
        <v>6</v>
      </c>
      <c r="E1" s="4" t="s">
        <v>5</v>
      </c>
      <c r="F1" s="4" t="s">
        <v>4</v>
      </c>
      <c r="G1" s="4"/>
      <c r="H1" s="21" t="s">
        <v>2</v>
      </c>
      <c r="I1" s="5" t="s">
        <v>3</v>
      </c>
      <c r="J1" s="5" t="s">
        <v>7</v>
      </c>
      <c r="K1" s="5" t="s">
        <v>6</v>
      </c>
      <c r="L1" s="5" t="s">
        <v>5</v>
      </c>
      <c r="M1" s="22" t="s">
        <v>4</v>
      </c>
      <c r="P1" s="1">
        <v>8091</v>
      </c>
    </row>
    <row r="2" spans="1:28" ht="15" x14ac:dyDescent="0.15">
      <c r="A2" s="56" t="s">
        <v>222</v>
      </c>
      <c r="B2" s="6">
        <v>41</v>
      </c>
      <c r="C2" s="46">
        <v>0</v>
      </c>
      <c r="D2" s="47">
        <v>0</v>
      </c>
      <c r="E2" s="47">
        <v>0</v>
      </c>
      <c r="F2" s="48">
        <v>0</v>
      </c>
      <c r="G2" s="4"/>
      <c r="H2" s="56" t="s">
        <v>206</v>
      </c>
      <c r="I2" s="7" t="s">
        <v>262</v>
      </c>
      <c r="J2" s="61">
        <v>325.3</v>
      </c>
      <c r="K2" s="62">
        <v>325.60000000000002</v>
      </c>
      <c r="L2" s="62">
        <v>325.8</v>
      </c>
      <c r="M2" s="63">
        <v>326.39999999999998</v>
      </c>
      <c r="N2" s="4"/>
      <c r="AA2">
        <f>T27</f>
        <v>470</v>
      </c>
      <c r="AB2">
        <f>P1</f>
        <v>8091</v>
      </c>
    </row>
    <row r="3" spans="1:28" ht="15" x14ac:dyDescent="0.15">
      <c r="A3" s="56" t="s">
        <v>223</v>
      </c>
      <c r="B3" s="6">
        <v>42</v>
      </c>
      <c r="C3" s="49">
        <v>0</v>
      </c>
      <c r="D3" s="54">
        <v>0</v>
      </c>
      <c r="E3" s="54">
        <v>0</v>
      </c>
      <c r="F3" s="50">
        <v>0</v>
      </c>
      <c r="G3" s="4"/>
      <c r="H3" s="56" t="s">
        <v>207</v>
      </c>
      <c r="I3" s="7" t="s">
        <v>263</v>
      </c>
      <c r="J3" s="64">
        <v>326.10000000000002</v>
      </c>
      <c r="K3" s="65">
        <v>326</v>
      </c>
      <c r="L3" s="65">
        <v>324.8</v>
      </c>
      <c r="M3" s="66">
        <v>326</v>
      </c>
      <c r="AA3">
        <f>AA2+400</f>
        <v>870</v>
      </c>
      <c r="AB3">
        <f>AB2+4000</f>
        <v>12091</v>
      </c>
    </row>
    <row r="4" spans="1:28" ht="15" x14ac:dyDescent="0.15">
      <c r="A4" s="56" t="s">
        <v>224</v>
      </c>
      <c r="B4" s="6">
        <v>43</v>
      </c>
      <c r="C4" s="49">
        <v>0</v>
      </c>
      <c r="D4" s="54">
        <v>0</v>
      </c>
      <c r="E4" s="54">
        <v>0</v>
      </c>
      <c r="F4" s="50">
        <v>0</v>
      </c>
      <c r="G4" s="4"/>
      <c r="H4" s="56" t="s">
        <v>208</v>
      </c>
      <c r="I4" s="7" t="s">
        <v>264</v>
      </c>
      <c r="J4" s="67">
        <v>326.10000000000002</v>
      </c>
      <c r="K4" s="68">
        <v>325.60000000000002</v>
      </c>
      <c r="L4" s="68">
        <v>326.2</v>
      </c>
      <c r="M4" s="69">
        <v>325.5</v>
      </c>
      <c r="AA4">
        <f t="shared" ref="AA4:AA5" si="0">AA3+400</f>
        <v>1270</v>
      </c>
      <c r="AB4">
        <f>AB3+4000</f>
        <v>16091</v>
      </c>
    </row>
    <row r="5" spans="1:28" ht="15" x14ac:dyDescent="0.15">
      <c r="A5" s="56" t="s">
        <v>225</v>
      </c>
      <c r="B5" s="6">
        <v>44</v>
      </c>
      <c r="C5" s="49">
        <v>0</v>
      </c>
      <c r="D5" s="54">
        <v>0</v>
      </c>
      <c r="E5" s="54">
        <v>0</v>
      </c>
      <c r="F5" s="50">
        <v>0</v>
      </c>
      <c r="G5" s="4"/>
      <c r="H5" s="56" t="s">
        <v>209</v>
      </c>
      <c r="I5" s="7" t="s">
        <v>265</v>
      </c>
      <c r="J5" s="64">
        <v>326</v>
      </c>
      <c r="K5" s="65">
        <v>325.8</v>
      </c>
      <c r="L5" s="65">
        <v>326.39999999999998</v>
      </c>
      <c r="M5" s="66">
        <v>326.10000000000002</v>
      </c>
      <c r="AA5">
        <f t="shared" si="0"/>
        <v>1670</v>
      </c>
      <c r="AB5">
        <f>AB4+4000</f>
        <v>20091</v>
      </c>
    </row>
    <row r="6" spans="1:28" ht="13.7" customHeight="1" x14ac:dyDescent="0.15">
      <c r="A6" s="56" t="s">
        <v>226</v>
      </c>
      <c r="B6" s="6">
        <v>45</v>
      </c>
      <c r="C6" s="49">
        <v>0</v>
      </c>
      <c r="D6" s="54">
        <v>0</v>
      </c>
      <c r="E6" s="54">
        <v>0</v>
      </c>
      <c r="F6" s="50">
        <v>0</v>
      </c>
      <c r="G6" s="4"/>
      <c r="H6" s="56" t="s">
        <v>210</v>
      </c>
      <c r="I6" s="7" t="s">
        <v>266</v>
      </c>
      <c r="J6" s="67">
        <v>326</v>
      </c>
      <c r="K6" s="68">
        <v>325.60000000000002</v>
      </c>
      <c r="L6" s="68">
        <v>325.8</v>
      </c>
      <c r="M6" s="69">
        <v>325.10000000000002</v>
      </c>
      <c r="T6">
        <v>8039</v>
      </c>
      <c r="U6" t="s">
        <v>80</v>
      </c>
    </row>
    <row r="7" spans="1:28" ht="15" x14ac:dyDescent="0.15">
      <c r="A7" s="56" t="s">
        <v>227</v>
      </c>
      <c r="B7" s="6">
        <v>46</v>
      </c>
      <c r="C7" s="49">
        <v>0</v>
      </c>
      <c r="D7" s="54">
        <v>0</v>
      </c>
      <c r="E7" s="54">
        <v>0</v>
      </c>
      <c r="F7" s="50">
        <v>0</v>
      </c>
      <c r="G7" s="4"/>
      <c r="H7" s="56" t="s">
        <v>211</v>
      </c>
      <c r="I7" s="7" t="s">
        <v>267</v>
      </c>
      <c r="J7" s="64">
        <v>326.39999999999998</v>
      </c>
      <c r="K7" s="65">
        <v>325.8</v>
      </c>
      <c r="L7" s="65">
        <v>325.5</v>
      </c>
      <c r="M7" s="66">
        <v>326</v>
      </c>
      <c r="T7">
        <v>8037</v>
      </c>
      <c r="U7" t="s">
        <v>81</v>
      </c>
    </row>
    <row r="8" spans="1:28" ht="15" x14ac:dyDescent="0.15">
      <c r="A8" s="56" t="s">
        <v>228</v>
      </c>
      <c r="B8" s="6">
        <v>47</v>
      </c>
      <c r="C8" s="49">
        <v>0</v>
      </c>
      <c r="D8" s="54">
        <v>0</v>
      </c>
      <c r="E8" s="54">
        <v>0</v>
      </c>
      <c r="F8" s="50">
        <v>0</v>
      </c>
      <c r="G8" s="4"/>
      <c r="H8" s="56" t="s">
        <v>212</v>
      </c>
      <c r="I8" s="7" t="s">
        <v>268</v>
      </c>
      <c r="J8" s="67">
        <v>326.10000000000002</v>
      </c>
      <c r="K8" s="68">
        <v>326.8</v>
      </c>
      <c r="L8" s="68">
        <v>326.10000000000002</v>
      </c>
      <c r="M8" s="69">
        <v>325.2</v>
      </c>
      <c r="T8">
        <v>8059</v>
      </c>
      <c r="U8" t="s">
        <v>0</v>
      </c>
    </row>
    <row r="9" spans="1:28" ht="15.75" thickBot="1" x14ac:dyDescent="0.2">
      <c r="A9" s="57" t="s">
        <v>229</v>
      </c>
      <c r="B9" s="6">
        <v>48</v>
      </c>
      <c r="C9" s="49">
        <v>0</v>
      </c>
      <c r="D9" s="54">
        <v>0</v>
      </c>
      <c r="E9" s="54">
        <v>0</v>
      </c>
      <c r="F9" s="50">
        <v>0</v>
      </c>
      <c r="G9" s="4"/>
      <c r="H9" s="57" t="s">
        <v>213</v>
      </c>
      <c r="I9" s="7" t="s">
        <v>269</v>
      </c>
      <c r="J9" s="70">
        <v>326.3</v>
      </c>
      <c r="K9" s="71">
        <v>325.5</v>
      </c>
      <c r="L9" s="71">
        <v>326.5</v>
      </c>
      <c r="M9" s="72">
        <v>325.60000000000002</v>
      </c>
      <c r="T9">
        <v>8060</v>
      </c>
      <c r="U9" t="s">
        <v>1</v>
      </c>
    </row>
    <row r="10" spans="1:28" ht="12.75" customHeight="1" x14ac:dyDescent="0.15">
      <c r="A10" s="55" t="s">
        <v>230</v>
      </c>
      <c r="B10" s="6">
        <v>49</v>
      </c>
      <c r="C10" s="46">
        <v>323.39999999999998</v>
      </c>
      <c r="D10" s="47">
        <v>325</v>
      </c>
      <c r="E10" s="47">
        <v>324</v>
      </c>
      <c r="F10" s="48">
        <v>325.3</v>
      </c>
      <c r="G10" s="4"/>
      <c r="H10" s="59" t="s">
        <v>214</v>
      </c>
      <c r="I10" s="7" t="s">
        <v>270</v>
      </c>
      <c r="J10" s="74">
        <v>0</v>
      </c>
      <c r="K10" s="75">
        <v>0</v>
      </c>
      <c r="L10" s="75">
        <v>0</v>
      </c>
      <c r="M10" s="76">
        <v>0</v>
      </c>
      <c r="T10">
        <v>8043</v>
      </c>
      <c r="U10" t="s">
        <v>82</v>
      </c>
    </row>
    <row r="11" spans="1:28" ht="15" x14ac:dyDescent="0.15">
      <c r="A11" s="56" t="s">
        <v>231</v>
      </c>
      <c r="B11" s="6">
        <v>50</v>
      </c>
      <c r="C11" s="49">
        <v>324.2</v>
      </c>
      <c r="D11" s="54">
        <v>323.7</v>
      </c>
      <c r="E11" s="54">
        <v>326.2</v>
      </c>
      <c r="F11" s="50">
        <v>325</v>
      </c>
      <c r="G11" s="4"/>
      <c r="H11" s="59" t="s">
        <v>215</v>
      </c>
      <c r="I11" s="7" t="s">
        <v>271</v>
      </c>
      <c r="J11" s="49">
        <v>0</v>
      </c>
      <c r="K11" s="54">
        <v>0</v>
      </c>
      <c r="L11" s="54">
        <v>0</v>
      </c>
      <c r="M11" s="50">
        <v>0</v>
      </c>
      <c r="T11">
        <v>8062</v>
      </c>
      <c r="U11" t="s">
        <v>83</v>
      </c>
    </row>
    <row r="12" spans="1:28" ht="15" x14ac:dyDescent="0.15">
      <c r="A12" s="56" t="s">
        <v>232</v>
      </c>
      <c r="B12" s="6">
        <v>51</v>
      </c>
      <c r="C12" s="49">
        <v>324.89999999999998</v>
      </c>
      <c r="D12" s="54">
        <v>325</v>
      </c>
      <c r="E12" s="54">
        <v>325.8</v>
      </c>
      <c r="F12" s="50">
        <v>324.39999999999998</v>
      </c>
      <c r="G12" s="4"/>
      <c r="H12" s="79" t="s">
        <v>216</v>
      </c>
      <c r="I12" s="7" t="s">
        <v>272</v>
      </c>
      <c r="J12" s="77">
        <v>0</v>
      </c>
      <c r="K12" s="73">
        <v>0</v>
      </c>
      <c r="L12" s="73">
        <v>0</v>
      </c>
      <c r="M12" s="78">
        <v>0</v>
      </c>
      <c r="T12">
        <v>8063</v>
      </c>
      <c r="U12" t="s">
        <v>84</v>
      </c>
    </row>
    <row r="13" spans="1:28" ht="15" x14ac:dyDescent="0.15">
      <c r="A13" s="56" t="s">
        <v>233</v>
      </c>
      <c r="B13" s="6">
        <v>52</v>
      </c>
      <c r="C13" s="49">
        <v>325.39999999999998</v>
      </c>
      <c r="D13" s="54">
        <v>324.89999999999998</v>
      </c>
      <c r="E13" s="54">
        <v>325.60000000000002</v>
      </c>
      <c r="F13" s="50">
        <v>325.39999999999998</v>
      </c>
      <c r="G13" s="4"/>
      <c r="H13" s="59" t="s">
        <v>217</v>
      </c>
      <c r="I13" s="7" t="s">
        <v>273</v>
      </c>
      <c r="J13" s="49">
        <v>0</v>
      </c>
      <c r="K13" s="54">
        <v>0</v>
      </c>
      <c r="L13" s="54">
        <v>0</v>
      </c>
      <c r="M13" s="50">
        <v>0</v>
      </c>
      <c r="T13">
        <v>8080</v>
      </c>
      <c r="U13" t="s">
        <v>85</v>
      </c>
    </row>
    <row r="14" spans="1:28" ht="15" x14ac:dyDescent="0.15">
      <c r="A14" s="56" t="s">
        <v>234</v>
      </c>
      <c r="B14" s="6">
        <v>53</v>
      </c>
      <c r="C14" s="49">
        <v>323.60000000000002</v>
      </c>
      <c r="D14" s="54">
        <v>326.5</v>
      </c>
      <c r="E14" s="54">
        <v>325.10000000000002</v>
      </c>
      <c r="F14" s="50">
        <v>325</v>
      </c>
      <c r="G14" s="4"/>
      <c r="H14" s="79" t="s">
        <v>218</v>
      </c>
      <c r="I14" s="7" t="s">
        <v>274</v>
      </c>
      <c r="J14" s="77">
        <v>0</v>
      </c>
      <c r="K14" s="73">
        <v>0</v>
      </c>
      <c r="L14" s="73">
        <v>0</v>
      </c>
      <c r="M14" s="78">
        <v>0</v>
      </c>
      <c r="T14">
        <v>8082</v>
      </c>
      <c r="U14" t="s">
        <v>86</v>
      </c>
    </row>
    <row r="15" spans="1:28" ht="15" x14ac:dyDescent="0.15">
      <c r="A15" s="56" t="s">
        <v>235</v>
      </c>
      <c r="B15" s="6">
        <v>54</v>
      </c>
      <c r="C15" s="49">
        <v>324.60000000000002</v>
      </c>
      <c r="D15" s="54">
        <v>325.5</v>
      </c>
      <c r="E15" s="54">
        <v>325.5</v>
      </c>
      <c r="F15" s="50">
        <v>325.89999999999998</v>
      </c>
      <c r="G15" s="4"/>
      <c r="H15" s="59" t="s">
        <v>219</v>
      </c>
      <c r="I15" s="7" t="s">
        <v>275</v>
      </c>
      <c r="J15" s="49">
        <v>0</v>
      </c>
      <c r="K15" s="54">
        <v>0</v>
      </c>
      <c r="L15" s="54">
        <v>0</v>
      </c>
      <c r="M15" s="50">
        <v>0</v>
      </c>
      <c r="T15">
        <v>8084</v>
      </c>
      <c r="U15" t="s">
        <v>87</v>
      </c>
    </row>
    <row r="16" spans="1:28" ht="15" x14ac:dyDescent="0.15">
      <c r="A16" s="56" t="s">
        <v>236</v>
      </c>
      <c r="B16" s="6">
        <v>55</v>
      </c>
      <c r="C16" s="49">
        <v>325.3</v>
      </c>
      <c r="D16" s="54">
        <v>325.10000000000002</v>
      </c>
      <c r="E16" s="54">
        <v>324.60000000000002</v>
      </c>
      <c r="F16" s="50">
        <v>325.39999999999998</v>
      </c>
      <c r="G16" s="4"/>
      <c r="H16" s="79" t="s">
        <v>220</v>
      </c>
      <c r="I16" s="7" t="s">
        <v>276</v>
      </c>
      <c r="J16" s="77">
        <v>0</v>
      </c>
      <c r="K16" s="73">
        <v>0</v>
      </c>
      <c r="L16" s="73">
        <v>0</v>
      </c>
      <c r="M16" s="78">
        <v>0</v>
      </c>
      <c r="T16">
        <v>8046</v>
      </c>
      <c r="U16" t="s">
        <v>88</v>
      </c>
    </row>
    <row r="17" spans="1:21" ht="15.75" thickBot="1" x14ac:dyDescent="0.2">
      <c r="A17" s="57" t="s">
        <v>237</v>
      </c>
      <c r="B17" s="6">
        <v>56</v>
      </c>
      <c r="C17" s="51">
        <v>325.8</v>
      </c>
      <c r="D17" s="52">
        <v>325.3</v>
      </c>
      <c r="E17" s="52">
        <v>325.60000000000002</v>
      </c>
      <c r="F17" s="53">
        <v>324.2</v>
      </c>
      <c r="G17" s="4"/>
      <c r="H17" s="60" t="s">
        <v>221</v>
      </c>
      <c r="I17" s="7" t="s">
        <v>277</v>
      </c>
      <c r="J17" s="51">
        <v>0</v>
      </c>
      <c r="K17" s="52">
        <v>0</v>
      </c>
      <c r="L17" s="52">
        <v>0</v>
      </c>
      <c r="M17" s="53">
        <v>0</v>
      </c>
      <c r="T17">
        <v>8047</v>
      </c>
      <c r="U17" t="s">
        <v>89</v>
      </c>
    </row>
    <row r="18" spans="1:21" ht="15" x14ac:dyDescent="0.15">
      <c r="A18" s="59" t="s">
        <v>238</v>
      </c>
      <c r="B18" s="6">
        <v>57</v>
      </c>
      <c r="C18" s="46">
        <v>325.5</v>
      </c>
      <c r="D18" s="47">
        <v>324.10000000000002</v>
      </c>
      <c r="E18" s="47">
        <v>324</v>
      </c>
      <c r="F18" s="48">
        <v>320.3</v>
      </c>
      <c r="G18" s="4"/>
      <c r="H18" s="55" t="s">
        <v>278</v>
      </c>
      <c r="I18" s="7" t="s">
        <v>279</v>
      </c>
      <c r="J18" s="74">
        <v>325.60000000000002</v>
      </c>
      <c r="K18" s="75">
        <v>325.8</v>
      </c>
      <c r="L18" s="75">
        <v>325.5</v>
      </c>
      <c r="M18" s="76">
        <v>325.89999999999998</v>
      </c>
      <c r="T18">
        <v>8045</v>
      </c>
      <c r="U18" t="s">
        <v>90</v>
      </c>
    </row>
    <row r="19" spans="1:21" ht="15" x14ac:dyDescent="0.15">
      <c r="A19" s="59" t="s">
        <v>239</v>
      </c>
      <c r="B19" s="6">
        <v>58</v>
      </c>
      <c r="C19" s="49">
        <v>324.89999999999998</v>
      </c>
      <c r="D19" s="54">
        <v>323.7</v>
      </c>
      <c r="E19" s="54">
        <v>325.3</v>
      </c>
      <c r="F19" s="50">
        <v>325.5</v>
      </c>
      <c r="G19" s="4"/>
      <c r="H19" s="56" t="s">
        <v>280</v>
      </c>
      <c r="I19" s="7" t="s">
        <v>281</v>
      </c>
      <c r="J19" s="49">
        <v>325.8</v>
      </c>
      <c r="K19" s="54">
        <v>325.7</v>
      </c>
      <c r="L19" s="54">
        <v>325.60000000000002</v>
      </c>
      <c r="M19" s="50">
        <v>325.5</v>
      </c>
      <c r="T19">
        <v>8053</v>
      </c>
      <c r="U19" t="s">
        <v>91</v>
      </c>
    </row>
    <row r="20" spans="1:21" ht="15" x14ac:dyDescent="0.15">
      <c r="A20" s="59" t="s">
        <v>240</v>
      </c>
      <c r="B20" s="6">
        <v>59</v>
      </c>
      <c r="C20" s="49">
        <v>325.7</v>
      </c>
      <c r="D20" s="54">
        <v>325.60000000000002</v>
      </c>
      <c r="E20" s="54">
        <v>323.2</v>
      </c>
      <c r="F20" s="50">
        <v>325.5</v>
      </c>
      <c r="G20" s="4"/>
      <c r="H20" s="56" t="s">
        <v>282</v>
      </c>
      <c r="I20" s="7" t="s">
        <v>283</v>
      </c>
      <c r="J20" s="77">
        <v>325</v>
      </c>
      <c r="K20" s="73">
        <v>325.2</v>
      </c>
      <c r="L20" s="73">
        <v>325.3</v>
      </c>
      <c r="M20" s="78">
        <v>325.5</v>
      </c>
      <c r="T20">
        <v>8054</v>
      </c>
      <c r="U20" t="s">
        <v>92</v>
      </c>
    </row>
    <row r="21" spans="1:21" ht="15" x14ac:dyDescent="0.15">
      <c r="A21" s="59" t="s">
        <v>241</v>
      </c>
      <c r="B21" s="6">
        <v>60</v>
      </c>
      <c r="C21" s="49">
        <v>324.60000000000002</v>
      </c>
      <c r="D21" s="54">
        <v>325.39999999999998</v>
      </c>
      <c r="E21" s="54">
        <v>324.7</v>
      </c>
      <c r="F21" s="50">
        <v>325.8</v>
      </c>
      <c r="G21" s="4"/>
      <c r="H21" s="56" t="s">
        <v>284</v>
      </c>
      <c r="I21" s="7" t="s">
        <v>285</v>
      </c>
      <c r="J21" s="49">
        <v>325.39999999999998</v>
      </c>
      <c r="K21" s="54">
        <v>325.39999999999998</v>
      </c>
      <c r="L21" s="54">
        <v>325.7</v>
      </c>
      <c r="M21" s="50">
        <v>324.3</v>
      </c>
      <c r="T21">
        <v>8052</v>
      </c>
      <c r="U21" t="s">
        <v>93</v>
      </c>
    </row>
    <row r="22" spans="1:21" ht="15" x14ac:dyDescent="0.15">
      <c r="A22" s="59" t="s">
        <v>242</v>
      </c>
      <c r="B22" s="6">
        <v>61</v>
      </c>
      <c r="C22" s="49">
        <v>324.8</v>
      </c>
      <c r="D22" s="54">
        <v>325</v>
      </c>
      <c r="E22" s="54">
        <v>323.7</v>
      </c>
      <c r="F22" s="50">
        <v>325.8</v>
      </c>
      <c r="G22" s="4"/>
      <c r="H22" s="56" t="s">
        <v>286</v>
      </c>
      <c r="I22" s="7" t="s">
        <v>287</v>
      </c>
      <c r="J22" s="77">
        <v>326</v>
      </c>
      <c r="K22" s="73">
        <v>324.8</v>
      </c>
      <c r="L22" s="73">
        <v>325</v>
      </c>
      <c r="M22" s="78">
        <v>325.3</v>
      </c>
      <c r="T22">
        <v>8090</v>
      </c>
      <c r="U22" t="s">
        <v>94</v>
      </c>
    </row>
    <row r="23" spans="1:21" ht="15" x14ac:dyDescent="0.15">
      <c r="A23" s="59" t="s">
        <v>243</v>
      </c>
      <c r="B23" s="6">
        <v>62</v>
      </c>
      <c r="C23" s="49">
        <v>325.2</v>
      </c>
      <c r="D23" s="54">
        <v>325.3</v>
      </c>
      <c r="E23" s="54">
        <v>325.7</v>
      </c>
      <c r="F23" s="50">
        <v>324.7</v>
      </c>
      <c r="G23" s="4"/>
      <c r="H23" s="56" t="s">
        <v>288</v>
      </c>
      <c r="I23" s="7" t="s">
        <v>289</v>
      </c>
      <c r="J23" s="49">
        <v>325.89999999999998</v>
      </c>
      <c r="K23" s="54">
        <v>325.60000000000002</v>
      </c>
      <c r="L23" s="54">
        <v>325.39999999999998</v>
      </c>
      <c r="M23" s="50">
        <v>325.60000000000002</v>
      </c>
      <c r="T23">
        <v>8091</v>
      </c>
      <c r="U23" t="s">
        <v>95</v>
      </c>
    </row>
    <row r="24" spans="1:21" ht="15" x14ac:dyDescent="0.15">
      <c r="A24" s="59" t="s">
        <v>244</v>
      </c>
      <c r="B24" s="6">
        <v>63</v>
      </c>
      <c r="C24" s="49">
        <v>324.8</v>
      </c>
      <c r="D24" s="54">
        <v>323.3</v>
      </c>
      <c r="E24" s="54">
        <v>325</v>
      </c>
      <c r="F24" s="50">
        <v>325.89999999999998</v>
      </c>
      <c r="G24" s="4"/>
      <c r="H24" s="56" t="s">
        <v>290</v>
      </c>
      <c r="I24" s="7" t="s">
        <v>291</v>
      </c>
      <c r="J24" s="77">
        <v>325.5</v>
      </c>
      <c r="K24" s="73">
        <v>326.60000000000002</v>
      </c>
      <c r="L24" s="73">
        <v>325.8</v>
      </c>
      <c r="M24" s="78">
        <v>324.10000000000002</v>
      </c>
      <c r="T24">
        <v>8222</v>
      </c>
      <c r="U24" t="s">
        <v>96</v>
      </c>
    </row>
    <row r="25" spans="1:21" ht="15.75" thickBot="1" x14ac:dyDescent="0.2">
      <c r="A25" s="60" t="s">
        <v>245</v>
      </c>
      <c r="B25" s="6">
        <v>64</v>
      </c>
      <c r="C25" s="51">
        <v>324.8</v>
      </c>
      <c r="D25" s="52">
        <v>323.89999999999998</v>
      </c>
      <c r="E25" s="52">
        <v>322.89999999999998</v>
      </c>
      <c r="F25" s="53">
        <v>325.2</v>
      </c>
      <c r="G25" s="4"/>
      <c r="H25" s="57" t="s">
        <v>292</v>
      </c>
      <c r="I25" s="7" t="s">
        <v>293</v>
      </c>
      <c r="J25" s="51">
        <v>325.39999999999998</v>
      </c>
      <c r="K25" s="52">
        <v>325.3</v>
      </c>
      <c r="L25" s="52">
        <v>326.3</v>
      </c>
      <c r="M25" s="53">
        <v>323.5</v>
      </c>
      <c r="T25">
        <v>8089</v>
      </c>
      <c r="U25" t="s">
        <v>97</v>
      </c>
    </row>
    <row r="26" spans="1:21" ht="15" x14ac:dyDescent="0.15">
      <c r="A26" s="55" t="s">
        <v>246</v>
      </c>
      <c r="B26" s="6">
        <v>65</v>
      </c>
      <c r="C26" s="46">
        <v>0</v>
      </c>
      <c r="D26" s="47">
        <v>0</v>
      </c>
      <c r="E26" s="47">
        <v>0</v>
      </c>
      <c r="F26" s="48">
        <v>0</v>
      </c>
      <c r="G26" s="4"/>
      <c r="H26" s="79" t="s">
        <v>294</v>
      </c>
      <c r="I26" s="7" t="s">
        <v>295</v>
      </c>
      <c r="J26" s="74">
        <v>325</v>
      </c>
      <c r="K26" s="75">
        <v>325.7</v>
      </c>
      <c r="L26" s="75">
        <v>326</v>
      </c>
      <c r="M26" s="76">
        <v>325.2</v>
      </c>
      <c r="T26">
        <v>8087</v>
      </c>
      <c r="U26" t="s">
        <v>98</v>
      </c>
    </row>
    <row r="27" spans="1:21" ht="15" x14ac:dyDescent="0.15">
      <c r="A27" s="56" t="s">
        <v>247</v>
      </c>
      <c r="B27" s="6">
        <v>66</v>
      </c>
      <c r="C27" s="49">
        <v>0</v>
      </c>
      <c r="D27" s="54">
        <v>0</v>
      </c>
      <c r="E27" s="54">
        <v>0</v>
      </c>
      <c r="F27" s="50">
        <v>0</v>
      </c>
      <c r="G27" s="4"/>
      <c r="H27" s="59" t="s">
        <v>296</v>
      </c>
      <c r="I27" s="7" t="s">
        <v>297</v>
      </c>
      <c r="J27" s="49">
        <v>325.8</v>
      </c>
      <c r="K27" s="54">
        <v>324.89999999999998</v>
      </c>
      <c r="L27" s="54">
        <v>325.8</v>
      </c>
      <c r="M27" s="50">
        <v>323.2</v>
      </c>
      <c r="T27">
        <v>470</v>
      </c>
      <c r="U27" t="s">
        <v>99</v>
      </c>
    </row>
    <row r="28" spans="1:21" ht="15" x14ac:dyDescent="0.15">
      <c r="A28" s="56" t="s">
        <v>248</v>
      </c>
      <c r="B28" s="6">
        <v>67</v>
      </c>
      <c r="C28" s="49">
        <v>0</v>
      </c>
      <c r="D28" s="54">
        <v>0</v>
      </c>
      <c r="E28" s="54">
        <v>0</v>
      </c>
      <c r="F28" s="50">
        <v>0</v>
      </c>
      <c r="G28" s="4"/>
      <c r="H28" s="79" t="s">
        <v>298</v>
      </c>
      <c r="I28" s="7" t="s">
        <v>299</v>
      </c>
      <c r="J28" s="77">
        <v>325</v>
      </c>
      <c r="K28" s="73">
        <v>325.7</v>
      </c>
      <c r="L28" s="73">
        <v>324.60000000000002</v>
      </c>
      <c r="M28" s="78">
        <v>325.7</v>
      </c>
    </row>
    <row r="29" spans="1:21" ht="15" x14ac:dyDescent="0.15">
      <c r="A29" s="56" t="s">
        <v>249</v>
      </c>
      <c r="B29" s="6">
        <v>68</v>
      </c>
      <c r="C29" s="49">
        <v>0</v>
      </c>
      <c r="D29" s="54">
        <v>0</v>
      </c>
      <c r="E29" s="54">
        <v>0</v>
      </c>
      <c r="F29" s="50">
        <v>0</v>
      </c>
      <c r="G29" s="4"/>
      <c r="H29" s="59" t="s">
        <v>300</v>
      </c>
      <c r="I29" s="7" t="s">
        <v>301</v>
      </c>
      <c r="J29" s="49">
        <v>326.7</v>
      </c>
      <c r="K29" s="54">
        <v>323.89999999999998</v>
      </c>
      <c r="L29" s="54">
        <v>325.7</v>
      </c>
      <c r="M29" s="50">
        <v>325.89999999999998</v>
      </c>
    </row>
    <row r="30" spans="1:21" ht="15" x14ac:dyDescent="0.15">
      <c r="A30" s="56" t="s">
        <v>250</v>
      </c>
      <c r="B30" s="6">
        <v>69</v>
      </c>
      <c r="C30" s="49">
        <v>0</v>
      </c>
      <c r="D30" s="54">
        <v>0</v>
      </c>
      <c r="E30" s="54">
        <v>0</v>
      </c>
      <c r="F30" s="50">
        <v>0</v>
      </c>
      <c r="G30" s="4"/>
      <c r="H30" s="79" t="s">
        <v>302</v>
      </c>
      <c r="I30" s="7" t="s">
        <v>303</v>
      </c>
      <c r="J30" s="77">
        <v>325.3</v>
      </c>
      <c r="K30" s="73">
        <v>324.2</v>
      </c>
      <c r="L30" s="73">
        <v>326</v>
      </c>
      <c r="M30" s="78">
        <v>325</v>
      </c>
    </row>
    <row r="31" spans="1:21" ht="15" x14ac:dyDescent="0.15">
      <c r="A31" s="56" t="s">
        <v>251</v>
      </c>
      <c r="B31" s="6">
        <v>70</v>
      </c>
      <c r="C31" s="49">
        <v>0</v>
      </c>
      <c r="D31" s="54">
        <v>0</v>
      </c>
      <c r="E31" s="54">
        <v>0</v>
      </c>
      <c r="F31" s="50">
        <v>0</v>
      </c>
      <c r="G31" s="4"/>
      <c r="H31" s="59" t="s">
        <v>304</v>
      </c>
      <c r="I31" s="7" t="s">
        <v>305</v>
      </c>
      <c r="J31" s="49">
        <v>324.89999999999998</v>
      </c>
      <c r="K31" s="54">
        <v>325.2</v>
      </c>
      <c r="L31" s="54">
        <v>325.8</v>
      </c>
      <c r="M31" s="50">
        <v>325.8</v>
      </c>
    </row>
    <row r="32" spans="1:21" ht="15" x14ac:dyDescent="0.15">
      <c r="A32" s="56" t="s">
        <v>252</v>
      </c>
      <c r="B32" s="6">
        <v>71</v>
      </c>
      <c r="C32" s="49">
        <v>0</v>
      </c>
      <c r="D32" s="54">
        <v>0</v>
      </c>
      <c r="E32" s="54">
        <v>0</v>
      </c>
      <c r="F32" s="50">
        <v>0</v>
      </c>
      <c r="G32" s="4"/>
      <c r="H32" s="79" t="s">
        <v>306</v>
      </c>
      <c r="I32" s="7" t="s">
        <v>307</v>
      </c>
      <c r="J32" s="77">
        <v>325.3</v>
      </c>
      <c r="K32" s="73">
        <v>325.3</v>
      </c>
      <c r="L32" s="73">
        <v>326</v>
      </c>
      <c r="M32" s="78">
        <v>326.10000000000002</v>
      </c>
    </row>
    <row r="33" spans="1:13" ht="15.75" thickBot="1" x14ac:dyDescent="0.2">
      <c r="A33" s="57" t="s">
        <v>253</v>
      </c>
      <c r="B33" s="6">
        <v>72</v>
      </c>
      <c r="C33" s="51">
        <v>0</v>
      </c>
      <c r="D33" s="52">
        <v>0</v>
      </c>
      <c r="E33" s="52">
        <v>0</v>
      </c>
      <c r="F33" s="53">
        <v>0</v>
      </c>
      <c r="G33" s="4"/>
      <c r="H33" s="60" t="s">
        <v>308</v>
      </c>
      <c r="I33" s="7" t="s">
        <v>309</v>
      </c>
      <c r="J33" s="51">
        <v>325.8</v>
      </c>
      <c r="K33" s="52">
        <v>324.89999999999998</v>
      </c>
      <c r="L33" s="52">
        <v>324.89999999999998</v>
      </c>
      <c r="M33" s="53">
        <v>326</v>
      </c>
    </row>
    <row r="34" spans="1:13" ht="15" x14ac:dyDescent="0.15">
      <c r="A34" s="58" t="s">
        <v>254</v>
      </c>
      <c r="B34" s="6">
        <v>73</v>
      </c>
      <c r="C34" s="46">
        <v>0</v>
      </c>
      <c r="D34" s="47">
        <v>0</v>
      </c>
      <c r="E34" s="47">
        <v>0</v>
      </c>
      <c r="F34" s="48">
        <v>0</v>
      </c>
      <c r="G34" s="4"/>
      <c r="H34" s="55" t="s">
        <v>310</v>
      </c>
      <c r="I34" s="7" t="s">
        <v>311</v>
      </c>
      <c r="J34" s="74">
        <v>0</v>
      </c>
      <c r="K34" s="75">
        <v>0</v>
      </c>
      <c r="L34" s="75">
        <v>0</v>
      </c>
      <c r="M34" s="76">
        <v>0</v>
      </c>
    </row>
    <row r="35" spans="1:13" ht="15" x14ac:dyDescent="0.15">
      <c r="A35" s="59" t="s">
        <v>255</v>
      </c>
      <c r="B35" s="6">
        <v>74</v>
      </c>
      <c r="C35" s="49">
        <v>0</v>
      </c>
      <c r="D35" s="54">
        <v>0</v>
      </c>
      <c r="E35" s="54">
        <v>0</v>
      </c>
      <c r="F35" s="50">
        <v>0</v>
      </c>
      <c r="G35" s="4"/>
      <c r="H35" s="56" t="s">
        <v>312</v>
      </c>
      <c r="I35" s="7" t="s">
        <v>313</v>
      </c>
      <c r="J35" s="49">
        <v>0</v>
      </c>
      <c r="K35" s="54">
        <v>0</v>
      </c>
      <c r="L35" s="54">
        <v>0</v>
      </c>
      <c r="M35" s="50">
        <v>0</v>
      </c>
    </row>
    <row r="36" spans="1:13" ht="15" x14ac:dyDescent="0.15">
      <c r="A36" s="59" t="s">
        <v>256</v>
      </c>
      <c r="B36" s="6">
        <v>75</v>
      </c>
      <c r="C36" s="49">
        <v>0</v>
      </c>
      <c r="D36" s="54">
        <v>0</v>
      </c>
      <c r="E36" s="54">
        <v>0</v>
      </c>
      <c r="F36" s="50">
        <v>0</v>
      </c>
      <c r="G36" s="4"/>
      <c r="H36" s="56" t="s">
        <v>314</v>
      </c>
      <c r="I36" s="7" t="s">
        <v>315</v>
      </c>
      <c r="J36" s="77">
        <v>0</v>
      </c>
      <c r="K36" s="73">
        <v>0</v>
      </c>
      <c r="L36" s="73">
        <v>0</v>
      </c>
      <c r="M36" s="78">
        <v>0</v>
      </c>
    </row>
    <row r="37" spans="1:13" ht="15" x14ac:dyDescent="0.15">
      <c r="A37" s="59" t="s">
        <v>257</v>
      </c>
      <c r="B37" s="6">
        <v>76</v>
      </c>
      <c r="C37" s="49">
        <v>0</v>
      </c>
      <c r="D37" s="54">
        <v>0</v>
      </c>
      <c r="E37" s="54">
        <v>0</v>
      </c>
      <c r="F37" s="50">
        <v>0</v>
      </c>
      <c r="G37" s="4"/>
      <c r="H37" s="56" t="s">
        <v>316</v>
      </c>
      <c r="I37" s="7" t="s">
        <v>317</v>
      </c>
      <c r="J37" s="49">
        <v>0</v>
      </c>
      <c r="K37" s="54">
        <v>0</v>
      </c>
      <c r="L37" s="54">
        <v>0</v>
      </c>
      <c r="M37" s="50">
        <v>0</v>
      </c>
    </row>
    <row r="38" spans="1:13" ht="15" x14ac:dyDescent="0.15">
      <c r="A38" s="59" t="s">
        <v>258</v>
      </c>
      <c r="B38" s="6">
        <v>77</v>
      </c>
      <c r="C38" s="49">
        <v>0</v>
      </c>
      <c r="D38" s="54">
        <v>0</v>
      </c>
      <c r="E38" s="54">
        <v>0</v>
      </c>
      <c r="F38" s="50">
        <v>0</v>
      </c>
      <c r="H38" s="56" t="s">
        <v>318</v>
      </c>
      <c r="I38" s="7" t="s">
        <v>319</v>
      </c>
      <c r="J38" s="77">
        <v>0</v>
      </c>
      <c r="K38" s="73">
        <v>0</v>
      </c>
      <c r="L38" s="73">
        <v>0</v>
      </c>
      <c r="M38" s="78">
        <v>0</v>
      </c>
    </row>
    <row r="39" spans="1:13" ht="15" x14ac:dyDescent="0.15">
      <c r="A39" s="59" t="s">
        <v>259</v>
      </c>
      <c r="B39" s="6">
        <v>78</v>
      </c>
      <c r="C39" s="49">
        <v>0</v>
      </c>
      <c r="D39" s="54">
        <v>0</v>
      </c>
      <c r="E39" s="54">
        <v>0</v>
      </c>
      <c r="F39" s="50">
        <v>0</v>
      </c>
      <c r="H39" s="56" t="s">
        <v>320</v>
      </c>
      <c r="I39" s="7" t="s">
        <v>321</v>
      </c>
      <c r="J39" s="49">
        <v>0</v>
      </c>
      <c r="K39" s="54">
        <v>0</v>
      </c>
      <c r="L39" s="54">
        <v>0</v>
      </c>
      <c r="M39" s="50">
        <v>0</v>
      </c>
    </row>
    <row r="40" spans="1:13" ht="15" x14ac:dyDescent="0.15">
      <c r="A40" s="59" t="s">
        <v>260</v>
      </c>
      <c r="B40" s="6">
        <v>79</v>
      </c>
      <c r="C40" s="49">
        <v>0</v>
      </c>
      <c r="D40" s="54">
        <v>0</v>
      </c>
      <c r="E40" s="54">
        <v>0</v>
      </c>
      <c r="F40" s="50">
        <v>0</v>
      </c>
      <c r="H40" s="56" t="s">
        <v>322</v>
      </c>
      <c r="I40" s="7" t="s">
        <v>323</v>
      </c>
      <c r="J40" s="77">
        <v>0</v>
      </c>
      <c r="K40" s="73">
        <v>0</v>
      </c>
      <c r="L40" s="73">
        <v>0</v>
      </c>
      <c r="M40" s="78">
        <v>0</v>
      </c>
    </row>
    <row r="41" spans="1:13" ht="15.75" thickBot="1" x14ac:dyDescent="0.2">
      <c r="A41" s="60" t="s">
        <v>261</v>
      </c>
      <c r="B41" s="6">
        <v>80</v>
      </c>
      <c r="C41" s="51">
        <v>0</v>
      </c>
      <c r="D41" s="52">
        <v>0</v>
      </c>
      <c r="E41" s="52">
        <v>0</v>
      </c>
      <c r="F41" s="53">
        <v>0</v>
      </c>
      <c r="H41" s="57" t="s">
        <v>324</v>
      </c>
      <c r="I41" s="7" t="s">
        <v>325</v>
      </c>
      <c r="J41" s="51">
        <v>0</v>
      </c>
      <c r="K41" s="52">
        <v>0</v>
      </c>
      <c r="L41" s="52">
        <v>0</v>
      </c>
      <c r="M41" s="53">
        <v>0</v>
      </c>
    </row>
  </sheetData>
  <phoneticPr fontId="2" type="noConversion"/>
  <conditionalFormatting sqref="C2:F41 J2:M36">
    <cfRule type="expression" dxfId="36" priority="3">
      <formula>OR(C2=4,C2=5)</formula>
    </cfRule>
  </conditionalFormatting>
  <conditionalFormatting sqref="C2:F41 J2:M36">
    <cfRule type="top10" dxfId="35" priority="7" bottom="1" rank="1"/>
    <cfRule type="top10" dxfId="34" priority="8" rank="1"/>
  </conditionalFormatting>
  <dataValidations count="2">
    <dataValidation type="list" allowBlank="1" showInputMessage="1" showErrorMessage="1" sqref="N2" xr:uid="{52BA8B5C-2564-47F1-9DA1-03431DB9A32E}">
      <formula1>"Y,N"</formula1>
    </dataValidation>
    <dataValidation type="list" allowBlank="1" showInputMessage="1" sqref="P1" xr:uid="{B7B1D079-51FA-4F0E-B3AE-5B96CD2C7043}">
      <formula1>$T$6:$T$27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ReadBCI">
                <anchor>
                  <from>
                    <xdr:col>19</xdr:col>
                    <xdr:colOff>466725</xdr:colOff>
                    <xdr:row>1</xdr:row>
                    <xdr:rowOff>57150</xdr:rowOff>
                  </from>
                  <to>
                    <xdr:col>20</xdr:col>
                    <xdr:colOff>676275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0D8B5-679B-4B57-93E3-7ED95567EA6B}">
  <sheetPr codeName="Sheet11"/>
  <dimension ref="A1:AD37"/>
  <sheetViews>
    <sheetView zoomScaleNormal="100" workbookViewId="0">
      <pane ySplit="1" topLeftCell="A2" activePane="bottomLeft" state="frozen"/>
      <selection activeCell="AH10" sqref="AH10"/>
      <selection pane="bottomLeft" activeCell="V13" sqref="V13"/>
    </sheetView>
  </sheetViews>
  <sheetFormatPr defaultColWidth="8.875" defaultRowHeight="13.5" x14ac:dyDescent="0.15"/>
  <cols>
    <col min="1" max="1" width="11.875" bestFit="1" customWidth="1"/>
    <col min="2" max="2" width="3.375" bestFit="1" customWidth="1"/>
    <col min="3" max="6" width="6.875" bestFit="1" customWidth="1"/>
    <col min="7" max="7" width="7.875" customWidth="1"/>
    <col min="8" max="8" width="11.875" bestFit="1" customWidth="1"/>
    <col min="9" max="9" width="2.8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30" ht="14.25" thickBot="1" x14ac:dyDescent="0.2">
      <c r="A1" s="4" t="s">
        <v>2</v>
      </c>
      <c r="B1" s="4" t="s">
        <v>3</v>
      </c>
      <c r="C1" s="4" t="s">
        <v>108</v>
      </c>
      <c r="D1" s="4" t="s">
        <v>109</v>
      </c>
      <c r="E1" s="4" t="s">
        <v>110</v>
      </c>
      <c r="F1" s="4" t="s">
        <v>111</v>
      </c>
      <c r="G1" s="4"/>
      <c r="H1" s="21" t="s">
        <v>2</v>
      </c>
      <c r="I1" s="5" t="s">
        <v>3</v>
      </c>
      <c r="J1" s="5" t="s">
        <v>108</v>
      </c>
      <c r="K1" s="5" t="s">
        <v>109</v>
      </c>
      <c r="L1" s="5" t="s">
        <v>110</v>
      </c>
      <c r="M1" s="22" t="s">
        <v>111</v>
      </c>
      <c r="P1" s="1">
        <v>8039</v>
      </c>
    </row>
    <row r="2" spans="1:30" ht="15" x14ac:dyDescent="0.15">
      <c r="A2" t="s">
        <v>8</v>
      </c>
      <c r="B2" s="6" t="str">
        <f>TEXT(MID(Table18967[[#This Row],[IP]],LEN(Table18967[[#This Row],[IP]])-1,1)+(--MID(Table18967[[#This Row],[IP]],8,1)-1)*9,"00")</f>
        <v>01</v>
      </c>
      <c r="C2" s="8">
        <v>3</v>
      </c>
      <c r="D2" s="9">
        <v>3</v>
      </c>
      <c r="E2" s="9">
        <v>3</v>
      </c>
      <c r="F2" s="23">
        <v>3</v>
      </c>
      <c r="G2" s="4"/>
      <c r="H2" s="2" t="s">
        <v>44</v>
      </c>
      <c r="I2" s="7" t="str">
        <f>TEXT(MID(H2,LEN(H2)-1,1)+(--MID(H2,8,1)-1)*9,"00")</f>
        <v>37</v>
      </c>
      <c r="J2" s="13">
        <v>3</v>
      </c>
      <c r="K2" s="14">
        <v>3</v>
      </c>
      <c r="L2" s="14">
        <v>3</v>
      </c>
      <c r="M2" s="27">
        <v>3</v>
      </c>
      <c r="N2" s="4"/>
      <c r="AA2">
        <v>3897</v>
      </c>
      <c r="AB2" s="31">
        <v>3897</v>
      </c>
      <c r="AD2">
        <f>P1</f>
        <v>8039</v>
      </c>
    </row>
    <row r="3" spans="1:30" ht="15" x14ac:dyDescent="0.15">
      <c r="A3" t="s">
        <v>9</v>
      </c>
      <c r="B3" s="6" t="str">
        <f>TEXT(MID(Table18967[[#This Row],[IP]],LEN(Table18967[[#This Row],[IP]])-1,1)+(--MID(Table18967[[#This Row],[IP]],8,1)-1)*9,"00")</f>
        <v>02</v>
      </c>
      <c r="C3" s="10">
        <v>3</v>
      </c>
      <c r="D3" s="24">
        <v>3</v>
      </c>
      <c r="E3" s="24">
        <v>3</v>
      </c>
      <c r="F3" s="25">
        <v>3</v>
      </c>
      <c r="G3" s="4"/>
      <c r="H3" s="3" t="s">
        <v>45</v>
      </c>
      <c r="I3" s="7" t="str">
        <f t="shared" ref="I3:I37" si="0">TEXT(MID(H3,LEN(H3)-1,1)+(--MID(H3,8,1)-1)*9,"00")</f>
        <v>38</v>
      </c>
      <c r="J3" s="15">
        <v>3</v>
      </c>
      <c r="K3" s="16">
        <v>3</v>
      </c>
      <c r="L3" s="16">
        <v>3</v>
      </c>
      <c r="M3" s="28">
        <v>3</v>
      </c>
      <c r="AA3">
        <v>3940</v>
      </c>
      <c r="AB3" s="31">
        <v>3940</v>
      </c>
      <c r="AD3">
        <f>AD2+4000</f>
        <v>12039</v>
      </c>
    </row>
    <row r="4" spans="1:30" ht="15" x14ac:dyDescent="0.15">
      <c r="A4" t="s">
        <v>10</v>
      </c>
      <c r="B4" s="6" t="str">
        <f>TEXT(MID(Table18967[[#This Row],[IP]],LEN(Table18967[[#This Row],[IP]])-1,1)+(--MID(Table18967[[#This Row],[IP]],8,1)-1)*9,"00")</f>
        <v>03</v>
      </c>
      <c r="C4" s="10">
        <v>3</v>
      </c>
      <c r="D4" s="24">
        <v>3</v>
      </c>
      <c r="E4" s="24">
        <v>3</v>
      </c>
      <c r="F4" s="25">
        <v>3</v>
      </c>
      <c r="G4" s="4"/>
      <c r="H4" s="2" t="s">
        <v>46</v>
      </c>
      <c r="I4" s="7" t="str">
        <f t="shared" si="0"/>
        <v>39</v>
      </c>
      <c r="J4" s="17">
        <v>3</v>
      </c>
      <c r="K4" s="18">
        <v>3</v>
      </c>
      <c r="L4" s="18">
        <v>3</v>
      </c>
      <c r="M4" s="29">
        <v>3</v>
      </c>
      <c r="AA4">
        <v>3983</v>
      </c>
      <c r="AB4" s="31">
        <v>3983</v>
      </c>
      <c r="AD4">
        <f t="shared" ref="AD4:AD5" si="1">AD3+4000</f>
        <v>16039</v>
      </c>
    </row>
    <row r="5" spans="1:30" ht="15" x14ac:dyDescent="0.15">
      <c r="A5" t="s">
        <v>11</v>
      </c>
      <c r="B5" s="6" t="str">
        <f>TEXT(MID(Table18967[[#This Row],[IP]],LEN(Table18967[[#This Row],[IP]])-1,1)+(--MID(Table18967[[#This Row],[IP]],8,1)-1)*9,"00")</f>
        <v>04</v>
      </c>
      <c r="C5" s="10">
        <v>1</v>
      </c>
      <c r="D5" s="24">
        <v>1</v>
      </c>
      <c r="E5" s="24">
        <v>1</v>
      </c>
      <c r="F5" s="25">
        <v>1</v>
      </c>
      <c r="G5" s="4"/>
      <c r="H5" s="3" t="s">
        <v>47</v>
      </c>
      <c r="I5" s="7" t="str">
        <f t="shared" si="0"/>
        <v>40</v>
      </c>
      <c r="J5" s="15">
        <v>3</v>
      </c>
      <c r="K5" s="16">
        <v>3</v>
      </c>
      <c r="L5" s="16">
        <v>3</v>
      </c>
      <c r="M5" s="28">
        <v>3</v>
      </c>
      <c r="AA5">
        <v>4026</v>
      </c>
      <c r="AB5" s="31">
        <v>4026</v>
      </c>
      <c r="AD5">
        <f t="shared" si="1"/>
        <v>20039</v>
      </c>
    </row>
    <row r="6" spans="1:30" ht="13.7" customHeight="1" x14ac:dyDescent="0.15">
      <c r="A6" t="s">
        <v>12</v>
      </c>
      <c r="B6" s="6" t="str">
        <f>TEXT(MID(Table18967[[#This Row],[IP]],LEN(Table18967[[#This Row],[IP]])-1,1)+(--MID(Table18967[[#This Row],[IP]],8,1)-1)*9,"00")</f>
        <v>05</v>
      </c>
      <c r="C6" s="10">
        <v>3</v>
      </c>
      <c r="D6" s="24">
        <v>3</v>
      </c>
      <c r="E6" s="24">
        <v>3</v>
      </c>
      <c r="F6" s="25">
        <v>3</v>
      </c>
      <c r="G6" s="4"/>
      <c r="H6" s="2" t="s">
        <v>48</v>
      </c>
      <c r="I6" s="7" t="str">
        <f t="shared" si="0"/>
        <v>41</v>
      </c>
      <c r="J6" s="17">
        <v>3</v>
      </c>
      <c r="K6" s="18">
        <v>3</v>
      </c>
      <c r="L6" s="18">
        <v>3</v>
      </c>
      <c r="M6" s="29">
        <v>3</v>
      </c>
      <c r="T6">
        <v>8039</v>
      </c>
      <c r="U6" t="s">
        <v>80</v>
      </c>
    </row>
    <row r="7" spans="1:30" ht="15" x14ac:dyDescent="0.15">
      <c r="A7" t="s">
        <v>13</v>
      </c>
      <c r="B7" s="6" t="str">
        <f>TEXT(MID(Table18967[[#This Row],[IP]],LEN(Table18967[[#This Row],[IP]])-1,1)+(--MID(Table18967[[#This Row],[IP]],8,1)-1)*9,"00")</f>
        <v>06</v>
      </c>
      <c r="C7" s="10">
        <v>3</v>
      </c>
      <c r="D7" s="24">
        <v>3</v>
      </c>
      <c r="E7" s="24">
        <v>3</v>
      </c>
      <c r="F7" s="25">
        <v>3</v>
      </c>
      <c r="G7" s="4"/>
      <c r="H7" s="3" t="s">
        <v>49</v>
      </c>
      <c r="I7" s="7" t="str">
        <f t="shared" si="0"/>
        <v>42</v>
      </c>
      <c r="J7" s="15">
        <v>3</v>
      </c>
      <c r="K7" s="16">
        <v>3</v>
      </c>
      <c r="L7" s="16">
        <v>3</v>
      </c>
      <c r="M7" s="28">
        <v>3</v>
      </c>
      <c r="T7">
        <v>8037</v>
      </c>
      <c r="U7" t="s">
        <v>81</v>
      </c>
    </row>
    <row r="8" spans="1:30" ht="15" x14ac:dyDescent="0.15">
      <c r="A8" t="s">
        <v>14</v>
      </c>
      <c r="B8" s="6" t="str">
        <f>TEXT(MID(Table18967[[#This Row],[IP]],LEN(Table18967[[#This Row],[IP]])-1,1)+(--MID(Table18967[[#This Row],[IP]],8,1)-1)*9,"00")</f>
        <v>07</v>
      </c>
      <c r="C8" s="10">
        <v>3</v>
      </c>
      <c r="D8" s="24">
        <v>3</v>
      </c>
      <c r="E8" s="24">
        <v>3</v>
      </c>
      <c r="F8" s="25">
        <v>3</v>
      </c>
      <c r="G8" s="4"/>
      <c r="H8" s="2" t="s">
        <v>50</v>
      </c>
      <c r="I8" s="7" t="str">
        <f t="shared" si="0"/>
        <v>43</v>
      </c>
      <c r="J8" s="17">
        <v>3</v>
      </c>
      <c r="K8" s="18">
        <v>3</v>
      </c>
      <c r="L8" s="18">
        <v>3</v>
      </c>
      <c r="M8" s="29">
        <v>3</v>
      </c>
      <c r="T8">
        <v>8059</v>
      </c>
      <c r="U8" t="s">
        <v>0</v>
      </c>
    </row>
    <row r="9" spans="1:30" ht="15" x14ac:dyDescent="0.15">
      <c r="A9" t="s">
        <v>15</v>
      </c>
      <c r="B9" s="6" t="str">
        <f>TEXT(MID(Table18967[[#This Row],[IP]],LEN(Table18967[[#This Row],[IP]])-1,1)+(--MID(Table18967[[#This Row],[IP]],8,1)-1)*9,"00")</f>
        <v>08</v>
      </c>
      <c r="C9" s="10">
        <v>3</v>
      </c>
      <c r="D9" s="24">
        <v>3</v>
      </c>
      <c r="E9" s="24">
        <v>3</v>
      </c>
      <c r="F9" s="25">
        <v>3</v>
      </c>
      <c r="G9" s="4"/>
      <c r="H9" s="3" t="s">
        <v>51</v>
      </c>
      <c r="I9" s="7" t="str">
        <f t="shared" si="0"/>
        <v>44</v>
      </c>
      <c r="J9" s="15">
        <v>3</v>
      </c>
      <c r="K9" s="16">
        <v>3</v>
      </c>
      <c r="L9" s="16">
        <v>3</v>
      </c>
      <c r="M9" s="28">
        <v>3</v>
      </c>
      <c r="T9">
        <v>8060</v>
      </c>
      <c r="U9" t="s">
        <v>1</v>
      </c>
    </row>
    <row r="10" spans="1:30" ht="12.75" customHeight="1" thickBot="1" x14ac:dyDescent="0.2">
      <c r="A10" t="s">
        <v>16</v>
      </c>
      <c r="B10" s="6" t="str">
        <f>TEXT(MID(Table18967[[#This Row],[IP]],LEN(Table18967[[#This Row],[IP]])-1,1)+(--MID(Table18967[[#This Row],[IP]],8,1)-1)*9,"00")</f>
        <v>09</v>
      </c>
      <c r="C10" s="11">
        <v>3</v>
      </c>
      <c r="D10" s="12">
        <v>3</v>
      </c>
      <c r="E10" s="12">
        <v>3</v>
      </c>
      <c r="F10" s="26">
        <v>3</v>
      </c>
      <c r="G10" s="4"/>
      <c r="H10" s="2" t="s">
        <v>52</v>
      </c>
      <c r="I10" s="7" t="str">
        <f t="shared" si="0"/>
        <v>45</v>
      </c>
      <c r="J10" s="33">
        <v>3</v>
      </c>
      <c r="K10" s="34">
        <v>3</v>
      </c>
      <c r="L10" s="34">
        <v>3</v>
      </c>
      <c r="M10" s="35">
        <v>3</v>
      </c>
      <c r="T10">
        <v>8043</v>
      </c>
      <c r="U10" t="s">
        <v>82</v>
      </c>
    </row>
    <row r="11" spans="1:30" ht="15" x14ac:dyDescent="0.15">
      <c r="A11" t="s">
        <v>17</v>
      </c>
      <c r="B11" s="6" t="str">
        <f>TEXT(MID(Table18967[[#This Row],[IP]],LEN(Table18967[[#This Row],[IP]])-1,1)+(--MID(Table18967[[#This Row],[IP]],8,1)-1)*9,"00")</f>
        <v>10</v>
      </c>
      <c r="C11" s="10">
        <v>3</v>
      </c>
      <c r="D11" s="24">
        <v>3</v>
      </c>
      <c r="E11" s="24">
        <v>3</v>
      </c>
      <c r="F11" s="25">
        <v>3</v>
      </c>
      <c r="G11" s="4"/>
      <c r="H11" s="3" t="s">
        <v>53</v>
      </c>
      <c r="I11" s="7" t="str">
        <f t="shared" si="0"/>
        <v>46</v>
      </c>
      <c r="J11" s="39">
        <v>3</v>
      </c>
      <c r="K11" s="40">
        <v>3</v>
      </c>
      <c r="L11" s="40">
        <v>3</v>
      </c>
      <c r="M11" s="41">
        <v>3</v>
      </c>
      <c r="T11">
        <v>8062</v>
      </c>
      <c r="U11" t="s">
        <v>83</v>
      </c>
      <c r="Z11" s="32"/>
    </row>
    <row r="12" spans="1:30" ht="15" x14ac:dyDescent="0.15">
      <c r="A12" t="s">
        <v>18</v>
      </c>
      <c r="B12" s="6" t="str">
        <f>TEXT(MID(Table18967[[#This Row],[IP]],LEN(Table18967[[#This Row],[IP]])-1,1)+(--MID(Table18967[[#This Row],[IP]],8,1)-1)*9,"00")</f>
        <v>11</v>
      </c>
      <c r="C12" s="10">
        <v>1</v>
      </c>
      <c r="D12" s="24">
        <v>1</v>
      </c>
      <c r="E12" s="24">
        <v>1</v>
      </c>
      <c r="F12" s="25">
        <v>1</v>
      </c>
      <c r="G12" s="4"/>
      <c r="H12" s="2" t="s">
        <v>54</v>
      </c>
      <c r="I12" s="7" t="str">
        <f t="shared" si="0"/>
        <v>47</v>
      </c>
      <c r="J12" s="17">
        <v>3</v>
      </c>
      <c r="K12" s="18">
        <v>3</v>
      </c>
      <c r="L12" s="18">
        <v>3</v>
      </c>
      <c r="M12" s="29">
        <v>3</v>
      </c>
      <c r="T12">
        <v>8063</v>
      </c>
      <c r="U12" t="s">
        <v>84</v>
      </c>
    </row>
    <row r="13" spans="1:30" ht="15" x14ac:dyDescent="0.15">
      <c r="A13" t="s">
        <v>19</v>
      </c>
      <c r="B13" s="6" t="str">
        <f>TEXT(MID(Table18967[[#This Row],[IP]],LEN(Table18967[[#This Row],[IP]])-1,1)+(--MID(Table18967[[#This Row],[IP]],8,1)-1)*9,"00")</f>
        <v>12</v>
      </c>
      <c r="C13" s="10">
        <v>3</v>
      </c>
      <c r="D13" s="24">
        <v>3</v>
      </c>
      <c r="E13" s="24">
        <v>3</v>
      </c>
      <c r="F13" s="25">
        <v>3</v>
      </c>
      <c r="G13" s="4"/>
      <c r="H13" s="3" t="s">
        <v>55</v>
      </c>
      <c r="I13" s="7" t="str">
        <f t="shared" si="0"/>
        <v>48</v>
      </c>
      <c r="J13" s="15">
        <v>3</v>
      </c>
      <c r="K13" s="16">
        <v>3</v>
      </c>
      <c r="L13" s="16">
        <v>3</v>
      </c>
      <c r="M13" s="28">
        <v>3</v>
      </c>
      <c r="T13">
        <v>8080</v>
      </c>
      <c r="U13" t="s">
        <v>85</v>
      </c>
    </row>
    <row r="14" spans="1:30" ht="15" x14ac:dyDescent="0.15">
      <c r="A14" t="s">
        <v>20</v>
      </c>
      <c r="B14" s="6" t="str">
        <f>TEXT(MID(Table18967[[#This Row],[IP]],LEN(Table18967[[#This Row],[IP]])-1,1)+(--MID(Table18967[[#This Row],[IP]],8,1)-1)*9,"00")</f>
        <v>13</v>
      </c>
      <c r="C14" s="10">
        <v>1</v>
      </c>
      <c r="D14" s="24">
        <v>1</v>
      </c>
      <c r="E14" s="24">
        <v>1</v>
      </c>
      <c r="F14" s="25">
        <v>1</v>
      </c>
      <c r="G14" s="4"/>
      <c r="H14" s="2" t="s">
        <v>56</v>
      </c>
      <c r="I14" s="7" t="str">
        <f t="shared" si="0"/>
        <v>49</v>
      </c>
      <c r="J14" s="17">
        <v>3</v>
      </c>
      <c r="K14" s="18">
        <v>3</v>
      </c>
      <c r="L14" s="18">
        <v>3</v>
      </c>
      <c r="M14" s="29">
        <v>3</v>
      </c>
      <c r="T14">
        <v>8082</v>
      </c>
      <c r="U14" t="s">
        <v>86</v>
      </c>
    </row>
    <row r="15" spans="1:30" ht="15" x14ac:dyDescent="0.15">
      <c r="A15" t="s">
        <v>21</v>
      </c>
      <c r="B15" s="6" t="str">
        <f>TEXT(MID(Table18967[[#This Row],[IP]],LEN(Table18967[[#This Row],[IP]])-1,1)+(--MID(Table18967[[#This Row],[IP]],8,1)-1)*9,"00")</f>
        <v>14</v>
      </c>
      <c r="C15" s="10">
        <v>3</v>
      </c>
      <c r="D15" s="24">
        <v>3</v>
      </c>
      <c r="E15" s="24">
        <v>3</v>
      </c>
      <c r="F15" s="25">
        <v>3</v>
      </c>
      <c r="G15" s="4"/>
      <c r="H15" s="3" t="s">
        <v>57</v>
      </c>
      <c r="I15" s="7" t="str">
        <f t="shared" si="0"/>
        <v>50</v>
      </c>
      <c r="J15" s="15">
        <v>3</v>
      </c>
      <c r="K15" s="16">
        <v>3</v>
      </c>
      <c r="L15" s="16">
        <v>3</v>
      </c>
      <c r="M15" s="28">
        <v>3</v>
      </c>
      <c r="T15">
        <v>8084</v>
      </c>
      <c r="U15" t="s">
        <v>87</v>
      </c>
    </row>
    <row r="16" spans="1:30" ht="15" x14ac:dyDescent="0.15">
      <c r="A16" t="s">
        <v>22</v>
      </c>
      <c r="B16" s="6" t="str">
        <f>TEXT(MID(Table18967[[#This Row],[IP]],LEN(Table18967[[#This Row],[IP]])-1,1)+(--MID(Table18967[[#This Row],[IP]],8,1)-1)*9,"00")</f>
        <v>15</v>
      </c>
      <c r="C16" s="10">
        <v>3</v>
      </c>
      <c r="D16" s="24">
        <v>3</v>
      </c>
      <c r="E16" s="24">
        <v>3</v>
      </c>
      <c r="F16" s="25">
        <v>3</v>
      </c>
      <c r="G16" s="4"/>
      <c r="H16" s="2" t="s">
        <v>58</v>
      </c>
      <c r="I16" s="7" t="str">
        <f t="shared" si="0"/>
        <v>51</v>
      </c>
      <c r="J16" s="17">
        <v>3</v>
      </c>
      <c r="K16" s="18">
        <v>3</v>
      </c>
      <c r="L16" s="18">
        <v>3</v>
      </c>
      <c r="M16" s="29">
        <v>3</v>
      </c>
      <c r="T16">
        <v>8046</v>
      </c>
      <c r="U16" t="s">
        <v>88</v>
      </c>
    </row>
    <row r="17" spans="1:21" ht="15" x14ac:dyDescent="0.15">
      <c r="A17" t="s">
        <v>23</v>
      </c>
      <c r="B17" s="6" t="str">
        <f>TEXT(MID(Table18967[[#This Row],[IP]],LEN(Table18967[[#This Row],[IP]])-1,1)+(--MID(Table18967[[#This Row],[IP]],8,1)-1)*9,"00")</f>
        <v>16</v>
      </c>
      <c r="C17" s="10">
        <v>3</v>
      </c>
      <c r="D17" s="24">
        <v>3</v>
      </c>
      <c r="E17" s="24">
        <v>3</v>
      </c>
      <c r="F17" s="25">
        <v>3</v>
      </c>
      <c r="G17" s="4"/>
      <c r="H17" s="3" t="s">
        <v>59</v>
      </c>
      <c r="I17" s="7" t="str">
        <f t="shared" si="0"/>
        <v>52</v>
      </c>
      <c r="J17" s="15">
        <v>3</v>
      </c>
      <c r="K17" s="16">
        <v>3</v>
      </c>
      <c r="L17" s="16">
        <v>3</v>
      </c>
      <c r="M17" s="28">
        <v>3</v>
      </c>
      <c r="T17">
        <v>8047</v>
      </c>
      <c r="U17" t="s">
        <v>89</v>
      </c>
    </row>
    <row r="18" spans="1:21" ht="15" x14ac:dyDescent="0.15">
      <c r="A18" t="s">
        <v>24</v>
      </c>
      <c r="B18" s="6" t="str">
        <f>TEXT(MID(Table18967[[#This Row],[IP]],LEN(Table18967[[#This Row],[IP]])-1,1)+(--MID(Table18967[[#This Row],[IP]],8,1)-1)*9,"00")</f>
        <v>17</v>
      </c>
      <c r="C18" s="10">
        <v>3</v>
      </c>
      <c r="D18" s="24">
        <v>3</v>
      </c>
      <c r="E18" s="24">
        <v>3</v>
      </c>
      <c r="F18" s="25">
        <v>3</v>
      </c>
      <c r="G18" s="4"/>
      <c r="H18" s="2" t="s">
        <v>60</v>
      </c>
      <c r="I18" s="7" t="str">
        <f t="shared" si="0"/>
        <v>53</v>
      </c>
      <c r="J18" s="17">
        <v>3</v>
      </c>
      <c r="K18" s="18">
        <v>3</v>
      </c>
      <c r="L18" s="18">
        <v>3</v>
      </c>
      <c r="M18" s="29">
        <v>3</v>
      </c>
      <c r="T18">
        <v>8045</v>
      </c>
      <c r="U18" t="s">
        <v>90</v>
      </c>
    </row>
    <row r="19" spans="1:21" ht="15.75" thickBot="1" x14ac:dyDescent="0.2">
      <c r="A19" t="s">
        <v>25</v>
      </c>
      <c r="B19" s="6" t="str">
        <f>TEXT(MID(Table18967[[#This Row],[IP]],LEN(Table18967[[#This Row],[IP]])-1,1)+(--MID(Table18967[[#This Row],[IP]],8,1)-1)*9,"00")</f>
        <v>18</v>
      </c>
      <c r="C19" s="10">
        <v>3</v>
      </c>
      <c r="D19" s="24">
        <v>3</v>
      </c>
      <c r="E19" s="24">
        <v>3</v>
      </c>
      <c r="F19" s="25">
        <v>3</v>
      </c>
      <c r="G19" s="4"/>
      <c r="H19" s="3" t="s">
        <v>61</v>
      </c>
      <c r="I19" s="7" t="str">
        <f t="shared" si="0"/>
        <v>54</v>
      </c>
      <c r="J19" s="19">
        <v>3</v>
      </c>
      <c r="K19" s="20">
        <v>3</v>
      </c>
      <c r="L19" s="20">
        <v>3</v>
      </c>
      <c r="M19" s="30">
        <v>3</v>
      </c>
      <c r="T19">
        <v>8053</v>
      </c>
      <c r="U19" t="s">
        <v>91</v>
      </c>
    </row>
    <row r="20" spans="1:21" ht="15" x14ac:dyDescent="0.15">
      <c r="A20" t="s">
        <v>26</v>
      </c>
      <c r="B20" s="6" t="str">
        <f>TEXT(MID(Table18967[[#This Row],[IP]],LEN(Table18967[[#This Row],[IP]])-1,1)+(--MID(Table18967[[#This Row],[IP]],8,1)-1)*9,"00")</f>
        <v>19</v>
      </c>
      <c r="C20" s="8">
        <v>3</v>
      </c>
      <c r="D20" s="9">
        <v>3</v>
      </c>
      <c r="E20" s="9">
        <v>3</v>
      </c>
      <c r="F20" s="23">
        <v>3</v>
      </c>
      <c r="G20" s="4"/>
      <c r="H20" s="2" t="s">
        <v>62</v>
      </c>
      <c r="I20" s="7" t="str">
        <f t="shared" si="0"/>
        <v>55</v>
      </c>
      <c r="J20" s="36">
        <v>1</v>
      </c>
      <c r="K20" s="37">
        <v>1</v>
      </c>
      <c r="L20" s="37">
        <v>6</v>
      </c>
      <c r="M20" s="38">
        <v>1</v>
      </c>
      <c r="T20">
        <v>8054</v>
      </c>
      <c r="U20" t="s">
        <v>92</v>
      </c>
    </row>
    <row r="21" spans="1:21" ht="15" x14ac:dyDescent="0.15">
      <c r="A21" t="s">
        <v>27</v>
      </c>
      <c r="B21" s="6" t="str">
        <f>TEXT(MID(Table18967[[#This Row],[IP]],LEN(Table18967[[#This Row],[IP]])-1,1)+(--MID(Table18967[[#This Row],[IP]],8,1)-1)*9,"00")</f>
        <v>20</v>
      </c>
      <c r="C21" s="10">
        <v>3</v>
      </c>
      <c r="D21" s="24">
        <v>3</v>
      </c>
      <c r="E21" s="24">
        <v>3</v>
      </c>
      <c r="F21" s="25">
        <v>3</v>
      </c>
      <c r="G21" s="4"/>
      <c r="H21" s="3" t="s">
        <v>63</v>
      </c>
      <c r="I21" s="7" t="str">
        <f t="shared" si="0"/>
        <v>56</v>
      </c>
      <c r="J21" s="15">
        <v>1</v>
      </c>
      <c r="K21" s="16">
        <v>1</v>
      </c>
      <c r="L21" s="16">
        <v>1</v>
      </c>
      <c r="M21" s="28">
        <v>1</v>
      </c>
      <c r="T21">
        <v>8052</v>
      </c>
      <c r="U21" t="s">
        <v>93</v>
      </c>
    </row>
    <row r="22" spans="1:21" ht="15" x14ac:dyDescent="0.15">
      <c r="A22" t="s">
        <v>28</v>
      </c>
      <c r="B22" s="6" t="str">
        <f>TEXT(MID(Table18967[[#This Row],[IP]],LEN(Table18967[[#This Row],[IP]])-1,1)+(--MID(Table18967[[#This Row],[IP]],8,1)-1)*9,"00")</f>
        <v>21</v>
      </c>
      <c r="C22" s="10">
        <v>3</v>
      </c>
      <c r="D22" s="24">
        <v>3</v>
      </c>
      <c r="E22" s="24">
        <v>3</v>
      </c>
      <c r="F22" s="25">
        <v>3</v>
      </c>
      <c r="G22" s="4"/>
      <c r="H22" s="2" t="s">
        <v>64</v>
      </c>
      <c r="I22" s="7" t="str">
        <f t="shared" si="0"/>
        <v>57</v>
      </c>
      <c r="J22" s="17">
        <v>6</v>
      </c>
      <c r="K22" s="18">
        <v>6</v>
      </c>
      <c r="L22" s="18">
        <v>6</v>
      </c>
      <c r="M22" s="29">
        <v>6</v>
      </c>
      <c r="T22">
        <v>8090</v>
      </c>
      <c r="U22" t="s">
        <v>94</v>
      </c>
    </row>
    <row r="23" spans="1:21" ht="15" x14ac:dyDescent="0.15">
      <c r="A23" t="s">
        <v>29</v>
      </c>
      <c r="B23" s="6" t="str">
        <f>TEXT(MID(Table18967[[#This Row],[IP]],LEN(Table18967[[#This Row],[IP]])-1,1)+(--MID(Table18967[[#This Row],[IP]],8,1)-1)*9,"00")</f>
        <v>22</v>
      </c>
      <c r="C23" s="10">
        <v>3</v>
      </c>
      <c r="D23" s="24">
        <v>3</v>
      </c>
      <c r="E23" s="24">
        <v>3</v>
      </c>
      <c r="F23" s="25">
        <v>3</v>
      </c>
      <c r="G23" s="4"/>
      <c r="H23" s="3" t="s">
        <v>65</v>
      </c>
      <c r="I23" s="7" t="str">
        <f t="shared" si="0"/>
        <v>58</v>
      </c>
      <c r="J23" s="15">
        <v>1</v>
      </c>
      <c r="K23" s="16">
        <v>1</v>
      </c>
      <c r="L23" s="16">
        <v>1</v>
      </c>
      <c r="M23" s="28">
        <v>1</v>
      </c>
      <c r="T23">
        <v>8091</v>
      </c>
      <c r="U23" t="s">
        <v>95</v>
      </c>
    </row>
    <row r="24" spans="1:21" ht="15" x14ac:dyDescent="0.15">
      <c r="A24" t="s">
        <v>30</v>
      </c>
      <c r="B24" s="6" t="str">
        <f>TEXT(MID(Table18967[[#This Row],[IP]],LEN(Table18967[[#This Row],[IP]])-1,1)+(--MID(Table18967[[#This Row],[IP]],8,1)-1)*9,"00")</f>
        <v>23</v>
      </c>
      <c r="C24" s="10">
        <v>3</v>
      </c>
      <c r="D24" s="24">
        <v>3</v>
      </c>
      <c r="E24" s="24">
        <v>3</v>
      </c>
      <c r="F24" s="25">
        <v>3</v>
      </c>
      <c r="G24" s="4"/>
      <c r="H24" s="2" t="s">
        <v>66</v>
      </c>
      <c r="I24" s="7" t="str">
        <f t="shared" si="0"/>
        <v>59</v>
      </c>
      <c r="J24" s="17">
        <v>1</v>
      </c>
      <c r="K24" s="18">
        <v>1</v>
      </c>
      <c r="L24" s="18">
        <v>1</v>
      </c>
      <c r="M24" s="29">
        <v>1</v>
      </c>
    </row>
    <row r="25" spans="1:21" ht="15" x14ac:dyDescent="0.15">
      <c r="A25" t="s">
        <v>31</v>
      </c>
      <c r="B25" s="6" t="str">
        <f>TEXT(MID(Table18967[[#This Row],[IP]],LEN(Table18967[[#This Row],[IP]])-1,1)+(--MID(Table18967[[#This Row],[IP]],8,1)-1)*9,"00")</f>
        <v>24</v>
      </c>
      <c r="C25" s="10">
        <v>3</v>
      </c>
      <c r="D25" s="24">
        <v>3</v>
      </c>
      <c r="E25" s="24">
        <v>3</v>
      </c>
      <c r="F25" s="25">
        <v>3</v>
      </c>
      <c r="G25" s="4"/>
      <c r="H25" s="3" t="s">
        <v>67</v>
      </c>
      <c r="I25" s="7" t="str">
        <f t="shared" si="0"/>
        <v>60</v>
      </c>
      <c r="J25" s="15">
        <v>3</v>
      </c>
      <c r="K25" s="16">
        <v>3</v>
      </c>
      <c r="L25" s="16">
        <v>3</v>
      </c>
      <c r="M25" s="28">
        <v>3</v>
      </c>
    </row>
    <row r="26" spans="1:21" ht="15" x14ac:dyDescent="0.15">
      <c r="A26" t="s">
        <v>32</v>
      </c>
      <c r="B26" s="6" t="str">
        <f>TEXT(MID(Table18967[[#This Row],[IP]],LEN(Table18967[[#This Row],[IP]])-1,1)+(--MID(Table18967[[#This Row],[IP]],8,1)-1)*9,"00")</f>
        <v>25</v>
      </c>
      <c r="C26" s="10">
        <v>3</v>
      </c>
      <c r="D26" s="24">
        <v>3</v>
      </c>
      <c r="E26" s="24">
        <v>3</v>
      </c>
      <c r="F26" s="25">
        <v>3</v>
      </c>
      <c r="G26" s="4"/>
      <c r="H26" s="2" t="s">
        <v>68</v>
      </c>
      <c r="I26" s="7" t="str">
        <f t="shared" si="0"/>
        <v>61</v>
      </c>
      <c r="J26" s="17">
        <v>3</v>
      </c>
      <c r="K26" s="18">
        <v>3</v>
      </c>
      <c r="L26" s="18">
        <v>3</v>
      </c>
      <c r="M26" s="29">
        <v>3</v>
      </c>
    </row>
    <row r="27" spans="1:21" ht="15" x14ac:dyDescent="0.15">
      <c r="A27" t="s">
        <v>33</v>
      </c>
      <c r="B27" s="6" t="str">
        <f>TEXT(MID(Table18967[[#This Row],[IP]],LEN(Table18967[[#This Row],[IP]])-1,1)+(--MID(Table18967[[#This Row],[IP]],8,1)-1)*9,"00")</f>
        <v>26</v>
      </c>
      <c r="C27" s="10">
        <v>3</v>
      </c>
      <c r="D27" s="24">
        <v>3</v>
      </c>
      <c r="E27" s="24">
        <v>3</v>
      </c>
      <c r="F27" s="25">
        <v>3</v>
      </c>
      <c r="G27" s="4"/>
      <c r="H27" s="3" t="s">
        <v>69</v>
      </c>
      <c r="I27" s="7" t="str">
        <f t="shared" si="0"/>
        <v>62</v>
      </c>
      <c r="J27" s="15">
        <v>3</v>
      </c>
      <c r="K27" s="16">
        <v>3</v>
      </c>
      <c r="L27" s="16">
        <v>3</v>
      </c>
      <c r="M27" s="28">
        <v>3</v>
      </c>
    </row>
    <row r="28" spans="1:21" ht="15.75" thickBot="1" x14ac:dyDescent="0.2">
      <c r="A28" t="s">
        <v>34</v>
      </c>
      <c r="B28" s="6" t="str">
        <f>TEXT(MID(Table18967[[#This Row],[IP]],LEN(Table18967[[#This Row],[IP]])-1,1)+(--MID(Table18967[[#This Row],[IP]],8,1)-1)*9,"00")</f>
        <v>27</v>
      </c>
      <c r="C28" s="11">
        <v>3</v>
      </c>
      <c r="D28" s="12">
        <v>3</v>
      </c>
      <c r="E28" s="12">
        <v>3</v>
      </c>
      <c r="F28" s="26">
        <v>3</v>
      </c>
      <c r="G28" s="4"/>
      <c r="H28" s="2" t="s">
        <v>70</v>
      </c>
      <c r="I28" s="7" t="str">
        <f t="shared" si="0"/>
        <v>63</v>
      </c>
      <c r="J28" s="33">
        <v>3</v>
      </c>
      <c r="K28" s="34">
        <v>3</v>
      </c>
      <c r="L28" s="34">
        <v>3</v>
      </c>
      <c r="M28" s="35">
        <v>3</v>
      </c>
    </row>
    <row r="29" spans="1:21" ht="15" x14ac:dyDescent="0.15">
      <c r="A29" t="s">
        <v>35</v>
      </c>
      <c r="B29" s="6" t="str">
        <f>TEXT(MID(Table18967[[#This Row],[IP]],LEN(Table18967[[#This Row],[IP]])-1,1)+(--MID(Table18967[[#This Row],[IP]],8,1)-1)*9,"00")</f>
        <v>28</v>
      </c>
      <c r="C29" s="10">
        <v>3</v>
      </c>
      <c r="D29" s="24">
        <v>1</v>
      </c>
      <c r="E29" s="24">
        <v>3</v>
      </c>
      <c r="F29" s="25">
        <v>3</v>
      </c>
      <c r="G29" s="4"/>
      <c r="H29" s="3" t="s">
        <v>71</v>
      </c>
      <c r="I29" s="7" t="str">
        <f t="shared" si="0"/>
        <v>64</v>
      </c>
      <c r="J29" s="39">
        <v>3</v>
      </c>
      <c r="K29" s="40">
        <v>3</v>
      </c>
      <c r="L29" s="40">
        <v>3</v>
      </c>
      <c r="M29" s="41">
        <v>3</v>
      </c>
    </row>
    <row r="30" spans="1:21" ht="15" x14ac:dyDescent="0.15">
      <c r="A30" t="s">
        <v>36</v>
      </c>
      <c r="B30" s="6" t="str">
        <f>TEXT(MID(Table18967[[#This Row],[IP]],LEN(Table18967[[#This Row],[IP]])-1,1)+(--MID(Table18967[[#This Row],[IP]],8,1)-1)*9,"00")</f>
        <v>29</v>
      </c>
      <c r="C30" s="10">
        <v>3</v>
      </c>
      <c r="D30" s="24">
        <v>3</v>
      </c>
      <c r="E30" s="24">
        <v>3</v>
      </c>
      <c r="F30" s="25">
        <v>3</v>
      </c>
      <c r="G30" s="4"/>
      <c r="H30" s="2" t="s">
        <v>72</v>
      </c>
      <c r="I30" s="7" t="str">
        <f t="shared" si="0"/>
        <v>65</v>
      </c>
      <c r="J30" s="17">
        <v>1</v>
      </c>
      <c r="K30" s="18">
        <v>1</v>
      </c>
      <c r="L30" s="18">
        <v>1</v>
      </c>
      <c r="M30" s="29">
        <v>1</v>
      </c>
    </row>
    <row r="31" spans="1:21" ht="15" x14ac:dyDescent="0.15">
      <c r="A31" t="s">
        <v>37</v>
      </c>
      <c r="B31" s="6" t="str">
        <f>TEXT(MID(Table18967[[#This Row],[IP]],LEN(Table18967[[#This Row],[IP]])-1,1)+(--MID(Table18967[[#This Row],[IP]],8,1)-1)*9,"00")</f>
        <v>30</v>
      </c>
      <c r="C31" s="10">
        <v>3</v>
      </c>
      <c r="D31" s="24">
        <v>3</v>
      </c>
      <c r="E31" s="24">
        <v>3</v>
      </c>
      <c r="F31" s="25">
        <v>3</v>
      </c>
      <c r="G31" s="4"/>
      <c r="H31" s="3" t="s">
        <v>73</v>
      </c>
      <c r="I31" s="7" t="str">
        <f t="shared" si="0"/>
        <v>66</v>
      </c>
      <c r="J31" s="15">
        <v>3</v>
      </c>
      <c r="K31" s="16">
        <v>3</v>
      </c>
      <c r="L31" s="16">
        <v>3</v>
      </c>
      <c r="M31" s="28">
        <v>3</v>
      </c>
    </row>
    <row r="32" spans="1:21" ht="15" x14ac:dyDescent="0.15">
      <c r="A32" t="s">
        <v>38</v>
      </c>
      <c r="B32" s="6" t="str">
        <f>TEXT(MID(Table18967[[#This Row],[IP]],LEN(Table18967[[#This Row],[IP]])-1,1)+(--MID(Table18967[[#This Row],[IP]],8,1)-1)*9,"00")</f>
        <v>31</v>
      </c>
      <c r="C32" s="10">
        <v>3</v>
      </c>
      <c r="D32" s="24">
        <v>3</v>
      </c>
      <c r="E32" s="24">
        <v>3</v>
      </c>
      <c r="F32" s="25">
        <v>3</v>
      </c>
      <c r="G32" s="4"/>
      <c r="H32" s="2" t="s">
        <v>74</v>
      </c>
      <c r="I32" s="7" t="str">
        <f t="shared" si="0"/>
        <v>67</v>
      </c>
      <c r="J32" s="17">
        <v>3</v>
      </c>
      <c r="K32" s="18">
        <v>3</v>
      </c>
      <c r="L32" s="18">
        <v>3</v>
      </c>
      <c r="M32" s="29">
        <v>3</v>
      </c>
    </row>
    <row r="33" spans="1:13" ht="15" x14ac:dyDescent="0.15">
      <c r="A33" t="s">
        <v>39</v>
      </c>
      <c r="B33" s="6" t="str">
        <f>TEXT(MID(Table18967[[#This Row],[IP]],LEN(Table18967[[#This Row],[IP]])-1,1)+(--MID(Table18967[[#This Row],[IP]],8,1)-1)*9,"00")</f>
        <v>32</v>
      </c>
      <c r="C33" s="10">
        <v>3</v>
      </c>
      <c r="D33" s="24">
        <v>3</v>
      </c>
      <c r="E33" s="24">
        <v>3</v>
      </c>
      <c r="F33" s="25">
        <v>3</v>
      </c>
      <c r="G33" s="4"/>
      <c r="H33" s="3" t="s">
        <v>75</v>
      </c>
      <c r="I33" s="7" t="str">
        <f t="shared" si="0"/>
        <v>68</v>
      </c>
      <c r="J33" s="15">
        <v>3</v>
      </c>
      <c r="K33" s="16">
        <v>3</v>
      </c>
      <c r="L33" s="16">
        <v>3</v>
      </c>
      <c r="M33" s="28">
        <v>3</v>
      </c>
    </row>
    <row r="34" spans="1:13" ht="15" x14ac:dyDescent="0.15">
      <c r="A34" t="s">
        <v>40</v>
      </c>
      <c r="B34" s="6" t="str">
        <f>TEXT(MID(Table18967[[#This Row],[IP]],LEN(Table18967[[#This Row],[IP]])-1,1)+(--MID(Table18967[[#This Row],[IP]],8,1)-1)*9,"00")</f>
        <v>33</v>
      </c>
      <c r="C34" s="10">
        <v>3</v>
      </c>
      <c r="D34" s="24">
        <v>3</v>
      </c>
      <c r="E34" s="24">
        <v>3</v>
      </c>
      <c r="F34" s="25">
        <v>3</v>
      </c>
      <c r="G34" s="4"/>
      <c r="H34" s="2" t="s">
        <v>76</v>
      </c>
      <c r="I34" s="7" t="str">
        <f t="shared" si="0"/>
        <v>69</v>
      </c>
      <c r="J34" s="17">
        <v>3</v>
      </c>
      <c r="K34" s="18">
        <v>3</v>
      </c>
      <c r="L34" s="18">
        <v>3</v>
      </c>
      <c r="M34" s="29">
        <v>3</v>
      </c>
    </row>
    <row r="35" spans="1:13" ht="15" x14ac:dyDescent="0.15">
      <c r="A35" t="s">
        <v>41</v>
      </c>
      <c r="B35" s="6" t="str">
        <f>TEXT(MID(Table18967[[#This Row],[IP]],LEN(Table18967[[#This Row],[IP]])-1,1)+(--MID(Table18967[[#This Row],[IP]],8,1)-1)*9,"00")</f>
        <v>34</v>
      </c>
      <c r="C35" s="10">
        <v>3</v>
      </c>
      <c r="D35" s="24">
        <v>3</v>
      </c>
      <c r="E35" s="24">
        <v>3</v>
      </c>
      <c r="F35" s="25">
        <v>3</v>
      </c>
      <c r="G35" s="4"/>
      <c r="H35" s="3" t="s">
        <v>77</v>
      </c>
      <c r="I35" s="7" t="str">
        <f t="shared" si="0"/>
        <v>70</v>
      </c>
      <c r="J35" s="15">
        <v>3</v>
      </c>
      <c r="K35" s="16">
        <v>3</v>
      </c>
      <c r="L35" s="16">
        <v>3</v>
      </c>
      <c r="M35" s="28">
        <v>3</v>
      </c>
    </row>
    <row r="36" spans="1:13" ht="15" x14ac:dyDescent="0.15">
      <c r="A36" t="s">
        <v>42</v>
      </c>
      <c r="B36" s="6" t="str">
        <f>TEXT(MID(Table18967[[#This Row],[IP]],LEN(Table18967[[#This Row],[IP]])-1,1)+(--MID(Table18967[[#This Row],[IP]],8,1)-1)*9,"00")</f>
        <v>35</v>
      </c>
      <c r="C36" s="10">
        <v>3</v>
      </c>
      <c r="D36" s="24">
        <v>3</v>
      </c>
      <c r="E36" s="24">
        <v>3</v>
      </c>
      <c r="F36" s="25">
        <v>3</v>
      </c>
      <c r="G36" s="4"/>
      <c r="H36" s="2" t="s">
        <v>78</v>
      </c>
      <c r="I36" s="7" t="str">
        <f t="shared" si="0"/>
        <v>71</v>
      </c>
      <c r="J36" s="17">
        <v>3</v>
      </c>
      <c r="K36" s="18">
        <v>3</v>
      </c>
      <c r="L36" s="18">
        <v>3</v>
      </c>
      <c r="M36" s="29">
        <v>3</v>
      </c>
    </row>
    <row r="37" spans="1:13" ht="15.75" thickBot="1" x14ac:dyDescent="0.2">
      <c r="A37" t="s">
        <v>43</v>
      </c>
      <c r="B37" s="6" t="str">
        <f>TEXT(MID(Table18967[[#This Row],[IP]],LEN(Table18967[[#This Row],[IP]])-1,1)+(--MID(Table18967[[#This Row],[IP]],8,1)-1)*9,"00")</f>
        <v>36</v>
      </c>
      <c r="C37" s="11">
        <v>3</v>
      </c>
      <c r="D37" s="12">
        <v>3</v>
      </c>
      <c r="E37" s="12">
        <v>3</v>
      </c>
      <c r="F37" s="26">
        <v>3</v>
      </c>
      <c r="G37" s="4"/>
      <c r="H37" s="3" t="s">
        <v>79</v>
      </c>
      <c r="I37" s="7" t="str">
        <f t="shared" si="0"/>
        <v>72</v>
      </c>
      <c r="J37" s="19">
        <v>3</v>
      </c>
      <c r="K37" s="20">
        <v>3</v>
      </c>
      <c r="L37" s="20">
        <v>3</v>
      </c>
      <c r="M37" s="30">
        <v>3</v>
      </c>
    </row>
  </sheetData>
  <conditionalFormatting sqref="C2:F37 J2:M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qref="P1" xr:uid="{85E4D732-49DE-423A-9579-6E795FCD178A}">
      <formula1>$T$6:$T$24</formula1>
    </dataValidation>
    <dataValidation type="list" allowBlank="1" showInputMessage="1" showErrorMessage="1" sqref="N2" xr:uid="{6E0F57A8-8F53-46FE-A98A-D030BD61D0B5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ReadBCI">
                <anchor>
                  <from>
                    <xdr:col>20</xdr:col>
                    <xdr:colOff>276225</xdr:colOff>
                    <xdr:row>1</xdr:row>
                    <xdr:rowOff>57150</xdr:rowOff>
                  </from>
                  <to>
                    <xdr:col>21</xdr:col>
                    <xdr:colOff>266700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494C0-4CFB-4C76-916D-C7D57A24B134}">
  <sheetPr codeName="Sheet12"/>
  <dimension ref="A1:AD37"/>
  <sheetViews>
    <sheetView zoomScaleNormal="100" workbookViewId="0">
      <pane ySplit="1" topLeftCell="A2" activePane="bottomLeft" state="frozen"/>
      <selection activeCell="AH10" sqref="AH10"/>
      <selection pane="bottomLeft" activeCell="N43" sqref="N43"/>
    </sheetView>
  </sheetViews>
  <sheetFormatPr defaultColWidth="8.875" defaultRowHeight="13.5" x14ac:dyDescent="0.15"/>
  <cols>
    <col min="1" max="1" width="11.875" bestFit="1" customWidth="1"/>
    <col min="2" max="2" width="3.375" bestFit="1" customWidth="1"/>
    <col min="3" max="6" width="6.875" bestFit="1" customWidth="1"/>
    <col min="7" max="7" width="7.875" customWidth="1"/>
    <col min="8" max="8" width="11.875" bestFit="1" customWidth="1"/>
    <col min="9" max="9" width="2.8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30" ht="14.25" thickBot="1" x14ac:dyDescent="0.2">
      <c r="A1" s="4" t="s">
        <v>2</v>
      </c>
      <c r="B1" s="4" t="s">
        <v>3</v>
      </c>
      <c r="C1" s="4" t="s">
        <v>101</v>
      </c>
      <c r="D1" s="4" t="s">
        <v>100</v>
      </c>
      <c r="E1" s="4" t="s">
        <v>102</v>
      </c>
      <c r="F1" s="4" t="s">
        <v>103</v>
      </c>
      <c r="G1" s="4"/>
      <c r="H1" s="21" t="s">
        <v>2</v>
      </c>
      <c r="I1" s="5" t="s">
        <v>3</v>
      </c>
      <c r="J1" s="5" t="s">
        <v>101</v>
      </c>
      <c r="K1" s="5" t="s">
        <v>100</v>
      </c>
      <c r="L1" s="5" t="s">
        <v>102</v>
      </c>
      <c r="M1" s="22" t="s">
        <v>103</v>
      </c>
      <c r="P1" s="1">
        <v>8039</v>
      </c>
    </row>
    <row r="2" spans="1:30" ht="15" x14ac:dyDescent="0.15">
      <c r="A2" s="43" t="s">
        <v>112</v>
      </c>
      <c r="B2" s="6" t="str">
        <f>TEXT(MID(Table189673[[#This Row],[IP]],LEN(Table189673[[#This Row],[IP]])-1,1)+(--MID(Table189673[[#This Row],[IP]],8,1)-1)*9,"00")</f>
        <v>01</v>
      </c>
      <c r="C2" s="8">
        <v>3</v>
      </c>
      <c r="D2" s="23">
        <v>6</v>
      </c>
      <c r="E2" s="9">
        <v>3</v>
      </c>
      <c r="F2" s="23">
        <v>6</v>
      </c>
      <c r="G2" s="4"/>
      <c r="H2" s="43" t="s">
        <v>148</v>
      </c>
      <c r="I2" s="7" t="str">
        <f>TEXT(MID(H2,LEN(H2)-1,1)+(--MID(H2,8,1)-1)*9,"00")</f>
        <v>37</v>
      </c>
      <c r="J2" s="13">
        <v>3</v>
      </c>
      <c r="K2" s="27">
        <v>6</v>
      </c>
      <c r="L2" s="14">
        <v>3</v>
      </c>
      <c r="M2" s="27">
        <v>6</v>
      </c>
      <c r="N2" s="4"/>
      <c r="AA2">
        <v>3897</v>
      </c>
      <c r="AB2" s="31">
        <v>4624</v>
      </c>
      <c r="AD2">
        <f>P1</f>
        <v>8039</v>
      </c>
    </row>
    <row r="3" spans="1:30" ht="15" x14ac:dyDescent="0.15">
      <c r="A3" s="43" t="s">
        <v>113</v>
      </c>
      <c r="B3" s="6" t="str">
        <f>TEXT(MID(Table189673[[#This Row],[IP]],LEN(Table189673[[#This Row],[IP]])-1,1)+(--MID(Table189673[[#This Row],[IP]],8,1)-1)*9,"00")</f>
        <v>02</v>
      </c>
      <c r="C3" s="10">
        <v>3</v>
      </c>
      <c r="D3" s="25">
        <v>6</v>
      </c>
      <c r="E3" s="24">
        <v>3</v>
      </c>
      <c r="F3" s="25">
        <v>6</v>
      </c>
      <c r="G3" s="4"/>
      <c r="H3" s="43" t="s">
        <v>149</v>
      </c>
      <c r="I3" s="7" t="str">
        <f t="shared" ref="I3:I37" si="0">TEXT(MID(H3,LEN(H3)-1,1)+(--MID(H3,8,1)-1)*9,"00")</f>
        <v>38</v>
      </c>
      <c r="J3" s="15">
        <v>3</v>
      </c>
      <c r="K3" s="28">
        <v>6</v>
      </c>
      <c r="L3" s="16">
        <v>3</v>
      </c>
      <c r="M3" s="28">
        <v>6</v>
      </c>
      <c r="AA3">
        <v>3940</v>
      </c>
      <c r="AB3" s="31">
        <v>4627</v>
      </c>
      <c r="AD3">
        <f>AD2+4000</f>
        <v>12039</v>
      </c>
    </row>
    <row r="4" spans="1:30" ht="15" x14ac:dyDescent="0.15">
      <c r="A4" s="43" t="s">
        <v>114</v>
      </c>
      <c r="B4" s="6" t="str">
        <f>TEXT(MID(Table189673[[#This Row],[IP]],LEN(Table189673[[#This Row],[IP]])-1,1)+(--MID(Table189673[[#This Row],[IP]],8,1)-1)*9,"00")</f>
        <v>03</v>
      </c>
      <c r="C4" s="10">
        <v>3</v>
      </c>
      <c r="D4" s="25">
        <v>6</v>
      </c>
      <c r="E4" s="24">
        <v>3</v>
      </c>
      <c r="F4" s="25">
        <v>6</v>
      </c>
      <c r="G4" s="4"/>
      <c r="H4" s="43" t="s">
        <v>150</v>
      </c>
      <c r="I4" s="7" t="str">
        <f t="shared" si="0"/>
        <v>39</v>
      </c>
      <c r="J4" s="17">
        <v>3</v>
      </c>
      <c r="K4" s="29">
        <v>6</v>
      </c>
      <c r="L4" s="18">
        <v>3</v>
      </c>
      <c r="M4" s="29">
        <v>6</v>
      </c>
      <c r="AA4">
        <v>3983</v>
      </c>
      <c r="AB4" s="31">
        <v>4654</v>
      </c>
      <c r="AD4">
        <f t="shared" ref="AD4:AD5" si="1">AD3+4000</f>
        <v>16039</v>
      </c>
    </row>
    <row r="5" spans="1:30" ht="15" x14ac:dyDescent="0.15">
      <c r="A5" s="43" t="s">
        <v>115</v>
      </c>
      <c r="B5" s="6" t="str">
        <f>TEXT(MID(Table189673[[#This Row],[IP]],LEN(Table189673[[#This Row],[IP]])-1,1)+(--MID(Table189673[[#This Row],[IP]],8,1)-1)*9,"00")</f>
        <v>04</v>
      </c>
      <c r="C5" s="10">
        <v>0</v>
      </c>
      <c r="D5" s="25">
        <v>0</v>
      </c>
      <c r="E5" s="24">
        <v>0</v>
      </c>
      <c r="F5" s="25">
        <v>0</v>
      </c>
      <c r="G5" s="4"/>
      <c r="H5" s="43" t="s">
        <v>151</v>
      </c>
      <c r="I5" s="7" t="str">
        <f t="shared" si="0"/>
        <v>40</v>
      </c>
      <c r="J5" s="15">
        <v>3</v>
      </c>
      <c r="K5" s="28">
        <v>6</v>
      </c>
      <c r="L5" s="16">
        <v>3</v>
      </c>
      <c r="M5" s="28">
        <v>6</v>
      </c>
      <c r="AA5">
        <v>4026</v>
      </c>
      <c r="AB5" s="31">
        <v>4657</v>
      </c>
      <c r="AD5">
        <f t="shared" si="1"/>
        <v>20039</v>
      </c>
    </row>
    <row r="6" spans="1:30" ht="13.7" customHeight="1" x14ac:dyDescent="0.15">
      <c r="A6" s="43" t="s">
        <v>116</v>
      </c>
      <c r="B6" s="6" t="str">
        <f>TEXT(MID(Table189673[[#This Row],[IP]],LEN(Table189673[[#This Row],[IP]])-1,1)+(--MID(Table189673[[#This Row],[IP]],8,1)-1)*9,"00")</f>
        <v>05</v>
      </c>
      <c r="C6" s="10">
        <v>3</v>
      </c>
      <c r="D6" s="25">
        <v>6</v>
      </c>
      <c r="E6" s="24">
        <v>3</v>
      </c>
      <c r="F6" s="25">
        <v>6</v>
      </c>
      <c r="G6" s="4"/>
      <c r="H6" s="43" t="s">
        <v>152</v>
      </c>
      <c r="I6" s="7" t="str">
        <f t="shared" si="0"/>
        <v>41</v>
      </c>
      <c r="J6" s="17">
        <v>3</v>
      </c>
      <c r="K6" s="29">
        <v>6</v>
      </c>
      <c r="L6" s="18">
        <v>3</v>
      </c>
      <c r="M6" s="29">
        <v>6</v>
      </c>
      <c r="T6">
        <v>8039</v>
      </c>
      <c r="U6" t="s">
        <v>80</v>
      </c>
    </row>
    <row r="7" spans="1:30" ht="15" x14ac:dyDescent="0.15">
      <c r="A7" s="43" t="s">
        <v>117</v>
      </c>
      <c r="B7" s="6" t="str">
        <f>TEXT(MID(Table189673[[#This Row],[IP]],LEN(Table189673[[#This Row],[IP]])-1,1)+(--MID(Table189673[[#This Row],[IP]],8,1)-1)*9,"00")</f>
        <v>06</v>
      </c>
      <c r="C7" s="10">
        <v>3</v>
      </c>
      <c r="D7" s="25">
        <v>6</v>
      </c>
      <c r="E7" s="24">
        <v>3</v>
      </c>
      <c r="F7" s="25">
        <v>6</v>
      </c>
      <c r="G7" s="4"/>
      <c r="H7" s="43" t="s">
        <v>153</v>
      </c>
      <c r="I7" s="7" t="str">
        <f t="shared" si="0"/>
        <v>42</v>
      </c>
      <c r="J7" s="15">
        <v>3</v>
      </c>
      <c r="K7" s="28">
        <v>6</v>
      </c>
      <c r="L7" s="16">
        <v>3</v>
      </c>
      <c r="M7" s="28">
        <v>6</v>
      </c>
      <c r="T7">
        <v>8037</v>
      </c>
      <c r="U7" t="s">
        <v>81</v>
      </c>
    </row>
    <row r="8" spans="1:30" ht="15" x14ac:dyDescent="0.15">
      <c r="A8" s="43" t="s">
        <v>118</v>
      </c>
      <c r="B8" s="6" t="str">
        <f>TEXT(MID(Table189673[[#This Row],[IP]],LEN(Table189673[[#This Row],[IP]])-1,1)+(--MID(Table189673[[#This Row],[IP]],8,1)-1)*9,"00")</f>
        <v>07</v>
      </c>
      <c r="C8" s="10">
        <v>3</v>
      </c>
      <c r="D8" s="25">
        <v>6</v>
      </c>
      <c r="E8" s="24">
        <v>3</v>
      </c>
      <c r="F8" s="25">
        <v>6</v>
      </c>
      <c r="G8" s="4"/>
      <c r="H8" s="43" t="s">
        <v>154</v>
      </c>
      <c r="I8" s="7" t="str">
        <f t="shared" si="0"/>
        <v>43</v>
      </c>
      <c r="J8" s="17">
        <v>3</v>
      </c>
      <c r="K8" s="29">
        <v>6</v>
      </c>
      <c r="L8" s="18">
        <v>3</v>
      </c>
      <c r="M8" s="29">
        <v>6</v>
      </c>
      <c r="T8">
        <v>8059</v>
      </c>
      <c r="U8" t="s">
        <v>0</v>
      </c>
    </row>
    <row r="9" spans="1:30" ht="15" x14ac:dyDescent="0.15">
      <c r="A9" s="43" t="s">
        <v>119</v>
      </c>
      <c r="B9" s="6" t="str">
        <f>TEXT(MID(Table189673[[#This Row],[IP]],LEN(Table189673[[#This Row],[IP]])-1,1)+(--MID(Table189673[[#This Row],[IP]],8,1)-1)*9,"00")</f>
        <v>08</v>
      </c>
      <c r="C9" s="10">
        <v>3</v>
      </c>
      <c r="D9" s="25">
        <v>6</v>
      </c>
      <c r="E9" s="24">
        <v>3</v>
      </c>
      <c r="F9" s="25">
        <v>6</v>
      </c>
      <c r="G9" s="4"/>
      <c r="H9" s="43" t="s">
        <v>155</v>
      </c>
      <c r="I9" s="7" t="str">
        <f t="shared" si="0"/>
        <v>44</v>
      </c>
      <c r="J9" s="15">
        <v>3</v>
      </c>
      <c r="K9" s="28">
        <v>6</v>
      </c>
      <c r="L9" s="16">
        <v>3</v>
      </c>
      <c r="M9" s="28">
        <v>6</v>
      </c>
      <c r="T9">
        <v>8060</v>
      </c>
      <c r="U9" t="s">
        <v>1</v>
      </c>
    </row>
    <row r="10" spans="1:30" ht="12.75" customHeight="1" thickBot="1" x14ac:dyDescent="0.2">
      <c r="A10" s="43" t="s">
        <v>120</v>
      </c>
      <c r="B10" s="6" t="str">
        <f>TEXT(MID(Table189673[[#This Row],[IP]],LEN(Table189673[[#This Row],[IP]])-1,1)+(--MID(Table189673[[#This Row],[IP]],8,1)-1)*9,"00")</f>
        <v>09</v>
      </c>
      <c r="C10" s="11">
        <v>3</v>
      </c>
      <c r="D10" s="26">
        <v>6</v>
      </c>
      <c r="E10" s="12">
        <v>3</v>
      </c>
      <c r="F10" s="26">
        <v>6</v>
      </c>
      <c r="G10" s="4"/>
      <c r="H10" s="43" t="s">
        <v>156</v>
      </c>
      <c r="I10" s="7" t="str">
        <f t="shared" si="0"/>
        <v>45</v>
      </c>
      <c r="J10" s="33">
        <v>3</v>
      </c>
      <c r="K10" s="35">
        <v>6</v>
      </c>
      <c r="L10" s="34">
        <v>3</v>
      </c>
      <c r="M10" s="35">
        <v>6</v>
      </c>
      <c r="T10">
        <v>8043</v>
      </c>
      <c r="U10" t="s">
        <v>82</v>
      </c>
    </row>
    <row r="11" spans="1:30" ht="15" x14ac:dyDescent="0.15">
      <c r="A11" s="43" t="s">
        <v>121</v>
      </c>
      <c r="B11" s="6" t="str">
        <f>TEXT(MID(Table189673[[#This Row],[IP]],LEN(Table189673[[#This Row],[IP]])-1,1)+(--MID(Table189673[[#This Row],[IP]],8,1)-1)*9,"00")</f>
        <v>10</v>
      </c>
      <c r="C11" s="10">
        <v>3</v>
      </c>
      <c r="D11" s="25">
        <v>6</v>
      </c>
      <c r="E11" s="24">
        <v>3</v>
      </c>
      <c r="F11" s="25">
        <v>6</v>
      </c>
      <c r="G11" s="4"/>
      <c r="H11" s="43" t="s">
        <v>157</v>
      </c>
      <c r="I11" s="7" t="str">
        <f t="shared" si="0"/>
        <v>46</v>
      </c>
      <c r="J11" s="39">
        <v>3</v>
      </c>
      <c r="K11" s="41">
        <v>6</v>
      </c>
      <c r="L11" s="40">
        <v>3</v>
      </c>
      <c r="M11" s="41">
        <v>6</v>
      </c>
      <c r="T11">
        <v>8062</v>
      </c>
      <c r="U11" t="s">
        <v>83</v>
      </c>
      <c r="Z11" s="32"/>
    </row>
    <row r="12" spans="1:30" ht="15" x14ac:dyDescent="0.15">
      <c r="A12" s="43" t="s">
        <v>122</v>
      </c>
      <c r="B12" s="6" t="str">
        <f>TEXT(MID(Table189673[[#This Row],[IP]],LEN(Table189673[[#This Row],[IP]])-1,1)+(--MID(Table189673[[#This Row],[IP]],8,1)-1)*9,"00")</f>
        <v>11</v>
      </c>
      <c r="C12" s="10">
        <v>1</v>
      </c>
      <c r="D12" s="25">
        <v>3</v>
      </c>
      <c r="E12" s="24">
        <v>1</v>
      </c>
      <c r="F12" s="25">
        <v>3</v>
      </c>
      <c r="G12" s="4"/>
      <c r="H12" s="43" t="s">
        <v>158</v>
      </c>
      <c r="I12" s="7" t="str">
        <f t="shared" si="0"/>
        <v>47</v>
      </c>
      <c r="J12" s="17">
        <v>3</v>
      </c>
      <c r="K12" s="29">
        <v>6</v>
      </c>
      <c r="L12" s="18">
        <v>3</v>
      </c>
      <c r="M12" s="29">
        <v>6</v>
      </c>
      <c r="T12">
        <v>8063</v>
      </c>
      <c r="U12" t="s">
        <v>84</v>
      </c>
    </row>
    <row r="13" spans="1:30" ht="15" x14ac:dyDescent="0.15">
      <c r="A13" s="43" t="s">
        <v>123</v>
      </c>
      <c r="B13" s="6" t="str">
        <f>TEXT(MID(Table189673[[#This Row],[IP]],LEN(Table189673[[#This Row],[IP]])-1,1)+(--MID(Table189673[[#This Row],[IP]],8,1)-1)*9,"00")</f>
        <v>12</v>
      </c>
      <c r="C13" s="10">
        <v>3</v>
      </c>
      <c r="D13" s="25">
        <v>6</v>
      </c>
      <c r="E13" s="24">
        <v>3</v>
      </c>
      <c r="F13" s="25">
        <v>6</v>
      </c>
      <c r="G13" s="4"/>
      <c r="H13" s="43" t="s">
        <v>159</v>
      </c>
      <c r="I13" s="7" t="str">
        <f t="shared" si="0"/>
        <v>48</v>
      </c>
      <c r="J13" s="15">
        <v>3</v>
      </c>
      <c r="K13" s="28">
        <v>6</v>
      </c>
      <c r="L13" s="16">
        <v>3</v>
      </c>
      <c r="M13" s="28">
        <v>6</v>
      </c>
      <c r="T13">
        <v>8080</v>
      </c>
      <c r="U13" t="s">
        <v>85</v>
      </c>
    </row>
    <row r="14" spans="1:30" ht="15" x14ac:dyDescent="0.15">
      <c r="A14" s="43" t="s">
        <v>124</v>
      </c>
      <c r="B14" s="6" t="str">
        <f>TEXT(MID(Table189673[[#This Row],[IP]],LEN(Table189673[[#This Row],[IP]])-1,1)+(--MID(Table189673[[#This Row],[IP]],8,1)-1)*9,"00")</f>
        <v>13</v>
      </c>
      <c r="C14" s="10">
        <v>1</v>
      </c>
      <c r="D14" s="25">
        <v>3</v>
      </c>
      <c r="E14" s="24">
        <v>1</v>
      </c>
      <c r="F14" s="25">
        <v>3</v>
      </c>
      <c r="G14" s="4"/>
      <c r="H14" s="43" t="s">
        <v>160</v>
      </c>
      <c r="I14" s="7" t="str">
        <f t="shared" si="0"/>
        <v>49</v>
      </c>
      <c r="J14" s="17">
        <v>3</v>
      </c>
      <c r="K14" s="29">
        <v>6</v>
      </c>
      <c r="L14" s="18">
        <v>3</v>
      </c>
      <c r="M14" s="29">
        <v>6</v>
      </c>
      <c r="T14">
        <v>8082</v>
      </c>
      <c r="U14" t="s">
        <v>86</v>
      </c>
    </row>
    <row r="15" spans="1:30" ht="15" x14ac:dyDescent="0.15">
      <c r="A15" s="43" t="s">
        <v>125</v>
      </c>
      <c r="B15" s="6" t="str">
        <f>TEXT(MID(Table189673[[#This Row],[IP]],LEN(Table189673[[#This Row],[IP]])-1,1)+(--MID(Table189673[[#This Row],[IP]],8,1)-1)*9,"00")</f>
        <v>14</v>
      </c>
      <c r="C15" s="10">
        <v>3</v>
      </c>
      <c r="D15" s="25">
        <v>6</v>
      </c>
      <c r="E15" s="24">
        <v>3</v>
      </c>
      <c r="F15" s="25">
        <v>6</v>
      </c>
      <c r="G15" s="4"/>
      <c r="H15" s="43" t="s">
        <v>161</v>
      </c>
      <c r="I15" s="7" t="str">
        <f t="shared" si="0"/>
        <v>50</v>
      </c>
      <c r="J15" s="15">
        <v>3</v>
      </c>
      <c r="K15" s="28">
        <v>6</v>
      </c>
      <c r="L15" s="16">
        <v>3</v>
      </c>
      <c r="M15" s="28">
        <v>6</v>
      </c>
      <c r="T15">
        <v>8084</v>
      </c>
      <c r="U15" t="s">
        <v>87</v>
      </c>
    </row>
    <row r="16" spans="1:30" ht="15" x14ac:dyDescent="0.15">
      <c r="A16" s="43" t="s">
        <v>126</v>
      </c>
      <c r="B16" s="6" t="str">
        <f>TEXT(MID(Table189673[[#This Row],[IP]],LEN(Table189673[[#This Row],[IP]])-1,1)+(--MID(Table189673[[#This Row],[IP]],8,1)-1)*9,"00")</f>
        <v>15</v>
      </c>
      <c r="C16" s="10">
        <v>3</v>
      </c>
      <c r="D16" s="25">
        <v>6</v>
      </c>
      <c r="E16" s="24">
        <v>3</v>
      </c>
      <c r="F16" s="25">
        <v>6</v>
      </c>
      <c r="G16" s="4"/>
      <c r="H16" s="43" t="s">
        <v>162</v>
      </c>
      <c r="I16" s="7" t="str">
        <f t="shared" si="0"/>
        <v>51</v>
      </c>
      <c r="J16" s="17">
        <v>3</v>
      </c>
      <c r="K16" s="29">
        <v>6</v>
      </c>
      <c r="L16" s="18">
        <v>3</v>
      </c>
      <c r="M16" s="29">
        <v>6</v>
      </c>
      <c r="T16">
        <v>8046</v>
      </c>
      <c r="U16" t="s">
        <v>88</v>
      </c>
    </row>
    <row r="17" spans="1:21" ht="15" x14ac:dyDescent="0.15">
      <c r="A17" s="43" t="s">
        <v>127</v>
      </c>
      <c r="B17" s="6" t="str">
        <f>TEXT(MID(Table189673[[#This Row],[IP]],LEN(Table189673[[#This Row],[IP]])-1,1)+(--MID(Table189673[[#This Row],[IP]],8,1)-1)*9,"00")</f>
        <v>16</v>
      </c>
      <c r="C17" s="10">
        <v>3</v>
      </c>
      <c r="D17" s="25">
        <v>6</v>
      </c>
      <c r="E17" s="24">
        <v>3</v>
      </c>
      <c r="F17" s="25">
        <v>6</v>
      </c>
      <c r="G17" s="4"/>
      <c r="H17" s="43" t="s">
        <v>163</v>
      </c>
      <c r="I17" s="7" t="str">
        <f t="shared" si="0"/>
        <v>52</v>
      </c>
      <c r="J17" s="15">
        <v>3</v>
      </c>
      <c r="K17" s="28">
        <v>6</v>
      </c>
      <c r="L17" s="16">
        <v>3</v>
      </c>
      <c r="M17" s="28">
        <v>6</v>
      </c>
      <c r="T17">
        <v>8047</v>
      </c>
      <c r="U17" t="s">
        <v>89</v>
      </c>
    </row>
    <row r="18" spans="1:21" ht="15" x14ac:dyDescent="0.15">
      <c r="A18" s="43" t="s">
        <v>128</v>
      </c>
      <c r="B18" s="6" t="str">
        <f>TEXT(MID(Table189673[[#This Row],[IP]],LEN(Table189673[[#This Row],[IP]])-1,1)+(--MID(Table189673[[#This Row],[IP]],8,1)-1)*9,"00")</f>
        <v>17</v>
      </c>
      <c r="C18" s="10">
        <v>3</v>
      </c>
      <c r="D18" s="25">
        <v>6</v>
      </c>
      <c r="E18" s="24">
        <v>3</v>
      </c>
      <c r="F18" s="25">
        <v>6</v>
      </c>
      <c r="G18" s="4"/>
      <c r="H18" s="43" t="s">
        <v>164</v>
      </c>
      <c r="I18" s="7" t="str">
        <f t="shared" si="0"/>
        <v>53</v>
      </c>
      <c r="J18" s="17">
        <v>3</v>
      </c>
      <c r="K18" s="29">
        <v>6</v>
      </c>
      <c r="L18" s="18">
        <v>3</v>
      </c>
      <c r="M18" s="29">
        <v>6</v>
      </c>
      <c r="T18">
        <v>8045</v>
      </c>
      <c r="U18" t="s">
        <v>90</v>
      </c>
    </row>
    <row r="19" spans="1:21" ht="15.75" thickBot="1" x14ac:dyDescent="0.2">
      <c r="A19" s="43" t="s">
        <v>129</v>
      </c>
      <c r="B19" s="6" t="str">
        <f>TEXT(MID(Table189673[[#This Row],[IP]],LEN(Table189673[[#This Row],[IP]])-1,1)+(--MID(Table189673[[#This Row],[IP]],8,1)-1)*9,"00")</f>
        <v>18</v>
      </c>
      <c r="C19" s="10">
        <v>3</v>
      </c>
      <c r="D19" s="25">
        <v>6</v>
      </c>
      <c r="E19" s="24">
        <v>3</v>
      </c>
      <c r="F19" s="25">
        <v>6</v>
      </c>
      <c r="G19" s="4"/>
      <c r="H19" s="43" t="s">
        <v>165</v>
      </c>
      <c r="I19" s="7" t="str">
        <f t="shared" si="0"/>
        <v>54</v>
      </c>
      <c r="J19" s="19">
        <v>3</v>
      </c>
      <c r="K19" s="30">
        <v>6</v>
      </c>
      <c r="L19" s="20">
        <v>3</v>
      </c>
      <c r="M19" s="30">
        <v>6</v>
      </c>
      <c r="T19">
        <v>8053</v>
      </c>
      <c r="U19" t="s">
        <v>91</v>
      </c>
    </row>
    <row r="20" spans="1:21" ht="15" x14ac:dyDescent="0.15">
      <c r="A20" s="43" t="s">
        <v>130</v>
      </c>
      <c r="B20" s="6" t="str">
        <f>TEXT(MID(Table189673[[#This Row],[IP]],LEN(Table189673[[#This Row],[IP]])-1,1)+(--MID(Table189673[[#This Row],[IP]],8,1)-1)*9,"00")</f>
        <v>19</v>
      </c>
      <c r="C20" s="8">
        <v>3</v>
      </c>
      <c r="D20" s="23">
        <v>6</v>
      </c>
      <c r="E20" s="9">
        <v>3</v>
      </c>
      <c r="F20" s="23">
        <v>6</v>
      </c>
      <c r="G20" s="4"/>
      <c r="H20" s="43" t="s">
        <v>166</v>
      </c>
      <c r="I20" s="7" t="str">
        <f t="shared" si="0"/>
        <v>55</v>
      </c>
      <c r="J20" s="36">
        <v>1</v>
      </c>
      <c r="K20" s="38">
        <v>128</v>
      </c>
      <c r="L20" s="37">
        <v>1</v>
      </c>
      <c r="M20" s="38">
        <v>128</v>
      </c>
      <c r="T20">
        <v>8054</v>
      </c>
      <c r="U20" t="s">
        <v>92</v>
      </c>
    </row>
    <row r="21" spans="1:21" ht="15" x14ac:dyDescent="0.15">
      <c r="A21" s="43" t="s">
        <v>131</v>
      </c>
      <c r="B21" s="6" t="str">
        <f>TEXT(MID(Table189673[[#This Row],[IP]],LEN(Table189673[[#This Row],[IP]])-1,1)+(--MID(Table189673[[#This Row],[IP]],8,1)-1)*9,"00")</f>
        <v>20</v>
      </c>
      <c r="C21" s="10">
        <v>3</v>
      </c>
      <c r="D21" s="25">
        <v>6</v>
      </c>
      <c r="E21" s="24">
        <v>3</v>
      </c>
      <c r="F21" s="25">
        <v>6</v>
      </c>
      <c r="G21" s="4"/>
      <c r="H21" s="43" t="s">
        <v>167</v>
      </c>
      <c r="I21" s="7" t="str">
        <f t="shared" si="0"/>
        <v>56</v>
      </c>
      <c r="J21" s="15">
        <v>3</v>
      </c>
      <c r="K21" s="28">
        <v>6</v>
      </c>
      <c r="L21" s="16">
        <v>3</v>
      </c>
      <c r="M21" s="28">
        <v>6</v>
      </c>
      <c r="T21">
        <v>8052</v>
      </c>
      <c r="U21" t="s">
        <v>93</v>
      </c>
    </row>
    <row r="22" spans="1:21" ht="15" x14ac:dyDescent="0.15">
      <c r="A22" s="43" t="s">
        <v>132</v>
      </c>
      <c r="B22" s="6" t="str">
        <f>TEXT(MID(Table189673[[#This Row],[IP]],LEN(Table189673[[#This Row],[IP]])-1,1)+(--MID(Table189673[[#This Row],[IP]],8,1)-1)*9,"00")</f>
        <v>21</v>
      </c>
      <c r="C22" s="10">
        <v>3</v>
      </c>
      <c r="D22" s="25">
        <v>6</v>
      </c>
      <c r="E22" s="24">
        <v>3</v>
      </c>
      <c r="F22" s="25">
        <v>6</v>
      </c>
      <c r="G22" s="4"/>
      <c r="H22" s="43" t="s">
        <v>168</v>
      </c>
      <c r="I22" s="7" t="str">
        <f t="shared" si="0"/>
        <v>57</v>
      </c>
      <c r="J22" s="17">
        <v>3</v>
      </c>
      <c r="K22" s="29">
        <v>6</v>
      </c>
      <c r="L22" s="18">
        <v>3</v>
      </c>
      <c r="M22" s="29">
        <v>6</v>
      </c>
      <c r="T22">
        <v>8090</v>
      </c>
      <c r="U22" t="s">
        <v>94</v>
      </c>
    </row>
    <row r="23" spans="1:21" ht="15" x14ac:dyDescent="0.15">
      <c r="A23" s="43" t="s">
        <v>133</v>
      </c>
      <c r="B23" s="6" t="str">
        <f>TEXT(MID(Table189673[[#This Row],[IP]],LEN(Table189673[[#This Row],[IP]])-1,1)+(--MID(Table189673[[#This Row],[IP]],8,1)-1)*9,"00")</f>
        <v>22</v>
      </c>
      <c r="C23" s="10">
        <v>3</v>
      </c>
      <c r="D23" s="25">
        <v>6</v>
      </c>
      <c r="E23" s="24">
        <v>3</v>
      </c>
      <c r="F23" s="25">
        <v>6</v>
      </c>
      <c r="G23" s="4"/>
      <c r="H23" s="43" t="s">
        <v>169</v>
      </c>
      <c r="I23" s="7" t="str">
        <f t="shared" si="0"/>
        <v>58</v>
      </c>
      <c r="J23" s="15">
        <v>3</v>
      </c>
      <c r="K23" s="28">
        <v>6</v>
      </c>
      <c r="L23" s="16">
        <v>3</v>
      </c>
      <c r="M23" s="28">
        <v>6</v>
      </c>
      <c r="T23">
        <v>8091</v>
      </c>
      <c r="U23" t="s">
        <v>95</v>
      </c>
    </row>
    <row r="24" spans="1:21" ht="15" x14ac:dyDescent="0.15">
      <c r="A24" s="43" t="s">
        <v>134</v>
      </c>
      <c r="B24" s="6" t="str">
        <f>TEXT(MID(Table189673[[#This Row],[IP]],LEN(Table189673[[#This Row],[IP]])-1,1)+(--MID(Table189673[[#This Row],[IP]],8,1)-1)*9,"00")</f>
        <v>23</v>
      </c>
      <c r="C24" s="10">
        <v>3</v>
      </c>
      <c r="D24" s="25">
        <v>6</v>
      </c>
      <c r="E24" s="24">
        <v>3</v>
      </c>
      <c r="F24" s="25">
        <v>6</v>
      </c>
      <c r="G24" s="4"/>
      <c r="H24" s="43" t="s">
        <v>170</v>
      </c>
      <c r="I24" s="7" t="str">
        <f t="shared" si="0"/>
        <v>59</v>
      </c>
      <c r="J24" s="17">
        <v>3</v>
      </c>
      <c r="K24" s="29">
        <v>6</v>
      </c>
      <c r="L24" s="18">
        <v>3</v>
      </c>
      <c r="M24" s="29">
        <v>6</v>
      </c>
    </row>
    <row r="25" spans="1:21" ht="15" x14ac:dyDescent="0.15">
      <c r="A25" s="43" t="s">
        <v>135</v>
      </c>
      <c r="B25" s="6" t="str">
        <f>TEXT(MID(Table189673[[#This Row],[IP]],LEN(Table189673[[#This Row],[IP]])-1,1)+(--MID(Table189673[[#This Row],[IP]],8,1)-1)*9,"00")</f>
        <v>24</v>
      </c>
      <c r="C25" s="10">
        <v>3</v>
      </c>
      <c r="D25" s="25">
        <v>6</v>
      </c>
      <c r="E25" s="24">
        <v>3</v>
      </c>
      <c r="F25" s="25">
        <v>6</v>
      </c>
      <c r="G25" s="4"/>
      <c r="H25" s="43" t="s">
        <v>171</v>
      </c>
      <c r="I25" s="7" t="str">
        <f t="shared" si="0"/>
        <v>60</v>
      </c>
      <c r="J25" s="15">
        <v>3</v>
      </c>
      <c r="K25" s="28">
        <v>6</v>
      </c>
      <c r="L25" s="16">
        <v>3</v>
      </c>
      <c r="M25" s="28">
        <v>6</v>
      </c>
    </row>
    <row r="26" spans="1:21" ht="15" x14ac:dyDescent="0.15">
      <c r="A26" s="43" t="s">
        <v>136</v>
      </c>
      <c r="B26" s="6" t="str">
        <f>TEXT(MID(Table189673[[#This Row],[IP]],LEN(Table189673[[#This Row],[IP]])-1,1)+(--MID(Table189673[[#This Row],[IP]],8,1)-1)*9,"00")</f>
        <v>25</v>
      </c>
      <c r="C26" s="10">
        <v>3</v>
      </c>
      <c r="D26" s="25">
        <v>6</v>
      </c>
      <c r="E26" s="24">
        <v>3</v>
      </c>
      <c r="F26" s="25">
        <v>6</v>
      </c>
      <c r="G26" s="4"/>
      <c r="H26" s="43" t="s">
        <v>172</v>
      </c>
      <c r="I26" s="7" t="str">
        <f t="shared" si="0"/>
        <v>61</v>
      </c>
      <c r="J26" s="17">
        <v>3</v>
      </c>
      <c r="K26" s="29">
        <v>6</v>
      </c>
      <c r="L26" s="18">
        <v>3</v>
      </c>
      <c r="M26" s="29">
        <v>6</v>
      </c>
    </row>
    <row r="27" spans="1:21" ht="15" x14ac:dyDescent="0.15">
      <c r="A27" s="43" t="s">
        <v>137</v>
      </c>
      <c r="B27" s="6" t="str">
        <f>TEXT(MID(Table189673[[#This Row],[IP]],LEN(Table189673[[#This Row],[IP]])-1,1)+(--MID(Table189673[[#This Row],[IP]],8,1)-1)*9,"00")</f>
        <v>26</v>
      </c>
      <c r="C27" s="10">
        <v>3</v>
      </c>
      <c r="D27" s="25">
        <v>6</v>
      </c>
      <c r="E27" s="24">
        <v>3</v>
      </c>
      <c r="F27" s="25">
        <v>6</v>
      </c>
      <c r="G27" s="4"/>
      <c r="H27" s="43" t="s">
        <v>173</v>
      </c>
      <c r="I27" s="7" t="str">
        <f t="shared" si="0"/>
        <v>62</v>
      </c>
      <c r="J27" s="15">
        <v>3</v>
      </c>
      <c r="K27" s="28">
        <v>6</v>
      </c>
      <c r="L27" s="16">
        <v>3</v>
      </c>
      <c r="M27" s="28">
        <v>6</v>
      </c>
    </row>
    <row r="28" spans="1:21" ht="15.75" thickBot="1" x14ac:dyDescent="0.2">
      <c r="A28" s="43" t="s">
        <v>138</v>
      </c>
      <c r="B28" s="6" t="str">
        <f>TEXT(MID(Table189673[[#This Row],[IP]],LEN(Table189673[[#This Row],[IP]])-1,1)+(--MID(Table189673[[#This Row],[IP]],8,1)-1)*9,"00")</f>
        <v>27</v>
      </c>
      <c r="C28" s="11">
        <v>3</v>
      </c>
      <c r="D28" s="26">
        <v>6</v>
      </c>
      <c r="E28" s="12">
        <v>3</v>
      </c>
      <c r="F28" s="26">
        <v>6</v>
      </c>
      <c r="G28" s="4"/>
      <c r="H28" s="43" t="s">
        <v>174</v>
      </c>
      <c r="I28" s="7" t="str">
        <f t="shared" si="0"/>
        <v>63</v>
      </c>
      <c r="J28" s="33">
        <v>3</v>
      </c>
      <c r="K28" s="35">
        <v>6</v>
      </c>
      <c r="L28" s="34">
        <v>3</v>
      </c>
      <c r="M28" s="35">
        <v>6</v>
      </c>
    </row>
    <row r="29" spans="1:21" ht="15" x14ac:dyDescent="0.15">
      <c r="A29" s="43" t="s">
        <v>139</v>
      </c>
      <c r="B29" s="6" t="str">
        <f>TEXT(MID(Table189673[[#This Row],[IP]],LEN(Table189673[[#This Row],[IP]])-1,1)+(--MID(Table189673[[#This Row],[IP]],8,1)-1)*9,"00")</f>
        <v>28</v>
      </c>
      <c r="C29" s="10">
        <v>3</v>
      </c>
      <c r="D29" s="25">
        <v>2</v>
      </c>
      <c r="E29" s="24">
        <v>1</v>
      </c>
      <c r="F29" s="25">
        <v>130</v>
      </c>
      <c r="G29" s="4"/>
      <c r="H29" s="43" t="s">
        <v>175</v>
      </c>
      <c r="I29" s="7" t="str">
        <f t="shared" si="0"/>
        <v>64</v>
      </c>
      <c r="J29" s="39">
        <v>3</v>
      </c>
      <c r="K29" s="41">
        <v>6</v>
      </c>
      <c r="L29" s="40">
        <v>3</v>
      </c>
      <c r="M29" s="41">
        <v>6</v>
      </c>
    </row>
    <row r="30" spans="1:21" ht="15" x14ac:dyDescent="0.15">
      <c r="A30" s="43" t="s">
        <v>140</v>
      </c>
      <c r="B30" s="6" t="str">
        <f>TEXT(MID(Table189673[[#This Row],[IP]],LEN(Table189673[[#This Row],[IP]])-1,1)+(--MID(Table189673[[#This Row],[IP]],8,1)-1)*9,"00")</f>
        <v>29</v>
      </c>
      <c r="C30" s="10">
        <v>3</v>
      </c>
      <c r="D30" s="25">
        <v>6</v>
      </c>
      <c r="E30" s="24">
        <v>3</v>
      </c>
      <c r="F30" s="25">
        <v>6</v>
      </c>
      <c r="G30" s="4"/>
      <c r="H30" s="43" t="s">
        <v>176</v>
      </c>
      <c r="I30" s="7" t="str">
        <f t="shared" si="0"/>
        <v>65</v>
      </c>
      <c r="J30" s="17">
        <v>1</v>
      </c>
      <c r="K30" s="29">
        <v>3</v>
      </c>
      <c r="L30" s="18">
        <v>1</v>
      </c>
      <c r="M30" s="29">
        <v>3</v>
      </c>
    </row>
    <row r="31" spans="1:21" ht="15" x14ac:dyDescent="0.15">
      <c r="A31" s="43" t="s">
        <v>141</v>
      </c>
      <c r="B31" s="6" t="str">
        <f>TEXT(MID(Table189673[[#This Row],[IP]],LEN(Table189673[[#This Row],[IP]])-1,1)+(--MID(Table189673[[#This Row],[IP]],8,1)-1)*9,"00")</f>
        <v>30</v>
      </c>
      <c r="C31" s="10">
        <v>3</v>
      </c>
      <c r="D31" s="25">
        <v>6</v>
      </c>
      <c r="E31" s="24">
        <v>3</v>
      </c>
      <c r="F31" s="25">
        <v>6</v>
      </c>
      <c r="G31" s="4"/>
      <c r="H31" s="43" t="s">
        <v>177</v>
      </c>
      <c r="I31" s="7" t="str">
        <f t="shared" si="0"/>
        <v>66</v>
      </c>
      <c r="J31" s="15">
        <v>3</v>
      </c>
      <c r="K31" s="28">
        <v>6</v>
      </c>
      <c r="L31" s="16">
        <v>3</v>
      </c>
      <c r="M31" s="28">
        <v>6</v>
      </c>
    </row>
    <row r="32" spans="1:21" ht="15" x14ac:dyDescent="0.15">
      <c r="A32" s="43" t="s">
        <v>142</v>
      </c>
      <c r="B32" s="6" t="str">
        <f>TEXT(MID(Table189673[[#This Row],[IP]],LEN(Table189673[[#This Row],[IP]])-1,1)+(--MID(Table189673[[#This Row],[IP]],8,1)-1)*9,"00")</f>
        <v>31</v>
      </c>
      <c r="C32" s="10">
        <v>3</v>
      </c>
      <c r="D32" s="25">
        <v>6</v>
      </c>
      <c r="E32" s="24">
        <v>3</v>
      </c>
      <c r="F32" s="25">
        <v>6</v>
      </c>
      <c r="G32" s="4"/>
      <c r="H32" s="43" t="s">
        <v>178</v>
      </c>
      <c r="I32" s="7" t="str">
        <f t="shared" si="0"/>
        <v>67</v>
      </c>
      <c r="J32" s="17">
        <v>3</v>
      </c>
      <c r="K32" s="29">
        <v>6</v>
      </c>
      <c r="L32" s="18">
        <v>3</v>
      </c>
      <c r="M32" s="29">
        <v>6</v>
      </c>
    </row>
    <row r="33" spans="1:13" ht="15" x14ac:dyDescent="0.15">
      <c r="A33" s="43" t="s">
        <v>143</v>
      </c>
      <c r="B33" s="6" t="str">
        <f>TEXT(MID(Table189673[[#This Row],[IP]],LEN(Table189673[[#This Row],[IP]])-1,1)+(--MID(Table189673[[#This Row],[IP]],8,1)-1)*9,"00")</f>
        <v>32</v>
      </c>
      <c r="C33" s="10">
        <v>3</v>
      </c>
      <c r="D33" s="25">
        <v>6</v>
      </c>
      <c r="E33" s="24">
        <v>3</v>
      </c>
      <c r="F33" s="25">
        <v>6</v>
      </c>
      <c r="G33" s="4"/>
      <c r="H33" s="43" t="s">
        <v>179</v>
      </c>
      <c r="I33" s="7" t="str">
        <f t="shared" si="0"/>
        <v>68</v>
      </c>
      <c r="J33" s="15">
        <v>3</v>
      </c>
      <c r="K33" s="28">
        <v>6</v>
      </c>
      <c r="L33" s="16">
        <v>3</v>
      </c>
      <c r="M33" s="28">
        <v>6</v>
      </c>
    </row>
    <row r="34" spans="1:13" ht="15" x14ac:dyDescent="0.15">
      <c r="A34" s="43" t="s">
        <v>144</v>
      </c>
      <c r="B34" s="6" t="str">
        <f>TEXT(MID(Table189673[[#This Row],[IP]],LEN(Table189673[[#This Row],[IP]])-1,1)+(--MID(Table189673[[#This Row],[IP]],8,1)-1)*9,"00")</f>
        <v>33</v>
      </c>
      <c r="C34" s="10">
        <v>3</v>
      </c>
      <c r="D34" s="25">
        <v>6</v>
      </c>
      <c r="E34" s="24">
        <v>3</v>
      </c>
      <c r="F34" s="25">
        <v>6</v>
      </c>
      <c r="G34" s="4"/>
      <c r="H34" s="43" t="s">
        <v>180</v>
      </c>
      <c r="I34" s="7" t="str">
        <f t="shared" si="0"/>
        <v>69</v>
      </c>
      <c r="J34" s="17">
        <v>3</v>
      </c>
      <c r="K34" s="29">
        <v>6</v>
      </c>
      <c r="L34" s="18">
        <v>3</v>
      </c>
      <c r="M34" s="29">
        <v>6</v>
      </c>
    </row>
    <row r="35" spans="1:13" ht="15" x14ac:dyDescent="0.15">
      <c r="A35" s="43" t="s">
        <v>145</v>
      </c>
      <c r="B35" s="6" t="str">
        <f>TEXT(MID(Table189673[[#This Row],[IP]],LEN(Table189673[[#This Row],[IP]])-1,1)+(--MID(Table189673[[#This Row],[IP]],8,1)-1)*9,"00")</f>
        <v>34</v>
      </c>
      <c r="C35" s="10">
        <v>3</v>
      </c>
      <c r="D35" s="25">
        <v>6</v>
      </c>
      <c r="E35" s="24">
        <v>3</v>
      </c>
      <c r="F35" s="25">
        <v>6</v>
      </c>
      <c r="G35" s="4"/>
      <c r="H35" s="43" t="s">
        <v>181</v>
      </c>
      <c r="I35" s="7" t="str">
        <f t="shared" si="0"/>
        <v>70</v>
      </c>
      <c r="J35" s="15">
        <v>3</v>
      </c>
      <c r="K35" s="28">
        <v>6</v>
      </c>
      <c r="L35" s="16">
        <v>3</v>
      </c>
      <c r="M35" s="28">
        <v>6</v>
      </c>
    </row>
    <row r="36" spans="1:13" ht="15" x14ac:dyDescent="0.15">
      <c r="A36" s="43" t="s">
        <v>146</v>
      </c>
      <c r="B36" s="6" t="str">
        <f>TEXT(MID(Table189673[[#This Row],[IP]],LEN(Table189673[[#This Row],[IP]])-1,1)+(--MID(Table189673[[#This Row],[IP]],8,1)-1)*9,"00")</f>
        <v>35</v>
      </c>
      <c r="C36" s="10">
        <v>3</v>
      </c>
      <c r="D36" s="25">
        <v>6</v>
      </c>
      <c r="E36" s="24">
        <v>3</v>
      </c>
      <c r="F36" s="25">
        <v>6</v>
      </c>
      <c r="G36" s="4"/>
      <c r="H36" s="43" t="s">
        <v>182</v>
      </c>
      <c r="I36" s="7" t="str">
        <f t="shared" si="0"/>
        <v>71</v>
      </c>
      <c r="J36" s="17">
        <v>3</v>
      </c>
      <c r="K36" s="29">
        <v>6</v>
      </c>
      <c r="L36" s="18">
        <v>3</v>
      </c>
      <c r="M36" s="29">
        <v>6</v>
      </c>
    </row>
    <row r="37" spans="1:13" ht="15.75" thickBot="1" x14ac:dyDescent="0.2">
      <c r="A37" s="43" t="s">
        <v>147</v>
      </c>
      <c r="B37" s="6" t="str">
        <f>TEXT(MID(Table189673[[#This Row],[IP]],LEN(Table189673[[#This Row],[IP]])-1,1)+(--MID(Table189673[[#This Row],[IP]],8,1)-1)*9,"00")</f>
        <v>36</v>
      </c>
      <c r="C37" s="11">
        <v>3</v>
      </c>
      <c r="D37" s="26">
        <v>6</v>
      </c>
      <c r="E37" s="12">
        <v>3</v>
      </c>
      <c r="F37" s="26">
        <v>6</v>
      </c>
      <c r="G37" s="4"/>
      <c r="H37" s="43" t="s">
        <v>183</v>
      </c>
      <c r="I37" s="7" t="str">
        <f t="shared" si="0"/>
        <v>72</v>
      </c>
      <c r="J37" s="19">
        <v>3</v>
      </c>
      <c r="K37" s="30">
        <v>6</v>
      </c>
      <c r="L37" s="20">
        <v>3</v>
      </c>
      <c r="M37" s="30">
        <v>6</v>
      </c>
    </row>
  </sheetData>
  <conditionalFormatting sqref="C2:F37 J2:M3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:F3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3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2">
    <dataValidation type="list" allowBlank="1" showInputMessage="1" showErrorMessage="1" sqref="N2" xr:uid="{A0F2A5AC-EF32-4478-8C23-E97374F3A23D}">
      <formula1>"Y,N"</formula1>
    </dataValidation>
    <dataValidation type="list" allowBlank="1" showInputMessage="1" sqref="P1" xr:uid="{1C6CB964-A34C-486F-B0C1-97A42BC429F0}">
      <formula1>$T$6:$T$24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ReadBCI">
                <anchor>
                  <from>
                    <xdr:col>20</xdr:col>
                    <xdr:colOff>276225</xdr:colOff>
                    <xdr:row>1</xdr:row>
                    <xdr:rowOff>57150</xdr:rowOff>
                  </from>
                  <to>
                    <xdr:col>21</xdr:col>
                    <xdr:colOff>266700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709CC-D41A-42E0-8A7E-ACEBD3E0B647}">
  <sheetPr codeName="Sheet13"/>
  <dimension ref="A1:AD37"/>
  <sheetViews>
    <sheetView zoomScaleNormal="100" workbookViewId="0">
      <pane ySplit="1" topLeftCell="A2" activePane="bottomLeft" state="frozen"/>
      <selection activeCell="AH10" sqref="AH10"/>
      <selection pane="bottomLeft" activeCell="S14" sqref="S14"/>
    </sheetView>
  </sheetViews>
  <sheetFormatPr defaultColWidth="8.875" defaultRowHeight="13.5" x14ac:dyDescent="0.15"/>
  <cols>
    <col min="1" max="1" width="11.875" bestFit="1" customWidth="1"/>
    <col min="2" max="2" width="3.375" bestFit="1" customWidth="1"/>
    <col min="3" max="6" width="6.875" bestFit="1" customWidth="1"/>
    <col min="7" max="7" width="7.875" customWidth="1"/>
    <col min="8" max="8" width="11.875" bestFit="1" customWidth="1"/>
    <col min="9" max="9" width="2.8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1.8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30" ht="14.25" thickBot="1" x14ac:dyDescent="0.2">
      <c r="A1" s="4" t="s">
        <v>2</v>
      </c>
      <c r="B1" s="4" t="s">
        <v>3</v>
      </c>
      <c r="C1" s="4" t="s">
        <v>104</v>
      </c>
      <c r="D1" s="4" t="s">
        <v>105</v>
      </c>
      <c r="E1" s="4" t="s">
        <v>107</v>
      </c>
      <c r="F1" s="4" t="s">
        <v>106</v>
      </c>
      <c r="G1" s="4"/>
      <c r="H1" s="21" t="s">
        <v>2</v>
      </c>
      <c r="I1" s="5" t="s">
        <v>3</v>
      </c>
      <c r="J1" s="5" t="s">
        <v>104</v>
      </c>
      <c r="K1" s="5" t="s">
        <v>105</v>
      </c>
      <c r="L1" s="5" t="s">
        <v>107</v>
      </c>
      <c r="M1" s="22" t="s">
        <v>106</v>
      </c>
      <c r="P1" s="1">
        <v>8039</v>
      </c>
    </row>
    <row r="2" spans="1:30" ht="15" x14ac:dyDescent="0.15">
      <c r="A2" s="43" t="s">
        <v>112</v>
      </c>
      <c r="B2" s="6" t="str">
        <f>TEXT(MID(Table1896734[[#This Row],[IP]],LEN(Table1896734[[#This Row],[IP]])-1,1)+(--MID(Table1896734[[#This Row],[IP]],8,1)-1)*9,"00")</f>
        <v>01</v>
      </c>
      <c r="C2" s="8">
        <v>3</v>
      </c>
      <c r="D2" s="23">
        <v>6</v>
      </c>
      <c r="E2" s="9">
        <v>3</v>
      </c>
      <c r="F2" s="23">
        <v>6</v>
      </c>
      <c r="G2" s="4"/>
      <c r="H2" s="43" t="s">
        <v>148</v>
      </c>
      <c r="I2" s="7" t="str">
        <f>TEXT(MID(H2,LEN(H2)-1,1)+(--MID(H2,8,1)-1)*9,"00")</f>
        <v>37</v>
      </c>
      <c r="J2" s="13">
        <v>3</v>
      </c>
      <c r="K2" s="27">
        <v>6</v>
      </c>
      <c r="L2" s="14">
        <v>3</v>
      </c>
      <c r="M2" s="42">
        <v>6</v>
      </c>
      <c r="N2" s="4"/>
      <c r="AA2">
        <v>3897</v>
      </c>
      <c r="AB2" s="31">
        <v>4684</v>
      </c>
      <c r="AD2">
        <f>P1</f>
        <v>8039</v>
      </c>
    </row>
    <row r="3" spans="1:30" ht="15" x14ac:dyDescent="0.15">
      <c r="A3" s="43" t="s">
        <v>113</v>
      </c>
      <c r="B3" s="6" t="str">
        <f>TEXT(MID(Table1896734[[#This Row],[IP]],LEN(Table1896734[[#This Row],[IP]])-1,1)+(--MID(Table1896734[[#This Row],[IP]],8,1)-1)*9,"00")</f>
        <v>02</v>
      </c>
      <c r="C3" s="10">
        <v>3</v>
      </c>
      <c r="D3" s="25">
        <v>6</v>
      </c>
      <c r="E3" s="24">
        <v>3</v>
      </c>
      <c r="F3" s="25">
        <v>6</v>
      </c>
      <c r="G3" s="4"/>
      <c r="H3" s="43" t="s">
        <v>149</v>
      </c>
      <c r="I3" s="7" t="str">
        <f t="shared" ref="I3:I37" si="0">TEXT(MID(H3,LEN(H3)-1,1)+(--MID(H3,8,1)-1)*9,"00")</f>
        <v>38</v>
      </c>
      <c r="J3" s="15">
        <v>3</v>
      </c>
      <c r="K3" s="28">
        <v>6</v>
      </c>
      <c r="L3" s="16">
        <v>3</v>
      </c>
      <c r="M3" s="28">
        <v>6</v>
      </c>
      <c r="AA3">
        <v>3940</v>
      </c>
      <c r="AB3" s="31">
        <v>4687</v>
      </c>
      <c r="AD3">
        <f>AD2+4000</f>
        <v>12039</v>
      </c>
    </row>
    <row r="4" spans="1:30" ht="15" x14ac:dyDescent="0.15">
      <c r="A4" s="43" t="s">
        <v>114</v>
      </c>
      <c r="B4" s="6" t="str">
        <f>TEXT(MID(Table1896734[[#This Row],[IP]],LEN(Table1896734[[#This Row],[IP]])-1,1)+(--MID(Table1896734[[#This Row],[IP]],8,1)-1)*9,"00")</f>
        <v>03</v>
      </c>
      <c r="C4" s="10">
        <v>3</v>
      </c>
      <c r="D4" s="25">
        <v>6</v>
      </c>
      <c r="E4" s="24">
        <v>3</v>
      </c>
      <c r="F4" s="25">
        <v>6</v>
      </c>
      <c r="G4" s="4"/>
      <c r="H4" s="43" t="s">
        <v>150</v>
      </c>
      <c r="I4" s="7" t="str">
        <f t="shared" si="0"/>
        <v>39</v>
      </c>
      <c r="J4" s="17">
        <v>3</v>
      </c>
      <c r="K4" s="29">
        <v>6</v>
      </c>
      <c r="L4" s="18">
        <v>3</v>
      </c>
      <c r="M4" s="29">
        <v>6</v>
      </c>
      <c r="AA4">
        <v>3983</v>
      </c>
      <c r="AB4" s="31">
        <v>4714</v>
      </c>
      <c r="AD4">
        <f t="shared" ref="AD4:AD5" si="1">AD3+4000</f>
        <v>16039</v>
      </c>
    </row>
    <row r="5" spans="1:30" ht="15" x14ac:dyDescent="0.15">
      <c r="A5" s="43" t="s">
        <v>115</v>
      </c>
      <c r="B5" s="6" t="str">
        <f>TEXT(MID(Table1896734[[#This Row],[IP]],LEN(Table1896734[[#This Row],[IP]])-1,1)+(--MID(Table1896734[[#This Row],[IP]],8,1)-1)*9,"00")</f>
        <v>04</v>
      </c>
      <c r="C5" s="10">
        <v>0</v>
      </c>
      <c r="D5" s="25">
        <v>0</v>
      </c>
      <c r="E5" s="24">
        <v>0</v>
      </c>
      <c r="F5" s="25">
        <v>0</v>
      </c>
      <c r="G5" s="4"/>
      <c r="H5" s="43" t="s">
        <v>151</v>
      </c>
      <c r="I5" s="7" t="str">
        <f t="shared" si="0"/>
        <v>40</v>
      </c>
      <c r="J5" s="15">
        <v>3</v>
      </c>
      <c r="K5" s="28">
        <v>6</v>
      </c>
      <c r="L5" s="16">
        <v>3</v>
      </c>
      <c r="M5" s="28">
        <v>6</v>
      </c>
      <c r="AA5">
        <v>4026</v>
      </c>
      <c r="AB5" s="31">
        <v>4717</v>
      </c>
      <c r="AD5">
        <f t="shared" si="1"/>
        <v>20039</v>
      </c>
    </row>
    <row r="6" spans="1:30" ht="13.7" customHeight="1" x14ac:dyDescent="0.15">
      <c r="A6" s="43" t="s">
        <v>116</v>
      </c>
      <c r="B6" s="6" t="str">
        <f>TEXT(MID(Table1896734[[#This Row],[IP]],LEN(Table1896734[[#This Row],[IP]])-1,1)+(--MID(Table1896734[[#This Row],[IP]],8,1)-1)*9,"00")</f>
        <v>05</v>
      </c>
      <c r="C6" s="10">
        <v>3</v>
      </c>
      <c r="D6" s="25">
        <v>6</v>
      </c>
      <c r="E6" s="24">
        <v>3</v>
      </c>
      <c r="F6" s="25">
        <v>6</v>
      </c>
      <c r="G6" s="4"/>
      <c r="H6" s="43" t="s">
        <v>152</v>
      </c>
      <c r="I6" s="7" t="str">
        <f t="shared" si="0"/>
        <v>41</v>
      </c>
      <c r="J6" s="17">
        <v>3</v>
      </c>
      <c r="K6" s="29">
        <v>6</v>
      </c>
      <c r="L6" s="18">
        <v>3</v>
      </c>
      <c r="M6" s="29">
        <v>6</v>
      </c>
      <c r="T6">
        <v>8039</v>
      </c>
      <c r="U6" t="s">
        <v>80</v>
      </c>
    </row>
    <row r="7" spans="1:30" ht="15" x14ac:dyDescent="0.15">
      <c r="A7" s="43" t="s">
        <v>117</v>
      </c>
      <c r="B7" s="6" t="str">
        <f>TEXT(MID(Table1896734[[#This Row],[IP]],LEN(Table1896734[[#This Row],[IP]])-1,1)+(--MID(Table1896734[[#This Row],[IP]],8,1)-1)*9,"00")</f>
        <v>06</v>
      </c>
      <c r="C7" s="10">
        <v>3</v>
      </c>
      <c r="D7" s="25">
        <v>6</v>
      </c>
      <c r="E7" s="24">
        <v>3</v>
      </c>
      <c r="F7" s="25">
        <v>6</v>
      </c>
      <c r="G7" s="4"/>
      <c r="H7" s="43" t="s">
        <v>153</v>
      </c>
      <c r="I7" s="7" t="str">
        <f t="shared" si="0"/>
        <v>42</v>
      </c>
      <c r="J7" s="15">
        <v>3</v>
      </c>
      <c r="K7" s="28">
        <v>6</v>
      </c>
      <c r="L7" s="16">
        <v>3</v>
      </c>
      <c r="M7" s="28">
        <v>6</v>
      </c>
      <c r="T7">
        <v>8037</v>
      </c>
      <c r="U7" t="s">
        <v>81</v>
      </c>
    </row>
    <row r="8" spans="1:30" ht="15" x14ac:dyDescent="0.15">
      <c r="A8" s="43" t="s">
        <v>118</v>
      </c>
      <c r="B8" s="6" t="str">
        <f>TEXT(MID(Table1896734[[#This Row],[IP]],LEN(Table1896734[[#This Row],[IP]])-1,1)+(--MID(Table1896734[[#This Row],[IP]],8,1)-1)*9,"00")</f>
        <v>07</v>
      </c>
      <c r="C8" s="10">
        <v>3</v>
      </c>
      <c r="D8" s="25">
        <v>6</v>
      </c>
      <c r="E8" s="24">
        <v>3</v>
      </c>
      <c r="F8" s="25">
        <v>6</v>
      </c>
      <c r="G8" s="4"/>
      <c r="H8" s="43" t="s">
        <v>154</v>
      </c>
      <c r="I8" s="7" t="str">
        <f t="shared" si="0"/>
        <v>43</v>
      </c>
      <c r="J8" s="17">
        <v>3</v>
      </c>
      <c r="K8" s="29">
        <v>6</v>
      </c>
      <c r="L8" s="18">
        <v>3</v>
      </c>
      <c r="M8" s="29">
        <v>6</v>
      </c>
      <c r="T8">
        <v>8059</v>
      </c>
      <c r="U8" t="s">
        <v>0</v>
      </c>
    </row>
    <row r="9" spans="1:30" ht="15" x14ac:dyDescent="0.15">
      <c r="A9" s="43" t="s">
        <v>119</v>
      </c>
      <c r="B9" s="6" t="str">
        <f>TEXT(MID(Table1896734[[#This Row],[IP]],LEN(Table1896734[[#This Row],[IP]])-1,1)+(--MID(Table1896734[[#This Row],[IP]],8,1)-1)*9,"00")</f>
        <v>08</v>
      </c>
      <c r="C9" s="10">
        <v>3</v>
      </c>
      <c r="D9" s="25">
        <v>6</v>
      </c>
      <c r="E9" s="24">
        <v>3</v>
      </c>
      <c r="F9" s="25">
        <v>6</v>
      </c>
      <c r="G9" s="4"/>
      <c r="H9" s="43" t="s">
        <v>155</v>
      </c>
      <c r="I9" s="7" t="str">
        <f t="shared" si="0"/>
        <v>44</v>
      </c>
      <c r="J9" s="15">
        <v>3</v>
      </c>
      <c r="K9" s="28">
        <v>6</v>
      </c>
      <c r="L9" s="16">
        <v>3</v>
      </c>
      <c r="M9" s="28">
        <v>6</v>
      </c>
      <c r="T9">
        <v>8060</v>
      </c>
      <c r="U9" t="s">
        <v>1</v>
      </c>
    </row>
    <row r="10" spans="1:30" ht="12.75" customHeight="1" thickBot="1" x14ac:dyDescent="0.2">
      <c r="A10" s="43" t="s">
        <v>120</v>
      </c>
      <c r="B10" s="6" t="str">
        <f>TEXT(MID(Table1896734[[#This Row],[IP]],LEN(Table1896734[[#This Row],[IP]])-1,1)+(--MID(Table1896734[[#This Row],[IP]],8,1)-1)*9,"00")</f>
        <v>09</v>
      </c>
      <c r="C10" s="11">
        <v>3</v>
      </c>
      <c r="D10" s="26">
        <v>6</v>
      </c>
      <c r="E10" s="12">
        <v>3</v>
      </c>
      <c r="F10" s="26">
        <v>6</v>
      </c>
      <c r="G10" s="4"/>
      <c r="H10" s="43" t="s">
        <v>156</v>
      </c>
      <c r="I10" s="7" t="str">
        <f t="shared" si="0"/>
        <v>45</v>
      </c>
      <c r="J10" s="33">
        <v>3</v>
      </c>
      <c r="K10" s="35">
        <v>6</v>
      </c>
      <c r="L10" s="34">
        <v>3</v>
      </c>
      <c r="M10" s="35">
        <v>6</v>
      </c>
      <c r="T10">
        <v>8043</v>
      </c>
      <c r="U10" t="s">
        <v>82</v>
      </c>
    </row>
    <row r="11" spans="1:30" ht="15" x14ac:dyDescent="0.15">
      <c r="A11" s="43" t="s">
        <v>121</v>
      </c>
      <c r="B11" s="6" t="str">
        <f>TEXT(MID(Table1896734[[#This Row],[IP]],LEN(Table1896734[[#This Row],[IP]])-1,1)+(--MID(Table1896734[[#This Row],[IP]],8,1)-1)*9,"00")</f>
        <v>10</v>
      </c>
      <c r="C11" s="10">
        <v>3</v>
      </c>
      <c r="D11" s="25">
        <v>6</v>
      </c>
      <c r="E11" s="24">
        <v>3</v>
      </c>
      <c r="F11" s="25">
        <v>6</v>
      </c>
      <c r="G11" s="4"/>
      <c r="H11" s="43" t="s">
        <v>157</v>
      </c>
      <c r="I11" s="7" t="str">
        <f t="shared" si="0"/>
        <v>46</v>
      </c>
      <c r="J11" s="39">
        <v>3</v>
      </c>
      <c r="K11" s="41">
        <v>6</v>
      </c>
      <c r="L11" s="40">
        <v>3</v>
      </c>
      <c r="M11" s="41">
        <v>6</v>
      </c>
      <c r="T11">
        <v>8062</v>
      </c>
      <c r="U11" t="s">
        <v>83</v>
      </c>
      <c r="Z11" s="32"/>
    </row>
    <row r="12" spans="1:30" ht="15" x14ac:dyDescent="0.15">
      <c r="A12" s="43" t="s">
        <v>122</v>
      </c>
      <c r="B12" s="6" t="str">
        <f>TEXT(MID(Table1896734[[#This Row],[IP]],LEN(Table1896734[[#This Row],[IP]])-1,1)+(--MID(Table1896734[[#This Row],[IP]],8,1)-1)*9,"00")</f>
        <v>11</v>
      </c>
      <c r="C12" s="10">
        <v>1</v>
      </c>
      <c r="D12" s="25">
        <v>3</v>
      </c>
      <c r="E12" s="24">
        <v>1</v>
      </c>
      <c r="F12" s="25">
        <v>3</v>
      </c>
      <c r="G12" s="4"/>
      <c r="H12" s="43" t="s">
        <v>158</v>
      </c>
      <c r="I12" s="7" t="str">
        <f t="shared" si="0"/>
        <v>47</v>
      </c>
      <c r="J12" s="17">
        <v>3</v>
      </c>
      <c r="K12" s="29">
        <v>6</v>
      </c>
      <c r="L12" s="18">
        <v>3</v>
      </c>
      <c r="M12" s="29">
        <v>6</v>
      </c>
      <c r="T12">
        <v>8063</v>
      </c>
      <c r="U12" t="s">
        <v>84</v>
      </c>
    </row>
    <row r="13" spans="1:30" ht="15" x14ac:dyDescent="0.15">
      <c r="A13" s="43" t="s">
        <v>123</v>
      </c>
      <c r="B13" s="6" t="str">
        <f>TEXT(MID(Table1896734[[#This Row],[IP]],LEN(Table1896734[[#This Row],[IP]])-1,1)+(--MID(Table1896734[[#This Row],[IP]],8,1)-1)*9,"00")</f>
        <v>12</v>
      </c>
      <c r="C13" s="10">
        <v>3</v>
      </c>
      <c r="D13" s="25">
        <v>6</v>
      </c>
      <c r="E13" s="24">
        <v>3</v>
      </c>
      <c r="F13" s="25">
        <v>6</v>
      </c>
      <c r="G13" s="4"/>
      <c r="H13" s="43" t="s">
        <v>159</v>
      </c>
      <c r="I13" s="7" t="str">
        <f t="shared" si="0"/>
        <v>48</v>
      </c>
      <c r="J13" s="15">
        <v>3</v>
      </c>
      <c r="K13" s="28">
        <v>6</v>
      </c>
      <c r="L13" s="16">
        <v>3</v>
      </c>
      <c r="M13" s="28">
        <v>6</v>
      </c>
      <c r="T13">
        <v>8080</v>
      </c>
      <c r="U13" t="s">
        <v>85</v>
      </c>
    </row>
    <row r="14" spans="1:30" ht="15" x14ac:dyDescent="0.15">
      <c r="A14" s="43" t="s">
        <v>124</v>
      </c>
      <c r="B14" s="6" t="str">
        <f>TEXT(MID(Table1896734[[#This Row],[IP]],LEN(Table1896734[[#This Row],[IP]])-1,1)+(--MID(Table1896734[[#This Row],[IP]],8,1)-1)*9,"00")</f>
        <v>13</v>
      </c>
      <c r="C14" s="10">
        <v>1</v>
      </c>
      <c r="D14" s="25">
        <v>3</v>
      </c>
      <c r="E14" s="24">
        <v>1</v>
      </c>
      <c r="F14" s="25">
        <v>3</v>
      </c>
      <c r="G14" s="4"/>
      <c r="H14" s="43" t="s">
        <v>160</v>
      </c>
      <c r="I14" s="7" t="str">
        <f t="shared" si="0"/>
        <v>49</v>
      </c>
      <c r="J14" s="17">
        <v>3</v>
      </c>
      <c r="K14" s="29">
        <v>6</v>
      </c>
      <c r="L14" s="18">
        <v>3</v>
      </c>
      <c r="M14" s="29">
        <v>6</v>
      </c>
      <c r="T14">
        <v>8082</v>
      </c>
      <c r="U14" t="s">
        <v>86</v>
      </c>
    </row>
    <row r="15" spans="1:30" ht="15" x14ac:dyDescent="0.15">
      <c r="A15" s="43" t="s">
        <v>125</v>
      </c>
      <c r="B15" s="6" t="str">
        <f>TEXT(MID(Table1896734[[#This Row],[IP]],LEN(Table1896734[[#This Row],[IP]])-1,1)+(--MID(Table1896734[[#This Row],[IP]],8,1)-1)*9,"00")</f>
        <v>14</v>
      </c>
      <c r="C15" s="10">
        <v>3</v>
      </c>
      <c r="D15" s="25">
        <v>6</v>
      </c>
      <c r="E15" s="24">
        <v>3</v>
      </c>
      <c r="F15" s="25">
        <v>6</v>
      </c>
      <c r="G15" s="4"/>
      <c r="H15" s="43" t="s">
        <v>161</v>
      </c>
      <c r="I15" s="7" t="str">
        <f t="shared" si="0"/>
        <v>50</v>
      </c>
      <c r="J15" s="15">
        <v>3</v>
      </c>
      <c r="K15" s="28">
        <v>6</v>
      </c>
      <c r="L15" s="16">
        <v>3</v>
      </c>
      <c r="M15" s="28">
        <v>6</v>
      </c>
      <c r="T15">
        <v>8084</v>
      </c>
      <c r="U15" t="s">
        <v>87</v>
      </c>
    </row>
    <row r="16" spans="1:30" ht="15" x14ac:dyDescent="0.15">
      <c r="A16" s="43" t="s">
        <v>126</v>
      </c>
      <c r="B16" s="6" t="str">
        <f>TEXT(MID(Table1896734[[#This Row],[IP]],LEN(Table1896734[[#This Row],[IP]])-1,1)+(--MID(Table1896734[[#This Row],[IP]],8,1)-1)*9,"00")</f>
        <v>15</v>
      </c>
      <c r="C16" s="10">
        <v>3</v>
      </c>
      <c r="D16" s="25">
        <v>6</v>
      </c>
      <c r="E16" s="24">
        <v>3</v>
      </c>
      <c r="F16" s="25">
        <v>6</v>
      </c>
      <c r="G16" s="4"/>
      <c r="H16" s="43" t="s">
        <v>162</v>
      </c>
      <c r="I16" s="7" t="str">
        <f t="shared" si="0"/>
        <v>51</v>
      </c>
      <c r="J16" s="17">
        <v>3</v>
      </c>
      <c r="K16" s="29">
        <v>6</v>
      </c>
      <c r="L16" s="18">
        <v>3</v>
      </c>
      <c r="M16" s="29">
        <v>6</v>
      </c>
      <c r="T16">
        <v>8046</v>
      </c>
      <c r="U16" t="s">
        <v>88</v>
      </c>
    </row>
    <row r="17" spans="1:21" ht="15" x14ac:dyDescent="0.15">
      <c r="A17" s="43" t="s">
        <v>127</v>
      </c>
      <c r="B17" s="6" t="str">
        <f>TEXT(MID(Table1896734[[#This Row],[IP]],LEN(Table1896734[[#This Row],[IP]])-1,1)+(--MID(Table1896734[[#This Row],[IP]],8,1)-1)*9,"00")</f>
        <v>16</v>
      </c>
      <c r="C17" s="10">
        <v>3</v>
      </c>
      <c r="D17" s="25">
        <v>6</v>
      </c>
      <c r="E17" s="24">
        <v>3</v>
      </c>
      <c r="F17" s="25">
        <v>6</v>
      </c>
      <c r="G17" s="4"/>
      <c r="H17" s="43" t="s">
        <v>163</v>
      </c>
      <c r="I17" s="7" t="str">
        <f t="shared" si="0"/>
        <v>52</v>
      </c>
      <c r="J17" s="15">
        <v>3</v>
      </c>
      <c r="K17" s="28">
        <v>6</v>
      </c>
      <c r="L17" s="16">
        <v>3</v>
      </c>
      <c r="M17" s="28">
        <v>6</v>
      </c>
      <c r="T17">
        <v>8047</v>
      </c>
      <c r="U17" t="s">
        <v>89</v>
      </c>
    </row>
    <row r="18" spans="1:21" ht="15" x14ac:dyDescent="0.15">
      <c r="A18" s="43" t="s">
        <v>128</v>
      </c>
      <c r="B18" s="6" t="str">
        <f>TEXT(MID(Table1896734[[#This Row],[IP]],LEN(Table1896734[[#This Row],[IP]])-1,1)+(--MID(Table1896734[[#This Row],[IP]],8,1)-1)*9,"00")</f>
        <v>17</v>
      </c>
      <c r="C18" s="10">
        <v>3</v>
      </c>
      <c r="D18" s="25">
        <v>6</v>
      </c>
      <c r="E18" s="24">
        <v>3</v>
      </c>
      <c r="F18" s="25">
        <v>6</v>
      </c>
      <c r="G18" s="4"/>
      <c r="H18" s="43" t="s">
        <v>164</v>
      </c>
      <c r="I18" s="7" t="str">
        <f t="shared" si="0"/>
        <v>53</v>
      </c>
      <c r="J18" s="17">
        <v>3</v>
      </c>
      <c r="K18" s="29">
        <v>6</v>
      </c>
      <c r="L18" s="18">
        <v>3</v>
      </c>
      <c r="M18" s="29">
        <v>6</v>
      </c>
      <c r="T18">
        <v>8045</v>
      </c>
      <c r="U18" t="s">
        <v>90</v>
      </c>
    </row>
    <row r="19" spans="1:21" ht="15.75" thickBot="1" x14ac:dyDescent="0.2">
      <c r="A19" s="43" t="s">
        <v>129</v>
      </c>
      <c r="B19" s="6" t="str">
        <f>TEXT(MID(Table1896734[[#This Row],[IP]],LEN(Table1896734[[#This Row],[IP]])-1,1)+(--MID(Table1896734[[#This Row],[IP]],8,1)-1)*9,"00")</f>
        <v>18</v>
      </c>
      <c r="C19" s="10">
        <v>3</v>
      </c>
      <c r="D19" s="25">
        <v>6</v>
      </c>
      <c r="E19" s="24">
        <v>3</v>
      </c>
      <c r="F19" s="25">
        <v>6</v>
      </c>
      <c r="G19" s="4"/>
      <c r="H19" s="43" t="s">
        <v>165</v>
      </c>
      <c r="I19" s="7" t="str">
        <f t="shared" si="0"/>
        <v>54</v>
      </c>
      <c r="J19" s="19">
        <v>3</v>
      </c>
      <c r="K19" s="30">
        <v>6</v>
      </c>
      <c r="L19" s="20">
        <v>3</v>
      </c>
      <c r="M19" s="30">
        <v>6</v>
      </c>
      <c r="T19">
        <v>8053</v>
      </c>
      <c r="U19" t="s">
        <v>91</v>
      </c>
    </row>
    <row r="20" spans="1:21" ht="15" x14ac:dyDescent="0.15">
      <c r="A20" s="43" t="s">
        <v>130</v>
      </c>
      <c r="B20" s="6" t="str">
        <f>TEXT(MID(Table1896734[[#This Row],[IP]],LEN(Table1896734[[#This Row],[IP]])-1,1)+(--MID(Table1896734[[#This Row],[IP]],8,1)-1)*9,"00")</f>
        <v>19</v>
      </c>
      <c r="C20" s="8">
        <v>3</v>
      </c>
      <c r="D20" s="23">
        <v>6</v>
      </c>
      <c r="E20" s="9">
        <v>3</v>
      </c>
      <c r="F20" s="23">
        <v>6</v>
      </c>
      <c r="G20" s="4"/>
      <c r="H20" s="43" t="s">
        <v>166</v>
      </c>
      <c r="I20" s="7" t="str">
        <f t="shared" si="0"/>
        <v>55</v>
      </c>
      <c r="J20" s="36">
        <v>1</v>
      </c>
      <c r="K20" s="38">
        <v>55</v>
      </c>
      <c r="L20" s="37">
        <v>1</v>
      </c>
      <c r="M20" s="38">
        <v>128</v>
      </c>
      <c r="T20">
        <v>8054</v>
      </c>
      <c r="U20" t="s">
        <v>92</v>
      </c>
    </row>
    <row r="21" spans="1:21" ht="15" x14ac:dyDescent="0.15">
      <c r="A21" s="43" t="s">
        <v>131</v>
      </c>
      <c r="B21" s="6" t="str">
        <f>TEXT(MID(Table1896734[[#This Row],[IP]],LEN(Table1896734[[#This Row],[IP]])-1,1)+(--MID(Table1896734[[#This Row],[IP]],8,1)-1)*9,"00")</f>
        <v>20</v>
      </c>
      <c r="C21" s="10">
        <v>3</v>
      </c>
      <c r="D21" s="25">
        <v>6</v>
      </c>
      <c r="E21" s="24">
        <v>3</v>
      </c>
      <c r="F21" s="25">
        <v>6</v>
      </c>
      <c r="G21" s="4"/>
      <c r="H21" s="43" t="s">
        <v>167</v>
      </c>
      <c r="I21" s="7" t="str">
        <f t="shared" si="0"/>
        <v>56</v>
      </c>
      <c r="J21" s="15">
        <v>3</v>
      </c>
      <c r="K21" s="28">
        <v>6</v>
      </c>
      <c r="L21" s="16">
        <v>3</v>
      </c>
      <c r="M21" s="28">
        <v>6</v>
      </c>
      <c r="T21">
        <v>8052</v>
      </c>
      <c r="U21" t="s">
        <v>93</v>
      </c>
    </row>
    <row r="22" spans="1:21" ht="15" x14ac:dyDescent="0.15">
      <c r="A22" s="43" t="s">
        <v>132</v>
      </c>
      <c r="B22" s="6" t="str">
        <f>TEXT(MID(Table1896734[[#This Row],[IP]],LEN(Table1896734[[#This Row],[IP]])-1,1)+(--MID(Table1896734[[#This Row],[IP]],8,1)-1)*9,"00")</f>
        <v>21</v>
      </c>
      <c r="C22" s="10">
        <v>3</v>
      </c>
      <c r="D22" s="25">
        <v>6</v>
      </c>
      <c r="E22" s="24">
        <v>3</v>
      </c>
      <c r="F22" s="25">
        <v>6</v>
      </c>
      <c r="G22" s="4"/>
      <c r="H22" s="43" t="s">
        <v>168</v>
      </c>
      <c r="I22" s="7" t="str">
        <f t="shared" si="0"/>
        <v>57</v>
      </c>
      <c r="J22" s="17">
        <v>1</v>
      </c>
      <c r="K22" s="29">
        <v>55</v>
      </c>
      <c r="L22" s="18">
        <v>1</v>
      </c>
      <c r="M22" s="29">
        <v>55</v>
      </c>
      <c r="T22">
        <v>8090</v>
      </c>
      <c r="U22" t="s">
        <v>94</v>
      </c>
    </row>
    <row r="23" spans="1:21" ht="15" x14ac:dyDescent="0.15">
      <c r="A23" s="43" t="s">
        <v>133</v>
      </c>
      <c r="B23" s="6" t="str">
        <f>TEXT(MID(Table1896734[[#This Row],[IP]],LEN(Table1896734[[#This Row],[IP]])-1,1)+(--MID(Table1896734[[#This Row],[IP]],8,1)-1)*9,"00")</f>
        <v>22</v>
      </c>
      <c r="C23" s="10">
        <v>3</v>
      </c>
      <c r="D23" s="25">
        <v>6</v>
      </c>
      <c r="E23" s="24">
        <v>3</v>
      </c>
      <c r="F23" s="25">
        <v>6</v>
      </c>
      <c r="G23" s="4"/>
      <c r="H23" s="43" t="s">
        <v>169</v>
      </c>
      <c r="I23" s="7" t="str">
        <f t="shared" si="0"/>
        <v>58</v>
      </c>
      <c r="J23" s="15">
        <v>3</v>
      </c>
      <c r="K23" s="28">
        <v>6</v>
      </c>
      <c r="L23" s="16">
        <v>3</v>
      </c>
      <c r="M23" s="28">
        <v>6</v>
      </c>
      <c r="T23">
        <v>8091</v>
      </c>
      <c r="U23" t="s">
        <v>95</v>
      </c>
    </row>
    <row r="24" spans="1:21" ht="15" x14ac:dyDescent="0.15">
      <c r="A24" s="43" t="s">
        <v>134</v>
      </c>
      <c r="B24" s="6" t="str">
        <f>TEXT(MID(Table1896734[[#This Row],[IP]],LEN(Table1896734[[#This Row],[IP]])-1,1)+(--MID(Table1896734[[#This Row],[IP]],8,1)-1)*9,"00")</f>
        <v>23</v>
      </c>
      <c r="C24" s="10">
        <v>3</v>
      </c>
      <c r="D24" s="25">
        <v>6</v>
      </c>
      <c r="E24" s="24">
        <v>3</v>
      </c>
      <c r="F24" s="25">
        <v>6</v>
      </c>
      <c r="G24" s="4"/>
      <c r="H24" s="43" t="s">
        <v>170</v>
      </c>
      <c r="I24" s="7" t="str">
        <f t="shared" si="0"/>
        <v>59</v>
      </c>
      <c r="J24" s="17">
        <v>3</v>
      </c>
      <c r="K24" s="29">
        <v>6</v>
      </c>
      <c r="L24" s="18">
        <v>3</v>
      </c>
      <c r="M24" s="29">
        <v>6</v>
      </c>
    </row>
    <row r="25" spans="1:21" ht="15" x14ac:dyDescent="0.15">
      <c r="A25" s="43" t="s">
        <v>135</v>
      </c>
      <c r="B25" s="6" t="str">
        <f>TEXT(MID(Table1896734[[#This Row],[IP]],LEN(Table1896734[[#This Row],[IP]])-1,1)+(--MID(Table1896734[[#This Row],[IP]],8,1)-1)*9,"00")</f>
        <v>24</v>
      </c>
      <c r="C25" s="10">
        <v>3</v>
      </c>
      <c r="D25" s="25">
        <v>6</v>
      </c>
      <c r="E25" s="24">
        <v>3</v>
      </c>
      <c r="F25" s="25">
        <v>6</v>
      </c>
      <c r="G25" s="4"/>
      <c r="H25" s="43" t="s">
        <v>171</v>
      </c>
      <c r="I25" s="7" t="str">
        <f t="shared" si="0"/>
        <v>60</v>
      </c>
      <c r="J25" s="15">
        <v>3</v>
      </c>
      <c r="K25" s="28">
        <v>6</v>
      </c>
      <c r="L25" s="16">
        <v>3</v>
      </c>
      <c r="M25" s="28">
        <v>6</v>
      </c>
    </row>
    <row r="26" spans="1:21" ht="15" x14ac:dyDescent="0.15">
      <c r="A26" s="43" t="s">
        <v>136</v>
      </c>
      <c r="B26" s="6" t="str">
        <f>TEXT(MID(Table1896734[[#This Row],[IP]],LEN(Table1896734[[#This Row],[IP]])-1,1)+(--MID(Table1896734[[#This Row],[IP]],8,1)-1)*9,"00")</f>
        <v>25</v>
      </c>
      <c r="C26" s="10">
        <v>3</v>
      </c>
      <c r="D26" s="25">
        <v>6</v>
      </c>
      <c r="E26" s="24">
        <v>3</v>
      </c>
      <c r="F26" s="25">
        <v>6</v>
      </c>
      <c r="G26" s="4"/>
      <c r="H26" s="43" t="s">
        <v>172</v>
      </c>
      <c r="I26" s="7" t="str">
        <f t="shared" si="0"/>
        <v>61</v>
      </c>
      <c r="J26" s="17">
        <v>3</v>
      </c>
      <c r="K26" s="29">
        <v>6</v>
      </c>
      <c r="L26" s="18">
        <v>3</v>
      </c>
      <c r="M26" s="29">
        <v>6</v>
      </c>
    </row>
    <row r="27" spans="1:21" ht="15" x14ac:dyDescent="0.15">
      <c r="A27" s="43" t="s">
        <v>137</v>
      </c>
      <c r="B27" s="6" t="str">
        <f>TEXT(MID(Table1896734[[#This Row],[IP]],LEN(Table1896734[[#This Row],[IP]])-1,1)+(--MID(Table1896734[[#This Row],[IP]],8,1)-1)*9,"00")</f>
        <v>26</v>
      </c>
      <c r="C27" s="10">
        <v>3</v>
      </c>
      <c r="D27" s="25">
        <v>6</v>
      </c>
      <c r="E27" s="24">
        <v>3</v>
      </c>
      <c r="F27" s="25">
        <v>6</v>
      </c>
      <c r="G27" s="4"/>
      <c r="H27" s="43" t="s">
        <v>173</v>
      </c>
      <c r="I27" s="7" t="str">
        <f t="shared" si="0"/>
        <v>62</v>
      </c>
      <c r="J27" s="15">
        <v>3</v>
      </c>
      <c r="K27" s="28">
        <v>6</v>
      </c>
      <c r="L27" s="16">
        <v>3</v>
      </c>
      <c r="M27" s="28">
        <v>6</v>
      </c>
    </row>
    <row r="28" spans="1:21" ht="15.75" thickBot="1" x14ac:dyDescent="0.2">
      <c r="A28" s="43" t="s">
        <v>138</v>
      </c>
      <c r="B28" s="6" t="str">
        <f>TEXT(MID(Table1896734[[#This Row],[IP]],LEN(Table1896734[[#This Row],[IP]])-1,1)+(--MID(Table1896734[[#This Row],[IP]],8,1)-1)*9,"00")</f>
        <v>27</v>
      </c>
      <c r="C28" s="11">
        <v>3</v>
      </c>
      <c r="D28" s="26">
        <v>6</v>
      </c>
      <c r="E28" s="12">
        <v>3</v>
      </c>
      <c r="F28" s="26">
        <v>6</v>
      </c>
      <c r="G28" s="4"/>
      <c r="H28" s="43" t="s">
        <v>174</v>
      </c>
      <c r="I28" s="7" t="str">
        <f t="shared" si="0"/>
        <v>63</v>
      </c>
      <c r="J28" s="33">
        <v>3</v>
      </c>
      <c r="K28" s="35">
        <v>6</v>
      </c>
      <c r="L28" s="34">
        <v>3</v>
      </c>
      <c r="M28" s="35">
        <v>6</v>
      </c>
    </row>
    <row r="29" spans="1:21" ht="15" x14ac:dyDescent="0.15">
      <c r="A29" s="43" t="s">
        <v>139</v>
      </c>
      <c r="B29" s="6" t="str">
        <f>TEXT(MID(Table1896734[[#This Row],[IP]],LEN(Table1896734[[#This Row],[IP]])-1,1)+(--MID(Table1896734[[#This Row],[IP]],8,1)-1)*9,"00")</f>
        <v>28</v>
      </c>
      <c r="C29" s="10">
        <v>3</v>
      </c>
      <c r="D29" s="25">
        <v>2</v>
      </c>
      <c r="E29" s="24">
        <v>3</v>
      </c>
      <c r="F29" s="25">
        <v>2</v>
      </c>
      <c r="G29" s="4"/>
      <c r="H29" s="43" t="s">
        <v>175</v>
      </c>
      <c r="I29" s="7" t="str">
        <f t="shared" si="0"/>
        <v>64</v>
      </c>
      <c r="J29" s="39">
        <v>3</v>
      </c>
      <c r="K29" s="41">
        <v>6</v>
      </c>
      <c r="L29" s="40">
        <v>3</v>
      </c>
      <c r="M29" s="41">
        <v>6</v>
      </c>
    </row>
    <row r="30" spans="1:21" ht="15" x14ac:dyDescent="0.15">
      <c r="A30" s="43" t="s">
        <v>140</v>
      </c>
      <c r="B30" s="6" t="str">
        <f>TEXT(MID(Table1896734[[#This Row],[IP]],LEN(Table1896734[[#This Row],[IP]])-1,1)+(--MID(Table1896734[[#This Row],[IP]],8,1)-1)*9,"00")</f>
        <v>29</v>
      </c>
      <c r="C30" s="10">
        <v>3</v>
      </c>
      <c r="D30" s="25">
        <v>6</v>
      </c>
      <c r="E30" s="24">
        <v>3</v>
      </c>
      <c r="F30" s="25">
        <v>6</v>
      </c>
      <c r="G30" s="4"/>
      <c r="H30" s="43" t="s">
        <v>176</v>
      </c>
      <c r="I30" s="7" t="str">
        <f t="shared" si="0"/>
        <v>65</v>
      </c>
      <c r="J30" s="17">
        <v>1</v>
      </c>
      <c r="K30" s="29">
        <v>3</v>
      </c>
      <c r="L30" s="18">
        <v>1</v>
      </c>
      <c r="M30" s="29">
        <v>3</v>
      </c>
    </row>
    <row r="31" spans="1:21" ht="15" x14ac:dyDescent="0.15">
      <c r="A31" s="43" t="s">
        <v>141</v>
      </c>
      <c r="B31" s="6" t="str">
        <f>TEXT(MID(Table1896734[[#This Row],[IP]],LEN(Table1896734[[#This Row],[IP]])-1,1)+(--MID(Table1896734[[#This Row],[IP]],8,1)-1)*9,"00")</f>
        <v>30</v>
      </c>
      <c r="C31" s="10">
        <v>3</v>
      </c>
      <c r="D31" s="25">
        <v>6</v>
      </c>
      <c r="E31" s="24">
        <v>3</v>
      </c>
      <c r="F31" s="25">
        <v>6</v>
      </c>
      <c r="G31" s="4"/>
      <c r="H31" s="43" t="s">
        <v>177</v>
      </c>
      <c r="I31" s="7" t="str">
        <f t="shared" si="0"/>
        <v>66</v>
      </c>
      <c r="J31" s="15">
        <v>3</v>
      </c>
      <c r="K31" s="28">
        <v>6</v>
      </c>
      <c r="L31" s="16">
        <v>3</v>
      </c>
      <c r="M31" s="28">
        <v>6</v>
      </c>
    </row>
    <row r="32" spans="1:21" ht="15" x14ac:dyDescent="0.15">
      <c r="A32" s="43" t="s">
        <v>142</v>
      </c>
      <c r="B32" s="6" t="str">
        <f>TEXT(MID(Table1896734[[#This Row],[IP]],LEN(Table1896734[[#This Row],[IP]])-1,1)+(--MID(Table1896734[[#This Row],[IP]],8,1)-1)*9,"00")</f>
        <v>31</v>
      </c>
      <c r="C32" s="10">
        <v>3</v>
      </c>
      <c r="D32" s="25">
        <v>6</v>
      </c>
      <c r="E32" s="24">
        <v>3</v>
      </c>
      <c r="F32" s="25">
        <v>6</v>
      </c>
      <c r="G32" s="4"/>
      <c r="H32" s="43" t="s">
        <v>178</v>
      </c>
      <c r="I32" s="7" t="str">
        <f t="shared" si="0"/>
        <v>67</v>
      </c>
      <c r="J32" s="17">
        <v>3</v>
      </c>
      <c r="K32" s="29">
        <v>6</v>
      </c>
      <c r="L32" s="18">
        <v>3</v>
      </c>
      <c r="M32" s="29">
        <v>6</v>
      </c>
    </row>
    <row r="33" spans="1:13" ht="15" x14ac:dyDescent="0.15">
      <c r="A33" s="43" t="s">
        <v>143</v>
      </c>
      <c r="B33" s="6" t="str">
        <f>TEXT(MID(Table1896734[[#This Row],[IP]],LEN(Table1896734[[#This Row],[IP]])-1,1)+(--MID(Table1896734[[#This Row],[IP]],8,1)-1)*9,"00")</f>
        <v>32</v>
      </c>
      <c r="C33" s="10">
        <v>3</v>
      </c>
      <c r="D33" s="25">
        <v>6</v>
      </c>
      <c r="E33" s="24">
        <v>3</v>
      </c>
      <c r="F33" s="25">
        <v>6</v>
      </c>
      <c r="G33" s="4"/>
      <c r="H33" s="43" t="s">
        <v>179</v>
      </c>
      <c r="I33" s="7" t="str">
        <f t="shared" si="0"/>
        <v>68</v>
      </c>
      <c r="J33" s="15">
        <v>3</v>
      </c>
      <c r="K33" s="28">
        <v>6</v>
      </c>
      <c r="L33" s="16">
        <v>3</v>
      </c>
      <c r="M33" s="28">
        <v>6</v>
      </c>
    </row>
    <row r="34" spans="1:13" ht="15" x14ac:dyDescent="0.15">
      <c r="A34" s="43" t="s">
        <v>144</v>
      </c>
      <c r="B34" s="6" t="str">
        <f>TEXT(MID(Table1896734[[#This Row],[IP]],LEN(Table1896734[[#This Row],[IP]])-1,1)+(--MID(Table1896734[[#This Row],[IP]],8,1)-1)*9,"00")</f>
        <v>33</v>
      </c>
      <c r="C34" s="10">
        <v>3</v>
      </c>
      <c r="D34" s="25">
        <v>6</v>
      </c>
      <c r="E34" s="24">
        <v>3</v>
      </c>
      <c r="F34" s="25">
        <v>6</v>
      </c>
      <c r="G34" s="4"/>
      <c r="H34" s="43" t="s">
        <v>180</v>
      </c>
      <c r="I34" s="7" t="str">
        <f t="shared" si="0"/>
        <v>69</v>
      </c>
      <c r="J34" s="17">
        <v>3</v>
      </c>
      <c r="K34" s="29">
        <v>6</v>
      </c>
      <c r="L34" s="18">
        <v>3</v>
      </c>
      <c r="M34" s="29">
        <v>6</v>
      </c>
    </row>
    <row r="35" spans="1:13" ht="15" x14ac:dyDescent="0.15">
      <c r="A35" s="43" t="s">
        <v>145</v>
      </c>
      <c r="B35" s="6" t="str">
        <f>TEXT(MID(Table1896734[[#This Row],[IP]],LEN(Table1896734[[#This Row],[IP]])-1,1)+(--MID(Table1896734[[#This Row],[IP]],8,1)-1)*9,"00")</f>
        <v>34</v>
      </c>
      <c r="C35" s="10">
        <v>3</v>
      </c>
      <c r="D35" s="25">
        <v>6</v>
      </c>
      <c r="E35" s="24">
        <v>3</v>
      </c>
      <c r="F35" s="25">
        <v>6</v>
      </c>
      <c r="G35" s="4"/>
      <c r="H35" s="43" t="s">
        <v>181</v>
      </c>
      <c r="I35" s="7" t="str">
        <f t="shared" si="0"/>
        <v>70</v>
      </c>
      <c r="J35" s="15">
        <v>3</v>
      </c>
      <c r="K35" s="28">
        <v>6</v>
      </c>
      <c r="L35" s="16">
        <v>3</v>
      </c>
      <c r="M35" s="28">
        <v>6</v>
      </c>
    </row>
    <row r="36" spans="1:13" ht="15" x14ac:dyDescent="0.15">
      <c r="A36" s="43" t="s">
        <v>146</v>
      </c>
      <c r="B36" s="6" t="str">
        <f>TEXT(MID(Table1896734[[#This Row],[IP]],LEN(Table1896734[[#This Row],[IP]])-1,1)+(--MID(Table1896734[[#This Row],[IP]],8,1)-1)*9,"00")</f>
        <v>35</v>
      </c>
      <c r="C36" s="10">
        <v>3</v>
      </c>
      <c r="D36" s="25">
        <v>6</v>
      </c>
      <c r="E36" s="24">
        <v>3</v>
      </c>
      <c r="F36" s="25">
        <v>6</v>
      </c>
      <c r="G36" s="4"/>
      <c r="H36" s="43" t="s">
        <v>182</v>
      </c>
      <c r="I36" s="7" t="str">
        <f t="shared" si="0"/>
        <v>71</v>
      </c>
      <c r="J36" s="17">
        <v>3</v>
      </c>
      <c r="K36" s="29">
        <v>6</v>
      </c>
      <c r="L36" s="18">
        <v>3</v>
      </c>
      <c r="M36" s="29">
        <v>6</v>
      </c>
    </row>
    <row r="37" spans="1:13" ht="15.75" thickBot="1" x14ac:dyDescent="0.2">
      <c r="A37" s="43" t="s">
        <v>147</v>
      </c>
      <c r="B37" s="6" t="str">
        <f>TEXT(MID(Table1896734[[#This Row],[IP]],LEN(Table1896734[[#This Row],[IP]])-1,1)+(--MID(Table1896734[[#This Row],[IP]],8,1)-1)*9,"00")</f>
        <v>36</v>
      </c>
      <c r="C37" s="11">
        <v>3</v>
      </c>
      <c r="D37" s="26">
        <v>6</v>
      </c>
      <c r="E37" s="12">
        <v>3</v>
      </c>
      <c r="F37" s="26">
        <v>6</v>
      </c>
      <c r="G37" s="4"/>
      <c r="H37" s="43" t="s">
        <v>183</v>
      </c>
      <c r="I37" s="7" t="str">
        <f t="shared" si="0"/>
        <v>72</v>
      </c>
      <c r="J37" s="19">
        <v>3</v>
      </c>
      <c r="K37" s="30">
        <v>6</v>
      </c>
      <c r="L37" s="20">
        <v>3</v>
      </c>
      <c r="M37" s="30">
        <v>6</v>
      </c>
    </row>
  </sheetData>
  <conditionalFormatting sqref="C2:F37 J2:M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qref="P1" xr:uid="{64CA71DE-8698-48C3-9802-45D2137E2D95}">
      <formula1>$T$6:$T$24</formula1>
    </dataValidation>
    <dataValidation type="list" allowBlank="1" showInputMessage="1" showErrorMessage="1" sqref="N2" xr:uid="{39269541-B84B-45AC-94FC-1956ECB74C25}">
      <formula1>"Y,N"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ReadBCI">
                <anchor>
                  <from>
                    <xdr:col>20</xdr:col>
                    <xdr:colOff>276225</xdr:colOff>
                    <xdr:row>1</xdr:row>
                    <xdr:rowOff>57150</xdr:rowOff>
                  </from>
                  <to>
                    <xdr:col>21</xdr:col>
                    <xdr:colOff>266700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F20FA-3F1A-4512-AAC3-742A49A02A6F}">
  <sheetPr codeName="Sheet14"/>
  <dimension ref="A1:AD37"/>
  <sheetViews>
    <sheetView zoomScaleNormal="100" workbookViewId="0">
      <pane ySplit="1" topLeftCell="A2" activePane="bottomLeft" state="frozen"/>
      <selection activeCell="AH10" sqref="AH10"/>
      <selection pane="bottomLeft" activeCell="Q10" sqref="Q10"/>
    </sheetView>
  </sheetViews>
  <sheetFormatPr defaultColWidth="8.875" defaultRowHeight="13.5" x14ac:dyDescent="0.15"/>
  <cols>
    <col min="1" max="1" width="11.875" bestFit="1" customWidth="1"/>
    <col min="2" max="2" width="3.375" bestFit="1" customWidth="1"/>
    <col min="3" max="6" width="6.875" bestFit="1" customWidth="1"/>
    <col min="7" max="7" width="7.875" customWidth="1"/>
    <col min="8" max="8" width="11.875" bestFit="1" customWidth="1"/>
    <col min="9" max="9" width="2.875" bestFit="1" customWidth="1"/>
    <col min="10" max="13" width="6.875" bestFit="1" customWidth="1"/>
    <col min="14" max="14" width="5.25" customWidth="1"/>
    <col min="15" max="15" width="4.875" bestFit="1" customWidth="1"/>
    <col min="17" max="19" width="3.75" customWidth="1"/>
    <col min="20" max="20" width="9" customWidth="1"/>
    <col min="21" max="21" width="19.75" customWidth="1"/>
    <col min="22" max="28" width="9" customWidth="1"/>
    <col min="29" max="29" width="4.25" bestFit="1" customWidth="1"/>
    <col min="30" max="34" width="7.875" bestFit="1" customWidth="1"/>
    <col min="36" max="40" width="5.25" customWidth="1"/>
  </cols>
  <sheetData>
    <row r="1" spans="1:30" ht="14.25" thickBot="1" x14ac:dyDescent="0.2">
      <c r="A1" s="4" t="s">
        <v>2</v>
      </c>
      <c r="B1" s="4" t="s">
        <v>3</v>
      </c>
      <c r="C1" s="4" t="s">
        <v>108</v>
      </c>
      <c r="D1" s="4" t="s">
        <v>109</v>
      </c>
      <c r="E1" s="4" t="s">
        <v>110</v>
      </c>
      <c r="F1" s="4" t="s">
        <v>111</v>
      </c>
      <c r="G1" s="4"/>
      <c r="H1" s="21" t="s">
        <v>2</v>
      </c>
      <c r="I1" s="5" t="s">
        <v>3</v>
      </c>
      <c r="J1" s="5" t="s">
        <v>108</v>
      </c>
      <c r="K1" s="5" t="s">
        <v>109</v>
      </c>
      <c r="L1" s="5" t="s">
        <v>110</v>
      </c>
      <c r="M1" s="22" t="s">
        <v>111</v>
      </c>
      <c r="P1" s="1">
        <v>8039</v>
      </c>
    </row>
    <row r="2" spans="1:30" ht="15" x14ac:dyDescent="0.15">
      <c r="A2" s="43" t="s">
        <v>112</v>
      </c>
      <c r="B2" s="6" t="str">
        <f>TEXT(MID(Table189675[[#This Row],[IP]],LEN(Table189675[[#This Row],[IP]])-1,1)+(--MID(Table189675[[#This Row],[IP]],8,1)-1)*9,"00")</f>
        <v>01</v>
      </c>
      <c r="C2" s="8">
        <v>17</v>
      </c>
      <c r="D2" s="9">
        <v>165</v>
      </c>
      <c r="E2" s="9">
        <v>38</v>
      </c>
      <c r="F2" s="23">
        <v>38</v>
      </c>
      <c r="G2" s="4"/>
      <c r="H2" s="43" t="s">
        <v>148</v>
      </c>
      <c r="I2" s="7" t="str">
        <f>TEXT(MID(H2,LEN(H2)-1,1)+(--MID(H2,8,1)-1)*9,"00")</f>
        <v>37</v>
      </c>
      <c r="J2" s="13">
        <v>17</v>
      </c>
      <c r="K2" s="14">
        <v>165</v>
      </c>
      <c r="L2" s="14">
        <v>39</v>
      </c>
      <c r="M2" s="27">
        <v>38</v>
      </c>
      <c r="N2" s="4"/>
      <c r="AA2">
        <v>3897</v>
      </c>
      <c r="AB2" s="31">
        <v>1003</v>
      </c>
      <c r="AD2">
        <f>P1</f>
        <v>8039</v>
      </c>
    </row>
    <row r="3" spans="1:30" ht="15" x14ac:dyDescent="0.15">
      <c r="A3" s="43" t="s">
        <v>113</v>
      </c>
      <c r="B3" s="6" t="str">
        <f>TEXT(MID(Table189675[[#This Row],[IP]],LEN(Table189675[[#This Row],[IP]])-1,1)+(--MID(Table189675[[#This Row],[IP]],8,1)-1)*9,"00")</f>
        <v>02</v>
      </c>
      <c r="C3" s="10">
        <v>17</v>
      </c>
      <c r="D3" s="24">
        <v>165</v>
      </c>
      <c r="E3" s="24">
        <v>39</v>
      </c>
      <c r="F3" s="25">
        <v>38</v>
      </c>
      <c r="G3" s="4"/>
      <c r="H3" s="43" t="s">
        <v>149</v>
      </c>
      <c r="I3" s="7" t="str">
        <f t="shared" ref="I3:I37" si="0">TEXT(MID(H3,LEN(H3)-1,1)+(--MID(H3,8,1)-1)*9,"00")</f>
        <v>38</v>
      </c>
      <c r="J3" s="15">
        <v>17</v>
      </c>
      <c r="K3" s="16">
        <v>165</v>
      </c>
      <c r="L3" s="16">
        <v>39</v>
      </c>
      <c r="M3" s="28">
        <v>38</v>
      </c>
      <c r="AA3">
        <v>3940</v>
      </c>
      <c r="AB3" s="31">
        <v>1482</v>
      </c>
      <c r="AD3">
        <f>AD2+4000</f>
        <v>12039</v>
      </c>
    </row>
    <row r="4" spans="1:30" ht="15" x14ac:dyDescent="0.15">
      <c r="A4" s="43" t="s">
        <v>114</v>
      </c>
      <c r="B4" s="6" t="str">
        <f>TEXT(MID(Table189675[[#This Row],[IP]],LEN(Table189675[[#This Row],[IP]])-1,1)+(--MID(Table189675[[#This Row],[IP]],8,1)-1)*9,"00")</f>
        <v>03</v>
      </c>
      <c r="C4" s="10">
        <v>17</v>
      </c>
      <c r="D4" s="24">
        <v>165</v>
      </c>
      <c r="E4" s="24">
        <v>38</v>
      </c>
      <c r="F4" s="25">
        <v>39</v>
      </c>
      <c r="G4" s="4"/>
      <c r="H4" s="43" t="s">
        <v>150</v>
      </c>
      <c r="I4" s="7" t="str">
        <f t="shared" si="0"/>
        <v>39</v>
      </c>
      <c r="J4" s="17">
        <v>17</v>
      </c>
      <c r="K4" s="18">
        <v>165</v>
      </c>
      <c r="L4" s="18">
        <v>38</v>
      </c>
      <c r="M4" s="29">
        <v>39</v>
      </c>
      <c r="AA4">
        <v>3983</v>
      </c>
      <c r="AB4" s="31">
        <v>6585</v>
      </c>
      <c r="AD4">
        <f t="shared" ref="AD4:AD5" si="1">AD3+4000</f>
        <v>16039</v>
      </c>
    </row>
    <row r="5" spans="1:30" ht="15" x14ac:dyDescent="0.15">
      <c r="A5" s="43" t="s">
        <v>115</v>
      </c>
      <c r="B5" s="6" t="str">
        <f>TEXT(MID(Table189675[[#This Row],[IP]],LEN(Table189675[[#This Row],[IP]])-1,1)+(--MID(Table189675[[#This Row],[IP]],8,1)-1)*9,"00")</f>
        <v>04</v>
      </c>
      <c r="C5" s="10">
        <v>0</v>
      </c>
      <c r="D5" s="24">
        <v>0</v>
      </c>
      <c r="E5" s="24">
        <v>0</v>
      </c>
      <c r="F5" s="25">
        <v>0</v>
      </c>
      <c r="G5" s="4"/>
      <c r="H5" s="43" t="s">
        <v>151</v>
      </c>
      <c r="I5" s="7" t="str">
        <f t="shared" si="0"/>
        <v>40</v>
      </c>
      <c r="J5" s="15">
        <v>17</v>
      </c>
      <c r="K5" s="16">
        <v>165</v>
      </c>
      <c r="L5" s="16">
        <v>39</v>
      </c>
      <c r="M5" s="28">
        <v>38</v>
      </c>
      <c r="U5" s="45" t="s">
        <v>205</v>
      </c>
      <c r="AA5">
        <v>4026</v>
      </c>
      <c r="AB5" s="31">
        <v>6620</v>
      </c>
      <c r="AD5">
        <f t="shared" si="1"/>
        <v>20039</v>
      </c>
    </row>
    <row r="6" spans="1:30" ht="13.7" customHeight="1" x14ac:dyDescent="0.15">
      <c r="A6" s="43" t="s">
        <v>116</v>
      </c>
      <c r="B6" s="6" t="str">
        <f>TEXT(MID(Table189675[[#This Row],[IP]],LEN(Table189675[[#This Row],[IP]])-1,1)+(--MID(Table189675[[#This Row],[IP]],8,1)-1)*9,"00")</f>
        <v>05</v>
      </c>
      <c r="C6" s="10">
        <v>17</v>
      </c>
      <c r="D6" s="24">
        <v>165</v>
      </c>
      <c r="E6" s="24">
        <v>39</v>
      </c>
      <c r="F6" s="25">
        <v>39</v>
      </c>
      <c r="G6" s="4"/>
      <c r="H6" s="43" t="s">
        <v>152</v>
      </c>
      <c r="I6" s="7" t="str">
        <f t="shared" si="0"/>
        <v>41</v>
      </c>
      <c r="J6" s="17">
        <v>17</v>
      </c>
      <c r="K6" s="18">
        <v>165</v>
      </c>
      <c r="L6" s="18">
        <v>38</v>
      </c>
      <c r="M6" s="29">
        <v>38</v>
      </c>
      <c r="T6">
        <v>0</v>
      </c>
      <c r="U6" s="44" t="s">
        <v>187</v>
      </c>
    </row>
    <row r="7" spans="1:30" ht="15" x14ac:dyDescent="0.15">
      <c r="A7" s="43" t="s">
        <v>117</v>
      </c>
      <c r="B7" s="6" t="str">
        <f>TEXT(MID(Table189675[[#This Row],[IP]],LEN(Table189675[[#This Row],[IP]])-1,1)+(--MID(Table189675[[#This Row],[IP]],8,1)-1)*9,"00")</f>
        <v>06</v>
      </c>
      <c r="C7" s="10">
        <v>17</v>
      </c>
      <c r="D7" s="24">
        <v>165</v>
      </c>
      <c r="E7" s="24">
        <v>38</v>
      </c>
      <c r="F7" s="25">
        <v>38</v>
      </c>
      <c r="G7" s="4"/>
      <c r="H7" s="43" t="s">
        <v>153</v>
      </c>
      <c r="I7" s="7" t="str">
        <f t="shared" si="0"/>
        <v>42</v>
      </c>
      <c r="J7" s="15">
        <v>17</v>
      </c>
      <c r="K7" s="16">
        <v>165</v>
      </c>
      <c r="L7" s="16">
        <v>38</v>
      </c>
      <c r="M7" s="28">
        <v>38</v>
      </c>
      <c r="T7">
        <v>1</v>
      </c>
      <c r="U7" s="44" t="s">
        <v>188</v>
      </c>
    </row>
    <row r="8" spans="1:30" ht="15" x14ac:dyDescent="0.15">
      <c r="A8" s="43" t="s">
        <v>118</v>
      </c>
      <c r="B8" s="6" t="str">
        <f>TEXT(MID(Table189675[[#This Row],[IP]],LEN(Table189675[[#This Row],[IP]])-1,1)+(--MID(Table189675[[#This Row],[IP]],8,1)-1)*9,"00")</f>
        <v>07</v>
      </c>
      <c r="C8" s="10">
        <v>17</v>
      </c>
      <c r="D8" s="24">
        <v>165</v>
      </c>
      <c r="E8" s="24">
        <v>39</v>
      </c>
      <c r="F8" s="25">
        <v>38</v>
      </c>
      <c r="G8" s="4"/>
      <c r="H8" s="43" t="s">
        <v>154</v>
      </c>
      <c r="I8" s="7" t="str">
        <f t="shared" si="0"/>
        <v>43</v>
      </c>
      <c r="J8" s="17">
        <v>17</v>
      </c>
      <c r="K8" s="18">
        <v>165</v>
      </c>
      <c r="L8" s="18">
        <v>38</v>
      </c>
      <c r="M8" s="29">
        <v>38</v>
      </c>
      <c r="T8">
        <v>2</v>
      </c>
      <c r="U8" s="44" t="s">
        <v>189</v>
      </c>
      <c r="Y8" t="s">
        <v>184</v>
      </c>
    </row>
    <row r="9" spans="1:30" ht="15" x14ac:dyDescent="0.15">
      <c r="A9" s="43" t="s">
        <v>119</v>
      </c>
      <c r="B9" s="6" t="str">
        <f>TEXT(MID(Table189675[[#This Row],[IP]],LEN(Table189675[[#This Row],[IP]])-1,1)+(--MID(Table189675[[#This Row],[IP]],8,1)-1)*9,"00")</f>
        <v>08</v>
      </c>
      <c r="C9" s="10">
        <v>17</v>
      </c>
      <c r="D9" s="24">
        <v>165</v>
      </c>
      <c r="E9" s="24">
        <v>38</v>
      </c>
      <c r="F9" s="25">
        <v>38</v>
      </c>
      <c r="G9" s="4"/>
      <c r="H9" s="43" t="s">
        <v>155</v>
      </c>
      <c r="I9" s="7" t="str">
        <f t="shared" si="0"/>
        <v>44</v>
      </c>
      <c r="J9" s="15">
        <v>17</v>
      </c>
      <c r="K9" s="16">
        <v>165</v>
      </c>
      <c r="L9" s="16">
        <v>39</v>
      </c>
      <c r="M9" s="28">
        <v>38</v>
      </c>
      <c r="T9">
        <v>3</v>
      </c>
      <c r="U9" s="44" t="s">
        <v>190</v>
      </c>
      <c r="Y9">
        <v>6515</v>
      </c>
    </row>
    <row r="10" spans="1:30" ht="12.75" customHeight="1" thickBot="1" x14ac:dyDescent="0.2">
      <c r="A10" s="43" t="s">
        <v>120</v>
      </c>
      <c r="B10" s="6" t="str">
        <f>TEXT(MID(Table189675[[#This Row],[IP]],LEN(Table189675[[#This Row],[IP]])-1,1)+(--MID(Table189675[[#This Row],[IP]],8,1)-1)*9,"00")</f>
        <v>09</v>
      </c>
      <c r="C10" s="11">
        <v>17</v>
      </c>
      <c r="D10" s="12">
        <v>165</v>
      </c>
      <c r="E10" s="12">
        <v>38</v>
      </c>
      <c r="F10" s="26">
        <v>39</v>
      </c>
      <c r="G10" s="4"/>
      <c r="H10" s="43" t="s">
        <v>156</v>
      </c>
      <c r="I10" s="7" t="str">
        <f t="shared" si="0"/>
        <v>45</v>
      </c>
      <c r="J10" s="33">
        <v>17</v>
      </c>
      <c r="K10" s="34">
        <v>165</v>
      </c>
      <c r="L10" s="34">
        <v>38</v>
      </c>
      <c r="M10" s="35">
        <v>38</v>
      </c>
      <c r="T10">
        <v>4</v>
      </c>
      <c r="U10" s="44" t="s">
        <v>191</v>
      </c>
      <c r="Y10">
        <v>6550</v>
      </c>
    </row>
    <row r="11" spans="1:30" ht="15" x14ac:dyDescent="0.15">
      <c r="A11" s="43" t="s">
        <v>121</v>
      </c>
      <c r="B11" s="6" t="str">
        <f>TEXT(MID(Table189675[[#This Row],[IP]],LEN(Table189675[[#This Row],[IP]])-1,1)+(--MID(Table189675[[#This Row],[IP]],8,1)-1)*9,"00")</f>
        <v>10</v>
      </c>
      <c r="C11" s="10">
        <v>17</v>
      </c>
      <c r="D11" s="24">
        <v>165</v>
      </c>
      <c r="E11" s="24">
        <v>38</v>
      </c>
      <c r="F11" s="25">
        <v>39</v>
      </c>
      <c r="G11" s="4"/>
      <c r="H11" s="43" t="s">
        <v>157</v>
      </c>
      <c r="I11" s="7" t="str">
        <f t="shared" si="0"/>
        <v>46</v>
      </c>
      <c r="J11" s="39">
        <v>17</v>
      </c>
      <c r="K11" s="40">
        <v>165</v>
      </c>
      <c r="L11" s="40">
        <v>39</v>
      </c>
      <c r="M11" s="41">
        <v>38</v>
      </c>
      <c r="T11">
        <v>5</v>
      </c>
      <c r="U11" s="44" t="s">
        <v>192</v>
      </c>
      <c r="Y11">
        <v>6585</v>
      </c>
      <c r="Z11" s="32"/>
    </row>
    <row r="12" spans="1:30" ht="15" x14ac:dyDescent="0.15">
      <c r="A12" s="43" t="s">
        <v>122</v>
      </c>
      <c r="B12" s="6" t="str">
        <f>TEXT(MID(Table189675[[#This Row],[IP]],LEN(Table189675[[#This Row],[IP]])-1,1)+(--MID(Table189675[[#This Row],[IP]],8,1)-1)*9,"00")</f>
        <v>11</v>
      </c>
      <c r="C12" s="10">
        <v>2</v>
      </c>
      <c r="D12" s="24">
        <v>55</v>
      </c>
      <c r="E12" s="24">
        <v>38</v>
      </c>
      <c r="F12" s="25">
        <v>38</v>
      </c>
      <c r="G12" s="4"/>
      <c r="H12" s="43" t="s">
        <v>158</v>
      </c>
      <c r="I12" s="7" t="str">
        <f t="shared" si="0"/>
        <v>47</v>
      </c>
      <c r="J12" s="17">
        <v>17</v>
      </c>
      <c r="K12" s="18">
        <v>165</v>
      </c>
      <c r="L12" s="18">
        <v>39</v>
      </c>
      <c r="M12" s="29">
        <v>39</v>
      </c>
      <c r="T12">
        <v>6</v>
      </c>
      <c r="U12" s="44" t="s">
        <v>193</v>
      </c>
      <c r="Y12">
        <v>6620</v>
      </c>
    </row>
    <row r="13" spans="1:30" ht="15" x14ac:dyDescent="0.15">
      <c r="A13" s="43" t="s">
        <v>123</v>
      </c>
      <c r="B13" s="6" t="str">
        <f>TEXT(MID(Table189675[[#This Row],[IP]],LEN(Table189675[[#This Row],[IP]])-1,1)+(--MID(Table189675[[#This Row],[IP]],8,1)-1)*9,"00")</f>
        <v>12</v>
      </c>
      <c r="C13" s="10">
        <v>17</v>
      </c>
      <c r="D13" s="24">
        <v>165</v>
      </c>
      <c r="E13" s="24">
        <v>39</v>
      </c>
      <c r="F13" s="25">
        <v>38</v>
      </c>
      <c r="G13" s="4"/>
      <c r="H13" s="43" t="s">
        <v>159</v>
      </c>
      <c r="I13" s="7" t="str">
        <f t="shared" si="0"/>
        <v>48</v>
      </c>
      <c r="J13" s="15">
        <v>17</v>
      </c>
      <c r="K13" s="16">
        <v>165</v>
      </c>
      <c r="L13" s="16">
        <v>38</v>
      </c>
      <c r="M13" s="28">
        <v>38</v>
      </c>
      <c r="T13">
        <v>7</v>
      </c>
      <c r="U13" s="44" t="s">
        <v>194</v>
      </c>
    </row>
    <row r="14" spans="1:30" ht="15" x14ac:dyDescent="0.15">
      <c r="A14" s="43" t="s">
        <v>124</v>
      </c>
      <c r="B14" s="6" t="str">
        <f>TEXT(MID(Table189675[[#This Row],[IP]],LEN(Table189675[[#This Row],[IP]])-1,1)+(--MID(Table189675[[#This Row],[IP]],8,1)-1)*9,"00")</f>
        <v>13</v>
      </c>
      <c r="C14" s="10">
        <v>2</v>
      </c>
      <c r="D14" s="24">
        <v>55</v>
      </c>
      <c r="E14" s="24">
        <v>38</v>
      </c>
      <c r="F14" s="25">
        <v>38</v>
      </c>
      <c r="G14" s="4"/>
      <c r="H14" s="43" t="s">
        <v>160</v>
      </c>
      <c r="I14" s="7" t="str">
        <f t="shared" si="0"/>
        <v>49</v>
      </c>
      <c r="J14" s="17">
        <v>17</v>
      </c>
      <c r="K14" s="18">
        <v>165</v>
      </c>
      <c r="L14" s="18">
        <v>38</v>
      </c>
      <c r="M14" s="29">
        <v>38</v>
      </c>
      <c r="T14">
        <v>8</v>
      </c>
      <c r="U14" s="44" t="s">
        <v>195</v>
      </c>
      <c r="Y14" t="s">
        <v>185</v>
      </c>
    </row>
    <row r="15" spans="1:30" ht="15" x14ac:dyDescent="0.15">
      <c r="A15" s="43" t="s">
        <v>125</v>
      </c>
      <c r="B15" s="6" t="str">
        <f>TEXT(MID(Table189675[[#This Row],[IP]],LEN(Table189675[[#This Row],[IP]])-1,1)+(--MID(Table189675[[#This Row],[IP]],8,1)-1)*9,"00")</f>
        <v>14</v>
      </c>
      <c r="C15" s="10">
        <v>17</v>
      </c>
      <c r="D15" s="24">
        <v>165</v>
      </c>
      <c r="E15" s="24">
        <v>38</v>
      </c>
      <c r="F15" s="25">
        <v>39</v>
      </c>
      <c r="G15" s="4"/>
      <c r="H15" s="43" t="s">
        <v>161</v>
      </c>
      <c r="I15" s="7" t="str">
        <f t="shared" si="0"/>
        <v>50</v>
      </c>
      <c r="J15" s="15">
        <v>17</v>
      </c>
      <c r="K15" s="16">
        <v>165</v>
      </c>
      <c r="L15" s="16">
        <v>38</v>
      </c>
      <c r="M15" s="28">
        <v>39</v>
      </c>
      <c r="T15">
        <v>9</v>
      </c>
      <c r="U15" s="44" t="s">
        <v>196</v>
      </c>
      <c r="Y15">
        <v>1482</v>
      </c>
    </row>
    <row r="16" spans="1:30" ht="15" x14ac:dyDescent="0.15">
      <c r="A16" s="43" t="s">
        <v>126</v>
      </c>
      <c r="B16" s="6" t="str">
        <f>TEXT(MID(Table189675[[#This Row],[IP]],LEN(Table189675[[#This Row],[IP]])-1,1)+(--MID(Table189675[[#This Row],[IP]],8,1)-1)*9,"00")</f>
        <v>15</v>
      </c>
      <c r="C16" s="10">
        <v>17</v>
      </c>
      <c r="D16" s="24">
        <v>165</v>
      </c>
      <c r="E16" s="24">
        <v>38</v>
      </c>
      <c r="F16" s="25">
        <v>38</v>
      </c>
      <c r="G16" s="4"/>
      <c r="H16" s="43" t="s">
        <v>162</v>
      </c>
      <c r="I16" s="7" t="str">
        <f t="shared" si="0"/>
        <v>51</v>
      </c>
      <c r="J16" s="17">
        <v>17</v>
      </c>
      <c r="K16" s="18">
        <v>165</v>
      </c>
      <c r="L16" s="18">
        <v>38</v>
      </c>
      <c r="M16" s="29">
        <v>38</v>
      </c>
      <c r="T16">
        <v>10</v>
      </c>
      <c r="U16" s="44" t="s">
        <v>197</v>
      </c>
    </row>
    <row r="17" spans="1:25" ht="15" x14ac:dyDescent="0.15">
      <c r="A17" s="43" t="s">
        <v>127</v>
      </c>
      <c r="B17" s="6" t="str">
        <f>TEXT(MID(Table189675[[#This Row],[IP]],LEN(Table189675[[#This Row],[IP]])-1,1)+(--MID(Table189675[[#This Row],[IP]],8,1)-1)*9,"00")</f>
        <v>16</v>
      </c>
      <c r="C17" s="10">
        <v>17</v>
      </c>
      <c r="D17" s="24">
        <v>165</v>
      </c>
      <c r="E17" s="24">
        <v>38</v>
      </c>
      <c r="F17" s="25">
        <v>38</v>
      </c>
      <c r="G17" s="4"/>
      <c r="H17" s="43" t="s">
        <v>163</v>
      </c>
      <c r="I17" s="7" t="str">
        <f t="shared" si="0"/>
        <v>52</v>
      </c>
      <c r="J17" s="15">
        <v>17</v>
      </c>
      <c r="K17" s="16">
        <v>165</v>
      </c>
      <c r="L17" s="16">
        <v>38</v>
      </c>
      <c r="M17" s="28">
        <v>38</v>
      </c>
      <c r="T17">
        <v>11</v>
      </c>
      <c r="U17" s="44" t="s">
        <v>198</v>
      </c>
      <c r="Y17" t="s">
        <v>186</v>
      </c>
    </row>
    <row r="18" spans="1:25" ht="15" x14ac:dyDescent="0.15">
      <c r="A18" s="43" t="s">
        <v>128</v>
      </c>
      <c r="B18" s="6" t="str">
        <f>TEXT(MID(Table189675[[#This Row],[IP]],LEN(Table189675[[#This Row],[IP]])-1,1)+(--MID(Table189675[[#This Row],[IP]],8,1)-1)*9,"00")</f>
        <v>17</v>
      </c>
      <c r="C18" s="10">
        <v>17</v>
      </c>
      <c r="D18" s="24">
        <v>165</v>
      </c>
      <c r="E18" s="24">
        <v>38</v>
      </c>
      <c r="F18" s="25">
        <v>39</v>
      </c>
      <c r="G18" s="4"/>
      <c r="H18" s="43" t="s">
        <v>164</v>
      </c>
      <c r="I18" s="7" t="str">
        <f t="shared" si="0"/>
        <v>53</v>
      </c>
      <c r="J18" s="17">
        <v>17</v>
      </c>
      <c r="K18" s="18">
        <v>165</v>
      </c>
      <c r="L18" s="18">
        <v>39</v>
      </c>
      <c r="M18" s="29">
        <v>39</v>
      </c>
      <c r="T18">
        <v>12</v>
      </c>
      <c r="U18" s="44" t="s">
        <v>199</v>
      </c>
      <c r="Y18">
        <v>1003</v>
      </c>
    </row>
    <row r="19" spans="1:25" ht="15.75" thickBot="1" x14ac:dyDescent="0.2">
      <c r="A19" s="43" t="s">
        <v>129</v>
      </c>
      <c r="B19" s="6" t="str">
        <f>TEXT(MID(Table189675[[#This Row],[IP]],LEN(Table189675[[#This Row],[IP]])-1,1)+(--MID(Table189675[[#This Row],[IP]],8,1)-1)*9,"00")</f>
        <v>18</v>
      </c>
      <c r="C19" s="10">
        <v>17</v>
      </c>
      <c r="D19" s="24">
        <v>165</v>
      </c>
      <c r="E19" s="24">
        <v>38</v>
      </c>
      <c r="F19" s="25">
        <v>38</v>
      </c>
      <c r="G19" s="4"/>
      <c r="H19" s="43" t="s">
        <v>165</v>
      </c>
      <c r="I19" s="7" t="str">
        <f t="shared" si="0"/>
        <v>54</v>
      </c>
      <c r="J19" s="19">
        <v>17</v>
      </c>
      <c r="K19" s="20">
        <v>165</v>
      </c>
      <c r="L19" s="20">
        <v>38</v>
      </c>
      <c r="M19" s="30">
        <v>39</v>
      </c>
      <c r="T19">
        <v>13</v>
      </c>
      <c r="U19" s="44" t="s">
        <v>200</v>
      </c>
    </row>
    <row r="20" spans="1:25" ht="15" x14ac:dyDescent="0.15">
      <c r="A20" s="43" t="s">
        <v>130</v>
      </c>
      <c r="B20" s="6" t="str">
        <f>TEXT(MID(Table189675[[#This Row],[IP]],LEN(Table189675[[#This Row],[IP]])-1,1)+(--MID(Table189675[[#This Row],[IP]],8,1)-1)*9,"00")</f>
        <v>19</v>
      </c>
      <c r="C20" s="8">
        <v>17</v>
      </c>
      <c r="D20" s="9">
        <v>165</v>
      </c>
      <c r="E20" s="9">
        <v>37</v>
      </c>
      <c r="F20" s="23">
        <v>37</v>
      </c>
      <c r="G20" s="4"/>
      <c r="H20" s="43" t="s">
        <v>166</v>
      </c>
      <c r="I20" s="7" t="str">
        <f t="shared" si="0"/>
        <v>55</v>
      </c>
      <c r="J20" s="36">
        <v>2</v>
      </c>
      <c r="K20" s="37">
        <v>43</v>
      </c>
      <c r="L20" s="37">
        <v>38</v>
      </c>
      <c r="M20" s="38">
        <v>37</v>
      </c>
      <c r="T20">
        <v>14</v>
      </c>
      <c r="U20" s="44" t="s">
        <v>201</v>
      </c>
    </row>
    <row r="21" spans="1:25" ht="15" x14ac:dyDescent="0.15">
      <c r="A21" s="43" t="s">
        <v>131</v>
      </c>
      <c r="B21" s="6" t="str">
        <f>TEXT(MID(Table189675[[#This Row],[IP]],LEN(Table189675[[#This Row],[IP]])-1,1)+(--MID(Table189675[[#This Row],[IP]],8,1)-1)*9,"00")</f>
        <v>20</v>
      </c>
      <c r="C21" s="10">
        <v>17</v>
      </c>
      <c r="D21" s="24">
        <v>165</v>
      </c>
      <c r="E21" s="24">
        <v>38</v>
      </c>
      <c r="F21" s="25">
        <v>38</v>
      </c>
      <c r="G21" s="4"/>
      <c r="H21" s="43" t="s">
        <v>167</v>
      </c>
      <c r="I21" s="7" t="str">
        <f t="shared" si="0"/>
        <v>56</v>
      </c>
      <c r="J21" s="15">
        <v>2</v>
      </c>
      <c r="K21" s="16">
        <v>55</v>
      </c>
      <c r="L21" s="16">
        <v>40</v>
      </c>
      <c r="M21" s="28">
        <v>39</v>
      </c>
      <c r="T21">
        <v>15</v>
      </c>
      <c r="U21" s="44" t="s">
        <v>202</v>
      </c>
    </row>
    <row r="22" spans="1:25" ht="15" x14ac:dyDescent="0.15">
      <c r="A22" s="43" t="s">
        <v>132</v>
      </c>
      <c r="B22" s="6" t="str">
        <f>TEXT(MID(Table189675[[#This Row],[IP]],LEN(Table189675[[#This Row],[IP]])-1,1)+(--MID(Table189675[[#This Row],[IP]],8,1)-1)*9,"00")</f>
        <v>21</v>
      </c>
      <c r="C22" s="10">
        <v>17</v>
      </c>
      <c r="D22" s="24">
        <v>165</v>
      </c>
      <c r="E22" s="24">
        <v>38</v>
      </c>
      <c r="F22" s="25">
        <v>37</v>
      </c>
      <c r="G22" s="4"/>
      <c r="H22" s="43" t="s">
        <v>168</v>
      </c>
      <c r="I22" s="7" t="str">
        <f t="shared" si="0"/>
        <v>57</v>
      </c>
      <c r="J22" s="17">
        <v>12</v>
      </c>
      <c r="K22" s="18">
        <v>55</v>
      </c>
      <c r="L22" s="18">
        <v>31</v>
      </c>
      <c r="M22" s="29">
        <v>31</v>
      </c>
      <c r="T22">
        <v>16</v>
      </c>
      <c r="U22" s="44" t="s">
        <v>203</v>
      </c>
    </row>
    <row r="23" spans="1:25" ht="15" x14ac:dyDescent="0.15">
      <c r="A23" s="43" t="s">
        <v>133</v>
      </c>
      <c r="B23" s="6" t="str">
        <f>TEXT(MID(Table189675[[#This Row],[IP]],LEN(Table189675[[#This Row],[IP]])-1,1)+(--MID(Table189675[[#This Row],[IP]],8,1)-1)*9,"00")</f>
        <v>22</v>
      </c>
      <c r="C23" s="10">
        <v>17</v>
      </c>
      <c r="D23" s="24">
        <v>165</v>
      </c>
      <c r="E23" s="24">
        <v>38</v>
      </c>
      <c r="F23" s="25">
        <v>38</v>
      </c>
      <c r="G23" s="4"/>
      <c r="H23" s="43" t="s">
        <v>169</v>
      </c>
      <c r="I23" s="7" t="str">
        <f t="shared" si="0"/>
        <v>58</v>
      </c>
      <c r="J23" s="15">
        <v>2</v>
      </c>
      <c r="K23" s="16">
        <v>55</v>
      </c>
      <c r="L23" s="16">
        <v>39</v>
      </c>
      <c r="M23" s="28">
        <v>39</v>
      </c>
      <c r="T23">
        <v>17</v>
      </c>
      <c r="U23" s="44" t="s">
        <v>204</v>
      </c>
    </row>
    <row r="24" spans="1:25" ht="15" x14ac:dyDescent="0.15">
      <c r="A24" s="43" t="s">
        <v>134</v>
      </c>
      <c r="B24" s="6" t="str">
        <f>TEXT(MID(Table189675[[#This Row],[IP]],LEN(Table189675[[#This Row],[IP]])-1,1)+(--MID(Table189675[[#This Row],[IP]],8,1)-1)*9,"00")</f>
        <v>23</v>
      </c>
      <c r="C24" s="10">
        <v>17</v>
      </c>
      <c r="D24" s="24">
        <v>165</v>
      </c>
      <c r="E24" s="24">
        <v>39</v>
      </c>
      <c r="F24" s="25">
        <v>38</v>
      </c>
      <c r="G24" s="4"/>
      <c r="H24" s="43" t="s">
        <v>170</v>
      </c>
      <c r="I24" s="7" t="str">
        <f t="shared" si="0"/>
        <v>59</v>
      </c>
      <c r="J24" s="17">
        <v>2</v>
      </c>
      <c r="K24" s="18">
        <v>55</v>
      </c>
      <c r="L24" s="18">
        <v>40</v>
      </c>
      <c r="M24" s="29">
        <v>40</v>
      </c>
    </row>
    <row r="25" spans="1:25" ht="15" x14ac:dyDescent="0.15">
      <c r="A25" s="43" t="s">
        <v>135</v>
      </c>
      <c r="B25" s="6" t="str">
        <f>TEXT(MID(Table189675[[#This Row],[IP]],LEN(Table189675[[#This Row],[IP]])-1,1)+(--MID(Table189675[[#This Row],[IP]],8,1)-1)*9,"00")</f>
        <v>24</v>
      </c>
      <c r="C25" s="10">
        <v>17</v>
      </c>
      <c r="D25" s="24">
        <v>165</v>
      </c>
      <c r="E25" s="24">
        <v>39</v>
      </c>
      <c r="F25" s="25">
        <v>38</v>
      </c>
      <c r="G25" s="4"/>
      <c r="H25" s="43" t="s">
        <v>171</v>
      </c>
      <c r="I25" s="7" t="str">
        <f t="shared" si="0"/>
        <v>60</v>
      </c>
      <c r="J25" s="15">
        <v>2</v>
      </c>
      <c r="K25" s="16">
        <v>55</v>
      </c>
      <c r="L25" s="16">
        <v>39</v>
      </c>
      <c r="M25" s="28">
        <v>39</v>
      </c>
    </row>
    <row r="26" spans="1:25" ht="15" x14ac:dyDescent="0.15">
      <c r="A26" s="43" t="s">
        <v>136</v>
      </c>
      <c r="B26" s="6" t="str">
        <f>TEXT(MID(Table189675[[#This Row],[IP]],LEN(Table189675[[#This Row],[IP]])-1,1)+(--MID(Table189675[[#This Row],[IP]],8,1)-1)*9,"00")</f>
        <v>25</v>
      </c>
      <c r="C26" s="10">
        <v>17</v>
      </c>
      <c r="D26" s="24">
        <v>165</v>
      </c>
      <c r="E26" s="24">
        <v>38</v>
      </c>
      <c r="F26" s="25">
        <v>37</v>
      </c>
      <c r="G26" s="4"/>
      <c r="H26" s="43" t="s">
        <v>172</v>
      </c>
      <c r="I26" s="7" t="str">
        <f t="shared" si="0"/>
        <v>61</v>
      </c>
      <c r="J26" s="17">
        <v>2</v>
      </c>
      <c r="K26" s="18">
        <v>55</v>
      </c>
      <c r="L26" s="18">
        <v>40</v>
      </c>
      <c r="M26" s="29">
        <v>39</v>
      </c>
      <c r="P26" s="32"/>
    </row>
    <row r="27" spans="1:25" ht="15" x14ac:dyDescent="0.15">
      <c r="A27" s="43" t="s">
        <v>137</v>
      </c>
      <c r="B27" s="6" t="str">
        <f>TEXT(MID(Table189675[[#This Row],[IP]],LEN(Table189675[[#This Row],[IP]])-1,1)+(--MID(Table189675[[#This Row],[IP]],8,1)-1)*9,"00")</f>
        <v>26</v>
      </c>
      <c r="C27" s="10">
        <v>17</v>
      </c>
      <c r="D27" s="24">
        <v>165</v>
      </c>
      <c r="E27" s="24">
        <v>38</v>
      </c>
      <c r="F27" s="25">
        <v>38</v>
      </c>
      <c r="G27" s="4"/>
      <c r="H27" s="43" t="s">
        <v>173</v>
      </c>
      <c r="I27" s="7" t="str">
        <f t="shared" si="0"/>
        <v>62</v>
      </c>
      <c r="J27" s="15">
        <v>2</v>
      </c>
      <c r="K27" s="16">
        <v>55</v>
      </c>
      <c r="L27" s="16">
        <v>40</v>
      </c>
      <c r="M27" s="28">
        <v>39</v>
      </c>
    </row>
    <row r="28" spans="1:25" ht="15.75" thickBot="1" x14ac:dyDescent="0.2">
      <c r="A28" s="43" t="s">
        <v>138</v>
      </c>
      <c r="B28" s="6" t="str">
        <f>TEXT(MID(Table189675[[#This Row],[IP]],LEN(Table189675[[#This Row],[IP]])-1,1)+(--MID(Table189675[[#This Row],[IP]],8,1)-1)*9,"00")</f>
        <v>27</v>
      </c>
      <c r="C28" s="11">
        <v>17</v>
      </c>
      <c r="D28" s="12">
        <v>165</v>
      </c>
      <c r="E28" s="12">
        <v>38</v>
      </c>
      <c r="F28" s="26">
        <v>38</v>
      </c>
      <c r="G28" s="4"/>
      <c r="H28" s="43" t="s">
        <v>174</v>
      </c>
      <c r="I28" s="7" t="str">
        <f t="shared" si="0"/>
        <v>63</v>
      </c>
      <c r="J28" s="33">
        <v>2</v>
      </c>
      <c r="K28" s="34">
        <v>35</v>
      </c>
      <c r="L28" s="34">
        <v>39</v>
      </c>
      <c r="M28" s="35">
        <v>38</v>
      </c>
    </row>
    <row r="29" spans="1:25" ht="15" x14ac:dyDescent="0.15">
      <c r="A29" s="43" t="s">
        <v>139</v>
      </c>
      <c r="B29" s="6" t="str">
        <f>TEXT(MID(Table189675[[#This Row],[IP]],LEN(Table189675[[#This Row],[IP]])-1,1)+(--MID(Table189675[[#This Row],[IP]],8,1)-1)*9,"00")</f>
        <v>28</v>
      </c>
      <c r="C29" s="10">
        <v>17</v>
      </c>
      <c r="D29" s="24">
        <v>4265</v>
      </c>
      <c r="E29" s="24">
        <v>37</v>
      </c>
      <c r="F29" s="25">
        <v>37</v>
      </c>
      <c r="G29" s="4"/>
      <c r="H29" s="43" t="s">
        <v>175</v>
      </c>
      <c r="I29" s="7" t="str">
        <f t="shared" si="0"/>
        <v>64</v>
      </c>
      <c r="J29" s="39">
        <v>17</v>
      </c>
      <c r="K29" s="40">
        <v>165</v>
      </c>
      <c r="L29" s="40">
        <v>38</v>
      </c>
      <c r="M29" s="41">
        <v>37</v>
      </c>
    </row>
    <row r="30" spans="1:25" ht="15" x14ac:dyDescent="0.15">
      <c r="A30" s="43" t="s">
        <v>140</v>
      </c>
      <c r="B30" s="6" t="str">
        <f>TEXT(MID(Table189675[[#This Row],[IP]],LEN(Table189675[[#This Row],[IP]])-1,1)+(--MID(Table189675[[#This Row],[IP]],8,1)-1)*9,"00")</f>
        <v>29</v>
      </c>
      <c r="C30" s="10">
        <v>17</v>
      </c>
      <c r="D30" s="24">
        <v>165</v>
      </c>
      <c r="E30" s="24">
        <v>38</v>
      </c>
      <c r="F30" s="25">
        <v>37</v>
      </c>
      <c r="G30" s="4"/>
      <c r="H30" s="43" t="s">
        <v>176</v>
      </c>
      <c r="I30" s="7" t="str">
        <f t="shared" si="0"/>
        <v>65</v>
      </c>
      <c r="J30" s="17">
        <v>2</v>
      </c>
      <c r="K30" s="18">
        <v>55</v>
      </c>
      <c r="L30" s="18">
        <v>38</v>
      </c>
      <c r="M30" s="29">
        <v>38</v>
      </c>
    </row>
    <row r="31" spans="1:25" ht="15" x14ac:dyDescent="0.15">
      <c r="A31" s="43" t="s">
        <v>141</v>
      </c>
      <c r="B31" s="6" t="str">
        <f>TEXT(MID(Table189675[[#This Row],[IP]],LEN(Table189675[[#This Row],[IP]])-1,1)+(--MID(Table189675[[#This Row],[IP]],8,1)-1)*9,"00")</f>
        <v>30</v>
      </c>
      <c r="C31" s="10">
        <v>17</v>
      </c>
      <c r="D31" s="24">
        <v>165</v>
      </c>
      <c r="E31" s="24">
        <v>38</v>
      </c>
      <c r="F31" s="25">
        <v>38</v>
      </c>
      <c r="G31" s="4"/>
      <c r="H31" s="43" t="s">
        <v>177</v>
      </c>
      <c r="I31" s="7" t="str">
        <f t="shared" si="0"/>
        <v>66</v>
      </c>
      <c r="J31" s="15">
        <v>17</v>
      </c>
      <c r="K31" s="16">
        <v>165</v>
      </c>
      <c r="L31" s="16">
        <v>38</v>
      </c>
      <c r="M31" s="28">
        <v>38</v>
      </c>
    </row>
    <row r="32" spans="1:25" ht="15" x14ac:dyDescent="0.15">
      <c r="A32" s="43" t="s">
        <v>142</v>
      </c>
      <c r="B32" s="6" t="str">
        <f>TEXT(MID(Table189675[[#This Row],[IP]],LEN(Table189675[[#This Row],[IP]])-1,1)+(--MID(Table189675[[#This Row],[IP]],8,1)-1)*9,"00")</f>
        <v>31</v>
      </c>
      <c r="C32" s="10">
        <v>17</v>
      </c>
      <c r="D32" s="24">
        <v>165</v>
      </c>
      <c r="E32" s="24">
        <v>38</v>
      </c>
      <c r="F32" s="25">
        <v>37</v>
      </c>
      <c r="G32" s="4"/>
      <c r="H32" s="43" t="s">
        <v>178</v>
      </c>
      <c r="I32" s="7" t="str">
        <f t="shared" si="0"/>
        <v>67</v>
      </c>
      <c r="J32" s="17">
        <v>17</v>
      </c>
      <c r="K32" s="18">
        <v>165</v>
      </c>
      <c r="L32" s="18">
        <v>38</v>
      </c>
      <c r="M32" s="29">
        <v>38</v>
      </c>
    </row>
    <row r="33" spans="1:13" ht="15" x14ac:dyDescent="0.15">
      <c r="A33" s="43" t="s">
        <v>143</v>
      </c>
      <c r="B33" s="6" t="str">
        <f>TEXT(MID(Table189675[[#This Row],[IP]],LEN(Table189675[[#This Row],[IP]])-1,1)+(--MID(Table189675[[#This Row],[IP]],8,1)-1)*9,"00")</f>
        <v>32</v>
      </c>
      <c r="C33" s="10">
        <v>17</v>
      </c>
      <c r="D33" s="24">
        <v>165</v>
      </c>
      <c r="E33" s="24">
        <v>38</v>
      </c>
      <c r="F33" s="25">
        <v>37</v>
      </c>
      <c r="G33" s="4"/>
      <c r="H33" s="43" t="s">
        <v>179</v>
      </c>
      <c r="I33" s="7" t="str">
        <f t="shared" si="0"/>
        <v>68</v>
      </c>
      <c r="J33" s="15">
        <v>17</v>
      </c>
      <c r="K33" s="16">
        <v>165</v>
      </c>
      <c r="L33" s="16">
        <v>38</v>
      </c>
      <c r="M33" s="28">
        <v>38</v>
      </c>
    </row>
    <row r="34" spans="1:13" ht="15" x14ac:dyDescent="0.15">
      <c r="A34" s="43" t="s">
        <v>144</v>
      </c>
      <c r="B34" s="6" t="str">
        <f>TEXT(MID(Table189675[[#This Row],[IP]],LEN(Table189675[[#This Row],[IP]])-1,1)+(--MID(Table189675[[#This Row],[IP]],8,1)-1)*9,"00")</f>
        <v>33</v>
      </c>
      <c r="C34" s="10">
        <v>17</v>
      </c>
      <c r="D34" s="24">
        <v>165</v>
      </c>
      <c r="E34" s="24">
        <v>38</v>
      </c>
      <c r="F34" s="25">
        <v>38</v>
      </c>
      <c r="G34" s="4"/>
      <c r="H34" s="43" t="s">
        <v>180</v>
      </c>
      <c r="I34" s="7" t="str">
        <f t="shared" si="0"/>
        <v>69</v>
      </c>
      <c r="J34" s="17">
        <v>17</v>
      </c>
      <c r="K34" s="18">
        <v>165</v>
      </c>
      <c r="L34" s="18">
        <v>38</v>
      </c>
      <c r="M34" s="29">
        <v>37</v>
      </c>
    </row>
    <row r="35" spans="1:13" ht="15" x14ac:dyDescent="0.15">
      <c r="A35" s="43" t="s">
        <v>145</v>
      </c>
      <c r="B35" s="6" t="str">
        <f>TEXT(MID(Table189675[[#This Row],[IP]],LEN(Table189675[[#This Row],[IP]])-1,1)+(--MID(Table189675[[#This Row],[IP]],8,1)-1)*9,"00")</f>
        <v>34</v>
      </c>
      <c r="C35" s="10">
        <v>17</v>
      </c>
      <c r="D35" s="24">
        <v>165</v>
      </c>
      <c r="E35" s="24">
        <v>37</v>
      </c>
      <c r="F35" s="25">
        <v>37</v>
      </c>
      <c r="G35" s="4"/>
      <c r="H35" s="43" t="s">
        <v>181</v>
      </c>
      <c r="I35" s="7" t="str">
        <f t="shared" si="0"/>
        <v>70</v>
      </c>
      <c r="J35" s="15">
        <v>17</v>
      </c>
      <c r="K35" s="16">
        <v>165</v>
      </c>
      <c r="L35" s="16">
        <v>38</v>
      </c>
      <c r="M35" s="28">
        <v>37</v>
      </c>
    </row>
    <row r="36" spans="1:13" ht="15" x14ac:dyDescent="0.15">
      <c r="A36" s="43" t="s">
        <v>146</v>
      </c>
      <c r="B36" s="6" t="str">
        <f>TEXT(MID(Table189675[[#This Row],[IP]],LEN(Table189675[[#This Row],[IP]])-1,1)+(--MID(Table189675[[#This Row],[IP]],8,1)-1)*9,"00")</f>
        <v>35</v>
      </c>
      <c r="C36" s="10">
        <v>17</v>
      </c>
      <c r="D36" s="24">
        <v>165</v>
      </c>
      <c r="E36" s="24">
        <v>38</v>
      </c>
      <c r="F36" s="25">
        <v>38</v>
      </c>
      <c r="G36" s="4"/>
      <c r="H36" s="43" t="s">
        <v>182</v>
      </c>
      <c r="I36" s="7" t="str">
        <f t="shared" si="0"/>
        <v>71</v>
      </c>
      <c r="J36" s="17">
        <v>17</v>
      </c>
      <c r="K36" s="18">
        <v>165</v>
      </c>
      <c r="L36" s="18">
        <v>37</v>
      </c>
      <c r="M36" s="29">
        <v>37</v>
      </c>
    </row>
    <row r="37" spans="1:13" ht="15.75" thickBot="1" x14ac:dyDescent="0.2">
      <c r="A37" s="43" t="s">
        <v>147</v>
      </c>
      <c r="B37" s="6" t="str">
        <f>TEXT(MID(Table189675[[#This Row],[IP]],LEN(Table189675[[#This Row],[IP]])-1,1)+(--MID(Table189675[[#This Row],[IP]],8,1)-1)*9,"00")</f>
        <v>36</v>
      </c>
      <c r="C37" s="11">
        <v>17</v>
      </c>
      <c r="D37" s="12">
        <v>165</v>
      </c>
      <c r="E37" s="12">
        <v>39</v>
      </c>
      <c r="F37" s="26">
        <v>37</v>
      </c>
      <c r="G37" s="4"/>
      <c r="H37" s="43" t="s">
        <v>183</v>
      </c>
      <c r="I37" s="7" t="str">
        <f t="shared" si="0"/>
        <v>72</v>
      </c>
      <c r="J37" s="19">
        <v>17</v>
      </c>
      <c r="K37" s="20">
        <v>165</v>
      </c>
      <c r="L37" s="20">
        <v>38</v>
      </c>
      <c r="M37" s="30">
        <v>37</v>
      </c>
    </row>
  </sheetData>
  <conditionalFormatting sqref="C2:F37 J2:M3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disablePrompts="1" count="2">
    <dataValidation type="list" allowBlank="1" showInputMessage="1" showErrorMessage="1" sqref="N2" xr:uid="{8FEFC01C-F8C4-482A-AB98-51BC8D0B8D18}">
      <formula1>"Y,N"</formula1>
    </dataValidation>
    <dataValidation type="list" allowBlank="1" showInputMessage="1" sqref="P1" xr:uid="{A3432295-8AA2-4612-A519-F2B3A02BDFB3}">
      <formula1>$T$6:$T$24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ReadBCI">
                <anchor>
                  <from>
                    <xdr:col>20</xdr:col>
                    <xdr:colOff>276225</xdr:colOff>
                    <xdr:row>1</xdr:row>
                    <xdr:rowOff>57150</xdr:rowOff>
                  </from>
                  <to>
                    <xdr:col>20</xdr:col>
                    <xdr:colOff>1152525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ReadBCI-BMS</vt:lpstr>
      <vt:lpstr>MOD STATUS</vt:lpstr>
      <vt:lpstr>LAST EVENTS 1&amp;2</vt:lpstr>
      <vt:lpstr>LAST EVENTS 3&amp;4</vt:lpstr>
      <vt:lpstr>MOD PCB 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玮 王</dc:creator>
  <cp:lastModifiedBy>玮 王</cp:lastModifiedBy>
  <cp:lastPrinted>2024-07-18T07:37:16Z</cp:lastPrinted>
  <dcterms:created xsi:type="dcterms:W3CDTF">2024-07-04T13:48:16Z</dcterms:created>
  <dcterms:modified xsi:type="dcterms:W3CDTF">2025-10-08T09:23:53Z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2934d72-6607-4618-be93-628e204d1dcb_Enabled">
    <vt:lpwstr>true</vt:lpwstr>
  </property>
  <property fmtid="{D5CDD505-2E9C-101B-9397-08002B2CF9AE}" pid="3" name="MSIP_Label_02934d72-6607-4618-be93-628e204d1dcb_SetDate">
    <vt:lpwstr>2025-07-08T06:15:58Z</vt:lpwstr>
  </property>
  <property fmtid="{D5CDD505-2E9C-101B-9397-08002B2CF9AE}" pid="4" name="MSIP_Label_02934d72-6607-4618-be93-628e204d1dcb_Method">
    <vt:lpwstr>Standard</vt:lpwstr>
  </property>
  <property fmtid="{D5CDD505-2E9C-101B-9397-08002B2CF9AE}" pid="5" name="MSIP_Label_02934d72-6607-4618-be93-628e204d1dcb_Name">
    <vt:lpwstr>USO INTERNO</vt:lpwstr>
  </property>
  <property fmtid="{D5CDD505-2E9C-101B-9397-08002B2CF9AE}" pid="6" name="MSIP_Label_02934d72-6607-4618-be93-628e204d1dcb_SiteId">
    <vt:lpwstr>62aa5f2b-2665-4315-a4cd-f17cdc3c8058</vt:lpwstr>
  </property>
  <property fmtid="{D5CDD505-2E9C-101B-9397-08002B2CF9AE}" pid="7" name="MSIP_Label_02934d72-6607-4618-be93-628e204d1dcb_ActionId">
    <vt:lpwstr>00029746-ca99-4c1f-975f-468e69af435b</vt:lpwstr>
  </property>
  <property fmtid="{D5CDD505-2E9C-101B-9397-08002B2CF9AE}" pid="8" name="MSIP_Label_02934d72-6607-4618-be93-628e204d1dcb_ContentBits">
    <vt:lpwstr>0</vt:lpwstr>
  </property>
  <property fmtid="{D5CDD505-2E9C-101B-9397-08002B2CF9AE}" pid="9" name="MSIP_Label_02934d72-6607-4618-be93-628e204d1dcb_Tag">
    <vt:lpwstr>10, 3, 0, 1</vt:lpwstr>
  </property>
</Properties>
</file>