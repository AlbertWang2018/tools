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DB9FBDF5-CFC0-465F-9C79-31736B8E5C59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集成工具" sheetId="1" r:id="rId1"/>
    <sheet name="批量读ETH" sheetId="2" r:id="rId2"/>
    <sheet name="批量读BCI" sheetId="3" r:id="rId3"/>
    <sheet name="批量读-测试" sheetId="4" r:id="rId4"/>
    <sheet name="批量读SOC" sheetId="5" r:id="rId5"/>
  </sheets>
  <functionGroups builtInGroupCount="19"/>
  <definedNames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5" l="1"/>
  <c r="H2" i="5"/>
  <c r="I2" i="5"/>
  <c r="J2" i="5"/>
  <c r="M2" i="5"/>
  <c r="N2" i="5"/>
  <c r="O2" i="5"/>
  <c r="L2" i="5"/>
  <c r="G2" i="5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21" i="1"/>
  <c r="A2" i="2"/>
  <c r="B3" i="4" a="1"/>
  <c r="B3" i="4" s="1"/>
  <c r="B4" i="4" a="1"/>
  <c r="B4" i="4" s="1"/>
  <c r="B5" i="4" a="1"/>
  <c r="B5" i="4" s="1"/>
  <c r="B6" i="4" a="1"/>
  <c r="B6" i="4" s="1"/>
  <c r="B7" i="4" a="1"/>
  <c r="B7" i="4" s="1"/>
  <c r="B8" i="4" a="1"/>
  <c r="B8" i="4" s="1"/>
  <c r="B9" i="4" a="1"/>
  <c r="B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G41" i="4" s="1"/>
  <c r="E30" i="4"/>
  <c r="E35" i="4" s="1"/>
  <c r="E29" i="4"/>
  <c r="E34" i="4" s="1"/>
  <c r="E28" i="4"/>
  <c r="E33" i="4" s="1"/>
  <c r="E27" i="4"/>
  <c r="E32" i="4" s="1"/>
  <c r="E26" i="4"/>
  <c r="E31" i="4" s="1"/>
  <c r="B2" i="4" a="1"/>
  <c r="B2" i="4" s="1"/>
  <c r="E21" i="4"/>
  <c r="E22" i="4"/>
  <c r="E23" i="4"/>
  <c r="E24" i="4"/>
  <c r="E25" i="4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G19" i="3"/>
  <c r="B2" i="1"/>
  <c r="J2" i="1" s="1"/>
  <c r="B3" i="1"/>
  <c r="J3" i="1" s="1"/>
  <c r="B4" i="1"/>
  <c r="J4" i="1" s="1"/>
  <c r="A10" i="3"/>
  <c r="A9" i="3"/>
  <c r="A8" i="3"/>
  <c r="A7" i="3"/>
  <c r="A6" i="3"/>
  <c r="A5" i="3"/>
  <c r="A4" i="3"/>
  <c r="A3" i="3"/>
  <c r="A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J1" i="1"/>
  <c r="C18" i="2"/>
  <c r="C19" i="2"/>
  <c r="C21" i="2"/>
  <c r="C26" i="2"/>
  <c r="D1" i="1"/>
  <c r="S1" i="1"/>
  <c r="R1" i="1"/>
  <c r="K1" i="1"/>
  <c r="A4" i="1"/>
  <c r="A3" i="1"/>
  <c r="A2" i="1"/>
  <c r="V10" i="1"/>
  <c r="V11" i="1"/>
  <c r="V12" i="1"/>
  <c r="V9" i="1"/>
  <c r="H17" i="1" a="1"/>
  <c r="H17" i="1" s="1"/>
  <c r="G17" i="1" a="1"/>
  <c r="G17" i="1" s="1"/>
  <c r="F17" i="1" a="1"/>
  <c r="F17" i="1" s="1"/>
  <c r="E17" i="1" a="1"/>
  <c r="E17" i="1" s="1"/>
  <c r="O5" i="1"/>
  <c r="O6" i="1"/>
  <c r="O3" i="1"/>
  <c r="G31" i="1"/>
  <c r="G32" i="1"/>
  <c r="G33" i="1"/>
  <c r="G34" i="1"/>
  <c r="G35" i="1"/>
  <c r="G36" i="1"/>
  <c r="G37" i="1"/>
  <c r="G38" i="1"/>
  <c r="G39" i="1"/>
  <c r="G40" i="1"/>
  <c r="G25" i="1"/>
  <c r="G3" i="1"/>
  <c r="I3" i="1" s="1"/>
  <c r="G22" i="1"/>
  <c r="G23" i="1"/>
  <c r="G24" i="1"/>
  <c r="G26" i="1"/>
  <c r="G27" i="1"/>
  <c r="G28" i="1"/>
  <c r="G29" i="1"/>
  <c r="G30" i="1"/>
  <c r="G21" i="1"/>
  <c r="H11" i="1"/>
  <c r="H9" i="1"/>
  <c r="H6" i="1"/>
  <c r="O4" i="1"/>
  <c r="Q18" i="2" l="1"/>
  <c r="Q19" i="2"/>
  <c r="Q20" i="2"/>
  <c r="Q21" i="2"/>
  <c r="Q26" i="2"/>
  <c r="E40" i="4"/>
  <c r="E39" i="4"/>
  <c r="E38" i="4"/>
  <c r="E37" i="4"/>
  <c r="E36" i="4"/>
  <c r="Q4" i="2"/>
  <c r="C4" i="2"/>
  <c r="Q17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Q9" i="3"/>
  <c r="C9" i="3"/>
  <c r="Q10" i="3"/>
  <c r="C10" i="3"/>
  <c r="C8" i="3"/>
  <c r="Q8" i="3"/>
  <c r="C7" i="3"/>
  <c r="Q7" i="3"/>
  <c r="Q6" i="3"/>
  <c r="C6" i="3"/>
  <c r="C5" i="3"/>
  <c r="Q5" i="3"/>
  <c r="C4" i="3"/>
  <c r="Q4" i="3"/>
  <c r="Q3" i="3"/>
  <c r="C3" i="3"/>
  <c r="Q2" i="3"/>
  <c r="C2" i="3"/>
  <c r="Q16" i="2"/>
  <c r="C16" i="2"/>
  <c r="Q13" i="2"/>
  <c r="C13" i="2"/>
  <c r="Q14" i="2"/>
  <c r="C14" i="2"/>
  <c r="Q15" i="2"/>
  <c r="C15" i="2"/>
  <c r="Q5" i="2"/>
  <c r="C5" i="2"/>
  <c r="Q6" i="2"/>
  <c r="C6" i="2"/>
  <c r="Q7" i="2"/>
  <c r="C7" i="2"/>
  <c r="Q8" i="2"/>
  <c r="C8" i="2"/>
  <c r="Q9" i="2"/>
  <c r="C9" i="2"/>
  <c r="Q10" i="2"/>
  <c r="C10" i="2"/>
  <c r="Q11" i="2"/>
  <c r="C11" i="2"/>
  <c r="Q12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王玮</author>
  </authors>
  <commentList>
    <comment ref="B17" authorId="0" shapeId="0" xr:uid="{559FC1C4-167D-4E6E-B8B2-232D7EE02EFF}">
      <text>
        <r>
          <rPr>
            <b/>
            <sz val="9"/>
            <color indexed="81"/>
            <rFont val="Tahoma"/>
            <family val="2"/>
          </rPr>
          <t>王玮:</t>
        </r>
        <r>
          <rPr>
            <sz val="9"/>
            <color indexed="81"/>
            <rFont val="Tahoma"/>
            <family val="2"/>
          </rPr>
          <t xml:space="preserve">
0 - I &amp; SOC
1- all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<sst xmlns="http://schemas.openxmlformats.org/spreadsheetml/2006/main" count="891" uniqueCount="432">
  <si>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</si>
  <si>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</si>
  <si>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</si>
  <si>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</si>
  <si>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</si>
  <si>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</si>
  <si>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</si>
  <si>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</si>
  <si>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</si>
  <si>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</si>
  <si>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</si>
  <si>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</si>
  <si>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</si>
  <si>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</si>
  <si>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</si>
  <si>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Read Limit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</si>
  <si>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</si>
  <si>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</si>
  <si>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</si>
  <si>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</si>
  <si>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</si>
  <si>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</si>
  <si>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</si>
  <si>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</si>
  <si>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</si>
  <si>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</si>
  <si>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</si>
  <si>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</si>
  <si>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</si>
  <si>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</si>
  <si>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</si>
  <si>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</si>
  <si>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</si>
  <si>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</si>
  <si>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</si>
  <si>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</si>
  <si>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</si>
  <si>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</si>
  <si>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</si>
  <si>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</si>
  <si>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</si>
  <si>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</si>
  <si>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</si>
  <si>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</si>
  <si>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</si>
  <si>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</si>
  <si>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</si>
  <si>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</si>
  <si>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</si>
  <si>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</si>
  <si>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</si>
  <si>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</si>
  <si>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</si>
  <si>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</si>
  <si>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</si>
  <si>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</si>
  <si>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</si>
  <si>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</si>
  <si>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</si>
  <si>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</si>
  <si>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</si>
  <si>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最高最低单体电压</t>
  </si>
  <si>
    <t>16,17</t>
  </si>
  <si>
    <t>bmu和消防告警</t>
  </si>
  <si>
    <t xml:space="preserve"> </t>
  </si>
  <si>
    <t>气溶胶</t>
  </si>
  <si>
    <t>E-stop+气溶胶</t>
  </si>
  <si>
    <t>Reg 16 冷机</t>
  </si>
  <si>
    <t>Reg 17消防</t>
  </si>
  <si>
    <t>隔离开关状态</t>
  </si>
  <si>
    <t>系统状态</t>
  </si>
  <si>
    <t>1正常5故障</t>
  </si>
  <si>
    <t>2禁用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</si>
  <si>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</si>
  <si>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</si>
  <si>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</si>
  <si>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</si>
  <si>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</si>
  <si>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</si>
  <si>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</si>
  <si>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</si>
  <si>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</si>
  <si>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</si>
  <si>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</si>
  <si>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</si>
  <si>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</si>
  <si>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</si>
  <si>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</si>
  <si>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</si>
  <si>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</si>
  <si>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</si>
  <si>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</si>
  <si>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</si>
  <si>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</si>
  <si>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</si>
  <si>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</si>
  <si>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</si>
  <si>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</si>
  <si>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</si>
  <si>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</si>
  <si>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</si>
  <si>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</si>
  <si>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</si>
  <si>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</si>
  <si>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</si>
  <si>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</si>
  <si>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</si>
  <si>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</si>
  <si>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</si>
  <si>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</si>
  <si>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电芯最大压差</t>
  </si>
  <si>
    <t>4告警</t>
  </si>
  <si>
    <t>Value</t>
  </si>
  <si>
    <t>PG</t>
  </si>
  <si>
    <t>Connect fail_x000D_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</si>
  <si>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</si>
  <si>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</si>
  <si>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</si>
  <si>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</si>
  <si>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</si>
  <si>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</si>
  <si>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</si>
  <si>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</si>
  <si>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</si>
  <si>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说明</t>
  </si>
  <si>
    <t>告警</t>
  </si>
  <si>
    <t>状态</t>
  </si>
  <si>
    <t>relay输出电压</t>
  </si>
  <si>
    <t>电流</t>
  </si>
  <si>
    <t>SOC</t>
  </si>
  <si>
    <t>最大单体电压</t>
  </si>
  <si>
    <t>最小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</si>
  <si>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</si>
  <si>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</si>
  <si>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</si>
  <si>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</si>
  <si>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</si>
  <si>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</si>
  <si>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</si>
  <si>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</si>
  <si>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</si>
  <si>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</si>
  <si>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</si>
  <si>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7c0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</si>
  <si>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</si>
  <si>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</si>
  <si>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</si>
  <si>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</si>
  <si>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</si>
  <si>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</si>
  <si>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</si>
  <si>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</si>
  <si>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</si>
  <si>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</si>
  <si>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</si>
  <si>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</si>
  <si>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</si>
  <si>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</si>
  <si>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</si>
  <si>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</si>
  <si>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</si>
  <si>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</si>
  <si>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</si>
  <si>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</si>
  <si>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</si>
  <si>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before</t>
  </si>
  <si>
    <t>Delta</t>
  </si>
  <si>
    <t>10.238.7.86</t>
  </si>
  <si>
    <t>no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</si>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</sst>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/yyyy\ h:mm:ss"/>
  </numFmts>
  <fonts count="21" x14ac:knownFonts="1">
    <font>
      <sz val="11"/>
      <color theme="1"/>
      <name val="Aptos Narrow"/>
      <family val="2"/>
      <charset val="134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20"/>
      <color theme="1"/>
      <name val="Arial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75">
    <xf numFmtId="0" fontId="0" fillId="0" borderId="0" xfId="0">
      <alignment vertical="center"/>
    </xf>
    <xf numFmtId="0" fontId="8" fillId="6" borderId="10" xfId="0" applyFont="1" applyFill="1" applyBorder="1">
      <alignment vertical="center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>
      <alignment vertical="center"/>
    </xf>
    <xf numFmtId="0" fontId="9" fillId="7" borderId="10" xfId="0" applyFont="1" applyFill="1" applyBorder="1">
      <alignment vertical="center"/>
    </xf>
    <xf numFmtId="164" fontId="9" fillId="7" borderId="11" xfId="0" applyNumberFormat="1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0" borderId="10" xfId="0" applyFont="1" applyBorder="1">
      <alignment vertical="center"/>
    </xf>
    <xf numFmtId="164" fontId="9" fillId="0" borderId="11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9" fillId="0" borderId="1" xfId="0" applyFont="1" applyBorder="1">
      <alignment vertical="center"/>
    </xf>
    <xf numFmtId="164" fontId="9" fillId="0" borderId="2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8" fillId="8" borderId="4" xfId="0" applyFont="1" applyFill="1" applyBorder="1">
      <alignment vertical="center"/>
    </xf>
    <xf numFmtId="0" fontId="8" fillId="8" borderId="5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10" fillId="0" borderId="4" xfId="0" applyFont="1" applyBorder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>
      <alignment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11" xfId="0" applyFont="1" applyFill="1" applyBorder="1">
      <alignment vertical="center"/>
    </xf>
    <xf numFmtId="0" fontId="7" fillId="4" borderId="1" xfId="3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right" vertical="center"/>
    </xf>
    <xf numFmtId="0" fontId="12" fillId="5" borderId="0" xfId="2" applyFont="1" applyFill="1" applyBorder="1" applyAlignment="1">
      <alignment vertical="center"/>
    </xf>
    <xf numFmtId="0" fontId="8" fillId="6" borderId="0" xfId="0" applyFont="1" applyFill="1">
      <alignment vertical="center"/>
    </xf>
    <xf numFmtId="165" fontId="0" fillId="0" borderId="0" xfId="0" applyNumberForma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 wrapText="1"/>
    </xf>
    <xf numFmtId="0" fontId="5" fillId="9" borderId="0" xfId="1" applyFill="1" applyAlignment="1" applyProtection="1">
      <alignment vertical="center"/>
      <protection locked="0"/>
    </xf>
    <xf numFmtId="0" fontId="7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9" fillId="2" borderId="12" xfId="0" applyNumberFormat="1" applyFont="1" applyFill="1" applyBorder="1" applyAlignment="1">
      <alignment horizontal="center" vertical="center"/>
    </xf>
    <xf numFmtId="1" fontId="9" fillId="7" borderId="10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" fontId="9" fillId="7" borderId="12" xfId="0" applyNumberFormat="1" applyFont="1" applyFill="1" applyBorder="1">
      <alignment vertical="center"/>
    </xf>
    <xf numFmtId="1" fontId="9" fillId="0" borderId="12" xfId="0" applyNumberFormat="1" applyFont="1" applyBorder="1">
      <alignment vertical="center"/>
    </xf>
    <xf numFmtId="1" fontId="9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6" fillId="6" borderId="10" xfId="0" applyFont="1" applyFill="1" applyBorder="1">
      <alignment vertical="center"/>
    </xf>
    <xf numFmtId="0" fontId="16" fillId="6" borderId="11" xfId="0" applyFont="1" applyFill="1" applyBorder="1">
      <alignment vertical="center"/>
    </xf>
    <xf numFmtId="0" fontId="16" fillId="6" borderId="12" xfId="0" applyFont="1" applyFill="1" applyBorder="1">
      <alignment vertical="center"/>
    </xf>
    <xf numFmtId="0" fontId="16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8" fillId="0" borderId="0" xfId="0" applyFont="1">
      <alignment vertical="center"/>
    </xf>
    <xf numFmtId="0" fontId="9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20" fillId="0" borderId="0" xfId="0" applyFont="1" applyAlignment="1"/>
    <xf numFmtId="0" fontId="20" fillId="0" borderId="0" xfId="0" applyFont="1" applyAlignment="1">
      <alignment horizontal="center"/>
    </xf>
    <xf numFmtId="0" fontId="19" fillId="0" borderId="0" xfId="0" applyFont="1" applyAlignment="1"/>
    <xf numFmtId="0" fontId="19" fillId="0" borderId="0" xfId="0" applyFont="1" applyAlignment="1">
      <alignment horizontal="center"/>
    </xf>
    <xf numFmtId="0" fontId="19" fillId="0" borderId="0" xfId="0" quotePrefix="1" applyFont="1" applyAlignment="1"/>
    <xf numFmtId="0" fontId="20" fillId="14" borderId="0" xfId="0" applyFont="1" applyFill="1" applyAlignment="1">
      <alignment horizontal="center"/>
    </xf>
    <xf numFmtId="0" fontId="0" fillId="14" borderId="0" xfId="0" applyFill="1">
      <alignment vertical="center"/>
    </xf>
    <xf numFmtId="166" fontId="0" fillId="0" borderId="0" xfId="0" applyNumberFormat="1" applyAlignment="1">
      <alignment vertical="center" wrapText="1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9"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集成工具!$C$20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集成工具!$C$21:$C$40</c:f>
              <c:numCache>
                <c:formatCode>0.0</c:formatCode>
                <c:ptCount val="20"/>
                <c:pt idx="0">
                  <c:v>35.9</c:v>
                </c:pt>
                <c:pt idx="1">
                  <c:v>36.700000000000003</c:v>
                </c:pt>
                <c:pt idx="2">
                  <c:v>30.5</c:v>
                </c:pt>
                <c:pt idx="3">
                  <c:v>35.6</c:v>
                </c:pt>
                <c:pt idx="4">
                  <c:v>30.6</c:v>
                </c:pt>
                <c:pt idx="5">
                  <c:v>54.9</c:v>
                </c:pt>
                <c:pt idx="6">
                  <c:v>53.9</c:v>
                </c:pt>
                <c:pt idx="7">
                  <c:v>54.2</c:v>
                </c:pt>
                <c:pt idx="8">
                  <c:v>53.7</c:v>
                </c:pt>
                <c:pt idx="9">
                  <c:v>58.8</c:v>
                </c:pt>
                <c:pt idx="10">
                  <c:v>53.6</c:v>
                </c:pt>
                <c:pt idx="11">
                  <c:v>52.7</c:v>
                </c:pt>
                <c:pt idx="12">
                  <c:v>54.1</c:v>
                </c:pt>
                <c:pt idx="13">
                  <c:v>58.1</c:v>
                </c:pt>
                <c:pt idx="14">
                  <c:v>58.5</c:v>
                </c:pt>
                <c:pt idx="15">
                  <c:v>32.200000000000003</c:v>
                </c:pt>
                <c:pt idx="16">
                  <c:v>32.1</c:v>
                </c:pt>
                <c:pt idx="17">
                  <c:v>31.9</c:v>
                </c:pt>
                <c:pt idx="18">
                  <c:v>37</c:v>
                </c:pt>
                <c:pt idx="19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集成工具!$B$20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集成工具!$B$21:$B$40</c:f>
              <c:numCache>
                <c:formatCode>0.0</c:formatCode>
                <c:ptCount val="20"/>
                <c:pt idx="0">
                  <c:v>-69.2</c:v>
                </c:pt>
                <c:pt idx="1">
                  <c:v>-67.900000000000006</c:v>
                </c:pt>
                <c:pt idx="2">
                  <c:v>-65.5</c:v>
                </c:pt>
                <c:pt idx="3">
                  <c:v>-67.400000000000006</c:v>
                </c:pt>
                <c:pt idx="4">
                  <c:v>-67.2</c:v>
                </c:pt>
                <c:pt idx="5">
                  <c:v>-65</c:v>
                </c:pt>
                <c:pt idx="6">
                  <c:v>-67.2</c:v>
                </c:pt>
                <c:pt idx="7">
                  <c:v>-67</c:v>
                </c:pt>
                <c:pt idx="8">
                  <c:v>-67.5</c:v>
                </c:pt>
                <c:pt idx="9">
                  <c:v>-66.599999999999994</c:v>
                </c:pt>
                <c:pt idx="10">
                  <c:v>-64.599999999999994</c:v>
                </c:pt>
                <c:pt idx="11">
                  <c:v>-67.599999999999994</c:v>
                </c:pt>
                <c:pt idx="12">
                  <c:v>-67.599999999999994</c:v>
                </c:pt>
                <c:pt idx="13">
                  <c:v>-67</c:v>
                </c:pt>
                <c:pt idx="14">
                  <c:v>-66.599999999999994</c:v>
                </c:pt>
                <c:pt idx="15">
                  <c:v>-68.400000000000006</c:v>
                </c:pt>
                <c:pt idx="16">
                  <c:v>-68.099999999999994</c:v>
                </c:pt>
                <c:pt idx="17">
                  <c:v>-66.5</c:v>
                </c:pt>
                <c:pt idx="18">
                  <c:v>-67.400000000000006</c:v>
                </c:pt>
                <c:pt idx="19">
                  <c:v>-67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</xdr:row>
          <xdr:rowOff>180975</xdr:rowOff>
        </xdr:from>
        <xdr:to>
          <xdr:col>5</xdr:col>
          <xdr:colOff>285750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4</xdr:row>
          <xdr:rowOff>180975</xdr:rowOff>
        </xdr:from>
        <xdr:to>
          <xdr:col>5</xdr:col>
          <xdr:colOff>285750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7</xdr:row>
          <xdr:rowOff>180975</xdr:rowOff>
        </xdr:from>
        <xdr:to>
          <xdr:col>5</xdr:col>
          <xdr:colOff>285750</xdr:colOff>
          <xdr:row>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10</xdr:row>
          <xdr:rowOff>152400</xdr:rowOff>
        </xdr:from>
        <xdr:to>
          <xdr:col>5</xdr:col>
          <xdr:colOff>276225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133350</xdr:colOff>
          <xdr:row>4</xdr:row>
          <xdr:rowOff>95250</xdr:rowOff>
        </xdr:from>
        <xdr:to>
          <xdr:col>16</xdr:col>
          <xdr:colOff>123825</xdr:colOff>
          <xdr:row>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15</xdr:row>
          <xdr:rowOff>161925</xdr:rowOff>
        </xdr:from>
        <xdr:to>
          <xdr:col>3</xdr:col>
          <xdr:colOff>428625</xdr:colOff>
          <xdr:row>17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309561</xdr:colOff>
      <xdr:row>17</xdr:row>
      <xdr:rowOff>171450</xdr:rowOff>
    </xdr:from>
    <xdr:to>
      <xdr:col>18</xdr:col>
      <xdr:colOff>438149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</xdr:row>
          <xdr:rowOff>38100</xdr:rowOff>
        </xdr:from>
        <xdr:to>
          <xdr:col>18</xdr:col>
          <xdr:colOff>438150</xdr:colOff>
          <xdr:row>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476250</xdr:colOff>
          <xdr:row>1</xdr:row>
          <xdr:rowOff>123825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5</xdr:row>
          <xdr:rowOff>161925</xdr:rowOff>
        </xdr:from>
        <xdr:to>
          <xdr:col>6</xdr:col>
          <xdr:colOff>9525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476250</xdr:colOff>
          <xdr:row>1</xdr:row>
          <xdr:rowOff>123825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5</xdr:row>
          <xdr:rowOff>161925</xdr:rowOff>
        </xdr:from>
        <xdr:to>
          <xdr:col>6</xdr:col>
          <xdr:colOff>9525</xdr:colOff>
          <xdr:row>8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666750</xdr:colOff>
          <xdr:row>2</xdr:row>
          <xdr:rowOff>104775</xdr:rowOff>
        </xdr:from>
        <xdr:to>
          <xdr:col>20</xdr:col>
          <xdr:colOff>190500</xdr:colOff>
          <xdr:row>4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Connect fail</v>
    <v>2</v>
    <v>5</v>
    <v>5</v>
  </rv>
</rvData>
</file>

<file path=xl/richData/rdrichvaluestructure.xml><?xml version="1.0" encoding="utf-8"?>
<rvStructures xmlns="http://schemas.microsoft.com/office/spreadsheetml/2017/richdata" count="1">
  <s t="_error">
    <k n="argument" t="s"/>
    <k n="errorType" t="i"/>
    <k n="ptg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5"/>
    <tableColumn id="4" xr3:uid="{A2B1FA6A-B545-420E-A549-FC37C36A5448}" name="PI" dataDxfId="4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EE1981-E832-4387-A247-D554F71FAB0E}" name="Table13" displayName="Table13" ref="A1:C10" totalsRowShown="0">
  <autoFilter ref="A1:C10" xr:uid="{6BF01A80-F4C1-4B54-9E66-CB02343A45E2}"/>
  <tableColumns count="3">
    <tableColumn id="1" xr3:uid="{927A67EF-A808-494C-999C-00253D44E807}" name="IP">
      <calculatedColumnFormula>SUBSTITUTE(O2,".8.","."&amp;$K$1&amp;".")</calculatedColumnFormula>
    </tableColumn>
    <tableColumn id="2" xr3:uid="{4FFB78B3-20C3-448D-A6D0-EA06C1F7B2C6}" name="Value" dataDxfId="2"/>
    <tableColumn id="4" xr3:uid="{396C83C6-4F9D-400D-9B36-98BA6608ABB5}" name="PI" dataDxfId="1">
      <calculatedColumnFormula>MID(Table13[[#This Row],[IP]],LEN(Table13[[#This Row],[IP]])-1,1)+(--MID(Table13[[#This Row],[IP]],8,1)-1)*9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B41" totalsRowShown="0">
  <autoFilter ref="A1:B41" xr:uid="{6BF01A80-F4C1-4B54-9E66-CB02343A45E2}"/>
  <tableColumns count="2">
    <tableColumn id="1" xr3:uid="{FCD3BE6D-E329-4356-9875-78E237BAA940}" name="IP"/>
    <tableColumn id="2" xr3:uid="{518E3209-C8C1-4828-A9B2-E04B105710F3}" name="Value" dataDxfId="0">
      <calculatedColumnFormula array="1">ReadRegf(Table14[[#This Row],[IP]],E2)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tabSelected="1" workbookViewId="0">
      <selection activeCell="B2" sqref="B2"/>
    </sheetView>
  </sheetViews>
  <sheetFormatPr defaultRowHeight="13.5" x14ac:dyDescent="0.1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20.125" bestFit="1" customWidth="1"/>
    <col min="14" max="14" width="11.5" customWidth="1"/>
    <col min="15" max="15" width="12.375" customWidth="1"/>
    <col min="16" max="16" width="11.875" bestFit="1" customWidth="1"/>
  </cols>
  <sheetData>
    <row r="1" spans="1:22" ht="25.5" x14ac:dyDescent="0.15">
      <c r="A1" s="33" t="s">
        <v>13</v>
      </c>
      <c r="B1" s="38" t="s">
        <v>326</v>
      </c>
      <c r="C1" s="32" t="s">
        <v>34</v>
      </c>
      <c r="D1" s="31">
        <f>(MID(B1,8,1)-1)*9+QUOTIENT(RIGHT(B1,2),10)</f>
        <v>37</v>
      </c>
      <c r="J1" t="str">
        <f>VLOOKUP(--RIGHT(B1,1),{9,"A";8,"B";7,"C";6,"D"},2,0)</f>
        <v>D</v>
      </c>
      <c r="K1" s="74">
        <f ca="1">NOW()</f>
        <v>45620.270752662036</v>
      </c>
      <c r="M1">
        <v>32</v>
      </c>
      <c r="N1">
        <v>33</v>
      </c>
      <c r="R1">
        <f t="shared" ref="R1:R4" si="0">(MID(B1,8,1)-1)*9+QUOTIENT(RIGHT(B1,2),10)</f>
        <v>37</v>
      </c>
      <c r="S1" t="str">
        <f>VLOOKUP(--RIGHT(B1,1),{9,"A";8,"B";7,"C";6,"D"},2,0)</f>
        <v>D</v>
      </c>
    </row>
    <row r="2" spans="1:22" ht="15" x14ac:dyDescent="0.15">
      <c r="A2" s="56" t="str">
        <f>REPLACE($B$1,LEN($B$1),1,"7")</f>
        <v>10.238.5.17</v>
      </c>
      <c r="B2" s="56" t="str">
        <f>REPLACE($B$1,LEN($B$1),1,"7")</f>
        <v>10.238.5.17</v>
      </c>
      <c r="G2" s="22" t="s">
        <v>11</v>
      </c>
      <c r="H2" s="23" t="s">
        <v>14</v>
      </c>
      <c r="I2" s="24" t="s">
        <v>12</v>
      </c>
      <c r="J2" t="str">
        <f>VLOOKUP(--RIGHT(B2,1),{9,"A";8,"B";7,"C";6,"D"},2,0)</f>
        <v>C</v>
      </c>
      <c r="M2" s="1" t="s">
        <v>6</v>
      </c>
      <c r="N2" s="27" t="s">
        <v>7</v>
      </c>
      <c r="O2" s="2" t="s">
        <v>8</v>
      </c>
      <c r="P2" s="3" t="s">
        <v>29</v>
      </c>
      <c r="R2">
        <f t="shared" si="0"/>
        <v>37</v>
      </c>
      <c r="S2" t="str">
        <f>VLOOKUP(--RIGHT(B2,1),{9,"A";8,"B";7,"C";6,"D"},2,0)</f>
        <v>C</v>
      </c>
    </row>
    <row r="3" spans="1:22" ht="15" x14ac:dyDescent="0.15">
      <c r="A3" s="56" t="str">
        <f>REPLACE($B$1,LEN($B$1),1,"8")</f>
        <v>10.238.5.18</v>
      </c>
      <c r="B3" s="56" t="str">
        <f>REPLACE($B$1,LEN($B$1),1,"8")</f>
        <v>10.238.5.18</v>
      </c>
      <c r="G3" s="39">
        <f>INT(ABS(MAX(D21:D24))-ABS(MIN(B21:B24)))</f>
        <v>223</v>
      </c>
      <c r="H3" s="25">
        <v>9</v>
      </c>
      <c r="I3" s="26">
        <f>G3*H3*1.4</f>
        <v>2809.7999999999997</v>
      </c>
      <c r="J3" t="str">
        <f>VLOOKUP(--RIGHT(B3,1),{9,"A";8,"B";7,"C";6,"D"},2,0)</f>
        <v>B</v>
      </c>
      <c r="M3" s="42">
        <v>1387.1</v>
      </c>
      <c r="N3" s="36">
        <v>0</v>
      </c>
      <c r="O3" s="29">
        <f t="shared" ref="O3:O6" si="1">ABS(INT(M3*N3/1000))</f>
        <v>0</v>
      </c>
      <c r="P3" s="41">
        <f>SUM(O3:O6)/1000</f>
        <v>0</v>
      </c>
      <c r="R3">
        <f t="shared" si="0"/>
        <v>37</v>
      </c>
      <c r="S3" t="str">
        <f>VLOOKUP(--RIGHT(B3,1),{9,"A";8,"B";7,"C";6,"D"},2,0)</f>
        <v>B</v>
      </c>
    </row>
    <row r="4" spans="1:22" ht="14.25" x14ac:dyDescent="0.15">
      <c r="A4" s="56" t="str">
        <f>REPLACE($B$1,LEN($B$1),1,"9")</f>
        <v>10.238.5.19</v>
      </c>
      <c r="B4" s="56" t="str">
        <f>REPLACE($B$1,LEN($B$1),1,"9")</f>
        <v>10.238.5.19</v>
      </c>
      <c r="J4" t="str">
        <f>VLOOKUP(--RIGHT(B4,1),{9,"A";8,"B";7,"C";6,"D"},2,0)</f>
        <v>A</v>
      </c>
      <c r="M4" s="43">
        <v>1374.8</v>
      </c>
      <c r="N4" s="37">
        <v>0</v>
      </c>
      <c r="O4" s="29">
        <f t="shared" si="1"/>
        <v>0</v>
      </c>
      <c r="P4" s="30"/>
      <c r="R4">
        <f t="shared" si="0"/>
        <v>37</v>
      </c>
      <c r="S4" t="str">
        <f>VLOOKUP(--RIGHT(B4,1),{9,"A";8,"B";7,"C";6,"D"},2,0)</f>
        <v>A</v>
      </c>
    </row>
    <row r="5" spans="1:22" ht="15" x14ac:dyDescent="0.15">
      <c r="G5" s="22" t="s">
        <v>31</v>
      </c>
      <c r="H5" s="23" t="s">
        <v>7</v>
      </c>
      <c r="M5" s="42">
        <v>1374.5</v>
      </c>
      <c r="N5" s="36">
        <v>0</v>
      </c>
      <c r="O5" s="29">
        <f t="shared" si="1"/>
        <v>0</v>
      </c>
    </row>
    <row r="6" spans="1:22" ht="15" x14ac:dyDescent="0.15">
      <c r="A6" s="13" t="s">
        <v>0</v>
      </c>
      <c r="B6" s="14" t="s">
        <v>1</v>
      </c>
      <c r="C6" s="15" t="s">
        <v>18</v>
      </c>
      <c r="G6" s="39">
        <v>18031</v>
      </c>
      <c r="H6" s="25">
        <f>(G6-20000)/10</f>
        <v>-196.9</v>
      </c>
      <c r="M6" s="43">
        <v>0</v>
      </c>
      <c r="N6" s="37">
        <v>0</v>
      </c>
      <c r="O6" s="29">
        <f t="shared" si="1"/>
        <v>0</v>
      </c>
    </row>
    <row r="7" spans="1:22" ht="15" x14ac:dyDescent="0.15">
      <c r="A7" s="16">
        <v>896</v>
      </c>
      <c r="B7" s="17" t="s">
        <v>5</v>
      </c>
      <c r="C7" s="18" t="s">
        <v>2</v>
      </c>
    </row>
    <row r="8" spans="1:22" ht="15" x14ac:dyDescent="0.15">
      <c r="A8" s="16">
        <v>897</v>
      </c>
      <c r="B8" s="17" t="s">
        <v>17</v>
      </c>
      <c r="C8" s="18" t="s">
        <v>3</v>
      </c>
      <c r="G8" s="22" t="s">
        <v>32</v>
      </c>
      <c r="H8" s="23" t="s">
        <v>33</v>
      </c>
      <c r="L8" s="23">
        <v>36</v>
      </c>
      <c r="M8" s="23">
        <v>37</v>
      </c>
      <c r="N8" s="23">
        <v>770</v>
      </c>
      <c r="O8" s="23">
        <v>16</v>
      </c>
      <c r="P8" s="23">
        <v>17</v>
      </c>
      <c r="Q8" s="23">
        <v>907</v>
      </c>
      <c r="R8" s="23">
        <v>34</v>
      </c>
      <c r="V8" t="s">
        <v>110</v>
      </c>
    </row>
    <row r="9" spans="1:22" ht="15" x14ac:dyDescent="0.15">
      <c r="A9" s="16">
        <v>907</v>
      </c>
      <c r="B9" s="17" t="s">
        <v>72</v>
      </c>
      <c r="C9" s="18" t="s">
        <v>73</v>
      </c>
      <c r="G9" s="39" t="s">
        <v>143</v>
      </c>
      <c r="H9" s="25">
        <f>HEX2DEC(G9)</f>
        <v>1984</v>
      </c>
      <c r="L9" s="25">
        <v>331.6</v>
      </c>
      <c r="M9" s="25">
        <v>329.6</v>
      </c>
      <c r="N9" s="25">
        <v>1</v>
      </c>
      <c r="O9" s="25">
        <v>0</v>
      </c>
      <c r="P9">
        <v>0</v>
      </c>
      <c r="Q9">
        <v>2</v>
      </c>
      <c r="R9">
        <v>23</v>
      </c>
      <c r="V9">
        <f>CLEAN(L9)*1-CLEAN(M9)*1</f>
        <v>2</v>
      </c>
    </row>
    <row r="10" spans="1:22" ht="15" x14ac:dyDescent="0.15">
      <c r="A10" s="16">
        <v>908</v>
      </c>
      <c r="B10" s="17" t="s">
        <v>16</v>
      </c>
      <c r="C10" s="18" t="s">
        <v>4</v>
      </c>
      <c r="G10" s="23" t="s">
        <v>33</v>
      </c>
      <c r="H10" s="22" t="s">
        <v>32</v>
      </c>
      <c r="L10" s="25" t="s">
        <v>114</v>
      </c>
      <c r="M10" s="25"/>
      <c r="N10" s="25"/>
      <c r="O10" s="25"/>
      <c r="V10" t="e" vm="1">
        <f>CLEAN(L10)*1-CLEAN(M10)*1</f>
        <v>#VALUE!</v>
      </c>
    </row>
    <row r="11" spans="1:22" ht="15" x14ac:dyDescent="0.15">
      <c r="A11" s="19" t="s">
        <v>60</v>
      </c>
      <c r="B11" s="20"/>
      <c r="C11" s="21" t="s">
        <v>61</v>
      </c>
      <c r="G11" s="39">
        <v>1057</v>
      </c>
      <c r="H11" s="25" t="str">
        <f>DEC2HEX(G11)</f>
        <v>421</v>
      </c>
      <c r="L11" s="25" t="s">
        <v>114</v>
      </c>
      <c r="M11" s="25"/>
      <c r="N11" s="25"/>
      <c r="O11" s="25"/>
      <c r="V11" t="e" vm="1">
        <f>CLEAN(L11)*1-CLEAN(M11)*1</f>
        <v>#VALUE!</v>
      </c>
    </row>
    <row r="12" spans="1:22" ht="15" x14ac:dyDescent="0.15">
      <c r="A12" s="19" t="s">
        <v>62</v>
      </c>
      <c r="B12" s="20"/>
      <c r="C12" s="21" t="s">
        <v>63</v>
      </c>
      <c r="L12" s="25" t="s">
        <v>114</v>
      </c>
      <c r="M12" s="25"/>
      <c r="N12" s="25"/>
      <c r="O12" s="25"/>
      <c r="V12" t="e" vm="1">
        <f>CLEAN(L12)*1-CLEAN(M12)*1</f>
        <v>#VALUE!</v>
      </c>
    </row>
    <row r="13" spans="1:22" ht="15" x14ac:dyDescent="0.15">
      <c r="A13" s="19">
        <v>5</v>
      </c>
      <c r="B13" s="20"/>
      <c r="C13" s="21" t="s">
        <v>69</v>
      </c>
      <c r="L13" t="s">
        <v>64</v>
      </c>
    </row>
    <row r="14" spans="1:22" ht="15" x14ac:dyDescent="0.15">
      <c r="A14" s="19">
        <v>770</v>
      </c>
      <c r="B14" s="20" t="s">
        <v>71</v>
      </c>
      <c r="C14" s="21" t="s">
        <v>70</v>
      </c>
      <c r="D14" t="s">
        <v>111</v>
      </c>
    </row>
    <row r="15" spans="1:22" x14ac:dyDescent="0.15">
      <c r="G15" s="35"/>
    </row>
    <row r="16" spans="1:22" x14ac:dyDescent="0.15">
      <c r="E16" s="50" t="s">
        <v>56</v>
      </c>
      <c r="F16" s="51" t="s">
        <v>57</v>
      </c>
      <c r="G16" s="52" t="s">
        <v>58</v>
      </c>
      <c r="H16" s="53" t="s">
        <v>55</v>
      </c>
    </row>
    <row r="17" spans="1:9" ht="15" x14ac:dyDescent="0.15">
      <c r="A17" s="28" t="s">
        <v>15</v>
      </c>
      <c r="B17" s="25">
        <v>1</v>
      </c>
      <c r="E17" s="47" cm="1">
        <f t="array" ref="E17">MAX(IF(ABS(B21:B40)&gt;1,B21:B40))</f>
        <v>-64.599999999999994</v>
      </c>
      <c r="F17" s="48" cm="1">
        <f t="array" ref="F17">MIN(IF(ABS(B21:B40)&gt;1,B21:B40))</f>
        <v>-69.2</v>
      </c>
      <c r="G17" s="49" cm="1">
        <f t="array" ref="G17">MEDIAN(IF(ABS(B21:B40)&gt;1,B21:B40))</f>
        <v>-67.2</v>
      </c>
      <c r="H17" s="54" cm="1">
        <f t="array" ref="H17">_xlfn.STDEV.P(IF(ABS(B21:B40)&gt;1,B21:B40))</f>
        <v>1.065023473919708</v>
      </c>
    </row>
    <row r="18" spans="1:9" ht="14.25" x14ac:dyDescent="0.15">
      <c r="E18" s="57">
        <f>E17-F17</f>
        <v>4.6000000000000085</v>
      </c>
    </row>
    <row r="20" spans="1:9" ht="15" x14ac:dyDescent="0.15">
      <c r="A20" s="1" t="s">
        <v>37</v>
      </c>
      <c r="B20" s="2" t="s">
        <v>10</v>
      </c>
      <c r="C20" s="2" t="s">
        <v>9</v>
      </c>
      <c r="D20" s="3" t="s">
        <v>30</v>
      </c>
      <c r="E20" s="3" t="s">
        <v>6</v>
      </c>
      <c r="F20" s="34" t="s">
        <v>35</v>
      </c>
      <c r="G20" s="34" t="s">
        <v>36</v>
      </c>
      <c r="H20" s="34" t="s">
        <v>165</v>
      </c>
      <c r="I20" s="34" t="s">
        <v>166</v>
      </c>
    </row>
    <row r="21" spans="1:9" ht="14.25" x14ac:dyDescent="0.15">
      <c r="A21" s="4" t="s">
        <v>19</v>
      </c>
      <c r="B21" s="5">
        <v>-69.2</v>
      </c>
      <c r="C21" s="5">
        <v>35.9</v>
      </c>
      <c r="D21" s="44">
        <v>-292.5</v>
      </c>
      <c r="E21" s="44">
        <v>1392.4</v>
      </c>
      <c r="F21" s="6">
        <v>24</v>
      </c>
      <c r="G21" s="6">
        <f>INT(E21*B21/1000)</f>
        <v>-97</v>
      </c>
      <c r="H21">
        <v>24.6</v>
      </c>
      <c r="I21" s="66">
        <f>C21-H21</f>
        <v>11.299999999999997</v>
      </c>
    </row>
    <row r="22" spans="1:9" ht="14.25" x14ac:dyDescent="0.15">
      <c r="A22" s="7" t="s">
        <v>20</v>
      </c>
      <c r="B22" s="8">
        <v>-67.900000000000006</v>
      </c>
      <c r="C22" s="8">
        <v>36.700000000000003</v>
      </c>
      <c r="D22" s="45">
        <v>-292.8</v>
      </c>
      <c r="E22" s="45">
        <v>1390.6</v>
      </c>
      <c r="F22" s="9">
        <v>23</v>
      </c>
      <c r="G22" s="6">
        <f t="shared" ref="G22:G40" si="2">INT(E22*B22/1000)</f>
        <v>-95</v>
      </c>
      <c r="H22">
        <v>21.7</v>
      </c>
      <c r="I22" s="66">
        <f t="shared" ref="I22:I40" si="3">C22-H22</f>
        <v>15.000000000000004</v>
      </c>
    </row>
    <row r="23" spans="1:9" ht="14.25" x14ac:dyDescent="0.15">
      <c r="A23" s="4" t="s">
        <v>21</v>
      </c>
      <c r="B23" s="5">
        <v>-65.5</v>
      </c>
      <c r="C23" s="5">
        <v>30.5</v>
      </c>
      <c r="D23" s="44">
        <v>-292.5</v>
      </c>
      <c r="E23" s="44">
        <v>1392.3</v>
      </c>
      <c r="F23" s="6">
        <v>23</v>
      </c>
      <c r="G23" s="6">
        <f t="shared" si="2"/>
        <v>-92</v>
      </c>
      <c r="H23">
        <v>21.8</v>
      </c>
      <c r="I23" s="66">
        <f t="shared" si="3"/>
        <v>8.6999999999999993</v>
      </c>
    </row>
    <row r="24" spans="1:9" ht="14.25" x14ac:dyDescent="0.15">
      <c r="A24" s="7" t="s">
        <v>22</v>
      </c>
      <c r="B24" s="8">
        <v>-67.400000000000006</v>
      </c>
      <c r="C24" s="8">
        <v>35.6</v>
      </c>
      <c r="D24" s="45">
        <v>-292.7</v>
      </c>
      <c r="E24" s="45">
        <v>1391.3</v>
      </c>
      <c r="F24" s="9">
        <v>23</v>
      </c>
      <c r="G24" s="6">
        <f t="shared" si="2"/>
        <v>-94</v>
      </c>
      <c r="H24">
        <v>21.8</v>
      </c>
      <c r="I24" s="66">
        <f t="shared" si="3"/>
        <v>13.8</v>
      </c>
    </row>
    <row r="25" spans="1:9" ht="14.25" x14ac:dyDescent="0.15">
      <c r="A25" s="4" t="s">
        <v>23</v>
      </c>
      <c r="B25" s="5">
        <v>-67.2</v>
      </c>
      <c r="C25" s="5">
        <v>30.6</v>
      </c>
      <c r="D25" s="44">
        <v>-292.5</v>
      </c>
      <c r="E25" s="44">
        <v>1392.2</v>
      </c>
      <c r="F25" s="6">
        <v>23</v>
      </c>
      <c r="G25" s="6">
        <f t="shared" si="2"/>
        <v>-94</v>
      </c>
      <c r="H25">
        <v>24.6</v>
      </c>
      <c r="I25" s="66">
        <f t="shared" si="3"/>
        <v>6</v>
      </c>
    </row>
    <row r="26" spans="1:9" ht="14.25" x14ac:dyDescent="0.15">
      <c r="A26" s="7" t="s">
        <v>24</v>
      </c>
      <c r="B26" s="8">
        <v>-65</v>
      </c>
      <c r="C26" s="8">
        <v>54.9</v>
      </c>
      <c r="D26" s="45">
        <v>-291.10000000000002</v>
      </c>
      <c r="E26" s="45">
        <v>1399.1</v>
      </c>
      <c r="F26" s="9">
        <v>23</v>
      </c>
      <c r="G26" s="6">
        <f t="shared" si="2"/>
        <v>-91</v>
      </c>
      <c r="H26">
        <v>21.5</v>
      </c>
      <c r="I26" s="66">
        <f t="shared" si="3"/>
        <v>33.4</v>
      </c>
    </row>
    <row r="27" spans="1:9" ht="14.25" x14ac:dyDescent="0.15">
      <c r="A27" s="4" t="s">
        <v>25</v>
      </c>
      <c r="B27" s="5">
        <v>-67.2</v>
      </c>
      <c r="C27" s="5">
        <v>53.9</v>
      </c>
      <c r="D27" s="44">
        <v>-291.10000000000002</v>
      </c>
      <c r="E27" s="44">
        <v>1398.7</v>
      </c>
      <c r="F27" s="6">
        <v>23</v>
      </c>
      <c r="G27" s="6">
        <f t="shared" si="2"/>
        <v>-94</v>
      </c>
      <c r="H27">
        <v>21.4</v>
      </c>
      <c r="I27" s="66">
        <f t="shared" si="3"/>
        <v>32.5</v>
      </c>
    </row>
    <row r="28" spans="1:9" ht="14.25" x14ac:dyDescent="0.15">
      <c r="A28" s="7" t="s">
        <v>26</v>
      </c>
      <c r="B28" s="8">
        <v>-67</v>
      </c>
      <c r="C28" s="8">
        <v>54.2</v>
      </c>
      <c r="D28" s="45">
        <v>-291.10000000000002</v>
      </c>
      <c r="E28" s="45">
        <v>1398.9</v>
      </c>
      <c r="F28" s="9">
        <v>23</v>
      </c>
      <c r="G28" s="6">
        <f t="shared" si="2"/>
        <v>-94</v>
      </c>
      <c r="H28">
        <v>21.4</v>
      </c>
      <c r="I28" s="66">
        <f t="shared" si="3"/>
        <v>32.800000000000004</v>
      </c>
    </row>
    <row r="29" spans="1:9" ht="14.25" x14ac:dyDescent="0.15">
      <c r="A29" s="4" t="s">
        <v>27</v>
      </c>
      <c r="B29" s="5">
        <v>-67.5</v>
      </c>
      <c r="C29" s="5">
        <v>53.7</v>
      </c>
      <c r="D29" s="44">
        <v>-291</v>
      </c>
      <c r="E29" s="44">
        <v>1399.5</v>
      </c>
      <c r="F29" s="6">
        <v>23</v>
      </c>
      <c r="G29" s="6">
        <f t="shared" si="2"/>
        <v>-95</v>
      </c>
      <c r="H29">
        <v>21.2</v>
      </c>
      <c r="I29" s="66">
        <f t="shared" si="3"/>
        <v>32.5</v>
      </c>
    </row>
    <row r="30" spans="1:9" ht="14.25" x14ac:dyDescent="0.15">
      <c r="A30" s="10" t="s">
        <v>28</v>
      </c>
      <c r="B30" s="11">
        <v>-66.599999999999994</v>
      </c>
      <c r="C30" s="11">
        <v>58.8</v>
      </c>
      <c r="D30" s="46">
        <v>-291.10000000000002</v>
      </c>
      <c r="E30" s="46">
        <v>1398.8</v>
      </c>
      <c r="F30" s="12">
        <v>23</v>
      </c>
      <c r="G30" s="6">
        <f t="shared" si="2"/>
        <v>-94</v>
      </c>
      <c r="H30">
        <v>21.3</v>
      </c>
      <c r="I30" s="66">
        <f t="shared" si="3"/>
        <v>37.5</v>
      </c>
    </row>
    <row r="31" spans="1:9" ht="14.25" x14ac:dyDescent="0.15">
      <c r="A31" s="4" t="s">
        <v>40</v>
      </c>
      <c r="B31" s="5">
        <v>-64.599999999999994</v>
      </c>
      <c r="C31" s="5">
        <v>53.6</v>
      </c>
      <c r="D31" s="44">
        <v>-291.3</v>
      </c>
      <c r="E31" s="44">
        <v>1398.1</v>
      </c>
      <c r="F31" s="6">
        <v>22</v>
      </c>
      <c r="G31" s="6">
        <f t="shared" si="2"/>
        <v>-91</v>
      </c>
      <c r="H31">
        <v>20.399999999999999</v>
      </c>
      <c r="I31" s="66">
        <f t="shared" si="3"/>
        <v>33.200000000000003</v>
      </c>
    </row>
    <row r="32" spans="1:9" ht="14.25" x14ac:dyDescent="0.15">
      <c r="A32" s="10" t="s">
        <v>41</v>
      </c>
      <c r="B32" s="11">
        <v>-67.599999999999994</v>
      </c>
      <c r="C32" s="11">
        <v>52.7</v>
      </c>
      <c r="D32" s="46">
        <v>-291</v>
      </c>
      <c r="E32" s="46">
        <v>1399.2</v>
      </c>
      <c r="F32" s="12">
        <v>22</v>
      </c>
      <c r="G32" s="6">
        <f t="shared" si="2"/>
        <v>-95</v>
      </c>
      <c r="H32">
        <v>21.9</v>
      </c>
      <c r="I32" s="66">
        <f t="shared" si="3"/>
        <v>30.800000000000004</v>
      </c>
    </row>
    <row r="33" spans="1:9" ht="14.25" x14ac:dyDescent="0.15">
      <c r="A33" s="4" t="s">
        <v>42</v>
      </c>
      <c r="B33" s="5">
        <v>-67.599999999999994</v>
      </c>
      <c r="C33" s="5">
        <v>54.1</v>
      </c>
      <c r="D33" s="44">
        <v>-291.2</v>
      </c>
      <c r="E33" s="44">
        <v>1398.4</v>
      </c>
      <c r="F33" s="6">
        <v>24</v>
      </c>
      <c r="G33" s="6">
        <f t="shared" si="2"/>
        <v>-95</v>
      </c>
      <c r="H33">
        <v>20.399999999999999</v>
      </c>
      <c r="I33" s="66">
        <f t="shared" si="3"/>
        <v>33.700000000000003</v>
      </c>
    </row>
    <row r="34" spans="1:9" ht="14.25" x14ac:dyDescent="0.15">
      <c r="A34" s="10" t="s">
        <v>43</v>
      </c>
      <c r="B34" s="11">
        <v>-67</v>
      </c>
      <c r="C34" s="11">
        <v>58.1</v>
      </c>
      <c r="D34" s="46">
        <v>-291.3</v>
      </c>
      <c r="E34" s="46">
        <v>1398</v>
      </c>
      <c r="F34" s="12">
        <v>22</v>
      </c>
      <c r="G34" s="6">
        <f t="shared" si="2"/>
        <v>-94</v>
      </c>
      <c r="H34">
        <v>21.4</v>
      </c>
      <c r="I34" s="66">
        <f t="shared" si="3"/>
        <v>36.700000000000003</v>
      </c>
    </row>
    <row r="35" spans="1:9" ht="14.25" x14ac:dyDescent="0.15">
      <c r="A35" s="4" t="s">
        <v>44</v>
      </c>
      <c r="B35" s="5">
        <v>-66.599999999999994</v>
      </c>
      <c r="C35" s="5">
        <v>58.5</v>
      </c>
      <c r="D35" s="44">
        <v>-291.3</v>
      </c>
      <c r="E35" s="44">
        <v>1398.1</v>
      </c>
      <c r="F35" s="6">
        <v>22</v>
      </c>
      <c r="G35" s="6">
        <f t="shared" si="2"/>
        <v>-94</v>
      </c>
      <c r="H35">
        <v>21.3</v>
      </c>
      <c r="I35" s="66">
        <f t="shared" si="3"/>
        <v>37.200000000000003</v>
      </c>
    </row>
    <row r="36" spans="1:9" ht="14.25" x14ac:dyDescent="0.15">
      <c r="A36" s="10" t="s">
        <v>45</v>
      </c>
      <c r="B36" s="11">
        <v>-68.400000000000006</v>
      </c>
      <c r="C36" s="11">
        <v>32.200000000000003</v>
      </c>
      <c r="D36" s="46">
        <v>-292.5</v>
      </c>
      <c r="E36" s="46">
        <v>1392.3</v>
      </c>
      <c r="F36" s="12">
        <v>23</v>
      </c>
      <c r="G36" s="6">
        <f t="shared" si="2"/>
        <v>-96</v>
      </c>
      <c r="H36">
        <v>22.7</v>
      </c>
      <c r="I36" s="66">
        <f t="shared" si="3"/>
        <v>9.5000000000000036</v>
      </c>
    </row>
    <row r="37" spans="1:9" ht="14.25" x14ac:dyDescent="0.15">
      <c r="A37" s="4" t="s">
        <v>46</v>
      </c>
      <c r="B37" s="5">
        <v>-68.099999999999994</v>
      </c>
      <c r="C37" s="5">
        <v>32.1</v>
      </c>
      <c r="D37" s="44">
        <v>-292.5</v>
      </c>
      <c r="E37" s="44">
        <v>1392.3</v>
      </c>
      <c r="F37" s="6">
        <v>22</v>
      </c>
      <c r="G37" s="6">
        <f t="shared" si="2"/>
        <v>-95</v>
      </c>
      <c r="H37">
        <v>22.2</v>
      </c>
      <c r="I37" s="66">
        <f t="shared" si="3"/>
        <v>9.9000000000000021</v>
      </c>
    </row>
    <row r="38" spans="1:9" ht="14.25" x14ac:dyDescent="0.15">
      <c r="A38" s="10" t="s">
        <v>47</v>
      </c>
      <c r="B38" s="11">
        <v>-66.5</v>
      </c>
      <c r="C38" s="11">
        <v>31.9</v>
      </c>
      <c r="D38" s="46">
        <v>-292.60000000000002</v>
      </c>
      <c r="E38" s="46">
        <v>1391.8</v>
      </c>
      <c r="F38" s="12">
        <v>22</v>
      </c>
      <c r="G38" s="6">
        <f t="shared" si="2"/>
        <v>-93</v>
      </c>
      <c r="H38">
        <v>22.2</v>
      </c>
      <c r="I38" s="66">
        <f t="shared" si="3"/>
        <v>9.6999999999999993</v>
      </c>
    </row>
    <row r="39" spans="1:9" ht="14.25" x14ac:dyDescent="0.15">
      <c r="A39" s="4" t="s">
        <v>48</v>
      </c>
      <c r="B39" s="5">
        <v>-67.400000000000006</v>
      </c>
      <c r="C39" s="5">
        <v>37</v>
      </c>
      <c r="D39" s="44">
        <v>-292.60000000000002</v>
      </c>
      <c r="E39" s="44">
        <v>1391.9</v>
      </c>
      <c r="F39" s="6">
        <v>22</v>
      </c>
      <c r="G39" s="6">
        <f t="shared" si="2"/>
        <v>-94</v>
      </c>
      <c r="H39">
        <v>23</v>
      </c>
      <c r="I39" s="66">
        <f t="shared" si="3"/>
        <v>14</v>
      </c>
    </row>
    <row r="40" spans="1:9" ht="14.25" x14ac:dyDescent="0.15">
      <c r="A40" s="10" t="s">
        <v>49</v>
      </c>
      <c r="B40" s="11">
        <v>-67</v>
      </c>
      <c r="C40" s="11">
        <v>32</v>
      </c>
      <c r="D40" s="46">
        <v>-292.7</v>
      </c>
      <c r="E40" s="46">
        <v>1391.4</v>
      </c>
      <c r="F40" s="12">
        <v>22</v>
      </c>
      <c r="G40" s="6">
        <f t="shared" si="2"/>
        <v>-94</v>
      </c>
      <c r="H40">
        <v>23</v>
      </c>
      <c r="I40" s="66">
        <f t="shared" si="3"/>
        <v>9</v>
      </c>
    </row>
  </sheetData>
  <phoneticPr fontId="1" type="noConversion"/>
  <conditionalFormatting sqref="B21:B40">
    <cfRule type="expression" dxfId="8" priority="2">
      <formula>AND(ABS(B21)&gt;100,ABS(B21)&gt;ABS(D21*0.9))</formula>
    </cfRule>
    <cfRule type="expression" dxfId="7" priority="3">
      <formula>AND(ABS(B21)&gt;100,ABS(B21)&gt;ABS(D21*0.8))</formula>
    </cfRule>
  </conditionalFormatting>
  <conditionalFormatting sqref="E21:E40">
    <cfRule type="top10" dxfId="6" priority="1" percent="1" bottom="1" rank="1"/>
  </conditionalFormatting>
  <dataValidations count="2">
    <dataValidation type="list" allowBlank="1" showInputMessage="1" showErrorMessage="1" sqref="B17" xr:uid="{B46CE7A3-2D48-4A34-A2C5-671E725EC878}">
      <formula1>"0,1"</formula1>
    </dataValidation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76200</xdr:colOff>
                    <xdr:row>1</xdr:row>
                    <xdr:rowOff>180975</xdr:rowOff>
                  </from>
                  <to>
                    <xdr:col>5</xdr:col>
                    <xdr:colOff>285750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76200</xdr:colOff>
                    <xdr:row>4</xdr:row>
                    <xdr:rowOff>180975</xdr:rowOff>
                  </from>
                  <to>
                    <xdr:col>5</xdr:col>
                    <xdr:colOff>285750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76200</xdr:colOff>
                    <xdr:row>7</xdr:row>
                    <xdr:rowOff>180975</xdr:rowOff>
                  </from>
                  <to>
                    <xdr:col>5</xdr:col>
                    <xdr:colOff>285750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66675</xdr:colOff>
                    <xdr:row>10</xdr:row>
                    <xdr:rowOff>152400</xdr:rowOff>
                  </from>
                  <to>
                    <xdr:col>5</xdr:col>
                    <xdr:colOff>276225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133350</xdr:colOff>
                    <xdr:row>4</xdr:row>
                    <xdr:rowOff>95250</xdr:rowOff>
                  </from>
                  <to>
                    <xdr:col>16</xdr:col>
                    <xdr:colOff>123825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15</xdr:row>
                    <xdr:rowOff>161925</xdr:rowOff>
                  </from>
                  <to>
                    <xdr:col>3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17</xdr:col>
                    <xdr:colOff>228600</xdr:colOff>
                    <xdr:row>5</xdr:row>
                    <xdr:rowOff>38100</xdr:rowOff>
                  </from>
                  <to>
                    <xdr:col>18</xdr:col>
                    <xdr:colOff>438150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A10" sqref="A10"/>
    </sheetView>
  </sheetViews>
  <sheetFormatPr defaultRowHeight="13.5" x14ac:dyDescent="0.15"/>
  <cols>
    <col min="1" max="1" width="13.5" customWidth="1"/>
    <col min="2" max="2" width="13" customWidth="1"/>
    <col min="9" max="9" width="13.625" bestFit="1" customWidth="1"/>
    <col min="15" max="15" width="11.875" bestFit="1" customWidth="1"/>
  </cols>
  <sheetData>
    <row r="1" spans="1:20" x14ac:dyDescent="0.15">
      <c r="A1" t="s">
        <v>38</v>
      </c>
      <c r="B1" t="s">
        <v>112</v>
      </c>
      <c r="C1" t="s">
        <v>39</v>
      </c>
      <c r="D1" t="s">
        <v>54</v>
      </c>
      <c r="G1" t="s">
        <v>59</v>
      </c>
      <c r="H1" s="55">
        <v>907</v>
      </c>
      <c r="J1" t="s">
        <v>113</v>
      </c>
      <c r="K1" s="65">
        <v>3</v>
      </c>
    </row>
    <row r="2" spans="1:20" x14ac:dyDescent="0.15">
      <c r="A2" t="str">
        <f>SUBSTITUTE(O2,".8.","."&amp;$K$1&amp;".")</f>
        <v>10.238.3.16</v>
      </c>
      <c r="B2" s="40">
        <v>1</v>
      </c>
      <c r="C2">
        <f>MID(Table1[[#This Row],[IP]],LEN(Table1[[#This Row],[IP]])-1,1)+(--MID(Table1[[#This Row],[IP]],8,1)-1)*9</f>
        <v>19</v>
      </c>
      <c r="D2" t="s">
        <v>50</v>
      </c>
      <c r="O2" s="58" t="s">
        <v>74</v>
      </c>
      <c r="P2" s="63">
        <v>33</v>
      </c>
      <c r="Q2" s="59">
        <f>MID(Table1[[#This Row],[IP]],LEN(Table1[[#This Row],[IP]])-1,1)+(--MID(O2,8,1)-1)*9</f>
        <v>64</v>
      </c>
      <c r="R2" s="60" t="s">
        <v>50</v>
      </c>
      <c r="T2">
        <v>1</v>
      </c>
    </row>
    <row r="3" spans="1:20" x14ac:dyDescent="0.15">
      <c r="A3" t="str">
        <f t="shared" ref="A3:A37" si="0">SUBSTITUTE(O3,".8.","."&amp;$K$1&amp;".")</f>
        <v>10.238.3.17</v>
      </c>
      <c r="B3" s="40">
        <v>1</v>
      </c>
      <c r="C3">
        <f>MID(Table1[[#This Row],[IP]],LEN(Table1[[#This Row],[IP]])-1,1)+(--MID(Table1[[#This Row],[IP]],8,1)-1)*9</f>
        <v>19</v>
      </c>
      <c r="D3" t="s">
        <v>51</v>
      </c>
      <c r="O3" s="61" t="s">
        <v>75</v>
      </c>
      <c r="P3" s="64">
        <v>32</v>
      </c>
      <c r="Q3" s="59">
        <f>MID(Table1[[#This Row],[IP]],LEN(Table1[[#This Row],[IP]])-1,1)+(--MID(O3,8,1)-1)*9</f>
        <v>64</v>
      </c>
      <c r="R3" s="62" t="s">
        <v>51</v>
      </c>
      <c r="T3">
        <v>2</v>
      </c>
    </row>
    <row r="4" spans="1:20" x14ac:dyDescent="0.15">
      <c r="A4" t="str">
        <f t="shared" si="0"/>
        <v>10.238.3.18</v>
      </c>
      <c r="B4" s="40">
        <v>1</v>
      </c>
      <c r="C4">
        <f>MID(Table1[[#This Row],[IP]],LEN(Table1[[#This Row],[IP]])-1,1)+(--MID(Table1[[#This Row],[IP]],8,1)-1)*9</f>
        <v>19</v>
      </c>
      <c r="D4" t="s">
        <v>52</v>
      </c>
      <c r="O4" s="58" t="s">
        <v>76</v>
      </c>
      <c r="P4" s="63">
        <v>32</v>
      </c>
      <c r="Q4" s="59">
        <f>MID(Table1[[#This Row],[IP]],LEN(Table1[[#This Row],[IP]])-1,1)+(--MID(O4,8,1)-1)*9</f>
        <v>64</v>
      </c>
      <c r="R4" s="60" t="s">
        <v>52</v>
      </c>
      <c r="T4">
        <v>3</v>
      </c>
    </row>
    <row r="5" spans="1:20" x14ac:dyDescent="0.15">
      <c r="A5" t="str">
        <f t="shared" si="0"/>
        <v>10.238.3.19</v>
      </c>
      <c r="B5" s="40">
        <v>1</v>
      </c>
      <c r="C5">
        <f>MID(Table1[[#This Row],[IP]],LEN(Table1[[#This Row],[IP]])-1,1)+(--MID(Table1[[#This Row],[IP]],8,1)-1)*9</f>
        <v>19</v>
      </c>
      <c r="D5" t="s">
        <v>53</v>
      </c>
      <c r="O5" s="61" t="s">
        <v>77</v>
      </c>
      <c r="P5" s="64">
        <v>32</v>
      </c>
      <c r="Q5" s="59">
        <f>MID(Table1[[#This Row],[IP]],LEN(Table1[[#This Row],[IP]])-1,1)+(--MID(O5,8,1)-1)*9</f>
        <v>64</v>
      </c>
      <c r="R5" s="62" t="s">
        <v>53</v>
      </c>
      <c r="T5">
        <v>4</v>
      </c>
    </row>
    <row r="6" spans="1:20" x14ac:dyDescent="0.15">
      <c r="A6" t="str">
        <f t="shared" si="0"/>
        <v>10.238.3.26</v>
      </c>
      <c r="B6" s="40">
        <v>1</v>
      </c>
      <c r="C6">
        <f>MID(Table1[[#This Row],[IP]],LEN(Table1[[#This Row],[IP]])-1,1)+(--MID(Table1[[#This Row],[IP]],8,1)-1)*9</f>
        <v>20</v>
      </c>
      <c r="D6" t="s">
        <v>50</v>
      </c>
      <c r="O6" s="58" t="s">
        <v>78</v>
      </c>
      <c r="P6" s="63">
        <v>17</v>
      </c>
      <c r="Q6" s="59">
        <f>MID(Table1[[#This Row],[IP]],LEN(Table1[[#This Row],[IP]])-1,1)+(--MID(O6,8,1)-1)*9</f>
        <v>65</v>
      </c>
      <c r="R6" s="60" t="s">
        <v>50</v>
      </c>
      <c r="T6">
        <v>5</v>
      </c>
    </row>
    <row r="7" spans="1:20" x14ac:dyDescent="0.15">
      <c r="A7" t="str">
        <f t="shared" si="0"/>
        <v>10.238.3.27</v>
      </c>
      <c r="B7" s="40">
        <v>1</v>
      </c>
      <c r="C7">
        <f>MID(Table1[[#This Row],[IP]],LEN(Table1[[#This Row],[IP]])-1,1)+(--MID(Table1[[#This Row],[IP]],8,1)-1)*9</f>
        <v>20</v>
      </c>
      <c r="D7" t="s">
        <v>51</v>
      </c>
      <c r="O7" s="61" t="s">
        <v>79</v>
      </c>
      <c r="P7" s="64">
        <v>18</v>
      </c>
      <c r="Q7" s="59">
        <f>MID(Table1[[#This Row],[IP]],LEN(Table1[[#This Row],[IP]])-1,1)+(--MID(O7,8,1)-1)*9</f>
        <v>65</v>
      </c>
      <c r="R7" s="62" t="s">
        <v>51</v>
      </c>
      <c r="T7">
        <v>6</v>
      </c>
    </row>
    <row r="8" spans="1:20" x14ac:dyDescent="0.15">
      <c r="A8" t="str">
        <f t="shared" si="0"/>
        <v>10.238.3.28</v>
      </c>
      <c r="B8" s="40">
        <v>1</v>
      </c>
      <c r="C8">
        <f>MID(Table1[[#This Row],[IP]],LEN(Table1[[#This Row],[IP]])-1,1)+(--MID(Table1[[#This Row],[IP]],8,1)-1)*9</f>
        <v>20</v>
      </c>
      <c r="D8" t="s">
        <v>52</v>
      </c>
      <c r="O8" s="58" t="s">
        <v>80</v>
      </c>
      <c r="P8" s="63">
        <v>13</v>
      </c>
      <c r="Q8" s="59">
        <f>MID(Table1[[#This Row],[IP]],LEN(Table1[[#This Row],[IP]])-1,1)+(--MID(O8,8,1)-1)*9</f>
        <v>65</v>
      </c>
      <c r="R8" s="60" t="s">
        <v>52</v>
      </c>
      <c r="T8">
        <v>7</v>
      </c>
    </row>
    <row r="9" spans="1:20" x14ac:dyDescent="0.15">
      <c r="A9" t="str">
        <f t="shared" si="0"/>
        <v>10.238.3.29</v>
      </c>
      <c r="B9" s="40">
        <v>1</v>
      </c>
      <c r="C9">
        <f>MID(Table1[[#This Row],[IP]],LEN(Table1[[#This Row],[IP]])-1,1)+(--MID(Table1[[#This Row],[IP]],8,1)-1)*9</f>
        <v>20</v>
      </c>
      <c r="D9" t="s">
        <v>53</v>
      </c>
      <c r="O9" s="61" t="s">
        <v>81</v>
      </c>
      <c r="P9" s="64">
        <v>17</v>
      </c>
      <c r="Q9" s="59">
        <f>MID(Table1[[#This Row],[IP]],LEN(Table1[[#This Row],[IP]])-1,1)+(--MID(O9,8,1)-1)*9</f>
        <v>65</v>
      </c>
      <c r="R9" s="62" t="s">
        <v>53</v>
      </c>
      <c r="T9">
        <v>8</v>
      </c>
    </row>
    <row r="10" spans="1:20" x14ac:dyDescent="0.15">
      <c r="A10" t="str">
        <f t="shared" si="0"/>
        <v>10.238.3.36</v>
      </c>
      <c r="B10" s="40">
        <v>4</v>
      </c>
      <c r="C10">
        <f>MID(Table1[[#This Row],[IP]],LEN(Table1[[#This Row],[IP]])-1,1)+(--MID(Table1[[#This Row],[IP]],8,1)-1)*9</f>
        <v>21</v>
      </c>
      <c r="D10" t="s">
        <v>50</v>
      </c>
      <c r="H10" t="s">
        <v>68</v>
      </c>
      <c r="K10" t="s">
        <v>67</v>
      </c>
      <c r="O10" s="58" t="s">
        <v>82</v>
      </c>
      <c r="P10" s="63">
        <v>20</v>
      </c>
      <c r="Q10" s="59">
        <f>MID(Table1[[#This Row],[IP]],LEN(Table1[[#This Row],[IP]])-1,1)+(--MID(O10,8,1)-1)*9</f>
        <v>66</v>
      </c>
      <c r="R10" s="60" t="s">
        <v>50</v>
      </c>
    </row>
    <row r="11" spans="1:20" x14ac:dyDescent="0.15">
      <c r="A11" t="str">
        <f t="shared" si="0"/>
        <v>10.238.3.37</v>
      </c>
      <c r="B11" s="40">
        <v>4</v>
      </c>
      <c r="C11">
        <f>MID(Table1[[#This Row],[IP]],LEN(Table1[[#This Row],[IP]])-1,1)+(--MID(Table1[[#This Row],[IP]],8,1)-1)*9</f>
        <v>21</v>
      </c>
      <c r="D11" t="s">
        <v>51</v>
      </c>
      <c r="H11">
        <v>64</v>
      </c>
      <c r="I11" t="s">
        <v>65</v>
      </c>
      <c r="O11" s="61" t="s">
        <v>83</v>
      </c>
      <c r="P11" s="64">
        <v>18</v>
      </c>
      <c r="Q11" s="59">
        <f>MID(Table1[[#This Row],[IP]],LEN(Table1[[#This Row],[IP]])-1,1)+(--MID(O11,8,1)-1)*9</f>
        <v>66</v>
      </c>
      <c r="R11" s="62" t="s">
        <v>51</v>
      </c>
    </row>
    <row r="12" spans="1:20" x14ac:dyDescent="0.15">
      <c r="A12" t="str">
        <f t="shared" si="0"/>
        <v>10.238.3.38</v>
      </c>
      <c r="B12" s="40">
        <v>4</v>
      </c>
      <c r="C12">
        <f>MID(Table1[[#This Row],[IP]],LEN(Table1[[#This Row],[IP]])-1,1)+(--MID(Table1[[#This Row],[IP]],8,1)-1)*9</f>
        <v>21</v>
      </c>
      <c r="D12" t="s">
        <v>52</v>
      </c>
      <c r="H12">
        <v>192</v>
      </c>
      <c r="I12" t="s">
        <v>66</v>
      </c>
      <c r="J12">
        <v>0</v>
      </c>
      <c r="O12" s="58" t="s">
        <v>84</v>
      </c>
      <c r="P12" s="63">
        <v>18</v>
      </c>
      <c r="Q12" s="59">
        <f>MID(Table1[[#This Row],[IP]],LEN(Table1[[#This Row],[IP]])-1,1)+(--MID(O12,8,1)-1)*9</f>
        <v>66</v>
      </c>
      <c r="R12" s="60" t="s">
        <v>52</v>
      </c>
    </row>
    <row r="13" spans="1:20" x14ac:dyDescent="0.15">
      <c r="A13" t="str">
        <f t="shared" si="0"/>
        <v>10.238.3.39</v>
      </c>
      <c r="B13" s="40">
        <v>5</v>
      </c>
      <c r="C13">
        <f>MID(Table1[[#This Row],[IP]],LEN(Table1[[#This Row],[IP]])-1,1)+(--MID(Table1[[#This Row],[IP]],8,1)-1)*9</f>
        <v>21</v>
      </c>
      <c r="D13" t="s">
        <v>53</v>
      </c>
      <c r="O13" s="61" t="s">
        <v>85</v>
      </c>
      <c r="P13" s="64">
        <v>18</v>
      </c>
      <c r="Q13" s="59">
        <f>MID(Table1[[#This Row],[IP]],LEN(Table1[[#This Row],[IP]])-1,1)+(--MID(O13,8,1)-1)*9</f>
        <v>66</v>
      </c>
      <c r="R13" s="62" t="s">
        <v>53</v>
      </c>
    </row>
    <row r="14" spans="1:20" x14ac:dyDescent="0.15">
      <c r="A14" t="str">
        <f t="shared" si="0"/>
        <v>10.238.3.46</v>
      </c>
      <c r="B14" s="40">
        <v>1</v>
      </c>
      <c r="C14">
        <f>MID(Table1[[#This Row],[IP]],LEN(Table1[[#This Row],[IP]])-1,1)+(--MID(Table1[[#This Row],[IP]],8,1)-1)*9</f>
        <v>22</v>
      </c>
      <c r="D14" t="s">
        <v>50</v>
      </c>
      <c r="O14" s="58" t="s">
        <v>86</v>
      </c>
      <c r="P14" s="63">
        <v>30</v>
      </c>
      <c r="Q14" s="59">
        <f>MID(Table1[[#This Row],[IP]],LEN(Table1[[#This Row],[IP]])-1,1)+(--MID(O14,8,1)-1)*9</f>
        <v>67</v>
      </c>
      <c r="R14" s="60" t="s">
        <v>50</v>
      </c>
    </row>
    <row r="15" spans="1:20" x14ac:dyDescent="0.15">
      <c r="A15" t="str">
        <f t="shared" si="0"/>
        <v>10.238.3.47</v>
      </c>
      <c r="B15" s="40">
        <v>1</v>
      </c>
      <c r="C15">
        <f>MID(Table1[[#This Row],[IP]],LEN(Table1[[#This Row],[IP]])-1,1)+(--MID(Table1[[#This Row],[IP]],8,1)-1)*9</f>
        <v>22</v>
      </c>
      <c r="D15" t="s">
        <v>51</v>
      </c>
      <c r="O15" s="61" t="s">
        <v>87</v>
      </c>
      <c r="P15" s="64">
        <v>38</v>
      </c>
      <c r="Q15" s="59">
        <f>MID(Table1[[#This Row],[IP]],LEN(Table1[[#This Row],[IP]])-1,1)+(--MID(O15,8,1)-1)*9</f>
        <v>67</v>
      </c>
      <c r="R15" s="62" t="s">
        <v>51</v>
      </c>
    </row>
    <row r="16" spans="1:20" x14ac:dyDescent="0.15">
      <c r="A16" t="str">
        <f t="shared" si="0"/>
        <v>10.238.3.48</v>
      </c>
      <c r="B16" s="40">
        <v>1</v>
      </c>
      <c r="C16">
        <f>MID(Table1[[#This Row],[IP]],LEN(Table1[[#This Row],[IP]])-1,1)+(--MID(Table1[[#This Row],[IP]],8,1)-1)*9</f>
        <v>22</v>
      </c>
      <c r="D16" t="s">
        <v>52</v>
      </c>
      <c r="O16" s="58" t="s">
        <v>88</v>
      </c>
      <c r="P16" s="63">
        <v>38</v>
      </c>
      <c r="Q16" s="59">
        <f>MID(Table1[[#This Row],[IP]],LEN(Table1[[#This Row],[IP]])-1,1)+(--MID(O16,8,1)-1)*9</f>
        <v>67</v>
      </c>
      <c r="R16" s="60" t="s">
        <v>52</v>
      </c>
    </row>
    <row r="17" spans="1:18" x14ac:dyDescent="0.15">
      <c r="A17" t="str">
        <f t="shared" si="0"/>
        <v>10.238.3.49</v>
      </c>
      <c r="B17" s="40">
        <v>1</v>
      </c>
      <c r="C17">
        <f>MID(Table1[[#This Row],[IP]],LEN(Table1[[#This Row],[IP]])-1,1)+(--MID(Table1[[#This Row],[IP]],8,1)-1)*9</f>
        <v>22</v>
      </c>
      <c r="D17" t="s">
        <v>53</v>
      </c>
      <c r="O17" s="61" t="s">
        <v>89</v>
      </c>
      <c r="P17" s="64">
        <v>38</v>
      </c>
      <c r="Q17" s="59">
        <f>MID(Table1[[#This Row],[IP]],LEN(Table1[[#This Row],[IP]])-1,1)+(--MID(O17,8,1)-1)*9</f>
        <v>67</v>
      </c>
      <c r="R17" s="62" t="s">
        <v>53</v>
      </c>
    </row>
    <row r="18" spans="1:18" x14ac:dyDescent="0.15">
      <c r="A18" t="str">
        <f t="shared" si="0"/>
        <v>10.238.3.56</v>
      </c>
      <c r="B18" s="40">
        <v>1</v>
      </c>
      <c r="C18">
        <f>MID(Table1[[#This Row],[IP]],LEN(Table1[[#This Row],[IP]])-1,1)+(--MID(Table1[[#This Row],[IP]],8,1)-1)*9</f>
        <v>23</v>
      </c>
      <c r="D18" t="s">
        <v>50</v>
      </c>
      <c r="O18" s="58" t="s">
        <v>90</v>
      </c>
      <c r="P18" s="63">
        <v>26</v>
      </c>
      <c r="Q18" s="59">
        <f>MID(Table1[[#This Row],[IP]],LEN(Table1[[#This Row],[IP]])-1,1)+(--MID(O18,8,1)-1)*9</f>
        <v>68</v>
      </c>
      <c r="R18" s="60" t="s">
        <v>50</v>
      </c>
    </row>
    <row r="19" spans="1:18" x14ac:dyDescent="0.15">
      <c r="A19" t="str">
        <f t="shared" si="0"/>
        <v>10.238.3.57</v>
      </c>
      <c r="B19" s="40">
        <v>1</v>
      </c>
      <c r="C19">
        <f>MID(Table1[[#This Row],[IP]],LEN(Table1[[#This Row],[IP]])-1,1)+(--MID(Table1[[#This Row],[IP]],8,1)-1)*9</f>
        <v>23</v>
      </c>
      <c r="D19" t="s">
        <v>51</v>
      </c>
      <c r="O19" s="61" t="s">
        <v>91</v>
      </c>
      <c r="P19" s="64">
        <v>23</v>
      </c>
      <c r="Q19" s="59">
        <f>MID(Table1[[#This Row],[IP]],LEN(Table1[[#This Row],[IP]])-1,1)+(--MID(O19,8,1)-1)*9</f>
        <v>68</v>
      </c>
      <c r="R19" s="62" t="s">
        <v>51</v>
      </c>
    </row>
    <row r="20" spans="1:18" x14ac:dyDescent="0.15">
      <c r="A20" t="str">
        <f t="shared" si="0"/>
        <v>10.238.3.58</v>
      </c>
      <c r="B20" s="40">
        <v>1</v>
      </c>
      <c r="C20">
        <f>MID(Table1[[#This Row],[IP]],LEN(Table1[[#This Row],[IP]])-1,1)+(--MID(Table1[[#This Row],[IP]],8,1)-1)*9</f>
        <v>23</v>
      </c>
      <c r="D20" t="s">
        <v>52</v>
      </c>
      <c r="O20" s="58" t="s">
        <v>92</v>
      </c>
      <c r="P20" s="63">
        <v>22</v>
      </c>
      <c r="Q20" s="59">
        <f>MID(Table1[[#This Row],[IP]],LEN(Table1[[#This Row],[IP]])-1,1)+(--MID(O20,8,1)-1)*9</f>
        <v>68</v>
      </c>
      <c r="R20" s="60" t="s">
        <v>52</v>
      </c>
    </row>
    <row r="21" spans="1:18" x14ac:dyDescent="0.15">
      <c r="A21" t="str">
        <f t="shared" si="0"/>
        <v>10.238.3.59</v>
      </c>
      <c r="B21" s="40">
        <v>1</v>
      </c>
      <c r="C21">
        <f>MID(Table1[[#This Row],[IP]],LEN(Table1[[#This Row],[IP]])-1,1)+(--MID(Table1[[#This Row],[IP]],8,1)-1)*9</f>
        <v>23</v>
      </c>
      <c r="D21" t="s">
        <v>53</v>
      </c>
      <c r="O21" s="61" t="s">
        <v>93</v>
      </c>
      <c r="P21" s="64">
        <v>22</v>
      </c>
      <c r="Q21" s="59">
        <f>MID(Table1[[#This Row],[IP]],LEN(Table1[[#This Row],[IP]])-1,1)+(--MID(O21,8,1)-1)*9</f>
        <v>68</v>
      </c>
      <c r="R21" s="62" t="s">
        <v>53</v>
      </c>
    </row>
    <row r="22" spans="1:18" x14ac:dyDescent="0.15">
      <c r="A22" t="str">
        <f t="shared" si="0"/>
        <v>10.238.3.66</v>
      </c>
      <c r="B22" s="40">
        <v>1</v>
      </c>
      <c r="C22">
        <f>MID(Table1[[#This Row],[IP]],LEN(Table1[[#This Row],[IP]])-1,1)+(--MID(Table1[[#This Row],[IP]],8,1)-1)*9</f>
        <v>24</v>
      </c>
      <c r="D22" t="s">
        <v>50</v>
      </c>
      <c r="O22" s="58" t="s">
        <v>94</v>
      </c>
      <c r="P22" s="63">
        <v>22</v>
      </c>
      <c r="Q22" s="59">
        <f>MID(Table1[[#This Row],[IP]],LEN(Table1[[#This Row],[IP]])-1,1)+(--MID(O22,8,1)-1)*9</f>
        <v>69</v>
      </c>
      <c r="R22" s="60" t="s">
        <v>50</v>
      </c>
    </row>
    <row r="23" spans="1:18" x14ac:dyDescent="0.15">
      <c r="A23" t="str">
        <f t="shared" si="0"/>
        <v>10.238.3.67</v>
      </c>
      <c r="B23" s="40">
        <v>1</v>
      </c>
      <c r="C23">
        <f>MID(Table1[[#This Row],[IP]],LEN(Table1[[#This Row],[IP]])-1,1)+(--MID(Table1[[#This Row],[IP]],8,1)-1)*9</f>
        <v>24</v>
      </c>
      <c r="D23" t="s">
        <v>51</v>
      </c>
      <c r="O23" s="61" t="s">
        <v>95</v>
      </c>
      <c r="P23" s="64">
        <v>16</v>
      </c>
      <c r="Q23" s="59">
        <f>MID(Table1[[#This Row],[IP]],LEN(Table1[[#This Row],[IP]])-1,1)+(--MID(O23,8,1)-1)*9</f>
        <v>69</v>
      </c>
      <c r="R23" s="62" t="s">
        <v>51</v>
      </c>
    </row>
    <row r="24" spans="1:18" x14ac:dyDescent="0.15">
      <c r="A24" t="str">
        <f t="shared" si="0"/>
        <v>10.238.3.68</v>
      </c>
      <c r="B24" s="40">
        <v>1</v>
      </c>
      <c r="C24">
        <f>MID(Table1[[#This Row],[IP]],LEN(Table1[[#This Row],[IP]])-1,1)+(--MID(Table1[[#This Row],[IP]],8,1)-1)*9</f>
        <v>24</v>
      </c>
      <c r="D24" t="s">
        <v>52</v>
      </c>
      <c r="O24" s="58" t="s">
        <v>96</v>
      </c>
      <c r="P24" s="63">
        <v>16</v>
      </c>
      <c r="Q24" s="59">
        <f>MID(Table1[[#This Row],[IP]],LEN(Table1[[#This Row],[IP]])-1,1)+(--MID(O24,8,1)-1)*9</f>
        <v>69</v>
      </c>
      <c r="R24" s="60" t="s">
        <v>52</v>
      </c>
    </row>
    <row r="25" spans="1:18" x14ac:dyDescent="0.15">
      <c r="A25" t="str">
        <f t="shared" si="0"/>
        <v>10.238.3.69</v>
      </c>
      <c r="B25" s="40">
        <v>1</v>
      </c>
      <c r="C25">
        <f>MID(Table1[[#This Row],[IP]],LEN(Table1[[#This Row],[IP]])-1,1)+(--MID(Table1[[#This Row],[IP]],8,1)-1)*9</f>
        <v>24</v>
      </c>
      <c r="D25" t="s">
        <v>53</v>
      </c>
      <c r="O25" s="61" t="s">
        <v>97</v>
      </c>
      <c r="P25" s="64">
        <v>16</v>
      </c>
      <c r="Q25" s="59">
        <f>MID(Table1[[#This Row],[IP]],LEN(Table1[[#This Row],[IP]])-1,1)+(--MID(O25,8,1)-1)*9</f>
        <v>69</v>
      </c>
      <c r="R25" s="62" t="s">
        <v>53</v>
      </c>
    </row>
    <row r="26" spans="1:18" x14ac:dyDescent="0.15">
      <c r="A26" t="str">
        <f t="shared" si="0"/>
        <v>10.238.3.76</v>
      </c>
      <c r="B26" s="40">
        <v>1</v>
      </c>
      <c r="C26">
        <f>MID(Table1[[#This Row],[IP]],LEN(Table1[[#This Row],[IP]])-1,1)+(--MID(Table1[[#This Row],[IP]],8,1)-1)*9</f>
        <v>25</v>
      </c>
      <c r="D26" t="s">
        <v>50</v>
      </c>
      <c r="O26" s="58" t="s">
        <v>98</v>
      </c>
      <c r="P26" s="63">
        <v>34</v>
      </c>
      <c r="Q26" s="59">
        <f>MID(Table1[[#This Row],[IP]],LEN(Table1[[#This Row],[IP]])-1,1)+(--MID(O26,8,1)-1)*9</f>
        <v>70</v>
      </c>
      <c r="R26" s="60" t="s">
        <v>50</v>
      </c>
    </row>
    <row r="27" spans="1:18" x14ac:dyDescent="0.15">
      <c r="A27" t="str">
        <f t="shared" si="0"/>
        <v>10.238.3.77</v>
      </c>
      <c r="B27" s="40">
        <v>1</v>
      </c>
      <c r="C27">
        <f>MID(Table1[[#This Row],[IP]],LEN(Table1[[#This Row],[IP]])-1,1)+(--MID(Table1[[#This Row],[IP]],8,1)-1)*9</f>
        <v>25</v>
      </c>
      <c r="D27" t="s">
        <v>51</v>
      </c>
      <c r="O27" s="61" t="s">
        <v>99</v>
      </c>
      <c r="P27" s="64">
        <v>20</v>
      </c>
      <c r="Q27" s="59">
        <f>MID(Table1[[#This Row],[IP]],LEN(Table1[[#This Row],[IP]])-1,1)+(--MID(O27,8,1)-1)*9</f>
        <v>70</v>
      </c>
      <c r="R27" s="62" t="s">
        <v>51</v>
      </c>
    </row>
    <row r="28" spans="1:18" x14ac:dyDescent="0.15">
      <c r="A28" t="str">
        <f t="shared" si="0"/>
        <v>10.238.3.78</v>
      </c>
      <c r="B28" s="40">
        <v>1</v>
      </c>
      <c r="C28">
        <f>MID(Table1[[#This Row],[IP]],LEN(Table1[[#This Row],[IP]])-1,1)+(--MID(Table1[[#This Row],[IP]],8,1)-1)*9</f>
        <v>25</v>
      </c>
      <c r="D28" t="s">
        <v>52</v>
      </c>
      <c r="O28" s="58" t="s">
        <v>100</v>
      </c>
      <c r="P28" s="63">
        <v>34</v>
      </c>
      <c r="Q28" s="59">
        <f>MID(Table1[[#This Row],[IP]],LEN(Table1[[#This Row],[IP]])-1,1)+(--MID(O28,8,1)-1)*9</f>
        <v>70</v>
      </c>
      <c r="R28" s="60" t="s">
        <v>52</v>
      </c>
    </row>
    <row r="29" spans="1:18" x14ac:dyDescent="0.15">
      <c r="A29" t="str">
        <f t="shared" si="0"/>
        <v>10.238.3.79</v>
      </c>
      <c r="B29" s="40">
        <v>1</v>
      </c>
      <c r="C29">
        <f>MID(Table1[[#This Row],[IP]],LEN(Table1[[#This Row],[IP]])-1,1)+(--MID(Table1[[#This Row],[IP]],8,1)-1)*9</f>
        <v>25</v>
      </c>
      <c r="D29" t="s">
        <v>53</v>
      </c>
      <c r="O29" s="61" t="s">
        <v>101</v>
      </c>
      <c r="P29" s="64">
        <v>34</v>
      </c>
      <c r="Q29" s="59">
        <f>MID(Table1[[#This Row],[IP]],LEN(Table1[[#This Row],[IP]])-1,1)+(--MID(O29,8,1)-1)*9</f>
        <v>70</v>
      </c>
      <c r="R29" s="62" t="s">
        <v>53</v>
      </c>
    </row>
    <row r="30" spans="1:18" x14ac:dyDescent="0.15">
      <c r="A30" t="str">
        <f t="shared" si="0"/>
        <v>10.238.3.86</v>
      </c>
      <c r="B30" s="40">
        <v>1</v>
      </c>
      <c r="C30">
        <f>MID(Table1[[#This Row],[IP]],LEN(Table1[[#This Row],[IP]])-1,1)+(--MID(Table1[[#This Row],[IP]],8,1)-1)*9</f>
        <v>26</v>
      </c>
      <c r="D30" t="s">
        <v>50</v>
      </c>
      <c r="O30" s="58" t="s">
        <v>102</v>
      </c>
      <c r="P30" s="63">
        <v>30</v>
      </c>
      <c r="Q30" s="59">
        <f>MID(Table1[[#This Row],[IP]],LEN(Table1[[#This Row],[IP]])-1,1)+(--MID(O30,8,1)-1)*9</f>
        <v>71</v>
      </c>
      <c r="R30" s="60" t="s">
        <v>50</v>
      </c>
    </row>
    <row r="31" spans="1:18" x14ac:dyDescent="0.15">
      <c r="A31" t="str">
        <f t="shared" si="0"/>
        <v>10.238.3.87</v>
      </c>
      <c r="B31" s="40">
        <v>1</v>
      </c>
      <c r="C31">
        <f>MID(Table1[[#This Row],[IP]],LEN(Table1[[#This Row],[IP]])-1,1)+(--MID(Table1[[#This Row],[IP]],8,1)-1)*9</f>
        <v>26</v>
      </c>
      <c r="D31" t="s">
        <v>51</v>
      </c>
      <c r="O31" s="61" t="s">
        <v>103</v>
      </c>
      <c r="P31" s="64">
        <v>28</v>
      </c>
      <c r="Q31" s="59">
        <f>MID(Table1[[#This Row],[IP]],LEN(Table1[[#This Row],[IP]])-1,1)+(--MID(O31,8,1)-1)*9</f>
        <v>71</v>
      </c>
      <c r="R31" s="62" t="s">
        <v>51</v>
      </c>
    </row>
    <row r="32" spans="1:18" x14ac:dyDescent="0.15">
      <c r="A32" t="str">
        <f t="shared" si="0"/>
        <v>10.238.3.88</v>
      </c>
      <c r="B32" s="40">
        <v>1</v>
      </c>
      <c r="C32">
        <f>MID(Table1[[#This Row],[IP]],LEN(Table1[[#This Row],[IP]])-1,1)+(--MID(Table1[[#This Row],[IP]],8,1)-1)*9</f>
        <v>26</v>
      </c>
      <c r="D32" t="s">
        <v>52</v>
      </c>
      <c r="O32" s="58" t="s">
        <v>104</v>
      </c>
      <c r="P32" s="63">
        <v>31</v>
      </c>
      <c r="Q32" s="59">
        <f>MID(Table1[[#This Row],[IP]],LEN(Table1[[#This Row],[IP]])-1,1)+(--MID(O32,8,1)-1)*9</f>
        <v>71</v>
      </c>
      <c r="R32" s="60" t="s">
        <v>52</v>
      </c>
    </row>
    <row r="33" spans="1:18" x14ac:dyDescent="0.15">
      <c r="A33" t="str">
        <f t="shared" si="0"/>
        <v>10.238.3.89</v>
      </c>
      <c r="B33" s="40">
        <v>1</v>
      </c>
      <c r="C33">
        <f>MID(Table1[[#This Row],[IP]],LEN(Table1[[#This Row],[IP]])-1,1)+(--MID(Table1[[#This Row],[IP]],8,1)-1)*9</f>
        <v>26</v>
      </c>
      <c r="D33" t="s">
        <v>53</v>
      </c>
      <c r="O33" s="61" t="s">
        <v>105</v>
      </c>
      <c r="P33" s="64">
        <v>31</v>
      </c>
      <c r="Q33" s="59">
        <f>MID(Table1[[#This Row],[IP]],LEN(Table1[[#This Row],[IP]])-1,1)+(--MID(O33,8,1)-1)*9</f>
        <v>71</v>
      </c>
      <c r="R33" s="62" t="s">
        <v>53</v>
      </c>
    </row>
    <row r="34" spans="1:18" x14ac:dyDescent="0.15">
      <c r="A34" t="str">
        <f t="shared" si="0"/>
        <v>10.238.3.96</v>
      </c>
      <c r="B34" s="40">
        <v>1</v>
      </c>
      <c r="C34">
        <f>MID(Table1[[#This Row],[IP]],LEN(Table1[[#This Row],[IP]])-1,1)+(--MID(Table1[[#This Row],[IP]],8,1)-1)*9</f>
        <v>27</v>
      </c>
      <c r="D34" t="s">
        <v>50</v>
      </c>
      <c r="O34" s="58" t="s">
        <v>106</v>
      </c>
      <c r="P34" s="63">
        <v>23</v>
      </c>
      <c r="Q34" s="59">
        <f>MID(Table1[[#This Row],[IP]],LEN(Table1[[#This Row],[IP]])-1,1)+(--MID(O34,8,1)-1)*9</f>
        <v>72</v>
      </c>
      <c r="R34" s="60" t="s">
        <v>50</v>
      </c>
    </row>
    <row r="35" spans="1:18" x14ac:dyDescent="0.15">
      <c r="A35" t="str">
        <f t="shared" si="0"/>
        <v>10.238.3.97</v>
      </c>
      <c r="B35" s="40">
        <v>1</v>
      </c>
      <c r="C35">
        <f>MID(Table1[[#This Row],[IP]],LEN(Table1[[#This Row],[IP]])-1,1)+(--MID(Table1[[#This Row],[IP]],8,1)-1)*9</f>
        <v>27</v>
      </c>
      <c r="D35" t="s">
        <v>51</v>
      </c>
      <c r="O35" s="61" t="s">
        <v>107</v>
      </c>
      <c r="P35" s="64">
        <v>23</v>
      </c>
      <c r="Q35" s="59">
        <f>MID(Table1[[#This Row],[IP]],LEN(Table1[[#This Row],[IP]])-1,1)+(--MID(O35,8,1)-1)*9</f>
        <v>72</v>
      </c>
      <c r="R35" s="62" t="s">
        <v>51</v>
      </c>
    </row>
    <row r="36" spans="1:18" x14ac:dyDescent="0.15">
      <c r="A36" t="str">
        <f t="shared" si="0"/>
        <v>10.238.3.98</v>
      </c>
      <c r="B36" s="40">
        <v>1</v>
      </c>
      <c r="C36">
        <f>MID(Table1[[#This Row],[IP]],LEN(Table1[[#This Row],[IP]])-1,1)+(--MID(Table1[[#This Row],[IP]],8,1)-1)*9</f>
        <v>27</v>
      </c>
      <c r="D36" t="s">
        <v>52</v>
      </c>
      <c r="O36" s="58" t="s">
        <v>108</v>
      </c>
      <c r="P36" s="63">
        <v>24</v>
      </c>
      <c r="Q36" s="59">
        <f>MID(Table1[[#This Row],[IP]],LEN(Table1[[#This Row],[IP]])-1,1)+(--MID(O36,8,1)-1)*9</f>
        <v>72</v>
      </c>
      <c r="R36" s="60" t="s">
        <v>52</v>
      </c>
    </row>
    <row r="37" spans="1:18" x14ac:dyDescent="0.15">
      <c r="A37" t="str">
        <f t="shared" si="0"/>
        <v>10.238.3.99</v>
      </c>
      <c r="B37" s="40">
        <v>4</v>
      </c>
      <c r="C37">
        <f>MID(Table1[[#This Row],[IP]],LEN(Table1[[#This Row],[IP]])-1,1)+(--MID(Table1[[#This Row],[IP]],8,1)-1)*9</f>
        <v>27</v>
      </c>
      <c r="D37" t="s">
        <v>53</v>
      </c>
      <c r="O37" s="61" t="s">
        <v>109</v>
      </c>
      <c r="P37" s="64">
        <v>24</v>
      </c>
      <c r="Q37" s="59">
        <f>MID(Table1[[#This Row],[IP]],LEN(Table1[[#This Row],[IP]])-1,1)+(--MID(O37,8,1)-1)*9</f>
        <v>72</v>
      </c>
      <c r="R37" s="62" t="s">
        <v>53</v>
      </c>
    </row>
  </sheetData>
  <phoneticPr fontId="17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476250</xdr:colOff>
                    <xdr:row>1</xdr:row>
                    <xdr:rowOff>123825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485775</xdr:colOff>
                    <xdr:row>5</xdr:row>
                    <xdr:rowOff>161925</xdr:rowOff>
                  </from>
                  <to>
                    <xdr:col>6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A1:V37"/>
  <sheetViews>
    <sheetView workbookViewId="0">
      <pane ySplit="1" topLeftCell="A2" activePane="bottomLeft" state="frozen"/>
      <selection pane="bottomLeft" activeCell="I8" sqref="I8"/>
    </sheetView>
  </sheetViews>
  <sheetFormatPr defaultRowHeight="13.5" x14ac:dyDescent="0.15"/>
  <cols>
    <col min="1" max="1" width="13.5" customWidth="1"/>
    <col min="2" max="2" width="13" customWidth="1"/>
    <col min="9" max="9" width="13.625" bestFit="1" customWidth="1"/>
    <col min="15" max="15" width="11.875" bestFit="1" customWidth="1"/>
  </cols>
  <sheetData>
    <row r="1" spans="1:20" x14ac:dyDescent="0.15">
      <c r="A1" t="s">
        <v>38</v>
      </c>
      <c r="B1" t="s">
        <v>112</v>
      </c>
      <c r="C1" t="s">
        <v>39</v>
      </c>
      <c r="G1" t="s">
        <v>59</v>
      </c>
      <c r="H1" s="55">
        <v>34</v>
      </c>
      <c r="J1" t="s">
        <v>113</v>
      </c>
      <c r="K1" s="65">
        <v>7</v>
      </c>
    </row>
    <row r="2" spans="1:20" x14ac:dyDescent="0.15">
      <c r="A2" t="str">
        <f>SUBSTITUTE(O2,".8.","."&amp;$K$1&amp;".")</f>
        <v>10.238.7.11</v>
      </c>
      <c r="B2" s="40" t="s">
        <v>114</v>
      </c>
      <c r="C2">
        <f>MID(Table13[[#This Row],[IP]],LEN(Table13[[#This Row],[IP]])-1,1)+(--MID(Table13[[#This Row],[IP]],8,1)-1)*9</f>
        <v>55</v>
      </c>
      <c r="O2" s="58" t="s">
        <v>115</v>
      </c>
      <c r="P2" s="63">
        <v>33</v>
      </c>
      <c r="Q2" s="59">
        <f>MID(Table13[[#This Row],[IP]],LEN(Table13[[#This Row],[IP]])-1,1)+(--MID(O2,8,1)-1)*9</f>
        <v>64</v>
      </c>
      <c r="T2">
        <v>1</v>
      </c>
    </row>
    <row r="3" spans="1:20" x14ac:dyDescent="0.15">
      <c r="A3" t="str">
        <f t="shared" ref="A3:A10" si="0">SUBSTITUTE(O3,".8.","."&amp;$K$1&amp;".")</f>
        <v>10.238.7.21</v>
      </c>
      <c r="B3" s="40" t="s">
        <v>114</v>
      </c>
      <c r="C3">
        <f>MID(Table13[[#This Row],[IP]],LEN(Table13[[#This Row],[IP]])-1,1)+(--MID(Table13[[#This Row],[IP]],8,1)-1)*9</f>
        <v>56</v>
      </c>
      <c r="O3" s="61" t="s">
        <v>116</v>
      </c>
      <c r="P3" s="64">
        <v>32</v>
      </c>
      <c r="Q3" s="59">
        <f>MID(Table13[[#This Row],[IP]],LEN(Table13[[#This Row],[IP]])-1,1)+(--MID(O3,8,1)-1)*9</f>
        <v>65</v>
      </c>
      <c r="T3">
        <v>2</v>
      </c>
    </row>
    <row r="4" spans="1:20" x14ac:dyDescent="0.15">
      <c r="A4" t="str">
        <f t="shared" si="0"/>
        <v>10.238.7.31</v>
      </c>
      <c r="B4" s="40" t="s">
        <v>114</v>
      </c>
      <c r="C4">
        <f>MID(Table13[[#This Row],[IP]],LEN(Table13[[#This Row],[IP]])-1,1)+(--MID(Table13[[#This Row],[IP]],8,1)-1)*9</f>
        <v>57</v>
      </c>
      <c r="O4" s="58" t="s">
        <v>117</v>
      </c>
      <c r="P4" s="63">
        <v>32</v>
      </c>
      <c r="Q4" s="59">
        <f>MID(Table13[[#This Row],[IP]],LEN(Table13[[#This Row],[IP]])-1,1)+(--MID(O4,8,1)-1)*9</f>
        <v>66</v>
      </c>
      <c r="T4">
        <v>3</v>
      </c>
    </row>
    <row r="5" spans="1:20" x14ac:dyDescent="0.15">
      <c r="A5" t="str">
        <f t="shared" si="0"/>
        <v>10.238.7.41</v>
      </c>
      <c r="B5" s="40" t="s">
        <v>114</v>
      </c>
      <c r="C5">
        <f>MID(Table13[[#This Row],[IP]],LEN(Table13[[#This Row],[IP]])-1,1)+(--MID(Table13[[#This Row],[IP]],8,1)-1)*9</f>
        <v>58</v>
      </c>
      <c r="O5" s="61" t="s">
        <v>118</v>
      </c>
      <c r="P5" s="64">
        <v>32</v>
      </c>
      <c r="Q5" s="59">
        <f>MID(Table13[[#This Row],[IP]],LEN(Table13[[#This Row],[IP]])-1,1)+(--MID(O5,8,1)-1)*9</f>
        <v>67</v>
      </c>
      <c r="T5">
        <v>4</v>
      </c>
    </row>
    <row r="6" spans="1:20" x14ac:dyDescent="0.15">
      <c r="A6" t="str">
        <f t="shared" si="0"/>
        <v>10.238.7.51</v>
      </c>
      <c r="B6" s="40" t="s">
        <v>114</v>
      </c>
      <c r="C6">
        <f>MID(Table13[[#This Row],[IP]],LEN(Table13[[#This Row],[IP]])-1,1)+(--MID(Table13[[#This Row],[IP]],8,1)-1)*9</f>
        <v>59</v>
      </c>
      <c r="O6" s="58" t="s">
        <v>119</v>
      </c>
      <c r="P6" s="63">
        <v>17</v>
      </c>
      <c r="Q6" s="59">
        <f>MID(Table13[[#This Row],[IP]],LEN(Table13[[#This Row],[IP]])-1,1)+(--MID(O6,8,1)-1)*9</f>
        <v>68</v>
      </c>
      <c r="T6">
        <v>5</v>
      </c>
    </row>
    <row r="7" spans="1:20" x14ac:dyDescent="0.15">
      <c r="A7" t="str">
        <f t="shared" si="0"/>
        <v>10.238.7.61</v>
      </c>
      <c r="B7" s="40" t="s">
        <v>114</v>
      </c>
      <c r="C7">
        <f>MID(Table13[[#This Row],[IP]],LEN(Table13[[#This Row],[IP]])-1,1)+(--MID(Table13[[#This Row],[IP]],8,1)-1)*9</f>
        <v>60</v>
      </c>
      <c r="O7" s="61" t="s">
        <v>120</v>
      </c>
      <c r="P7" s="64">
        <v>18</v>
      </c>
      <c r="Q7" s="59">
        <f>MID(Table13[[#This Row],[IP]],LEN(Table13[[#This Row],[IP]])-1,1)+(--MID(O7,8,1)-1)*9</f>
        <v>69</v>
      </c>
      <c r="T7">
        <v>6</v>
      </c>
    </row>
    <row r="8" spans="1:20" x14ac:dyDescent="0.15">
      <c r="A8" t="str">
        <f t="shared" si="0"/>
        <v>10.238.7.71</v>
      </c>
      <c r="B8" s="40" t="s">
        <v>114</v>
      </c>
      <c r="C8">
        <f>MID(Table13[[#This Row],[IP]],LEN(Table13[[#This Row],[IP]])-1,1)+(--MID(Table13[[#This Row],[IP]],8,1)-1)*9</f>
        <v>61</v>
      </c>
      <c r="O8" s="58" t="s">
        <v>121</v>
      </c>
      <c r="P8" s="63">
        <v>13</v>
      </c>
      <c r="Q8" s="59">
        <f>MID(Table13[[#This Row],[IP]],LEN(Table13[[#This Row],[IP]])-1,1)+(--MID(O8,8,1)-1)*9</f>
        <v>70</v>
      </c>
      <c r="T8">
        <v>7</v>
      </c>
    </row>
    <row r="9" spans="1:20" x14ac:dyDescent="0.15">
      <c r="A9" t="str">
        <f t="shared" si="0"/>
        <v>10.238.7.81</v>
      </c>
      <c r="B9" s="40" t="s">
        <v>114</v>
      </c>
      <c r="C9">
        <f>MID(Table13[[#This Row],[IP]],LEN(Table13[[#This Row],[IP]])-1,1)+(--MID(Table13[[#This Row],[IP]],8,1)-1)*9</f>
        <v>62</v>
      </c>
      <c r="O9" s="61" t="s">
        <v>122</v>
      </c>
      <c r="P9" s="64">
        <v>17</v>
      </c>
      <c r="Q9" s="59">
        <f>MID(Table13[[#This Row],[IP]],LEN(Table13[[#This Row],[IP]])-1,1)+(--MID(O9,8,1)-1)*9</f>
        <v>71</v>
      </c>
      <c r="T9">
        <v>8</v>
      </c>
    </row>
    <row r="10" spans="1:20" x14ac:dyDescent="0.15">
      <c r="A10" t="str">
        <f t="shared" si="0"/>
        <v>10.238.7.91</v>
      </c>
      <c r="B10" s="40" t="s">
        <v>114</v>
      </c>
      <c r="C10">
        <f>MID(Table13[[#This Row],[IP]],LEN(Table13[[#This Row],[IP]])-1,1)+(--MID(Table13[[#This Row],[IP]],8,1)-1)*9</f>
        <v>63</v>
      </c>
      <c r="O10" s="58" t="s">
        <v>123</v>
      </c>
      <c r="P10" s="63">
        <v>20</v>
      </c>
      <c r="Q10" s="59">
        <f>MID(Table13[[#This Row],[IP]],LEN(Table13[[#This Row],[IP]])-1,1)+(--MID(O10,8,1)-1)*9</f>
        <v>72</v>
      </c>
    </row>
    <row r="11" spans="1:20" x14ac:dyDescent="0.15">
      <c r="B11" s="40"/>
    </row>
    <row r="12" spans="1:20" x14ac:dyDescent="0.15">
      <c r="B12" s="40"/>
    </row>
    <row r="13" spans="1:20" x14ac:dyDescent="0.15">
      <c r="B13" s="40"/>
    </row>
    <row r="14" spans="1:20" x14ac:dyDescent="0.15">
      <c r="B14" s="40"/>
    </row>
    <row r="15" spans="1:20" x14ac:dyDescent="0.15">
      <c r="B15" s="40"/>
    </row>
    <row r="16" spans="1:20" x14ac:dyDescent="0.15">
      <c r="B16" s="40"/>
    </row>
    <row r="17" spans="2:22" x14ac:dyDescent="0.15">
      <c r="B17" s="40"/>
    </row>
    <row r="18" spans="2:22" x14ac:dyDescent="0.15">
      <c r="B18" s="40"/>
      <c r="G18">
        <v>41</v>
      </c>
      <c r="H18">
        <v>31</v>
      </c>
      <c r="I18">
        <v>45</v>
      </c>
      <c r="J18">
        <v>54</v>
      </c>
      <c r="K18">
        <v>48</v>
      </c>
      <c r="L18">
        <v>46</v>
      </c>
      <c r="M18">
        <v>31</v>
      </c>
      <c r="N18">
        <v>45</v>
      </c>
      <c r="O18">
        <v>30</v>
      </c>
      <c r="P18">
        <v>53</v>
      </c>
      <c r="Q18">
        <v>33</v>
      </c>
      <c r="R18">
        <v>30</v>
      </c>
      <c r="S18">
        <v>42</v>
      </c>
      <c r="T18">
        <v>56</v>
      </c>
      <c r="U18">
        <v>30</v>
      </c>
      <c r="V18">
        <v>39</v>
      </c>
    </row>
    <row r="19" spans="2:22" x14ac:dyDescent="0.15">
      <c r="B19" s="40"/>
      <c r="G19" t="str">
        <f>CHAR(HEX2DEC(G18))</f>
        <v>A</v>
      </c>
      <c r="H19" t="str">
        <f t="shared" ref="H19:V19" si="1">CHAR(HEX2DEC(H18))</f>
        <v>1</v>
      </c>
      <c r="I19" t="str">
        <f t="shared" si="1"/>
        <v>E</v>
      </c>
      <c r="J19" t="str">
        <f t="shared" si="1"/>
        <v>T</v>
      </c>
      <c r="K19" t="str">
        <f t="shared" si="1"/>
        <v>H</v>
      </c>
      <c r="L19" t="str">
        <f t="shared" si="1"/>
        <v>F</v>
      </c>
      <c r="M19" t="str">
        <f t="shared" si="1"/>
        <v>1</v>
      </c>
      <c r="N19" t="str">
        <f t="shared" si="1"/>
        <v>E</v>
      </c>
      <c r="O19" t="str">
        <f t="shared" si="1"/>
        <v>0</v>
      </c>
      <c r="P19" t="str">
        <f t="shared" si="1"/>
        <v>S</v>
      </c>
      <c r="Q19" t="str">
        <f t="shared" si="1"/>
        <v>3</v>
      </c>
      <c r="R19" t="str">
        <f t="shared" si="1"/>
        <v>0</v>
      </c>
      <c r="S19" t="str">
        <f t="shared" si="1"/>
        <v>B</v>
      </c>
      <c r="T19" t="str">
        <f t="shared" si="1"/>
        <v>V</v>
      </c>
      <c r="U19" t="str">
        <f t="shared" si="1"/>
        <v>0</v>
      </c>
      <c r="V19" t="str">
        <f t="shared" si="1"/>
        <v>9</v>
      </c>
    </row>
    <row r="20" spans="2:22" x14ac:dyDescent="0.15">
      <c r="B20" s="40"/>
    </row>
    <row r="21" spans="2:22" x14ac:dyDescent="0.15">
      <c r="B21" s="40"/>
    </row>
    <row r="22" spans="2:22" x14ac:dyDescent="0.15">
      <c r="B22" s="40"/>
    </row>
    <row r="23" spans="2:22" x14ac:dyDescent="0.15">
      <c r="B23" s="40"/>
    </row>
    <row r="24" spans="2:22" x14ac:dyDescent="0.15">
      <c r="B24" s="40"/>
    </row>
    <row r="25" spans="2:22" x14ac:dyDescent="0.15">
      <c r="B25" s="40"/>
    </row>
    <row r="26" spans="2:22" x14ac:dyDescent="0.15">
      <c r="B26" s="40"/>
    </row>
    <row r="27" spans="2:22" x14ac:dyDescent="0.15">
      <c r="B27" s="40"/>
    </row>
    <row r="28" spans="2:22" x14ac:dyDescent="0.15">
      <c r="B28" s="40"/>
    </row>
    <row r="29" spans="2:22" x14ac:dyDescent="0.15">
      <c r="B29" s="40"/>
    </row>
    <row r="30" spans="2:22" x14ac:dyDescent="0.15">
      <c r="B30" s="40"/>
    </row>
    <row r="31" spans="2:22" x14ac:dyDescent="0.15">
      <c r="B31" s="40"/>
    </row>
    <row r="32" spans="2:22" x14ac:dyDescent="0.15">
      <c r="B32" s="40"/>
    </row>
    <row r="33" spans="2:2" x14ac:dyDescent="0.15">
      <c r="B33" s="40"/>
    </row>
    <row r="34" spans="2:2" x14ac:dyDescent="0.15">
      <c r="B34" s="40"/>
    </row>
    <row r="35" spans="2:2" x14ac:dyDescent="0.15">
      <c r="B35" s="40"/>
    </row>
    <row r="36" spans="2:2" x14ac:dyDescent="0.15">
      <c r="B36" s="40"/>
    </row>
    <row r="37" spans="2:2" x14ac:dyDescent="0.15">
      <c r="B37" s="40"/>
    </row>
  </sheetData>
  <dataValidations count="1">
    <dataValidation type="list" allowBlank="1" showInputMessage="1" showErrorMessage="1" sqref="K1" xr:uid="{B0AB4E8F-5CE2-40C2-9734-0118DAA05782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adRegisters">
                <anchor>
                  <from>
                    <xdr:col>4</xdr:col>
                    <xdr:colOff>476250</xdr:colOff>
                    <xdr:row>1</xdr:row>
                    <xdr:rowOff>123825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FPG">
                <anchor>
                  <from>
                    <xdr:col>4</xdr:col>
                    <xdr:colOff>485775</xdr:colOff>
                    <xdr:row>5</xdr:row>
                    <xdr:rowOff>161925</xdr:rowOff>
                  </from>
                  <to>
                    <xdr:col>6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G41"/>
  <sheetViews>
    <sheetView workbookViewId="0">
      <pane ySplit="1" topLeftCell="A2" activePane="bottomLeft" state="frozen"/>
      <selection pane="bottomLeft" activeCell="A5" sqref="A5"/>
    </sheetView>
  </sheetViews>
  <sheetFormatPr defaultRowHeight="13.5" x14ac:dyDescent="0.15"/>
  <cols>
    <col min="1" max="1" width="13.5" customWidth="1"/>
    <col min="2" max="2" width="13" customWidth="1"/>
    <col min="6" max="6" width="17.5" bestFit="1" customWidth="1"/>
    <col min="7" max="7" width="13.625" bestFit="1" customWidth="1"/>
    <col min="13" max="13" width="11.875" bestFit="1" customWidth="1"/>
  </cols>
  <sheetData>
    <row r="1" spans="1:6" x14ac:dyDescent="0.15">
      <c r="A1" t="s">
        <v>38</v>
      </c>
      <c r="B1" t="s">
        <v>112</v>
      </c>
      <c r="E1" t="s">
        <v>59</v>
      </c>
      <c r="F1" s="55" t="s">
        <v>124</v>
      </c>
    </row>
    <row r="2" spans="1:6" x14ac:dyDescent="0.15">
      <c r="A2" t="s">
        <v>167</v>
      </c>
      <c r="B2" s="40" t="e" cm="1">
        <f t="array" ref="B2">ReadRegf(Table14[[#This Row],[IP]],E2)</f>
        <v>#VALUE!</v>
      </c>
      <c r="E2">
        <v>16</v>
      </c>
      <c r="F2" t="s">
        <v>125</v>
      </c>
    </row>
    <row r="3" spans="1:6" x14ac:dyDescent="0.15">
      <c r="B3" s="40" t="e" cm="1">
        <f t="array" ref="B3">ReadRegf(Table14[[#This Row],[IP]],E3)</f>
        <v>#VALUE!</v>
      </c>
      <c r="E3">
        <v>17</v>
      </c>
      <c r="F3" t="s">
        <v>125</v>
      </c>
    </row>
    <row r="4" spans="1:6" x14ac:dyDescent="0.15">
      <c r="B4" s="40" t="e" cm="1">
        <f t="array" ref="B4">ReadRegf(Table14[[#This Row],[IP]],E4)</f>
        <v>#VALUE!</v>
      </c>
      <c r="E4">
        <v>770</v>
      </c>
      <c r="F4" t="s">
        <v>126</v>
      </c>
    </row>
    <row r="5" spans="1:6" x14ac:dyDescent="0.15">
      <c r="B5" s="40" t="e" cm="1">
        <f t="array" ref="B5">ReadRegf(Table14[[#This Row],[IP]],E5)</f>
        <v>#VALUE!</v>
      </c>
      <c r="E5">
        <v>32</v>
      </c>
      <c r="F5" t="s">
        <v>127</v>
      </c>
    </row>
    <row r="6" spans="1:6" x14ac:dyDescent="0.15">
      <c r="B6" s="40" t="e" cm="1">
        <f t="array" ref="B6">ReadRegf(Table14[[#This Row],[IP]],E6)</f>
        <v>#VALUE!</v>
      </c>
      <c r="E6">
        <v>33</v>
      </c>
      <c r="F6" t="s">
        <v>128</v>
      </c>
    </row>
    <row r="7" spans="1:6" x14ac:dyDescent="0.15">
      <c r="B7" s="40" t="e" cm="1">
        <f t="array" ref="B7">ReadRegf(Table14[[#This Row],[IP]],E7)</f>
        <v>#VALUE!</v>
      </c>
      <c r="E7">
        <v>34</v>
      </c>
      <c r="F7" t="s">
        <v>129</v>
      </c>
    </row>
    <row r="8" spans="1:6" x14ac:dyDescent="0.15">
      <c r="B8" s="40" t="e" cm="1">
        <f t="array" ref="B8">ReadRegf(Table14[[#This Row],[IP]],E8)</f>
        <v>#VALUE!</v>
      </c>
      <c r="E8">
        <v>36</v>
      </c>
      <c r="F8" t="s">
        <v>130</v>
      </c>
    </row>
    <row r="9" spans="1:6" x14ac:dyDescent="0.15">
      <c r="B9" s="40" t="e" cm="1">
        <f t="array" ref="B9">ReadRegf(Table14[[#This Row],[IP]],E9)</f>
        <v>#VALUE!</v>
      </c>
      <c r="E9">
        <v>37</v>
      </c>
      <c r="F9" t="s">
        <v>131</v>
      </c>
    </row>
    <row r="10" spans="1:6" x14ac:dyDescent="0.15">
      <c r="B10" s="40" t="e" cm="1">
        <f t="array" ref="B10">ReadRegf(Table14[[#This Row],[IP]],E10)</f>
        <v>#VALUE!</v>
      </c>
      <c r="E10">
        <v>38</v>
      </c>
      <c r="F10" t="s">
        <v>132</v>
      </c>
    </row>
    <row r="11" spans="1:6" x14ac:dyDescent="0.15">
      <c r="B11" s="40" t="e" cm="1">
        <f t="array" ref="B11">ReadRegf(Table14[[#This Row],[IP]],E11)</f>
        <v>#VALUE!</v>
      </c>
      <c r="E11">
        <v>896</v>
      </c>
      <c r="F11" t="s">
        <v>133</v>
      </c>
    </row>
    <row r="12" spans="1:6" x14ac:dyDescent="0.15">
      <c r="B12" s="40" t="e" cm="1">
        <f t="array" ref="B12">ReadRegf(Table14[[#This Row],[IP]],E12)</f>
        <v>#VALUE!</v>
      </c>
      <c r="E12">
        <v>897</v>
      </c>
      <c r="F12" t="s">
        <v>134</v>
      </c>
    </row>
    <row r="13" spans="1:6" x14ac:dyDescent="0.15">
      <c r="B13" s="40" t="e" cm="1">
        <f t="array" ref="B13">ReadRegf(Table14[[#This Row],[IP]],E13)</f>
        <v>#VALUE!</v>
      </c>
      <c r="E13">
        <v>898</v>
      </c>
      <c r="F13" t="s">
        <v>135</v>
      </c>
    </row>
    <row r="14" spans="1:6" x14ac:dyDescent="0.15">
      <c r="B14" s="40" t="e" cm="1">
        <f t="array" ref="B14">ReadRegf(Table14[[#This Row],[IP]],E14)</f>
        <v>#VALUE!</v>
      </c>
      <c r="E14">
        <v>907</v>
      </c>
      <c r="F14" t="s">
        <v>136</v>
      </c>
    </row>
    <row r="15" spans="1:6" x14ac:dyDescent="0.15">
      <c r="B15" s="40" t="e" cm="1">
        <f t="array" ref="B15">ReadRegf(Table14[[#This Row],[IP]],E15)</f>
        <v>#VALUE!</v>
      </c>
      <c r="E15">
        <v>908</v>
      </c>
      <c r="F15" t="s">
        <v>137</v>
      </c>
    </row>
    <row r="16" spans="1:6" x14ac:dyDescent="0.15">
      <c r="B16" s="40" t="e" cm="1">
        <f t="array" ref="B16">ReadRegf(Table14[[#This Row],[IP]],E16)</f>
        <v>#VALUE!</v>
      </c>
      <c r="E16">
        <v>1057</v>
      </c>
      <c r="F16" t="s">
        <v>142</v>
      </c>
    </row>
    <row r="17" spans="2:6" x14ac:dyDescent="0.15">
      <c r="B17" s="40" t="e" cm="1">
        <f t="array" ref="B17">ReadRegf(Table14[[#This Row],[IP]],E17)</f>
        <v>#VALUE!</v>
      </c>
      <c r="E17">
        <v>1058</v>
      </c>
      <c r="F17" t="s">
        <v>138</v>
      </c>
    </row>
    <row r="18" spans="2:6" x14ac:dyDescent="0.15">
      <c r="B18" s="40" t="e" cm="1">
        <f t="array" ref="B18">ReadRegf(Table14[[#This Row],[IP]],E18)</f>
        <v>#VALUE!</v>
      </c>
      <c r="E18">
        <v>1059</v>
      </c>
      <c r="F18" t="s">
        <v>139</v>
      </c>
    </row>
    <row r="19" spans="2:6" x14ac:dyDescent="0.15">
      <c r="B19" s="40" t="e" cm="1">
        <f t="array" ref="B19">ReadRegf(Table14[[#This Row],[IP]],E19)</f>
        <v>#VALUE!</v>
      </c>
      <c r="E19">
        <v>1067</v>
      </c>
      <c r="F19" t="s">
        <v>140</v>
      </c>
    </row>
    <row r="20" spans="2:6" x14ac:dyDescent="0.15">
      <c r="B20" s="40" t="e" cm="1">
        <f t="array" ref="B20">ReadRegf(Table14[[#This Row],[IP]],E20)</f>
        <v>#VALUE!</v>
      </c>
      <c r="E20">
        <v>1068</v>
      </c>
      <c r="F20" t="s">
        <v>141</v>
      </c>
    </row>
    <row r="21" spans="2:6" x14ac:dyDescent="0.15">
      <c r="B21" s="40" t="e" cm="1">
        <f t="array" ref="B21">ReadRegf(Table14[[#This Row],[IP]],E21)</f>
        <v>#VALUE!</v>
      </c>
      <c r="E21">
        <f>E16+1024</f>
        <v>2081</v>
      </c>
      <c r="F21" t="s">
        <v>145</v>
      </c>
    </row>
    <row r="22" spans="2:6" x14ac:dyDescent="0.15">
      <c r="B22" s="40" t="e" cm="1">
        <f t="array" ref="B22">ReadRegf(Table14[[#This Row],[IP]],E22)</f>
        <v>#VALUE!</v>
      </c>
      <c r="E22">
        <f t="shared" ref="E22:E40" si="0">E17+1024</f>
        <v>2082</v>
      </c>
      <c r="F22" t="s">
        <v>146</v>
      </c>
    </row>
    <row r="23" spans="2:6" x14ac:dyDescent="0.15">
      <c r="B23" s="40" t="e" cm="1">
        <f t="array" ref="B23">ReadRegf(Table14[[#This Row],[IP]],E23)</f>
        <v>#VALUE!</v>
      </c>
      <c r="E23">
        <f t="shared" si="0"/>
        <v>2083</v>
      </c>
      <c r="F23" t="s">
        <v>147</v>
      </c>
    </row>
    <row r="24" spans="2:6" x14ac:dyDescent="0.15">
      <c r="B24" s="40" t="e" cm="1">
        <f t="array" ref="B24">ReadRegf(Table14[[#This Row],[IP]],E24)</f>
        <v>#VALUE!</v>
      </c>
      <c r="E24">
        <f t="shared" si="0"/>
        <v>2091</v>
      </c>
      <c r="F24" t="s">
        <v>148</v>
      </c>
    </row>
    <row r="25" spans="2:6" x14ac:dyDescent="0.15">
      <c r="B25" s="40" t="e" cm="1">
        <f t="array" ref="B25">ReadRegf(Table14[[#This Row],[IP]],E25)</f>
        <v>#VALUE!</v>
      </c>
      <c r="E25">
        <f t="shared" si="0"/>
        <v>2092</v>
      </c>
      <c r="F25" t="s">
        <v>149</v>
      </c>
    </row>
    <row r="26" spans="2:6" x14ac:dyDescent="0.15">
      <c r="B26" s="40" t="e" cm="1">
        <f t="array" ref="B26">ReadRegf(Table14[[#This Row],[IP]],E26)</f>
        <v>#VALUE!</v>
      </c>
      <c r="E26">
        <f>E21+1024</f>
        <v>3105</v>
      </c>
      <c r="F26" t="s">
        <v>150</v>
      </c>
    </row>
    <row r="27" spans="2:6" x14ac:dyDescent="0.15">
      <c r="B27" s="40" t="e" cm="1">
        <f t="array" ref="B27">ReadRegf(Table14[[#This Row],[IP]],E27)</f>
        <v>#VALUE!</v>
      </c>
      <c r="E27">
        <f t="shared" si="0"/>
        <v>3106</v>
      </c>
      <c r="F27" t="s">
        <v>151</v>
      </c>
    </row>
    <row r="28" spans="2:6" x14ac:dyDescent="0.15">
      <c r="B28" s="40" t="e" cm="1">
        <f t="array" ref="B28">ReadRegf(Table14[[#This Row],[IP]],E28)</f>
        <v>#VALUE!</v>
      </c>
      <c r="E28">
        <f t="shared" si="0"/>
        <v>3107</v>
      </c>
      <c r="F28" t="s">
        <v>152</v>
      </c>
    </row>
    <row r="29" spans="2:6" x14ac:dyDescent="0.15">
      <c r="B29" s="40" t="e" cm="1">
        <f t="array" ref="B29">ReadRegf(Table14[[#This Row],[IP]],E29)</f>
        <v>#VALUE!</v>
      </c>
      <c r="E29">
        <f t="shared" si="0"/>
        <v>3115</v>
      </c>
      <c r="F29" t="s">
        <v>153</v>
      </c>
    </row>
    <row r="30" spans="2:6" x14ac:dyDescent="0.15">
      <c r="B30" s="40" t="e" cm="1">
        <f t="array" ref="B30">ReadRegf(Table14[[#This Row],[IP]],E30)</f>
        <v>#VALUE!</v>
      </c>
      <c r="E30">
        <f t="shared" si="0"/>
        <v>3116</v>
      </c>
      <c r="F30" t="s">
        <v>154</v>
      </c>
    </row>
    <row r="31" spans="2:6" x14ac:dyDescent="0.15">
      <c r="B31" s="40" t="e" cm="1">
        <f t="array" ref="B31">ReadRegf(Table14[[#This Row],[IP]],E31)</f>
        <v>#VALUE!</v>
      </c>
      <c r="E31">
        <f>E26+1024</f>
        <v>4129</v>
      </c>
      <c r="F31" t="s">
        <v>155</v>
      </c>
    </row>
    <row r="32" spans="2:6" x14ac:dyDescent="0.15">
      <c r="B32" s="40" t="e" cm="1">
        <f t="array" ref="B32">ReadRegf(Table14[[#This Row],[IP]],E32)</f>
        <v>#VALUE!</v>
      </c>
      <c r="E32">
        <f t="shared" si="0"/>
        <v>4130</v>
      </c>
      <c r="F32" t="s">
        <v>156</v>
      </c>
    </row>
    <row r="33" spans="2:7" x14ac:dyDescent="0.15">
      <c r="B33" s="40" t="e" cm="1">
        <f t="array" ref="B33">ReadRegf(Table14[[#This Row],[IP]],E33)</f>
        <v>#VALUE!</v>
      </c>
      <c r="E33">
        <f t="shared" si="0"/>
        <v>4131</v>
      </c>
      <c r="F33" t="s">
        <v>157</v>
      </c>
    </row>
    <row r="34" spans="2:7" x14ac:dyDescent="0.15">
      <c r="B34" s="40" t="e" cm="1">
        <f t="array" ref="B34">ReadRegf(Table14[[#This Row],[IP]],E34)</f>
        <v>#VALUE!</v>
      </c>
      <c r="E34">
        <f t="shared" si="0"/>
        <v>4139</v>
      </c>
      <c r="F34" t="s">
        <v>158</v>
      </c>
    </row>
    <row r="35" spans="2:7" x14ac:dyDescent="0.15">
      <c r="B35" s="40" t="e" cm="1">
        <f t="array" ref="B35">ReadRegf(Table14[[#This Row],[IP]],E35)</f>
        <v>#VALUE!</v>
      </c>
      <c r="E35">
        <f t="shared" si="0"/>
        <v>4140</v>
      </c>
      <c r="F35" t="s">
        <v>159</v>
      </c>
    </row>
    <row r="36" spans="2:7" x14ac:dyDescent="0.15">
      <c r="B36" s="40" t="e" cm="1">
        <f t="array" ref="B36">ReadRegf(Table14[[#This Row],[IP]],E36)</f>
        <v>#VALUE!</v>
      </c>
      <c r="E36">
        <f>E31+1024</f>
        <v>5153</v>
      </c>
      <c r="F36" t="s">
        <v>160</v>
      </c>
    </row>
    <row r="37" spans="2:7" x14ac:dyDescent="0.15">
      <c r="B37" s="40" t="e" cm="1">
        <f t="array" ref="B37">ReadRegf(Table14[[#This Row],[IP]],E37)</f>
        <v>#VALUE!</v>
      </c>
      <c r="E37">
        <f t="shared" si="0"/>
        <v>5154</v>
      </c>
      <c r="F37" t="s">
        <v>161</v>
      </c>
    </row>
    <row r="38" spans="2:7" x14ac:dyDescent="0.15">
      <c r="B38" s="40" t="e" cm="1">
        <f t="array" ref="B38">ReadRegf(Table14[[#This Row],[IP]],E38)</f>
        <v>#VALUE!</v>
      </c>
      <c r="E38">
        <f t="shared" si="0"/>
        <v>5155</v>
      </c>
      <c r="F38" t="s">
        <v>162</v>
      </c>
    </row>
    <row r="39" spans="2:7" x14ac:dyDescent="0.15">
      <c r="B39" s="40" t="e" cm="1">
        <f t="array" ref="B39">ReadRegf(Table14[[#This Row],[IP]],E39)</f>
        <v>#VALUE!</v>
      </c>
      <c r="E39">
        <f t="shared" si="0"/>
        <v>5163</v>
      </c>
      <c r="F39" t="s">
        <v>163</v>
      </c>
    </row>
    <row r="40" spans="2:7" x14ac:dyDescent="0.15">
      <c r="B40" s="40" t="e" cm="1">
        <f t="array" ref="B40">ReadRegf(Table14[[#This Row],[IP]],E40)</f>
        <v>#VALUE!</v>
      </c>
      <c r="E40">
        <f t="shared" si="0"/>
        <v>5164</v>
      </c>
      <c r="F40" t="s">
        <v>164</v>
      </c>
    </row>
    <row r="41" spans="2:7" x14ac:dyDescent="0.15">
      <c r="B41" s="40" t="e" cm="1">
        <f t="array" ref="B41">ReadRegf(Table14[[#This Row],[IP]],E41)</f>
        <v>#VALUE!</v>
      </c>
      <c r="E41">
        <v>279</v>
      </c>
      <c r="F41" t="s">
        <v>144</v>
      </c>
      <c r="G41" t="e">
        <f>DEC2HEX(Table14[[#This Row],[Value]]*10)</f>
        <v>#VALUE!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S290"/>
  <sheetViews>
    <sheetView workbookViewId="0">
      <selection activeCell="B43" sqref="B43"/>
    </sheetView>
  </sheetViews>
  <sheetFormatPr defaultRowHeight="13.5" x14ac:dyDescent="0.15"/>
  <cols>
    <col min="1" max="1" width="14.25" customWidth="1"/>
    <col min="2" max="2" width="2.625" bestFit="1" customWidth="1"/>
    <col min="3" max="3" width="2.875" bestFit="1" customWidth="1"/>
    <col min="16" max="17" width="6.75" customWidth="1"/>
  </cols>
  <sheetData>
    <row r="1" spans="1:19" ht="15" x14ac:dyDescent="0.25">
      <c r="A1" t="s">
        <v>38</v>
      </c>
      <c r="B1" s="67" t="s">
        <v>39</v>
      </c>
      <c r="C1" s="67" t="s">
        <v>168</v>
      </c>
      <c r="D1" s="67" t="s">
        <v>169</v>
      </c>
      <c r="E1" s="67" t="s">
        <v>170</v>
      </c>
      <c r="F1" s="67" t="s">
        <v>171</v>
      </c>
      <c r="G1" s="67" t="s">
        <v>172</v>
      </c>
      <c r="H1" s="67" t="s">
        <v>173</v>
      </c>
      <c r="I1" s="67" t="s">
        <v>174</v>
      </c>
      <c r="J1" s="67" t="s">
        <v>175</v>
      </c>
      <c r="K1" s="67" t="s">
        <v>176</v>
      </c>
      <c r="L1" s="67" t="s">
        <v>177</v>
      </c>
      <c r="M1" s="67" t="s">
        <v>178</v>
      </c>
      <c r="N1" s="67" t="s">
        <v>179</v>
      </c>
      <c r="O1" s="67" t="s">
        <v>180</v>
      </c>
      <c r="P1" s="68" t="str">
        <f ca="1">"note-"&amp;TEXT(NOW(),"yyyymmdd-hhmmss")</f>
        <v>note-20241124-062953</v>
      </c>
    </row>
    <row r="2" spans="1:19" ht="15" x14ac:dyDescent="0.25">
      <c r="B2" s="67"/>
      <c r="C2" s="67"/>
      <c r="D2" s="67">
        <v>34</v>
      </c>
      <c r="E2" s="67">
        <v>32</v>
      </c>
      <c r="F2" s="67">
        <v>1059</v>
      </c>
      <c r="G2" s="67">
        <f>F2+1024</f>
        <v>2083</v>
      </c>
      <c r="H2" s="67">
        <f t="shared" ref="H2:J2" si="0">G2+1024</f>
        <v>3107</v>
      </c>
      <c r="I2" s="67">
        <f t="shared" si="0"/>
        <v>4131</v>
      </c>
      <c r="J2" s="67">
        <f t="shared" si="0"/>
        <v>5155</v>
      </c>
      <c r="K2" s="67">
        <v>1057</v>
      </c>
      <c r="L2" s="67">
        <f>K2+1024</f>
        <v>2081</v>
      </c>
      <c r="M2" s="67">
        <f t="shared" ref="M2:O2" si="1">L2+1024</f>
        <v>3105</v>
      </c>
      <c r="N2" s="67">
        <f t="shared" si="1"/>
        <v>4129</v>
      </c>
      <c r="O2" s="67">
        <f t="shared" si="1"/>
        <v>5153</v>
      </c>
      <c r="P2" s="72">
        <v>16</v>
      </c>
      <c r="Q2" s="73">
        <v>17</v>
      </c>
      <c r="R2" s="73">
        <v>770</v>
      </c>
      <c r="S2" s="73">
        <v>907</v>
      </c>
    </row>
    <row r="3" spans="1:19" ht="15" x14ac:dyDescent="0.25">
      <c r="A3" t="s">
        <v>182</v>
      </c>
      <c r="B3" s="69">
        <v>1</v>
      </c>
      <c r="C3" s="69" t="s">
        <v>50</v>
      </c>
      <c r="D3" s="71">
        <v>21.6</v>
      </c>
      <c r="E3" s="71">
        <v>0</v>
      </c>
      <c r="F3" s="71">
        <v>21.8</v>
      </c>
      <c r="G3" s="71">
        <v>21.8</v>
      </c>
      <c r="H3" s="71">
        <v>21.6</v>
      </c>
      <c r="I3" s="71">
        <v>21.6</v>
      </c>
      <c r="J3" s="71">
        <v>21.8</v>
      </c>
      <c r="K3" s="71">
        <v>1357.2</v>
      </c>
      <c r="L3" s="71">
        <v>1358.6</v>
      </c>
      <c r="M3" s="71">
        <v>1357.3</v>
      </c>
      <c r="N3" s="71">
        <v>1358</v>
      </c>
      <c r="O3" s="71">
        <v>1356.7</v>
      </c>
      <c r="P3" s="70">
        <v>204.8</v>
      </c>
      <c r="Q3">
        <v>64</v>
      </c>
      <c r="R3">
        <v>5</v>
      </c>
    </row>
    <row r="4" spans="1:19" ht="15" x14ac:dyDescent="0.25">
      <c r="A4" t="s">
        <v>183</v>
      </c>
      <c r="B4" s="69">
        <v>1</v>
      </c>
      <c r="C4" s="69" t="s">
        <v>51</v>
      </c>
      <c r="D4" s="71">
        <v>18.600000000000001</v>
      </c>
      <c r="E4" s="71">
        <v>0</v>
      </c>
      <c r="F4" s="71">
        <v>21.6</v>
      </c>
      <c r="G4" s="71">
        <v>20.7</v>
      </c>
      <c r="H4" s="71">
        <v>18.899999999999999</v>
      </c>
      <c r="I4" s="71">
        <v>18.8</v>
      </c>
      <c r="J4" s="71">
        <v>18</v>
      </c>
      <c r="K4" s="71">
        <v>1350.5</v>
      </c>
      <c r="L4" s="71">
        <v>1351.5</v>
      </c>
      <c r="M4" s="71">
        <v>1352.1</v>
      </c>
      <c r="N4" s="71">
        <v>1350.9</v>
      </c>
      <c r="O4" s="71">
        <v>1351.6</v>
      </c>
      <c r="P4" s="70">
        <v>204.8</v>
      </c>
      <c r="Q4">
        <v>64</v>
      </c>
      <c r="R4">
        <v>5</v>
      </c>
    </row>
    <row r="5" spans="1:19" ht="15" x14ac:dyDescent="0.25">
      <c r="A5" t="s">
        <v>184</v>
      </c>
      <c r="B5" s="69">
        <v>1</v>
      </c>
      <c r="C5" s="69" t="s">
        <v>52</v>
      </c>
      <c r="D5" s="69">
        <v>22.2</v>
      </c>
      <c r="E5" s="69">
        <v>0</v>
      </c>
      <c r="F5" s="69">
        <v>24.1</v>
      </c>
      <c r="G5" s="69">
        <v>23.3</v>
      </c>
      <c r="H5" s="69">
        <v>21.8</v>
      </c>
      <c r="I5" s="69">
        <v>23.2</v>
      </c>
      <c r="J5" s="69">
        <v>21.7</v>
      </c>
      <c r="K5" s="69">
        <v>1359.4</v>
      </c>
      <c r="L5" s="69">
        <v>1358.9</v>
      </c>
      <c r="M5" s="69">
        <v>1359</v>
      </c>
      <c r="N5" s="69">
        <v>1360</v>
      </c>
      <c r="O5" s="69">
        <v>1359.4</v>
      </c>
      <c r="P5" s="70">
        <v>204.8</v>
      </c>
      <c r="Q5">
        <v>64</v>
      </c>
      <c r="R5">
        <v>5</v>
      </c>
    </row>
    <row r="6" spans="1:19" ht="15" x14ac:dyDescent="0.25">
      <c r="A6" t="s">
        <v>185</v>
      </c>
      <c r="B6" s="69">
        <v>1</v>
      </c>
      <c r="C6" s="69" t="s">
        <v>53</v>
      </c>
      <c r="D6" s="69">
        <v>23</v>
      </c>
      <c r="E6" s="69">
        <v>0</v>
      </c>
      <c r="F6" s="69">
        <v>23.3</v>
      </c>
      <c r="G6" s="69">
        <v>23.1</v>
      </c>
      <c r="H6" s="69">
        <v>23.1</v>
      </c>
      <c r="I6" s="69">
        <v>23.1</v>
      </c>
      <c r="J6" s="69">
        <v>23</v>
      </c>
      <c r="K6" s="69">
        <v>1362.2</v>
      </c>
      <c r="L6" s="69">
        <v>1362.6</v>
      </c>
      <c r="M6" s="69">
        <v>1362.3</v>
      </c>
      <c r="N6" s="69">
        <v>1361.9</v>
      </c>
      <c r="O6" s="69">
        <v>1362</v>
      </c>
      <c r="P6" s="70">
        <v>0</v>
      </c>
      <c r="Q6">
        <v>57.6</v>
      </c>
      <c r="R6">
        <v>5</v>
      </c>
    </row>
    <row r="7" spans="1:19" ht="15" x14ac:dyDescent="0.25">
      <c r="A7" t="s">
        <v>186</v>
      </c>
      <c r="B7" s="69">
        <v>2</v>
      </c>
      <c r="C7" s="69" t="s">
        <v>50</v>
      </c>
      <c r="D7" s="69">
        <v>22.1</v>
      </c>
      <c r="E7" s="69">
        <v>0</v>
      </c>
      <c r="F7" s="69">
        <v>26</v>
      </c>
      <c r="G7" s="69">
        <v>25.9</v>
      </c>
      <c r="H7" s="69">
        <v>21</v>
      </c>
      <c r="I7" s="69">
        <v>21.6</v>
      </c>
      <c r="J7" s="69">
        <v>21.7</v>
      </c>
      <c r="K7" s="69">
        <v>1360.1</v>
      </c>
      <c r="L7" s="69">
        <v>1359.5</v>
      </c>
      <c r="M7" s="69">
        <v>1360.5</v>
      </c>
      <c r="N7" s="69">
        <v>1359.7</v>
      </c>
      <c r="O7" s="69">
        <v>1359.3</v>
      </c>
      <c r="P7" s="70">
        <v>204.8</v>
      </c>
      <c r="Q7">
        <v>0</v>
      </c>
      <c r="R7">
        <v>5</v>
      </c>
    </row>
    <row r="8" spans="1:19" ht="15" x14ac:dyDescent="0.25">
      <c r="A8" t="s">
        <v>187</v>
      </c>
      <c r="B8" s="69">
        <v>2</v>
      </c>
      <c r="C8" s="69" t="s">
        <v>51</v>
      </c>
      <c r="D8" s="69">
        <v>20.6</v>
      </c>
      <c r="E8" s="69">
        <v>0</v>
      </c>
      <c r="F8" s="69">
        <v>22.4</v>
      </c>
      <c r="G8" s="69">
        <v>21.8</v>
      </c>
      <c r="H8" s="69">
        <v>20.399999999999999</v>
      </c>
      <c r="I8" s="69">
        <v>20.2</v>
      </c>
      <c r="J8" s="69">
        <v>20.7</v>
      </c>
      <c r="K8" s="69">
        <v>1365.6</v>
      </c>
      <c r="L8" s="69">
        <v>1365.9</v>
      </c>
      <c r="M8" s="69">
        <v>1369.1</v>
      </c>
      <c r="N8" s="69">
        <v>1367.9</v>
      </c>
      <c r="O8" s="69">
        <v>1368.3</v>
      </c>
      <c r="P8" s="70">
        <v>204.8</v>
      </c>
      <c r="Q8">
        <v>0</v>
      </c>
      <c r="R8">
        <v>5</v>
      </c>
    </row>
    <row r="9" spans="1:19" ht="15" x14ac:dyDescent="0.25">
      <c r="A9" t="s">
        <v>188</v>
      </c>
      <c r="B9" s="69">
        <v>2</v>
      </c>
      <c r="C9" s="69" t="s">
        <v>52</v>
      </c>
      <c r="D9" s="69">
        <v>23.2</v>
      </c>
      <c r="E9" s="69">
        <v>0</v>
      </c>
      <c r="F9" s="69">
        <v>28.2</v>
      </c>
      <c r="G9" s="69">
        <v>21.7</v>
      </c>
      <c r="H9" s="69">
        <v>22.8</v>
      </c>
      <c r="I9" s="69">
        <v>25.9</v>
      </c>
      <c r="J9" s="69">
        <v>21.7</v>
      </c>
      <c r="K9" s="69">
        <v>1360.6</v>
      </c>
      <c r="L9" s="69">
        <v>1361.7</v>
      </c>
      <c r="M9" s="69">
        <v>1361.5</v>
      </c>
      <c r="N9" s="69">
        <v>1361.2</v>
      </c>
      <c r="O9" s="69">
        <v>1362.2</v>
      </c>
      <c r="P9" s="70">
        <v>204.8</v>
      </c>
      <c r="Q9">
        <v>0</v>
      </c>
      <c r="R9">
        <v>5</v>
      </c>
    </row>
    <row r="10" spans="1:19" ht="15" x14ac:dyDescent="0.25">
      <c r="A10" t="s">
        <v>189</v>
      </c>
      <c r="B10" s="69">
        <v>2</v>
      </c>
      <c r="C10" s="69" t="s">
        <v>53</v>
      </c>
      <c r="D10" s="69">
        <v>23.1</v>
      </c>
      <c r="E10" s="69">
        <v>0</v>
      </c>
      <c r="F10" s="69">
        <v>23</v>
      </c>
      <c r="G10" s="69">
        <v>23</v>
      </c>
      <c r="H10" s="69">
        <v>22.9</v>
      </c>
      <c r="I10" s="69">
        <v>22.3</v>
      </c>
      <c r="J10" s="69">
        <v>25.8</v>
      </c>
      <c r="K10" s="69">
        <v>1361.8</v>
      </c>
      <c r="L10" s="69">
        <v>1361.1</v>
      </c>
      <c r="M10" s="69">
        <v>1362</v>
      </c>
      <c r="N10" s="69">
        <v>1361.8</v>
      </c>
      <c r="O10" s="69">
        <v>1361.1</v>
      </c>
      <c r="P10" s="70">
        <v>0</v>
      </c>
      <c r="Q10">
        <v>51.2</v>
      </c>
      <c r="R10">
        <v>5</v>
      </c>
    </row>
    <row r="11" spans="1:19" ht="15" x14ac:dyDescent="0.25">
      <c r="A11" t="s">
        <v>190</v>
      </c>
      <c r="B11" s="69">
        <v>3</v>
      </c>
      <c r="C11" s="69" t="s">
        <v>50</v>
      </c>
      <c r="D11" s="69">
        <v>24.9</v>
      </c>
      <c r="E11" s="69">
        <v>0</v>
      </c>
      <c r="F11" s="69">
        <v>25.2</v>
      </c>
      <c r="G11" s="69">
        <v>25.4</v>
      </c>
      <c r="H11" s="69">
        <v>25.5</v>
      </c>
      <c r="I11" s="69">
        <v>25.1</v>
      </c>
      <c r="J11" s="69">
        <v>24.8</v>
      </c>
      <c r="K11" s="69">
        <v>1364.6</v>
      </c>
      <c r="L11" s="69">
        <v>1363.7</v>
      </c>
      <c r="M11" s="69">
        <v>1364</v>
      </c>
      <c r="N11" s="69">
        <v>1364.9</v>
      </c>
      <c r="O11" s="69">
        <v>1362.6</v>
      </c>
      <c r="P11" s="70">
        <v>204.8</v>
      </c>
      <c r="Q11">
        <v>0</v>
      </c>
      <c r="R11">
        <v>5</v>
      </c>
    </row>
    <row r="12" spans="1:19" ht="15" x14ac:dyDescent="0.25">
      <c r="A12" t="s">
        <v>191</v>
      </c>
      <c r="B12" s="69">
        <v>3</v>
      </c>
      <c r="C12" s="69" t="s">
        <v>51</v>
      </c>
      <c r="D12" s="69">
        <v>24</v>
      </c>
      <c r="E12" s="69">
        <v>0</v>
      </c>
      <c r="F12" s="69">
        <v>24.3</v>
      </c>
      <c r="G12" s="69">
        <v>23.9</v>
      </c>
      <c r="H12" s="69">
        <v>24</v>
      </c>
      <c r="I12" s="69">
        <v>25.1</v>
      </c>
      <c r="J12" s="69">
        <v>23.7</v>
      </c>
      <c r="K12" s="69">
        <v>1363.1</v>
      </c>
      <c r="L12" s="69">
        <v>1364</v>
      </c>
      <c r="M12" s="69">
        <v>1361.8</v>
      </c>
      <c r="N12" s="69">
        <v>1362.4</v>
      </c>
      <c r="O12" s="69">
        <v>1363.6</v>
      </c>
      <c r="P12" s="70">
        <v>204.8</v>
      </c>
      <c r="Q12">
        <v>0</v>
      </c>
      <c r="R12">
        <v>5</v>
      </c>
    </row>
    <row r="13" spans="1:19" ht="15" x14ac:dyDescent="0.25">
      <c r="A13" t="s">
        <v>192</v>
      </c>
      <c r="B13" s="69">
        <v>3</v>
      </c>
      <c r="C13" s="69" t="s">
        <v>52</v>
      </c>
      <c r="D13" s="69">
        <v>25.9</v>
      </c>
      <c r="E13" s="69">
        <v>0</v>
      </c>
      <c r="F13" s="69">
        <v>27.8</v>
      </c>
      <c r="G13" s="69">
        <v>25.6</v>
      </c>
      <c r="H13" s="69">
        <v>25.4</v>
      </c>
      <c r="I13" s="69">
        <v>25.4</v>
      </c>
      <c r="J13" s="69">
        <v>25.3</v>
      </c>
      <c r="K13" s="69">
        <v>1367</v>
      </c>
      <c r="L13" s="69">
        <v>1365</v>
      </c>
      <c r="M13" s="69">
        <v>1365.5</v>
      </c>
      <c r="N13" s="69">
        <v>1365.4</v>
      </c>
      <c r="O13" s="69">
        <v>1365.3</v>
      </c>
      <c r="P13" s="70">
        <v>204.8</v>
      </c>
      <c r="Q13">
        <v>0</v>
      </c>
      <c r="R13">
        <v>5</v>
      </c>
    </row>
    <row r="14" spans="1:19" ht="15" x14ac:dyDescent="0.25">
      <c r="A14" t="s">
        <v>193</v>
      </c>
      <c r="B14" s="69">
        <v>3</v>
      </c>
      <c r="C14" s="69" t="s">
        <v>53</v>
      </c>
      <c r="D14" s="69">
        <v>25</v>
      </c>
      <c r="E14" s="69">
        <v>0</v>
      </c>
      <c r="F14" s="69">
        <v>25.3</v>
      </c>
      <c r="G14" s="69">
        <v>25.1</v>
      </c>
      <c r="H14" s="69">
        <v>24.9</v>
      </c>
      <c r="I14" s="69">
        <v>25.1</v>
      </c>
      <c r="J14" s="69">
        <v>25.2</v>
      </c>
      <c r="K14" s="69">
        <v>1364.5</v>
      </c>
      <c r="L14" s="69">
        <v>1364.8</v>
      </c>
      <c r="M14" s="69">
        <v>1364.7</v>
      </c>
      <c r="N14" s="69">
        <v>1365.2</v>
      </c>
      <c r="O14" s="69">
        <v>1364.3</v>
      </c>
      <c r="P14" s="70">
        <v>0</v>
      </c>
      <c r="Q14">
        <v>51.2</v>
      </c>
      <c r="R14">
        <v>5</v>
      </c>
    </row>
    <row r="15" spans="1:19" ht="15" x14ac:dyDescent="0.25">
      <c r="A15" t="s">
        <v>194</v>
      </c>
      <c r="B15" s="69">
        <v>4</v>
      </c>
      <c r="C15" s="69" t="s">
        <v>50</v>
      </c>
      <c r="D15" s="69">
        <v>24.5</v>
      </c>
      <c r="E15" s="69">
        <v>0</v>
      </c>
      <c r="F15" s="69">
        <v>25.1</v>
      </c>
      <c r="G15" s="69">
        <v>24.4</v>
      </c>
      <c r="H15" s="69">
        <v>24.6</v>
      </c>
      <c r="I15" s="69">
        <v>24.5</v>
      </c>
      <c r="J15" s="69">
        <v>25.1</v>
      </c>
      <c r="K15" s="69">
        <v>1363.7</v>
      </c>
      <c r="L15" s="69">
        <v>1363.1</v>
      </c>
      <c r="M15" s="69">
        <v>1362.5</v>
      </c>
      <c r="N15" s="69">
        <v>1363.8</v>
      </c>
      <c r="O15" s="69">
        <v>1362.4</v>
      </c>
      <c r="P15" s="70">
        <v>204.8</v>
      </c>
      <c r="Q15">
        <v>0</v>
      </c>
      <c r="R15">
        <v>5</v>
      </c>
    </row>
    <row r="16" spans="1:19" ht="15" x14ac:dyDescent="0.25">
      <c r="A16" t="s">
        <v>195</v>
      </c>
      <c r="B16" s="69">
        <v>4</v>
      </c>
      <c r="C16" s="69" t="s">
        <v>51</v>
      </c>
      <c r="D16" s="69">
        <v>22.7</v>
      </c>
      <c r="E16" s="69">
        <v>0</v>
      </c>
      <c r="F16" s="69">
        <v>22.8</v>
      </c>
      <c r="G16" s="69">
        <v>22.7</v>
      </c>
      <c r="H16" s="69">
        <v>22.9</v>
      </c>
      <c r="I16" s="69">
        <v>22.8</v>
      </c>
      <c r="J16" s="69">
        <v>22.8</v>
      </c>
      <c r="K16" s="69">
        <v>1361.5</v>
      </c>
      <c r="L16" s="69">
        <v>1362</v>
      </c>
      <c r="M16" s="69">
        <v>1362.1</v>
      </c>
      <c r="N16" s="69">
        <v>1362.9</v>
      </c>
      <c r="O16" s="69">
        <v>1361.6</v>
      </c>
      <c r="P16" s="70">
        <v>204.8</v>
      </c>
      <c r="Q16">
        <v>0</v>
      </c>
      <c r="R16">
        <v>5</v>
      </c>
    </row>
    <row r="17" spans="1:18" ht="15" x14ac:dyDescent="0.25">
      <c r="A17" t="s">
        <v>196</v>
      </c>
      <c r="B17" s="69">
        <v>4</v>
      </c>
      <c r="C17" s="69" t="s">
        <v>52</v>
      </c>
      <c r="D17" s="69">
        <v>24.8</v>
      </c>
      <c r="E17" s="69">
        <v>0</v>
      </c>
      <c r="F17" s="69">
        <v>25.2</v>
      </c>
      <c r="G17" s="69">
        <v>24.8</v>
      </c>
      <c r="H17" s="69">
        <v>25.1</v>
      </c>
      <c r="I17" s="69">
        <v>25.1</v>
      </c>
      <c r="J17" s="69">
        <v>25.1</v>
      </c>
      <c r="K17" s="69">
        <v>1365.5</v>
      </c>
      <c r="L17" s="69">
        <v>1364.8</v>
      </c>
      <c r="M17" s="69">
        <v>1365.3</v>
      </c>
      <c r="N17" s="69">
        <v>1366.7</v>
      </c>
      <c r="O17" s="69">
        <v>1364.8</v>
      </c>
      <c r="P17" s="70">
        <v>204.8</v>
      </c>
      <c r="Q17">
        <v>0</v>
      </c>
      <c r="R17">
        <v>5</v>
      </c>
    </row>
    <row r="18" spans="1:18" ht="15" x14ac:dyDescent="0.25">
      <c r="A18" t="s">
        <v>197</v>
      </c>
      <c r="B18" s="69">
        <v>4</v>
      </c>
      <c r="C18" s="69" t="s">
        <v>53</v>
      </c>
      <c r="D18" s="69">
        <v>24.2</v>
      </c>
      <c r="E18" s="69">
        <v>0</v>
      </c>
      <c r="F18" s="69">
        <v>24.4</v>
      </c>
      <c r="G18" s="69">
        <v>24.3</v>
      </c>
      <c r="H18" s="69">
        <v>24</v>
      </c>
      <c r="I18" s="69">
        <v>24.3</v>
      </c>
      <c r="J18" s="69">
        <v>25.1</v>
      </c>
      <c r="K18" s="69">
        <v>1363.9</v>
      </c>
      <c r="L18" s="69">
        <v>1364</v>
      </c>
      <c r="M18" s="69">
        <v>1363</v>
      </c>
      <c r="N18" s="69">
        <v>1364.5</v>
      </c>
      <c r="O18" s="69">
        <v>1363</v>
      </c>
      <c r="P18" s="70">
        <v>0</v>
      </c>
      <c r="Q18">
        <v>51.2</v>
      </c>
      <c r="R18">
        <v>5</v>
      </c>
    </row>
    <row r="19" spans="1:18" ht="15" x14ac:dyDescent="0.25">
      <c r="A19" t="s">
        <v>198</v>
      </c>
      <c r="B19" s="69">
        <v>5</v>
      </c>
      <c r="C19" s="69" t="s">
        <v>50</v>
      </c>
      <c r="D19" s="69">
        <v>22.9</v>
      </c>
      <c r="E19" s="69">
        <v>0</v>
      </c>
      <c r="F19" s="69">
        <v>22.7</v>
      </c>
      <c r="G19" s="69">
        <v>22.8</v>
      </c>
      <c r="H19" s="69">
        <v>23.7</v>
      </c>
      <c r="I19" s="69">
        <v>22.7</v>
      </c>
      <c r="J19" s="69">
        <v>23.8</v>
      </c>
      <c r="K19" s="69">
        <v>1363.9</v>
      </c>
      <c r="L19" s="69">
        <v>1362.6</v>
      </c>
      <c r="M19" s="69">
        <v>1363.1</v>
      </c>
      <c r="N19" s="69">
        <v>1361.8</v>
      </c>
      <c r="O19" s="69">
        <v>1363.2</v>
      </c>
      <c r="P19" s="70">
        <v>0</v>
      </c>
      <c r="Q19">
        <v>0</v>
      </c>
      <c r="R19">
        <v>1</v>
      </c>
    </row>
    <row r="20" spans="1:18" ht="15" x14ac:dyDescent="0.25">
      <c r="A20" t="s">
        <v>199</v>
      </c>
      <c r="B20" s="69">
        <v>5</v>
      </c>
      <c r="C20" s="69" t="s">
        <v>51</v>
      </c>
      <c r="D20" s="69">
        <v>23.3</v>
      </c>
      <c r="E20" s="69">
        <v>0</v>
      </c>
      <c r="F20" s="69">
        <v>24.3</v>
      </c>
      <c r="G20" s="69">
        <v>23</v>
      </c>
      <c r="H20" s="69">
        <v>23</v>
      </c>
      <c r="I20" s="69">
        <v>23</v>
      </c>
      <c r="J20" s="69">
        <v>24</v>
      </c>
      <c r="K20" s="69">
        <v>1363.4</v>
      </c>
      <c r="L20" s="69">
        <v>1363.2</v>
      </c>
      <c r="M20" s="69">
        <v>1365</v>
      </c>
      <c r="N20" s="69">
        <v>1363.3</v>
      </c>
      <c r="O20" s="69">
        <v>1362.6</v>
      </c>
      <c r="P20" s="70">
        <v>0</v>
      </c>
      <c r="Q20">
        <v>0</v>
      </c>
      <c r="R20">
        <v>1</v>
      </c>
    </row>
    <row r="21" spans="1:18" ht="15" x14ac:dyDescent="0.25">
      <c r="A21" t="s">
        <v>200</v>
      </c>
      <c r="B21" s="69">
        <v>5</v>
      </c>
      <c r="C21" s="69" t="s">
        <v>52</v>
      </c>
      <c r="D21" s="69">
        <v>24.5</v>
      </c>
      <c r="E21" s="69">
        <v>0</v>
      </c>
      <c r="F21" s="69">
        <v>25</v>
      </c>
      <c r="G21" s="69">
        <v>24.5</v>
      </c>
      <c r="H21" s="69">
        <v>24.4</v>
      </c>
      <c r="I21" s="69">
        <v>24.5</v>
      </c>
      <c r="J21" s="69">
        <v>25</v>
      </c>
      <c r="K21" s="69">
        <v>1369.2</v>
      </c>
      <c r="L21" s="69">
        <v>1369.7</v>
      </c>
      <c r="M21" s="69">
        <v>1369.3</v>
      </c>
      <c r="N21" s="69">
        <v>1369.8</v>
      </c>
      <c r="O21" s="69">
        <v>1370</v>
      </c>
      <c r="P21" s="70">
        <v>0</v>
      </c>
      <c r="Q21">
        <v>0</v>
      </c>
      <c r="R21">
        <v>1</v>
      </c>
    </row>
    <row r="22" spans="1:18" ht="15" x14ac:dyDescent="0.25">
      <c r="A22" t="s">
        <v>201</v>
      </c>
      <c r="B22" s="69">
        <v>5</v>
      </c>
      <c r="C22" s="69" t="s">
        <v>53</v>
      </c>
      <c r="D22" s="69">
        <v>24.4</v>
      </c>
      <c r="E22" s="69">
        <v>0</v>
      </c>
      <c r="F22" s="69">
        <v>24.9</v>
      </c>
      <c r="G22" s="69">
        <v>24.6</v>
      </c>
      <c r="H22" s="69">
        <v>24.5</v>
      </c>
      <c r="I22" s="69">
        <v>24.3</v>
      </c>
      <c r="J22" s="69">
        <v>24.3</v>
      </c>
      <c r="K22" s="69">
        <v>1367.1</v>
      </c>
      <c r="L22" s="69">
        <v>1366.6</v>
      </c>
      <c r="M22" s="69">
        <v>1368</v>
      </c>
      <c r="N22" s="69">
        <v>1368.1</v>
      </c>
      <c r="O22" s="69">
        <v>1367.1</v>
      </c>
      <c r="P22" s="70">
        <v>0</v>
      </c>
      <c r="Q22">
        <v>0</v>
      </c>
      <c r="R22">
        <v>1</v>
      </c>
    </row>
    <row r="23" spans="1:18" ht="15" x14ac:dyDescent="0.25">
      <c r="A23" t="s">
        <v>202</v>
      </c>
      <c r="B23" s="69">
        <v>6</v>
      </c>
      <c r="C23" s="69" t="s">
        <v>50</v>
      </c>
      <c r="D23" s="69">
        <v>21.7</v>
      </c>
      <c r="E23" s="69">
        <v>0</v>
      </c>
      <c r="F23" s="69">
        <v>22.2</v>
      </c>
      <c r="G23" s="69">
        <v>22.1</v>
      </c>
      <c r="H23" s="69">
        <v>21.9</v>
      </c>
      <c r="I23" s="69">
        <v>23</v>
      </c>
      <c r="J23" s="69">
        <v>21.4</v>
      </c>
      <c r="K23" s="69">
        <v>1357.8</v>
      </c>
      <c r="L23" s="69">
        <v>1358.8</v>
      </c>
      <c r="M23" s="69">
        <v>1358.2</v>
      </c>
      <c r="N23" s="69">
        <v>1358.1</v>
      </c>
      <c r="O23" s="69">
        <v>1358.3</v>
      </c>
      <c r="P23" s="70">
        <v>0</v>
      </c>
      <c r="Q23">
        <v>0</v>
      </c>
      <c r="R23">
        <v>1</v>
      </c>
    </row>
    <row r="24" spans="1:18" ht="15" x14ac:dyDescent="0.25">
      <c r="A24" t="s">
        <v>203</v>
      </c>
      <c r="B24" s="69">
        <v>6</v>
      </c>
      <c r="C24" s="69" t="s">
        <v>51</v>
      </c>
      <c r="D24" s="69">
        <v>21.5</v>
      </c>
      <c r="E24" s="69">
        <v>0</v>
      </c>
      <c r="F24" s="69">
        <v>23</v>
      </c>
      <c r="G24" s="69">
        <v>21.3</v>
      </c>
      <c r="H24" s="69">
        <v>21.8</v>
      </c>
      <c r="I24" s="69">
        <v>22.2</v>
      </c>
      <c r="J24" s="69">
        <v>21.1</v>
      </c>
      <c r="K24" s="69">
        <v>1364.1</v>
      </c>
      <c r="L24" s="69">
        <v>1365.2</v>
      </c>
      <c r="M24" s="69">
        <v>1365.9</v>
      </c>
      <c r="N24" s="69">
        <v>1365.1</v>
      </c>
      <c r="O24" s="69">
        <v>1365.6</v>
      </c>
      <c r="P24" s="70">
        <v>0</v>
      </c>
      <c r="Q24">
        <v>0</v>
      </c>
      <c r="R24">
        <v>1</v>
      </c>
    </row>
    <row r="25" spans="1:18" ht="15" x14ac:dyDescent="0.25">
      <c r="A25" t="s">
        <v>204</v>
      </c>
      <c r="B25" s="69">
        <v>6</v>
      </c>
      <c r="C25" s="69" t="s">
        <v>52</v>
      </c>
      <c r="D25" s="69">
        <v>21.8</v>
      </c>
      <c r="E25" s="69">
        <v>0</v>
      </c>
      <c r="F25" s="69">
        <v>23</v>
      </c>
      <c r="G25" s="69">
        <v>23</v>
      </c>
      <c r="H25" s="69">
        <v>21.5</v>
      </c>
      <c r="I25" s="69">
        <v>23</v>
      </c>
      <c r="J25" s="69">
        <v>21.8</v>
      </c>
      <c r="K25" s="69">
        <v>1357</v>
      </c>
      <c r="L25" s="69">
        <v>1356.6</v>
      </c>
      <c r="M25" s="69">
        <v>1357.5</v>
      </c>
      <c r="N25" s="69">
        <v>1357</v>
      </c>
      <c r="O25" s="69">
        <v>1358.8</v>
      </c>
      <c r="P25" s="70">
        <v>0</v>
      </c>
      <c r="Q25">
        <v>0</v>
      </c>
      <c r="R25">
        <v>1</v>
      </c>
    </row>
    <row r="26" spans="1:18" ht="15" x14ac:dyDescent="0.25">
      <c r="A26" t="s">
        <v>205</v>
      </c>
      <c r="B26" s="69">
        <v>6</v>
      </c>
      <c r="C26" s="69" t="s">
        <v>53</v>
      </c>
      <c r="D26" s="69">
        <v>22.8</v>
      </c>
      <c r="E26" s="69">
        <v>0</v>
      </c>
      <c r="F26" s="69">
        <v>23</v>
      </c>
      <c r="G26" s="69">
        <v>23.2</v>
      </c>
      <c r="H26" s="69">
        <v>23</v>
      </c>
      <c r="I26" s="69">
        <v>23</v>
      </c>
      <c r="J26" s="69">
        <v>22.8</v>
      </c>
      <c r="K26" s="69">
        <v>1357.7</v>
      </c>
      <c r="L26" s="69">
        <v>1359.1</v>
      </c>
      <c r="M26" s="69">
        <v>1359</v>
      </c>
      <c r="N26" s="69">
        <v>1359.1</v>
      </c>
      <c r="O26" s="69">
        <v>1358.2</v>
      </c>
      <c r="P26" s="70">
        <v>0</v>
      </c>
      <c r="Q26">
        <v>0</v>
      </c>
      <c r="R26">
        <v>1</v>
      </c>
    </row>
    <row r="27" spans="1:18" ht="15" x14ac:dyDescent="0.25">
      <c r="A27" t="s">
        <v>206</v>
      </c>
      <c r="B27" s="69">
        <v>7</v>
      </c>
      <c r="C27" s="69" t="s">
        <v>50</v>
      </c>
      <c r="D27" s="69">
        <v>22.9</v>
      </c>
      <c r="E27" s="69">
        <v>0</v>
      </c>
      <c r="F27" s="69">
        <v>23</v>
      </c>
      <c r="G27" s="69">
        <v>23</v>
      </c>
      <c r="H27" s="69">
        <v>22.9</v>
      </c>
      <c r="I27" s="69">
        <v>22.9</v>
      </c>
      <c r="J27" s="69">
        <v>23</v>
      </c>
      <c r="K27" s="69">
        <v>1355.3</v>
      </c>
      <c r="L27" s="69">
        <v>1353.8</v>
      </c>
      <c r="M27" s="69">
        <v>1355.9</v>
      </c>
      <c r="N27" s="69">
        <v>1355.2</v>
      </c>
      <c r="O27" s="69">
        <v>1353.3</v>
      </c>
      <c r="P27" s="70">
        <v>0</v>
      </c>
      <c r="Q27">
        <v>0</v>
      </c>
      <c r="R27">
        <v>1</v>
      </c>
    </row>
    <row r="28" spans="1:18" ht="15" x14ac:dyDescent="0.25">
      <c r="A28" t="s">
        <v>207</v>
      </c>
      <c r="B28" s="69">
        <v>7</v>
      </c>
      <c r="C28" s="69" t="s">
        <v>51</v>
      </c>
      <c r="D28" s="69">
        <v>23</v>
      </c>
      <c r="E28" s="69">
        <v>0</v>
      </c>
      <c r="F28" s="69">
        <v>23</v>
      </c>
      <c r="G28" s="69">
        <v>23</v>
      </c>
      <c r="H28" s="69">
        <v>23</v>
      </c>
      <c r="I28" s="69">
        <v>23</v>
      </c>
      <c r="J28" s="69">
        <v>23</v>
      </c>
      <c r="K28" s="69">
        <v>1354.3</v>
      </c>
      <c r="L28" s="69">
        <v>1354.5</v>
      </c>
      <c r="M28" s="69">
        <v>1354.5</v>
      </c>
      <c r="N28" s="69">
        <v>1355.1</v>
      </c>
      <c r="O28" s="69">
        <v>1355</v>
      </c>
      <c r="P28" s="70">
        <v>0</v>
      </c>
      <c r="Q28">
        <v>0</v>
      </c>
      <c r="R28">
        <v>1</v>
      </c>
    </row>
    <row r="29" spans="1:18" ht="15" x14ac:dyDescent="0.25">
      <c r="A29" t="s">
        <v>208</v>
      </c>
      <c r="B29" s="69">
        <v>7</v>
      </c>
      <c r="C29" s="69" t="s">
        <v>52</v>
      </c>
      <c r="D29" s="69">
        <v>23</v>
      </c>
      <c r="E29" s="69">
        <v>0</v>
      </c>
      <c r="F29" s="69">
        <v>23</v>
      </c>
      <c r="G29" s="69">
        <v>23</v>
      </c>
      <c r="H29" s="69">
        <v>23</v>
      </c>
      <c r="I29" s="69">
        <v>23</v>
      </c>
      <c r="J29" s="69">
        <v>23</v>
      </c>
      <c r="K29" s="69">
        <v>1353</v>
      </c>
      <c r="L29" s="69">
        <v>1354.7</v>
      </c>
      <c r="M29" s="69">
        <v>1353.5</v>
      </c>
      <c r="N29" s="69">
        <v>1353.7</v>
      </c>
      <c r="O29" s="69">
        <v>1353.4</v>
      </c>
      <c r="P29" s="70">
        <v>0</v>
      </c>
      <c r="Q29">
        <v>0</v>
      </c>
      <c r="R29">
        <v>1</v>
      </c>
    </row>
    <row r="30" spans="1:18" ht="15" x14ac:dyDescent="0.25">
      <c r="A30" t="s">
        <v>209</v>
      </c>
      <c r="B30" s="69">
        <v>7</v>
      </c>
      <c r="C30" s="69" t="s">
        <v>53</v>
      </c>
      <c r="D30" s="69">
        <v>23</v>
      </c>
      <c r="E30" s="69">
        <v>0</v>
      </c>
      <c r="F30" s="69">
        <v>23</v>
      </c>
      <c r="G30" s="69">
        <v>23</v>
      </c>
      <c r="H30" s="69">
        <v>23</v>
      </c>
      <c r="I30" s="69">
        <v>23</v>
      </c>
      <c r="J30" s="69">
        <v>23</v>
      </c>
      <c r="K30" s="69">
        <v>1355.2</v>
      </c>
      <c r="L30" s="69">
        <v>1356.2</v>
      </c>
      <c r="M30" s="69">
        <v>1353</v>
      </c>
      <c r="N30" s="69">
        <v>1354.8</v>
      </c>
      <c r="O30" s="69">
        <v>1355.9</v>
      </c>
      <c r="P30" s="70">
        <v>0</v>
      </c>
      <c r="Q30">
        <v>51.2</v>
      </c>
      <c r="R30">
        <v>5</v>
      </c>
    </row>
    <row r="31" spans="1:18" ht="15" x14ac:dyDescent="0.25">
      <c r="A31" t="s">
        <v>210</v>
      </c>
      <c r="B31" s="69">
        <v>8</v>
      </c>
      <c r="C31" s="69" t="s">
        <v>50</v>
      </c>
      <c r="D31" s="69">
        <v>22.1</v>
      </c>
      <c r="E31" s="69">
        <v>0</v>
      </c>
      <c r="F31" s="69">
        <v>21.9</v>
      </c>
      <c r="G31" s="69">
        <v>23</v>
      </c>
      <c r="H31" s="69">
        <v>22</v>
      </c>
      <c r="I31" s="69">
        <v>22</v>
      </c>
      <c r="J31" s="69">
        <v>23</v>
      </c>
      <c r="K31" s="69">
        <v>1354.8</v>
      </c>
      <c r="L31" s="69">
        <v>1353</v>
      </c>
      <c r="M31" s="69">
        <v>1353.3</v>
      </c>
      <c r="N31" s="69">
        <v>1352.9</v>
      </c>
      <c r="O31" s="69">
        <v>1353.7</v>
      </c>
      <c r="P31" s="70">
        <v>0</v>
      </c>
      <c r="Q31">
        <v>64</v>
      </c>
      <c r="R31">
        <v>4</v>
      </c>
    </row>
    <row r="32" spans="1:18" ht="15" x14ac:dyDescent="0.25">
      <c r="A32" t="s">
        <v>211</v>
      </c>
      <c r="B32" s="69">
        <v>8</v>
      </c>
      <c r="C32" s="69" t="s">
        <v>51</v>
      </c>
      <c r="D32" s="69">
        <v>22.4</v>
      </c>
      <c r="E32" s="69">
        <v>0</v>
      </c>
      <c r="F32" s="69">
        <v>22.3</v>
      </c>
      <c r="G32" s="69">
        <v>23</v>
      </c>
      <c r="H32" s="69">
        <v>23</v>
      </c>
      <c r="I32" s="69">
        <v>22.6</v>
      </c>
      <c r="J32" s="69">
        <v>22.7</v>
      </c>
      <c r="K32" s="69">
        <v>1353.8</v>
      </c>
      <c r="L32" s="69">
        <v>1353.4</v>
      </c>
      <c r="M32" s="69">
        <v>1352.5</v>
      </c>
      <c r="N32" s="69">
        <v>1353</v>
      </c>
      <c r="O32" s="69">
        <v>1353.9</v>
      </c>
      <c r="P32" s="70">
        <v>0</v>
      </c>
      <c r="Q32">
        <v>64</v>
      </c>
      <c r="R32">
        <v>4</v>
      </c>
    </row>
    <row r="33" spans="1:18" ht="15" x14ac:dyDescent="0.25">
      <c r="A33" t="s">
        <v>212</v>
      </c>
      <c r="B33" s="69">
        <v>8</v>
      </c>
      <c r="C33" s="69" t="s">
        <v>52</v>
      </c>
      <c r="D33" s="69">
        <v>21.9</v>
      </c>
      <c r="E33" s="69">
        <v>0</v>
      </c>
      <c r="F33" s="69">
        <v>23</v>
      </c>
      <c r="G33" s="69">
        <v>21.6</v>
      </c>
      <c r="H33" s="69">
        <v>21.7</v>
      </c>
      <c r="I33" s="69">
        <v>21.8</v>
      </c>
      <c r="J33" s="69">
        <v>23</v>
      </c>
      <c r="K33" s="69">
        <v>1354.3</v>
      </c>
      <c r="L33" s="69">
        <v>1353.6</v>
      </c>
      <c r="M33" s="69">
        <v>1354.4</v>
      </c>
      <c r="N33" s="69">
        <v>1351.9</v>
      </c>
      <c r="O33" s="69">
        <v>1352.6</v>
      </c>
      <c r="P33" s="70">
        <v>0</v>
      </c>
      <c r="Q33">
        <v>64</v>
      </c>
      <c r="R33">
        <v>4</v>
      </c>
    </row>
    <row r="34" spans="1:18" ht="15" x14ac:dyDescent="0.25">
      <c r="A34" t="s">
        <v>213</v>
      </c>
      <c r="B34" s="69">
        <v>8</v>
      </c>
      <c r="C34" s="69" t="s">
        <v>53</v>
      </c>
      <c r="D34" s="69">
        <v>24.8</v>
      </c>
      <c r="E34" s="69">
        <v>0</v>
      </c>
      <c r="F34" s="69">
        <v>25</v>
      </c>
      <c r="G34" s="69">
        <v>24.6</v>
      </c>
      <c r="H34" s="69">
        <v>25.5</v>
      </c>
      <c r="I34" s="69">
        <v>25.4</v>
      </c>
      <c r="J34" s="69">
        <v>25.4</v>
      </c>
      <c r="K34" s="69">
        <v>1362.8</v>
      </c>
      <c r="L34" s="69">
        <v>1363.5</v>
      </c>
      <c r="M34" s="69">
        <v>1365.1</v>
      </c>
      <c r="N34" s="69">
        <v>1364.3</v>
      </c>
      <c r="O34" s="69">
        <v>1364.3</v>
      </c>
      <c r="P34" s="70">
        <v>0</v>
      </c>
      <c r="Q34">
        <v>64</v>
      </c>
      <c r="R34">
        <v>4</v>
      </c>
    </row>
    <row r="35" spans="1:18" ht="15" x14ac:dyDescent="0.25">
      <c r="A35" t="s">
        <v>214</v>
      </c>
      <c r="B35" s="69">
        <v>9</v>
      </c>
      <c r="C35" s="69" t="s">
        <v>50</v>
      </c>
      <c r="D35" s="69">
        <v>19.399999999999999</v>
      </c>
      <c r="E35" s="69">
        <v>0</v>
      </c>
      <c r="F35" s="69">
        <v>18.600000000000001</v>
      </c>
      <c r="G35" s="69">
        <v>18.600000000000001</v>
      </c>
      <c r="H35" s="69">
        <v>23</v>
      </c>
      <c r="I35" s="69">
        <v>23</v>
      </c>
      <c r="J35" s="69">
        <v>23</v>
      </c>
      <c r="K35" s="69">
        <v>1346.5</v>
      </c>
      <c r="L35" s="69">
        <v>1346.5</v>
      </c>
      <c r="M35" s="69">
        <v>1345.8</v>
      </c>
      <c r="N35" s="69">
        <v>1346.5</v>
      </c>
      <c r="O35" s="69">
        <v>1346.7</v>
      </c>
      <c r="P35" s="70">
        <v>0</v>
      </c>
      <c r="Q35">
        <v>0</v>
      </c>
      <c r="R35">
        <v>1</v>
      </c>
    </row>
    <row r="36" spans="1:18" ht="15" x14ac:dyDescent="0.25">
      <c r="A36" t="s">
        <v>215</v>
      </c>
      <c r="B36" s="69">
        <v>9</v>
      </c>
      <c r="C36" s="69" t="s">
        <v>51</v>
      </c>
      <c r="D36" s="69">
        <v>19.100000000000001</v>
      </c>
      <c r="E36" s="69">
        <v>0</v>
      </c>
      <c r="F36" s="69">
        <v>18.2</v>
      </c>
      <c r="G36" s="69">
        <v>18.2</v>
      </c>
      <c r="H36" s="69">
        <v>22.9</v>
      </c>
      <c r="I36" s="69">
        <v>18.2</v>
      </c>
      <c r="J36" s="69">
        <v>23.4</v>
      </c>
      <c r="K36" s="69">
        <v>1345.9</v>
      </c>
      <c r="L36" s="69">
        <v>1347.3</v>
      </c>
      <c r="M36" s="69">
        <v>1346.4</v>
      </c>
      <c r="N36" s="69">
        <v>1346.5</v>
      </c>
      <c r="O36" s="69">
        <v>1345.1</v>
      </c>
      <c r="P36" s="70">
        <v>0</v>
      </c>
      <c r="Q36">
        <v>0</v>
      </c>
      <c r="R36">
        <v>1</v>
      </c>
    </row>
    <row r="37" spans="1:18" ht="15" x14ac:dyDescent="0.25">
      <c r="A37" t="s">
        <v>216</v>
      </c>
      <c r="B37" s="69">
        <v>9</v>
      </c>
      <c r="C37" s="69" t="s">
        <v>52</v>
      </c>
      <c r="D37" s="69">
        <v>19.2</v>
      </c>
      <c r="E37" s="69">
        <v>0</v>
      </c>
      <c r="F37" s="69">
        <v>18.399999999999999</v>
      </c>
      <c r="G37" s="69">
        <v>18.7</v>
      </c>
      <c r="H37" s="69">
        <v>22.9</v>
      </c>
      <c r="I37" s="69">
        <v>22.9</v>
      </c>
      <c r="J37" s="69">
        <v>23</v>
      </c>
      <c r="K37" s="69">
        <v>1347.2</v>
      </c>
      <c r="L37" s="69">
        <v>1348.7</v>
      </c>
      <c r="M37" s="69">
        <v>1348.3</v>
      </c>
      <c r="N37" s="69">
        <v>1349.8</v>
      </c>
      <c r="O37" s="69">
        <v>1348.6</v>
      </c>
      <c r="P37" s="70">
        <v>0</v>
      </c>
      <c r="Q37">
        <v>0</v>
      </c>
      <c r="R37">
        <v>1</v>
      </c>
    </row>
    <row r="38" spans="1:18" ht="15" x14ac:dyDescent="0.25">
      <c r="A38" t="s">
        <v>217</v>
      </c>
      <c r="B38" s="69">
        <v>9</v>
      </c>
      <c r="C38" s="69" t="s">
        <v>53</v>
      </c>
      <c r="D38" s="69">
        <v>18.100000000000001</v>
      </c>
      <c r="E38" s="69">
        <v>0</v>
      </c>
      <c r="F38" s="69">
        <v>23</v>
      </c>
      <c r="G38" s="69">
        <v>17.7</v>
      </c>
      <c r="H38" s="69">
        <v>17.100000000000001</v>
      </c>
      <c r="I38" s="69">
        <v>17.100000000000001</v>
      </c>
      <c r="J38" s="69">
        <v>23</v>
      </c>
      <c r="K38" s="69">
        <v>1344.8</v>
      </c>
      <c r="L38" s="69">
        <v>1344.7</v>
      </c>
      <c r="M38" s="69">
        <v>1344.8</v>
      </c>
      <c r="N38" s="69">
        <v>1345.4</v>
      </c>
      <c r="O38" s="69">
        <v>1346.2</v>
      </c>
      <c r="P38" s="70">
        <v>0</v>
      </c>
      <c r="Q38">
        <v>0</v>
      </c>
      <c r="R38">
        <v>1</v>
      </c>
    </row>
    <row r="39" spans="1:18" x14ac:dyDescent="0.15">
      <c r="A39" t="s">
        <v>218</v>
      </c>
      <c r="B39">
        <v>10</v>
      </c>
      <c r="C39" t="s">
        <v>50</v>
      </c>
      <c r="D39">
        <v>22.9</v>
      </c>
      <c r="E39">
        <v>0</v>
      </c>
      <c r="F39">
        <v>22.9</v>
      </c>
      <c r="G39">
        <v>22.9</v>
      </c>
      <c r="H39">
        <v>23</v>
      </c>
      <c r="I39">
        <v>23</v>
      </c>
      <c r="J39">
        <v>23</v>
      </c>
      <c r="K39">
        <v>1366.3</v>
      </c>
      <c r="L39">
        <v>1365.8</v>
      </c>
      <c r="M39">
        <v>1366.5</v>
      </c>
      <c r="N39">
        <v>1364.5</v>
      </c>
      <c r="O39">
        <v>1367.3</v>
      </c>
      <c r="P39">
        <v>0</v>
      </c>
      <c r="Q39">
        <v>0</v>
      </c>
      <c r="R39">
        <v>1</v>
      </c>
    </row>
    <row r="40" spans="1:18" x14ac:dyDescent="0.15">
      <c r="A40" t="s">
        <v>219</v>
      </c>
      <c r="B40">
        <v>10</v>
      </c>
      <c r="C40" t="s">
        <v>51</v>
      </c>
      <c r="D40">
        <v>23</v>
      </c>
      <c r="E40">
        <v>0</v>
      </c>
      <c r="F40">
        <v>23</v>
      </c>
      <c r="G40">
        <v>23</v>
      </c>
      <c r="H40">
        <v>23</v>
      </c>
      <c r="I40">
        <v>23</v>
      </c>
      <c r="J40">
        <v>23</v>
      </c>
      <c r="K40">
        <v>1355.2</v>
      </c>
      <c r="L40">
        <v>1354.5</v>
      </c>
      <c r="M40">
        <v>1354</v>
      </c>
      <c r="N40">
        <v>1355.9</v>
      </c>
      <c r="O40">
        <v>1354.4</v>
      </c>
      <c r="P40">
        <v>0</v>
      </c>
      <c r="Q40">
        <v>0</v>
      </c>
      <c r="R40">
        <v>1</v>
      </c>
    </row>
    <row r="41" spans="1:18" x14ac:dyDescent="0.15">
      <c r="A41" t="s">
        <v>220</v>
      </c>
      <c r="B41">
        <v>10</v>
      </c>
      <c r="C41" t="s">
        <v>52</v>
      </c>
      <c r="D41">
        <v>22.9</v>
      </c>
      <c r="E41">
        <v>0</v>
      </c>
      <c r="F41">
        <v>23</v>
      </c>
      <c r="G41">
        <v>22.9</v>
      </c>
      <c r="H41">
        <v>23</v>
      </c>
      <c r="I41">
        <v>23</v>
      </c>
      <c r="J41">
        <v>22.9</v>
      </c>
      <c r="K41">
        <v>1354.8</v>
      </c>
      <c r="L41">
        <v>1355.4</v>
      </c>
      <c r="M41">
        <v>1354.6</v>
      </c>
      <c r="N41">
        <v>1353.5</v>
      </c>
      <c r="O41">
        <v>1355.3</v>
      </c>
      <c r="P41">
        <v>0</v>
      </c>
      <c r="Q41">
        <v>0</v>
      </c>
      <c r="R41">
        <v>1</v>
      </c>
    </row>
    <row r="42" spans="1:18" x14ac:dyDescent="0.15">
      <c r="A42" t="s">
        <v>221</v>
      </c>
      <c r="B42">
        <v>10</v>
      </c>
      <c r="C42" t="s">
        <v>53</v>
      </c>
      <c r="D42">
        <v>22.9</v>
      </c>
      <c r="E42">
        <v>0</v>
      </c>
      <c r="F42">
        <v>23</v>
      </c>
      <c r="G42">
        <v>22.9</v>
      </c>
      <c r="H42">
        <v>23</v>
      </c>
      <c r="I42">
        <v>23</v>
      </c>
      <c r="J42">
        <v>23</v>
      </c>
      <c r="K42">
        <v>1354.9</v>
      </c>
      <c r="L42">
        <v>1354</v>
      </c>
      <c r="M42">
        <v>1356.4</v>
      </c>
      <c r="N42">
        <v>1355.8</v>
      </c>
      <c r="O42">
        <v>1354.2</v>
      </c>
      <c r="P42">
        <v>0</v>
      </c>
      <c r="Q42">
        <v>0</v>
      </c>
      <c r="R42">
        <v>1</v>
      </c>
    </row>
    <row r="43" spans="1:18" x14ac:dyDescent="0.15">
      <c r="A43" t="s">
        <v>222</v>
      </c>
      <c r="B43">
        <v>11</v>
      </c>
      <c r="C43" t="s">
        <v>50</v>
      </c>
      <c r="D43">
        <v>22.9</v>
      </c>
      <c r="E43">
        <v>0</v>
      </c>
      <c r="F43">
        <v>23</v>
      </c>
      <c r="G43">
        <v>22.9</v>
      </c>
      <c r="H43">
        <v>23</v>
      </c>
      <c r="I43">
        <v>22.9</v>
      </c>
      <c r="J43">
        <v>22.9</v>
      </c>
      <c r="K43">
        <v>1353.8</v>
      </c>
      <c r="L43">
        <v>1353.7</v>
      </c>
      <c r="M43">
        <v>1353.9</v>
      </c>
      <c r="N43">
        <v>1354.2</v>
      </c>
      <c r="O43">
        <v>1353.7</v>
      </c>
      <c r="P43">
        <v>0</v>
      </c>
      <c r="Q43">
        <v>0</v>
      </c>
      <c r="R43">
        <v>1</v>
      </c>
    </row>
    <row r="44" spans="1:18" x14ac:dyDescent="0.15">
      <c r="A44" t="s">
        <v>223</v>
      </c>
      <c r="B44">
        <v>11</v>
      </c>
      <c r="C44" t="s">
        <v>51</v>
      </c>
      <c r="D44">
        <v>22.9</v>
      </c>
      <c r="E44">
        <v>0</v>
      </c>
      <c r="F44">
        <v>23</v>
      </c>
      <c r="G44">
        <v>22.9</v>
      </c>
      <c r="H44">
        <v>23</v>
      </c>
      <c r="I44">
        <v>23</v>
      </c>
      <c r="J44">
        <v>22.9</v>
      </c>
      <c r="K44">
        <v>1362.6</v>
      </c>
      <c r="L44">
        <v>1363.1</v>
      </c>
      <c r="M44">
        <v>1362</v>
      </c>
      <c r="N44">
        <v>1362</v>
      </c>
      <c r="O44">
        <v>1362.5</v>
      </c>
      <c r="P44">
        <v>0</v>
      </c>
      <c r="Q44">
        <v>0</v>
      </c>
      <c r="R44">
        <v>1</v>
      </c>
    </row>
    <row r="45" spans="1:18" x14ac:dyDescent="0.15">
      <c r="A45" t="s">
        <v>224</v>
      </c>
      <c r="B45">
        <v>11</v>
      </c>
      <c r="C45" t="s">
        <v>52</v>
      </c>
      <c r="D45">
        <v>22.9</v>
      </c>
      <c r="E45">
        <v>0</v>
      </c>
      <c r="F45">
        <v>22.9</v>
      </c>
      <c r="G45">
        <v>22.8</v>
      </c>
      <c r="H45">
        <v>23.4</v>
      </c>
      <c r="I45">
        <v>22.8</v>
      </c>
      <c r="J45">
        <v>22.9</v>
      </c>
      <c r="K45">
        <v>1355.7</v>
      </c>
      <c r="L45">
        <v>1355.2</v>
      </c>
      <c r="M45">
        <v>1352.3</v>
      </c>
      <c r="N45">
        <v>1354.6</v>
      </c>
      <c r="O45">
        <v>1354.5</v>
      </c>
      <c r="P45">
        <v>0</v>
      </c>
      <c r="Q45">
        <v>0</v>
      </c>
      <c r="R45">
        <v>1</v>
      </c>
    </row>
    <row r="46" spans="1:18" x14ac:dyDescent="0.15">
      <c r="A46" t="s">
        <v>225</v>
      </c>
      <c r="B46">
        <v>11</v>
      </c>
      <c r="C46" t="s">
        <v>53</v>
      </c>
      <c r="D46">
        <v>23</v>
      </c>
      <c r="E46">
        <v>0</v>
      </c>
      <c r="F46">
        <v>23</v>
      </c>
      <c r="G46">
        <v>23</v>
      </c>
      <c r="H46">
        <v>23</v>
      </c>
      <c r="I46">
        <v>23</v>
      </c>
      <c r="J46">
        <v>23</v>
      </c>
      <c r="K46">
        <v>1354.5</v>
      </c>
      <c r="L46">
        <v>1355.3</v>
      </c>
      <c r="M46">
        <v>1354.4</v>
      </c>
      <c r="N46">
        <v>1355.5</v>
      </c>
      <c r="O46">
        <v>1355.7</v>
      </c>
      <c r="P46">
        <v>0</v>
      </c>
      <c r="Q46">
        <v>0</v>
      </c>
      <c r="R46">
        <v>1</v>
      </c>
    </row>
    <row r="47" spans="1:18" x14ac:dyDescent="0.15">
      <c r="A47" t="s">
        <v>226</v>
      </c>
      <c r="B47">
        <v>12</v>
      </c>
      <c r="C47" t="s">
        <v>50</v>
      </c>
      <c r="D47">
        <v>22.9</v>
      </c>
      <c r="E47">
        <v>0</v>
      </c>
      <c r="F47">
        <v>22.9</v>
      </c>
      <c r="G47">
        <v>23</v>
      </c>
      <c r="H47">
        <v>23</v>
      </c>
      <c r="I47">
        <v>22.9</v>
      </c>
      <c r="J47">
        <v>23</v>
      </c>
      <c r="K47">
        <v>1355.4</v>
      </c>
      <c r="L47">
        <v>1356.2</v>
      </c>
      <c r="M47">
        <v>1354.1</v>
      </c>
      <c r="N47">
        <v>1354.7</v>
      </c>
      <c r="O47">
        <v>1355.5</v>
      </c>
      <c r="P47">
        <v>0</v>
      </c>
      <c r="Q47">
        <v>12.8</v>
      </c>
      <c r="R47">
        <v>5</v>
      </c>
    </row>
    <row r="48" spans="1:18" x14ac:dyDescent="0.15">
      <c r="A48" t="s">
        <v>227</v>
      </c>
      <c r="B48">
        <v>12</v>
      </c>
      <c r="C48" t="s">
        <v>51</v>
      </c>
      <c r="D48">
        <v>23</v>
      </c>
      <c r="E48">
        <v>0</v>
      </c>
      <c r="F48">
        <v>23</v>
      </c>
      <c r="G48">
        <v>23</v>
      </c>
      <c r="H48">
        <v>23</v>
      </c>
      <c r="I48">
        <v>23</v>
      </c>
      <c r="J48">
        <v>23</v>
      </c>
      <c r="K48">
        <v>1354.4</v>
      </c>
      <c r="L48">
        <v>1354.8</v>
      </c>
      <c r="M48">
        <v>1355.1</v>
      </c>
      <c r="N48">
        <v>1354.4</v>
      </c>
      <c r="O48">
        <v>1355.4</v>
      </c>
      <c r="P48">
        <v>0</v>
      </c>
      <c r="Q48">
        <v>12.8</v>
      </c>
      <c r="R48">
        <v>5</v>
      </c>
    </row>
    <row r="49" spans="1:18" x14ac:dyDescent="0.15">
      <c r="A49" t="s">
        <v>228</v>
      </c>
      <c r="B49">
        <v>12</v>
      </c>
      <c r="C49" t="s">
        <v>52</v>
      </c>
      <c r="D49">
        <v>23</v>
      </c>
      <c r="E49">
        <v>0</v>
      </c>
      <c r="F49">
        <v>23</v>
      </c>
      <c r="G49">
        <v>23</v>
      </c>
      <c r="H49">
        <v>23</v>
      </c>
      <c r="I49">
        <v>23</v>
      </c>
      <c r="J49">
        <v>23</v>
      </c>
      <c r="K49">
        <v>1363</v>
      </c>
      <c r="L49">
        <v>1362.4</v>
      </c>
      <c r="M49">
        <v>1364.1</v>
      </c>
      <c r="N49">
        <v>1360.8</v>
      </c>
      <c r="O49">
        <v>1363.4</v>
      </c>
      <c r="P49">
        <v>819.2</v>
      </c>
      <c r="Q49">
        <v>12.8</v>
      </c>
      <c r="R49">
        <v>5</v>
      </c>
    </row>
    <row r="50" spans="1:18" x14ac:dyDescent="0.15">
      <c r="A50" t="s">
        <v>229</v>
      </c>
      <c r="B50">
        <v>12</v>
      </c>
      <c r="C50" t="s">
        <v>53</v>
      </c>
      <c r="D50">
        <v>22.9</v>
      </c>
      <c r="E50">
        <v>0</v>
      </c>
      <c r="F50">
        <v>23</v>
      </c>
      <c r="G50">
        <v>22.9</v>
      </c>
      <c r="H50">
        <v>23</v>
      </c>
      <c r="I50">
        <v>22.9</v>
      </c>
      <c r="J50">
        <v>22.9</v>
      </c>
      <c r="K50">
        <v>1351.6</v>
      </c>
      <c r="L50">
        <v>1354.9</v>
      </c>
      <c r="M50">
        <v>1352.2</v>
      </c>
      <c r="N50">
        <v>1354.8</v>
      </c>
      <c r="O50">
        <v>1355.3</v>
      </c>
      <c r="P50">
        <v>0</v>
      </c>
      <c r="Q50">
        <v>12.8</v>
      </c>
      <c r="R50">
        <v>5</v>
      </c>
    </row>
    <row r="51" spans="1:18" x14ac:dyDescent="0.15">
      <c r="A51" t="s">
        <v>230</v>
      </c>
      <c r="B51">
        <v>13</v>
      </c>
      <c r="C51" t="s">
        <v>50</v>
      </c>
      <c r="D51">
        <v>23</v>
      </c>
      <c r="E51">
        <v>0</v>
      </c>
      <c r="F51">
        <v>23</v>
      </c>
      <c r="G51">
        <v>23</v>
      </c>
      <c r="H51">
        <v>23</v>
      </c>
      <c r="I51">
        <v>23</v>
      </c>
      <c r="J51">
        <v>23</v>
      </c>
      <c r="K51">
        <v>1354.8</v>
      </c>
      <c r="L51">
        <v>1355.6</v>
      </c>
      <c r="M51">
        <v>1354.7</v>
      </c>
      <c r="N51">
        <v>1355.9</v>
      </c>
      <c r="O51">
        <v>1354.5</v>
      </c>
      <c r="P51">
        <v>0</v>
      </c>
      <c r="Q51">
        <v>12.8</v>
      </c>
      <c r="R51">
        <v>5</v>
      </c>
    </row>
    <row r="52" spans="1:18" x14ac:dyDescent="0.15">
      <c r="A52" t="s">
        <v>231</v>
      </c>
      <c r="B52">
        <v>13</v>
      </c>
      <c r="C52" t="s">
        <v>51</v>
      </c>
      <c r="D52">
        <v>22.9</v>
      </c>
      <c r="E52">
        <v>0</v>
      </c>
      <c r="F52">
        <v>22.9</v>
      </c>
      <c r="G52">
        <v>22.9</v>
      </c>
      <c r="H52">
        <v>22.9</v>
      </c>
      <c r="I52">
        <v>22.9</v>
      </c>
      <c r="J52">
        <v>23</v>
      </c>
      <c r="K52">
        <v>1354.8</v>
      </c>
      <c r="L52">
        <v>1354.8</v>
      </c>
      <c r="M52">
        <v>1354.5</v>
      </c>
      <c r="N52">
        <v>1354.5</v>
      </c>
      <c r="O52">
        <v>1344.4</v>
      </c>
      <c r="P52">
        <v>0</v>
      </c>
      <c r="Q52">
        <v>12.8</v>
      </c>
      <c r="R52">
        <v>5</v>
      </c>
    </row>
    <row r="53" spans="1:18" x14ac:dyDescent="0.15">
      <c r="A53" t="s">
        <v>232</v>
      </c>
      <c r="B53">
        <v>13</v>
      </c>
      <c r="C53" t="s">
        <v>52</v>
      </c>
      <c r="D53">
        <v>22.9</v>
      </c>
      <c r="E53">
        <v>0</v>
      </c>
      <c r="F53">
        <v>22.9</v>
      </c>
      <c r="G53">
        <v>22.9</v>
      </c>
      <c r="H53">
        <v>22.9</v>
      </c>
      <c r="I53">
        <v>23.1</v>
      </c>
      <c r="J53">
        <v>22.9</v>
      </c>
      <c r="K53">
        <v>1353.7</v>
      </c>
      <c r="L53">
        <v>1354.7</v>
      </c>
      <c r="M53">
        <v>1353.7</v>
      </c>
      <c r="N53">
        <v>1343.3</v>
      </c>
      <c r="O53">
        <v>1353.2</v>
      </c>
      <c r="P53">
        <v>0</v>
      </c>
      <c r="Q53">
        <v>12.8</v>
      </c>
      <c r="R53">
        <v>5</v>
      </c>
    </row>
    <row r="54" spans="1:18" x14ac:dyDescent="0.15">
      <c r="A54" t="s">
        <v>233</v>
      </c>
      <c r="B54">
        <v>13</v>
      </c>
      <c r="C54" t="s">
        <v>53</v>
      </c>
      <c r="D54">
        <v>23</v>
      </c>
      <c r="E54">
        <v>0</v>
      </c>
      <c r="F54">
        <v>23</v>
      </c>
      <c r="G54">
        <v>23</v>
      </c>
      <c r="H54">
        <v>23</v>
      </c>
      <c r="I54">
        <v>23</v>
      </c>
      <c r="J54">
        <v>23</v>
      </c>
      <c r="K54">
        <v>1354.8</v>
      </c>
      <c r="L54">
        <v>1354.4</v>
      </c>
      <c r="M54">
        <v>1358.6</v>
      </c>
      <c r="N54">
        <v>1355.6</v>
      </c>
      <c r="O54">
        <v>1354.6</v>
      </c>
      <c r="P54">
        <v>0</v>
      </c>
      <c r="Q54">
        <v>12.8</v>
      </c>
      <c r="R54">
        <v>5</v>
      </c>
    </row>
    <row r="55" spans="1:18" x14ac:dyDescent="0.15">
      <c r="A55" t="s">
        <v>234</v>
      </c>
      <c r="B55">
        <v>14</v>
      </c>
      <c r="C55" t="s">
        <v>50</v>
      </c>
      <c r="D55">
        <v>23</v>
      </c>
      <c r="E55">
        <v>0</v>
      </c>
      <c r="F55">
        <v>23</v>
      </c>
      <c r="G55">
        <v>23</v>
      </c>
      <c r="H55">
        <v>23</v>
      </c>
      <c r="I55">
        <v>23</v>
      </c>
      <c r="J55">
        <v>23</v>
      </c>
      <c r="K55">
        <v>1355</v>
      </c>
      <c r="L55">
        <v>1355.1</v>
      </c>
      <c r="M55">
        <v>1354.7</v>
      </c>
      <c r="N55">
        <v>1355.8</v>
      </c>
      <c r="O55">
        <v>1354.2</v>
      </c>
      <c r="P55">
        <v>0</v>
      </c>
      <c r="Q55">
        <v>0</v>
      </c>
      <c r="R55">
        <v>1</v>
      </c>
    </row>
    <row r="56" spans="1:18" x14ac:dyDescent="0.15">
      <c r="A56" t="s">
        <v>235</v>
      </c>
      <c r="B56">
        <v>14</v>
      </c>
      <c r="C56" t="s">
        <v>51</v>
      </c>
      <c r="D56">
        <v>23</v>
      </c>
      <c r="E56">
        <v>0</v>
      </c>
      <c r="F56">
        <v>23</v>
      </c>
      <c r="G56">
        <v>23</v>
      </c>
      <c r="H56">
        <v>23</v>
      </c>
      <c r="I56">
        <v>23</v>
      </c>
      <c r="J56">
        <v>23</v>
      </c>
      <c r="K56">
        <v>1355</v>
      </c>
      <c r="L56">
        <v>1354.6</v>
      </c>
      <c r="M56">
        <v>1355.2</v>
      </c>
      <c r="N56">
        <v>1355.2</v>
      </c>
      <c r="O56">
        <v>1355.8</v>
      </c>
      <c r="P56">
        <v>0</v>
      </c>
      <c r="Q56">
        <v>0</v>
      </c>
      <c r="R56">
        <v>1</v>
      </c>
    </row>
    <row r="57" spans="1:18" x14ac:dyDescent="0.15">
      <c r="A57" t="s">
        <v>236</v>
      </c>
      <c r="B57">
        <v>14</v>
      </c>
      <c r="C57" t="s">
        <v>52</v>
      </c>
      <c r="D57">
        <v>22.9</v>
      </c>
      <c r="E57">
        <v>0</v>
      </c>
      <c r="F57">
        <v>22.8</v>
      </c>
      <c r="G57">
        <v>23.4</v>
      </c>
      <c r="H57">
        <v>22.9</v>
      </c>
      <c r="I57">
        <v>22.8</v>
      </c>
      <c r="J57">
        <v>22.8</v>
      </c>
      <c r="K57">
        <v>1354</v>
      </c>
      <c r="L57">
        <v>1350.6</v>
      </c>
      <c r="M57">
        <v>1354.7</v>
      </c>
      <c r="N57">
        <v>1355.5</v>
      </c>
      <c r="O57">
        <v>1353.6</v>
      </c>
      <c r="P57">
        <v>0</v>
      </c>
      <c r="Q57">
        <v>0</v>
      </c>
      <c r="R57">
        <v>1</v>
      </c>
    </row>
    <row r="58" spans="1:18" x14ac:dyDescent="0.15">
      <c r="A58" t="s">
        <v>237</v>
      </c>
      <c r="B58">
        <v>14</v>
      </c>
      <c r="C58" t="s">
        <v>53</v>
      </c>
      <c r="D58">
        <v>23</v>
      </c>
      <c r="E58">
        <v>0</v>
      </c>
      <c r="F58">
        <v>23</v>
      </c>
      <c r="G58">
        <v>23</v>
      </c>
      <c r="H58">
        <v>23</v>
      </c>
      <c r="I58">
        <v>23</v>
      </c>
      <c r="J58">
        <v>23</v>
      </c>
      <c r="K58">
        <v>1355.3</v>
      </c>
      <c r="L58">
        <v>1353.5</v>
      </c>
      <c r="M58">
        <v>1355.9</v>
      </c>
      <c r="N58">
        <v>1356.6</v>
      </c>
      <c r="O58">
        <v>1355</v>
      </c>
      <c r="P58">
        <v>0</v>
      </c>
      <c r="Q58">
        <v>0</v>
      </c>
      <c r="R58">
        <v>1</v>
      </c>
    </row>
    <row r="59" spans="1:18" x14ac:dyDescent="0.15">
      <c r="A59" t="s">
        <v>238</v>
      </c>
      <c r="B59">
        <v>15</v>
      </c>
      <c r="C59" t="s">
        <v>50</v>
      </c>
      <c r="D59">
        <v>23</v>
      </c>
      <c r="E59">
        <v>0</v>
      </c>
      <c r="F59">
        <v>23</v>
      </c>
      <c r="G59">
        <v>23</v>
      </c>
      <c r="H59">
        <v>23</v>
      </c>
      <c r="I59">
        <v>23</v>
      </c>
      <c r="J59">
        <v>23</v>
      </c>
      <c r="K59">
        <v>1361.9</v>
      </c>
      <c r="L59">
        <v>1361.8</v>
      </c>
      <c r="M59">
        <v>1361.9</v>
      </c>
      <c r="N59">
        <v>1359.6</v>
      </c>
      <c r="O59">
        <v>1361.6</v>
      </c>
      <c r="P59">
        <v>0</v>
      </c>
      <c r="Q59">
        <v>12.8</v>
      </c>
      <c r="R59">
        <v>5</v>
      </c>
    </row>
    <row r="60" spans="1:18" x14ac:dyDescent="0.15">
      <c r="A60" t="s">
        <v>239</v>
      </c>
      <c r="B60">
        <v>15</v>
      </c>
      <c r="C60" t="s">
        <v>51</v>
      </c>
      <c r="D60">
        <v>23</v>
      </c>
      <c r="E60">
        <v>0</v>
      </c>
      <c r="F60">
        <v>23</v>
      </c>
      <c r="G60">
        <v>23</v>
      </c>
      <c r="H60">
        <v>23</v>
      </c>
      <c r="I60">
        <v>23</v>
      </c>
      <c r="J60">
        <v>23</v>
      </c>
      <c r="K60">
        <v>1359.5</v>
      </c>
      <c r="L60">
        <v>1361.4</v>
      </c>
      <c r="M60">
        <v>1362.3</v>
      </c>
      <c r="N60">
        <v>1355.9</v>
      </c>
      <c r="O60">
        <v>1360.6</v>
      </c>
      <c r="P60">
        <v>0</v>
      </c>
      <c r="Q60">
        <v>12.8</v>
      </c>
      <c r="R60">
        <v>5</v>
      </c>
    </row>
    <row r="61" spans="1:18" x14ac:dyDescent="0.15">
      <c r="A61" t="s">
        <v>240</v>
      </c>
      <c r="B61">
        <v>15</v>
      </c>
      <c r="C61" t="s">
        <v>52</v>
      </c>
      <c r="D61">
        <v>23</v>
      </c>
      <c r="E61">
        <v>0</v>
      </c>
      <c r="F61">
        <v>23</v>
      </c>
      <c r="G61">
        <v>23</v>
      </c>
      <c r="H61">
        <v>23</v>
      </c>
      <c r="I61">
        <v>23</v>
      </c>
      <c r="J61">
        <v>23</v>
      </c>
      <c r="K61">
        <v>1354.1</v>
      </c>
      <c r="L61">
        <v>1354.9</v>
      </c>
      <c r="M61">
        <v>1355</v>
      </c>
      <c r="N61">
        <v>1354.1</v>
      </c>
      <c r="O61">
        <v>1354</v>
      </c>
      <c r="P61">
        <v>0</v>
      </c>
      <c r="Q61">
        <v>12.8</v>
      </c>
      <c r="R61">
        <v>5</v>
      </c>
    </row>
    <row r="62" spans="1:18" x14ac:dyDescent="0.15">
      <c r="A62" t="s">
        <v>241</v>
      </c>
      <c r="B62">
        <v>15</v>
      </c>
      <c r="C62" t="s">
        <v>53</v>
      </c>
      <c r="D62">
        <v>23</v>
      </c>
      <c r="E62">
        <v>0</v>
      </c>
      <c r="F62">
        <v>23</v>
      </c>
      <c r="G62">
        <v>23</v>
      </c>
      <c r="H62">
        <v>23</v>
      </c>
      <c r="I62">
        <v>23</v>
      </c>
      <c r="J62">
        <v>23</v>
      </c>
      <c r="K62">
        <v>1355.3</v>
      </c>
      <c r="L62">
        <v>1354.9</v>
      </c>
      <c r="M62">
        <v>1356.9</v>
      </c>
      <c r="N62">
        <v>1355.4</v>
      </c>
      <c r="O62">
        <v>1354.9</v>
      </c>
      <c r="P62">
        <v>0</v>
      </c>
      <c r="Q62">
        <v>12.8</v>
      </c>
      <c r="R62">
        <v>5</v>
      </c>
    </row>
    <row r="63" spans="1:18" x14ac:dyDescent="0.15">
      <c r="A63" t="s">
        <v>242</v>
      </c>
      <c r="B63">
        <v>16</v>
      </c>
      <c r="C63" t="s">
        <v>50</v>
      </c>
      <c r="D63">
        <v>23</v>
      </c>
      <c r="E63">
        <v>0</v>
      </c>
      <c r="F63">
        <v>23</v>
      </c>
      <c r="G63">
        <v>23</v>
      </c>
      <c r="H63">
        <v>23</v>
      </c>
      <c r="I63">
        <v>23</v>
      </c>
      <c r="J63">
        <v>23</v>
      </c>
      <c r="K63">
        <v>1355.4</v>
      </c>
      <c r="L63">
        <v>1355.7</v>
      </c>
      <c r="M63">
        <v>1354.9</v>
      </c>
      <c r="N63">
        <v>1355.3</v>
      </c>
      <c r="O63">
        <v>1355.4</v>
      </c>
      <c r="P63">
        <v>0</v>
      </c>
      <c r="Q63">
        <v>0</v>
      </c>
      <c r="R63">
        <v>1</v>
      </c>
    </row>
    <row r="64" spans="1:18" x14ac:dyDescent="0.15">
      <c r="A64" t="s">
        <v>243</v>
      </c>
      <c r="B64">
        <v>16</v>
      </c>
      <c r="C64" t="s">
        <v>51</v>
      </c>
      <c r="D64">
        <v>22.9</v>
      </c>
      <c r="E64">
        <v>0</v>
      </c>
      <c r="F64">
        <v>23</v>
      </c>
      <c r="G64">
        <v>22.9</v>
      </c>
      <c r="H64">
        <v>23</v>
      </c>
      <c r="I64">
        <v>23</v>
      </c>
      <c r="J64">
        <v>22.9</v>
      </c>
      <c r="K64">
        <v>1355.3</v>
      </c>
      <c r="L64">
        <v>1358.8</v>
      </c>
      <c r="M64">
        <v>1353.7</v>
      </c>
      <c r="N64">
        <v>1354.3</v>
      </c>
      <c r="O64">
        <v>1355.4</v>
      </c>
      <c r="P64">
        <v>0</v>
      </c>
      <c r="Q64">
        <v>0</v>
      </c>
      <c r="R64">
        <v>1</v>
      </c>
    </row>
    <row r="65" spans="1:18" x14ac:dyDescent="0.15">
      <c r="A65" t="s">
        <v>244</v>
      </c>
      <c r="B65">
        <v>16</v>
      </c>
      <c r="C65" t="s">
        <v>52</v>
      </c>
      <c r="D65">
        <v>23</v>
      </c>
      <c r="E65">
        <v>0</v>
      </c>
      <c r="F65">
        <v>23</v>
      </c>
      <c r="G65">
        <v>23</v>
      </c>
      <c r="H65">
        <v>23</v>
      </c>
      <c r="I65">
        <v>23</v>
      </c>
      <c r="J65">
        <v>23</v>
      </c>
      <c r="K65">
        <v>1353.8</v>
      </c>
      <c r="L65">
        <v>1356</v>
      </c>
      <c r="M65">
        <v>1354.9</v>
      </c>
      <c r="N65">
        <v>1355.7</v>
      </c>
      <c r="O65">
        <v>1354.5</v>
      </c>
      <c r="P65">
        <v>0</v>
      </c>
      <c r="Q65">
        <v>0</v>
      </c>
      <c r="R65">
        <v>1</v>
      </c>
    </row>
    <row r="66" spans="1:18" x14ac:dyDescent="0.15">
      <c r="A66" t="s">
        <v>245</v>
      </c>
      <c r="B66">
        <v>16</v>
      </c>
      <c r="C66" t="s">
        <v>53</v>
      </c>
      <c r="D66">
        <v>23</v>
      </c>
      <c r="E66">
        <v>0</v>
      </c>
      <c r="F66">
        <v>23</v>
      </c>
      <c r="G66">
        <v>23</v>
      </c>
      <c r="H66">
        <v>23</v>
      </c>
      <c r="I66">
        <v>23</v>
      </c>
      <c r="J66">
        <v>23</v>
      </c>
      <c r="K66">
        <v>1356.6</v>
      </c>
      <c r="L66">
        <v>1355.3</v>
      </c>
      <c r="M66">
        <v>1354.7</v>
      </c>
      <c r="N66">
        <v>1355.4</v>
      </c>
      <c r="O66">
        <v>1355.9</v>
      </c>
      <c r="P66">
        <v>0</v>
      </c>
      <c r="Q66">
        <v>0</v>
      </c>
      <c r="R66">
        <v>1</v>
      </c>
    </row>
    <row r="67" spans="1:18" x14ac:dyDescent="0.15">
      <c r="A67" t="s">
        <v>246</v>
      </c>
      <c r="B67">
        <v>17</v>
      </c>
      <c r="C67" t="s">
        <v>50</v>
      </c>
      <c r="D67">
        <v>23</v>
      </c>
      <c r="E67">
        <v>0</v>
      </c>
      <c r="F67">
        <v>23</v>
      </c>
      <c r="G67">
        <v>23</v>
      </c>
      <c r="H67">
        <v>23</v>
      </c>
      <c r="I67">
        <v>23</v>
      </c>
      <c r="J67">
        <v>23</v>
      </c>
      <c r="K67">
        <v>1354.3</v>
      </c>
      <c r="L67">
        <v>1354.7</v>
      </c>
      <c r="M67">
        <v>1354.6</v>
      </c>
      <c r="N67">
        <v>1353.7</v>
      </c>
      <c r="O67">
        <v>1353.7</v>
      </c>
      <c r="P67">
        <v>0</v>
      </c>
      <c r="Q67">
        <v>0</v>
      </c>
      <c r="R67">
        <v>1</v>
      </c>
    </row>
    <row r="68" spans="1:18" x14ac:dyDescent="0.15">
      <c r="A68" t="s">
        <v>247</v>
      </c>
      <c r="B68">
        <v>17</v>
      </c>
      <c r="C68" t="s">
        <v>51</v>
      </c>
      <c r="D68">
        <v>22.9</v>
      </c>
      <c r="E68">
        <v>0</v>
      </c>
      <c r="F68">
        <v>22.9</v>
      </c>
      <c r="G68">
        <v>23</v>
      </c>
      <c r="H68">
        <v>23</v>
      </c>
      <c r="I68">
        <v>23</v>
      </c>
      <c r="J68">
        <v>23</v>
      </c>
      <c r="K68">
        <v>1355.4</v>
      </c>
      <c r="L68">
        <v>1354.5</v>
      </c>
      <c r="M68">
        <v>1354.6</v>
      </c>
      <c r="N68">
        <v>1354.8</v>
      </c>
      <c r="O68">
        <v>1354.7</v>
      </c>
      <c r="P68">
        <v>819.2</v>
      </c>
      <c r="Q68">
        <v>0</v>
      </c>
      <c r="R68">
        <v>5</v>
      </c>
    </row>
    <row r="69" spans="1:18" x14ac:dyDescent="0.15">
      <c r="A69" t="s">
        <v>248</v>
      </c>
      <c r="B69">
        <v>17</v>
      </c>
      <c r="C69" t="s">
        <v>52</v>
      </c>
      <c r="D69">
        <v>23</v>
      </c>
      <c r="E69">
        <v>0</v>
      </c>
      <c r="F69">
        <v>23</v>
      </c>
      <c r="G69">
        <v>23</v>
      </c>
      <c r="H69">
        <v>23</v>
      </c>
      <c r="I69">
        <v>23</v>
      </c>
      <c r="J69">
        <v>23</v>
      </c>
      <c r="K69">
        <v>1354.7</v>
      </c>
      <c r="L69">
        <v>1354</v>
      </c>
      <c r="M69">
        <v>1355</v>
      </c>
      <c r="N69">
        <v>1355.3</v>
      </c>
      <c r="O69">
        <v>1355</v>
      </c>
      <c r="P69">
        <v>0</v>
      </c>
      <c r="Q69">
        <v>0</v>
      </c>
      <c r="R69">
        <v>1</v>
      </c>
    </row>
    <row r="70" spans="1:18" x14ac:dyDescent="0.15">
      <c r="A70" t="s">
        <v>249</v>
      </c>
      <c r="B70">
        <v>17</v>
      </c>
      <c r="C70" t="s">
        <v>53</v>
      </c>
      <c r="D70">
        <v>22.9</v>
      </c>
      <c r="E70">
        <v>0</v>
      </c>
      <c r="F70">
        <v>23</v>
      </c>
      <c r="G70">
        <v>23</v>
      </c>
      <c r="H70">
        <v>23</v>
      </c>
      <c r="I70">
        <v>22.9</v>
      </c>
      <c r="J70">
        <v>22.9</v>
      </c>
      <c r="K70">
        <v>1355.4</v>
      </c>
      <c r="L70">
        <v>1354.8</v>
      </c>
      <c r="M70">
        <v>1352.6</v>
      </c>
      <c r="N70">
        <v>1355.1</v>
      </c>
      <c r="O70">
        <v>1356.9</v>
      </c>
      <c r="P70">
        <v>0</v>
      </c>
      <c r="Q70">
        <v>0</v>
      </c>
      <c r="R70">
        <v>1</v>
      </c>
    </row>
    <row r="71" spans="1:18" x14ac:dyDescent="0.15">
      <c r="A71" t="s">
        <v>250</v>
      </c>
      <c r="B71">
        <v>18</v>
      </c>
      <c r="C71" t="s">
        <v>50</v>
      </c>
      <c r="D71">
        <v>23</v>
      </c>
      <c r="E71">
        <v>0</v>
      </c>
      <c r="F71">
        <v>23</v>
      </c>
      <c r="G71">
        <v>23</v>
      </c>
      <c r="H71">
        <v>23</v>
      </c>
      <c r="I71">
        <v>23</v>
      </c>
      <c r="J71">
        <v>23</v>
      </c>
      <c r="K71">
        <v>1354.8</v>
      </c>
      <c r="L71">
        <v>1354.3</v>
      </c>
      <c r="M71">
        <v>1355</v>
      </c>
      <c r="N71">
        <v>1354.3</v>
      </c>
      <c r="O71">
        <v>1354.5</v>
      </c>
      <c r="P71">
        <v>0</v>
      </c>
      <c r="Q71">
        <v>0</v>
      </c>
      <c r="R71">
        <v>1</v>
      </c>
    </row>
    <row r="72" spans="1:18" x14ac:dyDescent="0.15">
      <c r="A72" t="s">
        <v>251</v>
      </c>
      <c r="B72">
        <v>18</v>
      </c>
      <c r="C72" t="s">
        <v>51</v>
      </c>
      <c r="D72">
        <v>23</v>
      </c>
      <c r="E72">
        <v>0</v>
      </c>
      <c r="F72">
        <v>23</v>
      </c>
      <c r="G72">
        <v>23</v>
      </c>
      <c r="H72">
        <v>23</v>
      </c>
      <c r="I72">
        <v>23</v>
      </c>
      <c r="J72">
        <v>23</v>
      </c>
      <c r="K72">
        <v>1354.2</v>
      </c>
      <c r="L72">
        <v>1354.9</v>
      </c>
      <c r="M72">
        <v>1354.1</v>
      </c>
      <c r="N72">
        <v>1355.8</v>
      </c>
      <c r="O72">
        <v>1356.2</v>
      </c>
      <c r="P72">
        <v>0</v>
      </c>
      <c r="Q72">
        <v>0</v>
      </c>
      <c r="R72">
        <v>1</v>
      </c>
    </row>
    <row r="73" spans="1:18" x14ac:dyDescent="0.15">
      <c r="A73" t="s">
        <v>252</v>
      </c>
      <c r="B73">
        <v>18</v>
      </c>
      <c r="C73" t="s">
        <v>52</v>
      </c>
      <c r="D73">
        <v>23</v>
      </c>
      <c r="E73">
        <v>0</v>
      </c>
      <c r="F73">
        <v>23</v>
      </c>
      <c r="G73">
        <v>23</v>
      </c>
      <c r="H73">
        <v>23</v>
      </c>
      <c r="I73">
        <v>23</v>
      </c>
      <c r="J73">
        <v>23</v>
      </c>
      <c r="K73">
        <v>1355.6</v>
      </c>
      <c r="L73">
        <v>1353</v>
      </c>
      <c r="M73">
        <v>1355.5</v>
      </c>
      <c r="N73">
        <v>1356.3</v>
      </c>
      <c r="O73">
        <v>1356.1</v>
      </c>
      <c r="P73">
        <v>0</v>
      </c>
      <c r="Q73">
        <v>0</v>
      </c>
      <c r="R73">
        <v>1</v>
      </c>
    </row>
    <row r="74" spans="1:18" x14ac:dyDescent="0.15">
      <c r="A74" t="s">
        <v>253</v>
      </c>
      <c r="B74">
        <v>18</v>
      </c>
      <c r="C74" t="s">
        <v>53</v>
      </c>
      <c r="D74">
        <v>23</v>
      </c>
      <c r="E74">
        <v>0</v>
      </c>
      <c r="F74">
        <v>23</v>
      </c>
      <c r="G74">
        <v>23</v>
      </c>
      <c r="H74">
        <v>23</v>
      </c>
      <c r="I74">
        <v>23</v>
      </c>
      <c r="J74">
        <v>23</v>
      </c>
      <c r="K74">
        <v>1355.2</v>
      </c>
      <c r="L74">
        <v>1355.4</v>
      </c>
      <c r="M74">
        <v>1356.5</v>
      </c>
      <c r="N74">
        <v>1354.7</v>
      </c>
      <c r="O74">
        <v>1355.8</v>
      </c>
      <c r="P74">
        <v>0</v>
      </c>
      <c r="Q74">
        <v>12.8</v>
      </c>
      <c r="R74">
        <v>5</v>
      </c>
    </row>
    <row r="75" spans="1:18" x14ac:dyDescent="0.15">
      <c r="A75" t="s">
        <v>254</v>
      </c>
      <c r="B75">
        <v>19</v>
      </c>
      <c r="C75" t="s">
        <v>50</v>
      </c>
      <c r="D75">
        <v>23</v>
      </c>
      <c r="E75">
        <v>0</v>
      </c>
      <c r="F75">
        <v>23</v>
      </c>
      <c r="G75">
        <v>23</v>
      </c>
      <c r="H75">
        <v>23</v>
      </c>
      <c r="I75">
        <v>23</v>
      </c>
      <c r="J75">
        <v>23</v>
      </c>
      <c r="K75">
        <v>1358.9</v>
      </c>
      <c r="L75">
        <v>1356.6</v>
      </c>
      <c r="M75">
        <v>1352.8</v>
      </c>
      <c r="N75">
        <v>1357.3</v>
      </c>
      <c r="O75">
        <v>1356.7</v>
      </c>
      <c r="P75">
        <v>0</v>
      </c>
      <c r="Q75">
        <v>0</v>
      </c>
      <c r="R75">
        <v>1</v>
      </c>
    </row>
    <row r="76" spans="1:18" x14ac:dyDescent="0.15">
      <c r="A76" t="s">
        <v>255</v>
      </c>
      <c r="B76">
        <v>19</v>
      </c>
      <c r="C76" t="s">
        <v>51</v>
      </c>
      <c r="D76">
        <v>23</v>
      </c>
      <c r="E76">
        <v>0</v>
      </c>
      <c r="F76">
        <v>23</v>
      </c>
      <c r="G76">
        <v>23</v>
      </c>
      <c r="H76">
        <v>23</v>
      </c>
      <c r="I76">
        <v>23</v>
      </c>
      <c r="J76">
        <v>23</v>
      </c>
      <c r="K76">
        <v>1355.5</v>
      </c>
      <c r="L76">
        <v>1356</v>
      </c>
      <c r="M76">
        <v>1356.5</v>
      </c>
      <c r="N76">
        <v>1355.9</v>
      </c>
      <c r="O76">
        <v>1356.4</v>
      </c>
      <c r="P76">
        <v>0</v>
      </c>
      <c r="Q76">
        <v>0</v>
      </c>
      <c r="R76">
        <v>1</v>
      </c>
    </row>
    <row r="77" spans="1:18" x14ac:dyDescent="0.15">
      <c r="A77" t="s">
        <v>256</v>
      </c>
      <c r="B77">
        <v>19</v>
      </c>
      <c r="C77" t="s">
        <v>52</v>
      </c>
      <c r="D77">
        <v>23</v>
      </c>
      <c r="E77">
        <v>0</v>
      </c>
      <c r="F77">
        <v>23</v>
      </c>
      <c r="G77">
        <v>23</v>
      </c>
      <c r="H77">
        <v>23</v>
      </c>
      <c r="I77">
        <v>23</v>
      </c>
      <c r="J77">
        <v>23</v>
      </c>
      <c r="K77">
        <v>1356.2</v>
      </c>
      <c r="L77">
        <v>1355.5</v>
      </c>
      <c r="M77">
        <v>1355.9</v>
      </c>
      <c r="N77">
        <v>1353.4</v>
      </c>
      <c r="O77">
        <v>1355.6</v>
      </c>
      <c r="P77">
        <v>0</v>
      </c>
      <c r="Q77">
        <v>0</v>
      </c>
      <c r="R77">
        <v>1</v>
      </c>
    </row>
    <row r="78" spans="1:18" x14ac:dyDescent="0.15">
      <c r="A78" t="s">
        <v>257</v>
      </c>
      <c r="B78">
        <v>19</v>
      </c>
      <c r="C78" t="s">
        <v>53</v>
      </c>
      <c r="D78">
        <v>23</v>
      </c>
      <c r="E78">
        <v>0</v>
      </c>
      <c r="F78">
        <v>23</v>
      </c>
      <c r="G78">
        <v>23</v>
      </c>
      <c r="H78">
        <v>23</v>
      </c>
      <c r="I78">
        <v>23</v>
      </c>
      <c r="J78">
        <v>23</v>
      </c>
      <c r="K78">
        <v>1356</v>
      </c>
      <c r="L78">
        <v>1358.7</v>
      </c>
      <c r="M78">
        <v>1355.1</v>
      </c>
      <c r="N78">
        <v>1356.2</v>
      </c>
      <c r="O78">
        <v>1356.7</v>
      </c>
      <c r="P78">
        <v>0</v>
      </c>
      <c r="Q78">
        <v>0</v>
      </c>
      <c r="R78">
        <v>1</v>
      </c>
    </row>
    <row r="79" spans="1:18" x14ac:dyDescent="0.15">
      <c r="A79" t="s">
        <v>258</v>
      </c>
      <c r="B79">
        <v>20</v>
      </c>
      <c r="C79" t="s">
        <v>50</v>
      </c>
      <c r="D79">
        <v>23</v>
      </c>
      <c r="E79">
        <v>0</v>
      </c>
      <c r="F79">
        <v>23</v>
      </c>
      <c r="G79">
        <v>23</v>
      </c>
      <c r="H79">
        <v>23</v>
      </c>
      <c r="I79">
        <v>23</v>
      </c>
      <c r="J79">
        <v>23</v>
      </c>
      <c r="K79">
        <v>1356.7</v>
      </c>
      <c r="L79">
        <v>1355.8</v>
      </c>
      <c r="M79">
        <v>1355.9</v>
      </c>
      <c r="N79">
        <v>1356.8</v>
      </c>
      <c r="O79">
        <v>1355.9</v>
      </c>
      <c r="P79">
        <v>0</v>
      </c>
      <c r="Q79">
        <v>0</v>
      </c>
      <c r="R79">
        <v>1</v>
      </c>
    </row>
    <row r="80" spans="1:18" x14ac:dyDescent="0.15">
      <c r="A80" t="s">
        <v>259</v>
      </c>
      <c r="B80">
        <v>20</v>
      </c>
      <c r="C80" t="s">
        <v>51</v>
      </c>
      <c r="D80">
        <v>23</v>
      </c>
      <c r="E80">
        <v>0</v>
      </c>
      <c r="F80">
        <v>23</v>
      </c>
      <c r="G80">
        <v>23</v>
      </c>
      <c r="H80">
        <v>23</v>
      </c>
      <c r="I80">
        <v>23</v>
      </c>
      <c r="J80">
        <v>23</v>
      </c>
      <c r="K80">
        <v>1356.2</v>
      </c>
      <c r="L80">
        <v>1355.9</v>
      </c>
      <c r="M80">
        <v>1355.6</v>
      </c>
      <c r="N80">
        <v>1357.1</v>
      </c>
      <c r="O80">
        <v>1355.4</v>
      </c>
      <c r="P80">
        <v>0</v>
      </c>
      <c r="Q80">
        <v>0</v>
      </c>
      <c r="R80">
        <v>1</v>
      </c>
    </row>
    <row r="81" spans="1:18" x14ac:dyDescent="0.15">
      <c r="A81" t="s">
        <v>260</v>
      </c>
      <c r="B81">
        <v>20</v>
      </c>
      <c r="C81" t="s">
        <v>52</v>
      </c>
      <c r="D81">
        <v>23</v>
      </c>
      <c r="E81">
        <v>0</v>
      </c>
      <c r="F81">
        <v>23</v>
      </c>
      <c r="G81">
        <v>23</v>
      </c>
      <c r="H81">
        <v>23</v>
      </c>
      <c r="I81">
        <v>23</v>
      </c>
      <c r="J81">
        <v>23</v>
      </c>
      <c r="K81">
        <v>1358.4</v>
      </c>
      <c r="L81">
        <v>1356.1</v>
      </c>
      <c r="M81">
        <v>1357.1</v>
      </c>
      <c r="N81">
        <v>1355.8</v>
      </c>
      <c r="O81">
        <v>1353.9</v>
      </c>
      <c r="P81">
        <v>1638.4</v>
      </c>
      <c r="Q81">
        <v>0</v>
      </c>
      <c r="R81">
        <v>5</v>
      </c>
    </row>
    <row r="82" spans="1:18" x14ac:dyDescent="0.15">
      <c r="A82" t="s">
        <v>261</v>
      </c>
      <c r="B82">
        <v>20</v>
      </c>
      <c r="C82" t="s">
        <v>53</v>
      </c>
      <c r="D82">
        <v>23</v>
      </c>
      <c r="E82">
        <v>0</v>
      </c>
      <c r="F82">
        <v>23</v>
      </c>
      <c r="G82">
        <v>23</v>
      </c>
      <c r="H82">
        <v>23</v>
      </c>
      <c r="I82">
        <v>23</v>
      </c>
      <c r="J82">
        <v>23</v>
      </c>
      <c r="K82">
        <v>1355.9</v>
      </c>
      <c r="L82">
        <v>1356.2</v>
      </c>
      <c r="M82">
        <v>1357.2</v>
      </c>
      <c r="N82">
        <v>1356.3</v>
      </c>
      <c r="O82">
        <v>1357</v>
      </c>
      <c r="P82">
        <v>0</v>
      </c>
      <c r="Q82">
        <v>0</v>
      </c>
      <c r="R82">
        <v>1</v>
      </c>
    </row>
    <row r="83" spans="1:18" x14ac:dyDescent="0.15">
      <c r="A83" t="s">
        <v>262</v>
      </c>
      <c r="B83">
        <v>21</v>
      </c>
      <c r="C83" t="s">
        <v>50</v>
      </c>
      <c r="D83">
        <v>22.9</v>
      </c>
      <c r="E83">
        <v>0</v>
      </c>
      <c r="F83">
        <v>22.9</v>
      </c>
      <c r="G83">
        <v>22.9</v>
      </c>
      <c r="H83">
        <v>22.9</v>
      </c>
      <c r="I83">
        <v>23</v>
      </c>
      <c r="J83">
        <v>22.9</v>
      </c>
      <c r="K83">
        <v>1356.5</v>
      </c>
      <c r="L83">
        <v>1355.4</v>
      </c>
      <c r="M83">
        <v>1356.3</v>
      </c>
      <c r="N83">
        <v>1353.3</v>
      </c>
      <c r="O83">
        <v>1356.4</v>
      </c>
      <c r="P83">
        <v>0</v>
      </c>
      <c r="Q83">
        <v>0</v>
      </c>
      <c r="R83">
        <v>1</v>
      </c>
    </row>
    <row r="84" spans="1:18" x14ac:dyDescent="0.15">
      <c r="A84" t="s">
        <v>263</v>
      </c>
      <c r="B84">
        <v>21</v>
      </c>
      <c r="C84" t="s">
        <v>51</v>
      </c>
      <c r="D84">
        <v>23</v>
      </c>
      <c r="E84">
        <v>0</v>
      </c>
      <c r="F84">
        <v>23</v>
      </c>
      <c r="G84">
        <v>23</v>
      </c>
      <c r="H84">
        <v>23</v>
      </c>
      <c r="I84">
        <v>23</v>
      </c>
      <c r="J84">
        <v>23</v>
      </c>
      <c r="K84">
        <v>1355.6</v>
      </c>
      <c r="L84">
        <v>1354.9</v>
      </c>
      <c r="M84">
        <v>1354.7</v>
      </c>
      <c r="N84">
        <v>1355.1</v>
      </c>
      <c r="O84">
        <v>1355.8</v>
      </c>
      <c r="P84">
        <v>0</v>
      </c>
      <c r="Q84">
        <v>0</v>
      </c>
      <c r="R84">
        <v>1</v>
      </c>
    </row>
    <row r="85" spans="1:18" x14ac:dyDescent="0.15">
      <c r="A85" t="s">
        <v>264</v>
      </c>
      <c r="B85">
        <v>21</v>
      </c>
      <c r="C85" t="s">
        <v>52</v>
      </c>
      <c r="D85">
        <v>23</v>
      </c>
      <c r="E85">
        <v>0</v>
      </c>
      <c r="F85">
        <v>23</v>
      </c>
      <c r="G85">
        <v>23</v>
      </c>
      <c r="H85">
        <v>23</v>
      </c>
      <c r="I85">
        <v>23</v>
      </c>
      <c r="J85">
        <v>23</v>
      </c>
      <c r="K85">
        <v>1355.6</v>
      </c>
      <c r="L85">
        <v>1356.2</v>
      </c>
      <c r="M85">
        <v>1355.8</v>
      </c>
      <c r="N85">
        <v>1354.5</v>
      </c>
      <c r="O85">
        <v>1356.3</v>
      </c>
      <c r="P85">
        <v>0</v>
      </c>
      <c r="Q85">
        <v>0</v>
      </c>
      <c r="R85">
        <v>1</v>
      </c>
    </row>
    <row r="86" spans="1:18" x14ac:dyDescent="0.15">
      <c r="A86" t="s">
        <v>265</v>
      </c>
      <c r="B86">
        <v>21</v>
      </c>
      <c r="C86" t="s">
        <v>53</v>
      </c>
      <c r="D86">
        <v>23</v>
      </c>
      <c r="E86">
        <v>0</v>
      </c>
      <c r="F86">
        <v>23</v>
      </c>
      <c r="G86">
        <v>23</v>
      </c>
      <c r="H86">
        <v>23</v>
      </c>
      <c r="I86">
        <v>23</v>
      </c>
      <c r="J86">
        <v>23</v>
      </c>
      <c r="K86">
        <v>1356.3</v>
      </c>
      <c r="L86">
        <v>1358.7</v>
      </c>
      <c r="M86">
        <v>1357.4</v>
      </c>
      <c r="N86">
        <v>1356.6</v>
      </c>
      <c r="O86">
        <v>1358.6</v>
      </c>
      <c r="P86">
        <v>0</v>
      </c>
      <c r="Q86">
        <v>0</v>
      </c>
      <c r="R86">
        <v>1</v>
      </c>
    </row>
    <row r="87" spans="1:18" x14ac:dyDescent="0.15">
      <c r="A87" t="s">
        <v>266</v>
      </c>
      <c r="B87">
        <v>22</v>
      </c>
      <c r="C87" t="s">
        <v>50</v>
      </c>
      <c r="D87" t="s">
        <v>114</v>
      </c>
    </row>
    <row r="88" spans="1:18" x14ac:dyDescent="0.15">
      <c r="A88" t="s">
        <v>267</v>
      </c>
      <c r="B88">
        <v>22</v>
      </c>
      <c r="C88" t="s">
        <v>51</v>
      </c>
      <c r="D88" t="s">
        <v>114</v>
      </c>
    </row>
    <row r="89" spans="1:18" x14ac:dyDescent="0.15">
      <c r="A89" t="s">
        <v>268</v>
      </c>
      <c r="B89">
        <v>22</v>
      </c>
      <c r="C89" t="s">
        <v>52</v>
      </c>
      <c r="D89" t="s">
        <v>114</v>
      </c>
    </row>
    <row r="90" spans="1:18" x14ac:dyDescent="0.15">
      <c r="A90" t="s">
        <v>269</v>
      </c>
      <c r="B90">
        <v>22</v>
      </c>
      <c r="C90" t="s">
        <v>53</v>
      </c>
      <c r="D90" t="s">
        <v>114</v>
      </c>
    </row>
    <row r="91" spans="1:18" x14ac:dyDescent="0.15">
      <c r="A91" t="s">
        <v>270</v>
      </c>
      <c r="B91">
        <v>23</v>
      </c>
      <c r="C91" t="s">
        <v>50</v>
      </c>
      <c r="D91">
        <v>23</v>
      </c>
      <c r="E91">
        <v>0</v>
      </c>
      <c r="F91">
        <v>23</v>
      </c>
      <c r="G91">
        <v>23</v>
      </c>
      <c r="H91">
        <v>23</v>
      </c>
      <c r="I91">
        <v>23</v>
      </c>
      <c r="J91">
        <v>23</v>
      </c>
      <c r="K91">
        <v>1357</v>
      </c>
      <c r="L91">
        <v>1357.4</v>
      </c>
      <c r="M91">
        <v>1356.8</v>
      </c>
      <c r="N91">
        <v>1356.8</v>
      </c>
      <c r="O91">
        <v>1355.6</v>
      </c>
      <c r="P91">
        <v>0</v>
      </c>
      <c r="Q91">
        <v>0</v>
      </c>
      <c r="R91">
        <v>1</v>
      </c>
    </row>
    <row r="92" spans="1:18" x14ac:dyDescent="0.15">
      <c r="A92" t="s">
        <v>271</v>
      </c>
      <c r="B92">
        <v>23</v>
      </c>
      <c r="C92" t="s">
        <v>51</v>
      </c>
      <c r="D92">
        <v>23</v>
      </c>
      <c r="E92">
        <v>0</v>
      </c>
      <c r="F92">
        <v>23</v>
      </c>
      <c r="G92">
        <v>23</v>
      </c>
      <c r="H92">
        <v>23</v>
      </c>
      <c r="I92">
        <v>23</v>
      </c>
      <c r="J92">
        <v>23</v>
      </c>
      <c r="K92">
        <v>1355.1</v>
      </c>
      <c r="L92">
        <v>1356.4</v>
      </c>
      <c r="M92">
        <v>1356.2</v>
      </c>
      <c r="N92">
        <v>1355.8</v>
      </c>
      <c r="O92">
        <v>1355.7</v>
      </c>
      <c r="P92">
        <v>0</v>
      </c>
      <c r="Q92">
        <v>0</v>
      </c>
      <c r="R92">
        <v>1</v>
      </c>
    </row>
    <row r="93" spans="1:18" x14ac:dyDescent="0.15">
      <c r="A93" t="s">
        <v>272</v>
      </c>
      <c r="B93">
        <v>23</v>
      </c>
      <c r="C93" t="s">
        <v>52</v>
      </c>
      <c r="D93">
        <v>23</v>
      </c>
      <c r="E93">
        <v>0</v>
      </c>
      <c r="F93">
        <v>23</v>
      </c>
      <c r="G93">
        <v>23</v>
      </c>
      <c r="H93">
        <v>23</v>
      </c>
      <c r="I93">
        <v>23</v>
      </c>
      <c r="J93">
        <v>23</v>
      </c>
      <c r="K93">
        <v>1355.1</v>
      </c>
      <c r="L93">
        <v>1356.3</v>
      </c>
      <c r="M93">
        <v>1356.3</v>
      </c>
      <c r="N93">
        <v>1357.1</v>
      </c>
      <c r="O93">
        <v>1355.6</v>
      </c>
      <c r="P93">
        <v>0</v>
      </c>
      <c r="Q93">
        <v>0</v>
      </c>
      <c r="R93">
        <v>1</v>
      </c>
    </row>
    <row r="94" spans="1:18" x14ac:dyDescent="0.15">
      <c r="A94" t="s">
        <v>273</v>
      </c>
      <c r="B94">
        <v>23</v>
      </c>
      <c r="C94" t="s">
        <v>53</v>
      </c>
      <c r="D94">
        <v>22.9</v>
      </c>
      <c r="E94">
        <v>0</v>
      </c>
      <c r="F94">
        <v>22.9</v>
      </c>
      <c r="G94">
        <v>22.9</v>
      </c>
      <c r="H94">
        <v>23</v>
      </c>
      <c r="I94">
        <v>22.9</v>
      </c>
      <c r="J94">
        <v>23</v>
      </c>
      <c r="K94">
        <v>1356.5</v>
      </c>
      <c r="L94">
        <v>1355.8</v>
      </c>
      <c r="M94">
        <v>1355.8</v>
      </c>
      <c r="N94">
        <v>1356.1</v>
      </c>
      <c r="O94">
        <v>1354.5</v>
      </c>
      <c r="P94">
        <v>0</v>
      </c>
      <c r="Q94">
        <v>0</v>
      </c>
      <c r="R94">
        <v>1</v>
      </c>
    </row>
    <row r="95" spans="1:18" x14ac:dyDescent="0.15">
      <c r="A95" t="s">
        <v>274</v>
      </c>
      <c r="B95">
        <v>24</v>
      </c>
      <c r="C95" t="s">
        <v>50</v>
      </c>
      <c r="D95">
        <v>23</v>
      </c>
      <c r="E95">
        <v>0</v>
      </c>
      <c r="F95">
        <v>23</v>
      </c>
      <c r="G95">
        <v>23</v>
      </c>
      <c r="H95">
        <v>23</v>
      </c>
      <c r="I95">
        <v>23</v>
      </c>
      <c r="J95">
        <v>23</v>
      </c>
      <c r="K95">
        <v>1356.9</v>
      </c>
      <c r="L95">
        <v>1355.8</v>
      </c>
      <c r="M95">
        <v>1345</v>
      </c>
      <c r="N95">
        <v>1356.2</v>
      </c>
      <c r="O95">
        <v>1356.4</v>
      </c>
      <c r="P95">
        <v>0</v>
      </c>
      <c r="Q95">
        <v>0</v>
      </c>
      <c r="R95">
        <v>1</v>
      </c>
    </row>
    <row r="96" spans="1:18" x14ac:dyDescent="0.15">
      <c r="A96" t="s">
        <v>275</v>
      </c>
      <c r="B96">
        <v>24</v>
      </c>
      <c r="C96" t="s">
        <v>51</v>
      </c>
      <c r="D96">
        <v>23</v>
      </c>
      <c r="E96">
        <v>0</v>
      </c>
      <c r="F96">
        <v>23</v>
      </c>
      <c r="G96">
        <v>23</v>
      </c>
      <c r="H96">
        <v>23</v>
      </c>
      <c r="I96">
        <v>23</v>
      </c>
      <c r="J96">
        <v>23</v>
      </c>
      <c r="K96">
        <v>1354.9</v>
      </c>
      <c r="L96">
        <v>1356.3</v>
      </c>
      <c r="M96">
        <v>1355.3</v>
      </c>
      <c r="N96">
        <v>1356.5</v>
      </c>
      <c r="O96">
        <v>1356.2</v>
      </c>
      <c r="P96">
        <v>0</v>
      </c>
      <c r="Q96">
        <v>0</v>
      </c>
      <c r="R96">
        <v>1</v>
      </c>
    </row>
    <row r="97" spans="1:18" x14ac:dyDescent="0.15">
      <c r="A97" t="s">
        <v>276</v>
      </c>
      <c r="B97">
        <v>24</v>
      </c>
      <c r="C97" t="s">
        <v>52</v>
      </c>
      <c r="D97">
        <v>22.9</v>
      </c>
      <c r="E97">
        <v>0</v>
      </c>
      <c r="F97">
        <v>23</v>
      </c>
      <c r="G97">
        <v>22.9</v>
      </c>
      <c r="H97">
        <v>23</v>
      </c>
      <c r="I97">
        <v>22.9</v>
      </c>
      <c r="J97">
        <v>23</v>
      </c>
      <c r="K97">
        <v>1353.3</v>
      </c>
      <c r="L97">
        <v>1357</v>
      </c>
      <c r="M97">
        <v>1356.1</v>
      </c>
      <c r="N97">
        <v>1356.7</v>
      </c>
      <c r="O97">
        <v>1355.6</v>
      </c>
      <c r="P97">
        <v>0</v>
      </c>
      <c r="Q97">
        <v>0</v>
      </c>
      <c r="R97">
        <v>1</v>
      </c>
    </row>
    <row r="98" spans="1:18" x14ac:dyDescent="0.15">
      <c r="A98" t="s">
        <v>277</v>
      </c>
      <c r="B98">
        <v>24</v>
      </c>
      <c r="C98" t="s">
        <v>53</v>
      </c>
      <c r="D98">
        <v>23</v>
      </c>
      <c r="E98">
        <v>0</v>
      </c>
      <c r="F98">
        <v>23</v>
      </c>
      <c r="G98">
        <v>23</v>
      </c>
      <c r="H98">
        <v>23</v>
      </c>
      <c r="I98">
        <v>23</v>
      </c>
      <c r="J98">
        <v>23</v>
      </c>
      <c r="K98">
        <v>1356.2</v>
      </c>
      <c r="L98">
        <v>1356.5</v>
      </c>
      <c r="M98">
        <v>1356.6</v>
      </c>
      <c r="N98">
        <v>1355.5</v>
      </c>
      <c r="O98">
        <v>1355.9</v>
      </c>
      <c r="P98">
        <v>0</v>
      </c>
      <c r="Q98">
        <v>0</v>
      </c>
      <c r="R98">
        <v>1</v>
      </c>
    </row>
    <row r="99" spans="1:18" x14ac:dyDescent="0.15">
      <c r="A99" t="s">
        <v>278</v>
      </c>
      <c r="B99">
        <v>25</v>
      </c>
      <c r="C99" t="s">
        <v>50</v>
      </c>
      <c r="D99">
        <v>23</v>
      </c>
      <c r="E99">
        <v>0</v>
      </c>
      <c r="F99">
        <v>23</v>
      </c>
      <c r="G99">
        <v>23</v>
      </c>
      <c r="H99">
        <v>23</v>
      </c>
      <c r="I99">
        <v>23</v>
      </c>
      <c r="J99">
        <v>23</v>
      </c>
      <c r="K99">
        <v>1356.7</v>
      </c>
      <c r="L99">
        <v>1355.5</v>
      </c>
      <c r="M99">
        <v>1353.4</v>
      </c>
      <c r="N99">
        <v>1356.4</v>
      </c>
      <c r="O99">
        <v>1356.4</v>
      </c>
      <c r="P99">
        <v>0</v>
      </c>
      <c r="Q99">
        <v>12.8</v>
      </c>
      <c r="R99">
        <v>5</v>
      </c>
    </row>
    <row r="100" spans="1:18" x14ac:dyDescent="0.15">
      <c r="A100" t="s">
        <v>279</v>
      </c>
      <c r="B100">
        <v>25</v>
      </c>
      <c r="C100" t="s">
        <v>51</v>
      </c>
      <c r="D100">
        <v>22.9</v>
      </c>
      <c r="E100">
        <v>0</v>
      </c>
      <c r="F100">
        <v>23</v>
      </c>
      <c r="G100">
        <v>23</v>
      </c>
      <c r="H100">
        <v>23</v>
      </c>
      <c r="I100">
        <v>23</v>
      </c>
      <c r="J100">
        <v>22.9</v>
      </c>
      <c r="K100">
        <v>1349.5</v>
      </c>
      <c r="L100">
        <v>1356.2</v>
      </c>
      <c r="M100">
        <v>1355.2</v>
      </c>
      <c r="N100">
        <v>1355.3</v>
      </c>
      <c r="O100">
        <v>1356.3</v>
      </c>
      <c r="P100">
        <v>0</v>
      </c>
      <c r="Q100">
        <v>12.8</v>
      </c>
      <c r="R100">
        <v>5</v>
      </c>
    </row>
    <row r="101" spans="1:18" x14ac:dyDescent="0.15">
      <c r="A101" t="s">
        <v>280</v>
      </c>
      <c r="B101">
        <v>25</v>
      </c>
      <c r="C101" t="s">
        <v>52</v>
      </c>
      <c r="D101">
        <v>23</v>
      </c>
      <c r="E101">
        <v>0</v>
      </c>
      <c r="F101">
        <v>23</v>
      </c>
      <c r="G101">
        <v>23</v>
      </c>
      <c r="H101">
        <v>23</v>
      </c>
      <c r="I101">
        <v>23</v>
      </c>
      <c r="J101">
        <v>23</v>
      </c>
      <c r="K101">
        <v>1354.9</v>
      </c>
      <c r="L101">
        <v>1355.1</v>
      </c>
      <c r="M101">
        <v>1355.4</v>
      </c>
      <c r="N101">
        <v>1355</v>
      </c>
      <c r="O101">
        <v>1356.3</v>
      </c>
      <c r="P101">
        <v>0</v>
      </c>
      <c r="Q101">
        <v>12.8</v>
      </c>
      <c r="R101">
        <v>5</v>
      </c>
    </row>
    <row r="102" spans="1:18" x14ac:dyDescent="0.15">
      <c r="A102" t="s">
        <v>281</v>
      </c>
      <c r="B102">
        <v>25</v>
      </c>
      <c r="C102" t="s">
        <v>53</v>
      </c>
      <c r="D102">
        <v>23</v>
      </c>
      <c r="E102">
        <v>0</v>
      </c>
      <c r="F102">
        <v>23</v>
      </c>
      <c r="G102">
        <v>23</v>
      </c>
      <c r="H102">
        <v>23</v>
      </c>
      <c r="I102">
        <v>23</v>
      </c>
      <c r="J102">
        <v>23</v>
      </c>
      <c r="K102">
        <v>1357.6</v>
      </c>
      <c r="L102">
        <v>1356.2</v>
      </c>
      <c r="M102">
        <v>1356.7</v>
      </c>
      <c r="N102">
        <v>1356.8</v>
      </c>
      <c r="O102">
        <v>1356.2</v>
      </c>
      <c r="P102">
        <v>0</v>
      </c>
      <c r="Q102">
        <v>12.8</v>
      </c>
      <c r="R102">
        <v>5</v>
      </c>
    </row>
    <row r="103" spans="1:18" x14ac:dyDescent="0.15">
      <c r="A103" t="s">
        <v>282</v>
      </c>
      <c r="B103">
        <v>26</v>
      </c>
      <c r="C103" t="s">
        <v>50</v>
      </c>
      <c r="D103">
        <v>22.9</v>
      </c>
      <c r="E103">
        <v>0</v>
      </c>
      <c r="F103">
        <v>23</v>
      </c>
      <c r="G103">
        <v>22.9</v>
      </c>
      <c r="H103">
        <v>23</v>
      </c>
      <c r="I103">
        <v>23</v>
      </c>
      <c r="J103">
        <v>23</v>
      </c>
      <c r="K103">
        <v>1356.5</v>
      </c>
      <c r="L103">
        <v>1355.6</v>
      </c>
      <c r="M103">
        <v>1356.6</v>
      </c>
      <c r="N103">
        <v>1356.4</v>
      </c>
      <c r="O103">
        <v>1356.5</v>
      </c>
      <c r="P103">
        <v>0</v>
      </c>
      <c r="Q103">
        <v>64</v>
      </c>
      <c r="R103">
        <v>4</v>
      </c>
    </row>
    <row r="104" spans="1:18" x14ac:dyDescent="0.15">
      <c r="A104" t="s">
        <v>283</v>
      </c>
      <c r="B104">
        <v>26</v>
      </c>
      <c r="C104" t="s">
        <v>51</v>
      </c>
      <c r="D104">
        <v>22.9</v>
      </c>
      <c r="E104">
        <v>0</v>
      </c>
      <c r="F104">
        <v>22.9</v>
      </c>
      <c r="G104">
        <v>22.9</v>
      </c>
      <c r="H104">
        <v>23</v>
      </c>
      <c r="I104">
        <v>23</v>
      </c>
      <c r="J104">
        <v>23</v>
      </c>
      <c r="K104">
        <v>1356.4</v>
      </c>
      <c r="L104">
        <v>1355.5</v>
      </c>
      <c r="M104">
        <v>1356.3</v>
      </c>
      <c r="N104">
        <v>1355.9</v>
      </c>
      <c r="O104">
        <v>1354.6</v>
      </c>
      <c r="P104">
        <v>0</v>
      </c>
      <c r="Q104">
        <v>108.8</v>
      </c>
      <c r="R104">
        <v>4</v>
      </c>
    </row>
    <row r="105" spans="1:18" x14ac:dyDescent="0.15">
      <c r="A105" t="s">
        <v>284</v>
      </c>
      <c r="B105">
        <v>26</v>
      </c>
      <c r="C105" t="s">
        <v>52</v>
      </c>
      <c r="D105">
        <v>23</v>
      </c>
      <c r="E105">
        <v>0</v>
      </c>
      <c r="F105">
        <v>23</v>
      </c>
      <c r="G105">
        <v>23</v>
      </c>
      <c r="H105">
        <v>23</v>
      </c>
      <c r="I105">
        <v>23</v>
      </c>
      <c r="J105">
        <v>23</v>
      </c>
      <c r="K105">
        <v>1356.7</v>
      </c>
      <c r="L105">
        <v>1357</v>
      </c>
      <c r="M105">
        <v>1356.9</v>
      </c>
      <c r="N105">
        <v>1357.9</v>
      </c>
      <c r="O105">
        <v>1356.9</v>
      </c>
      <c r="P105">
        <v>0</v>
      </c>
      <c r="Q105">
        <v>64</v>
      </c>
      <c r="R105">
        <v>4</v>
      </c>
    </row>
    <row r="106" spans="1:18" x14ac:dyDescent="0.15">
      <c r="A106" t="s">
        <v>285</v>
      </c>
      <c r="B106">
        <v>26</v>
      </c>
      <c r="C106" t="s">
        <v>53</v>
      </c>
      <c r="D106">
        <v>22.9</v>
      </c>
      <c r="E106">
        <v>0</v>
      </c>
      <c r="F106">
        <v>23</v>
      </c>
      <c r="G106">
        <v>22.9</v>
      </c>
      <c r="H106">
        <v>23</v>
      </c>
      <c r="I106">
        <v>23</v>
      </c>
      <c r="J106">
        <v>23</v>
      </c>
      <c r="K106">
        <v>1355.1</v>
      </c>
      <c r="L106">
        <v>1357.4</v>
      </c>
      <c r="M106">
        <v>1356.5</v>
      </c>
      <c r="N106">
        <v>1356.4</v>
      </c>
      <c r="O106">
        <v>1355.2</v>
      </c>
      <c r="P106">
        <v>0</v>
      </c>
      <c r="Q106">
        <v>64</v>
      </c>
      <c r="R106">
        <v>4</v>
      </c>
    </row>
    <row r="107" spans="1:18" x14ac:dyDescent="0.15">
      <c r="A107" t="s">
        <v>286</v>
      </c>
      <c r="B107">
        <v>27</v>
      </c>
      <c r="C107" t="s">
        <v>50</v>
      </c>
      <c r="D107">
        <v>23</v>
      </c>
      <c r="E107">
        <v>0</v>
      </c>
      <c r="F107">
        <v>23</v>
      </c>
      <c r="G107">
        <v>23</v>
      </c>
      <c r="H107">
        <v>23</v>
      </c>
      <c r="I107">
        <v>23</v>
      </c>
      <c r="J107">
        <v>23</v>
      </c>
      <c r="K107">
        <v>1357.9</v>
      </c>
      <c r="L107">
        <v>1356.4</v>
      </c>
      <c r="M107">
        <v>1358.1</v>
      </c>
      <c r="N107">
        <v>1356.8</v>
      </c>
      <c r="O107">
        <v>1354.9</v>
      </c>
      <c r="P107">
        <v>0</v>
      </c>
      <c r="Q107">
        <v>12.8</v>
      </c>
      <c r="R107">
        <v>5</v>
      </c>
    </row>
    <row r="108" spans="1:18" x14ac:dyDescent="0.15">
      <c r="A108" t="s">
        <v>287</v>
      </c>
      <c r="B108">
        <v>27</v>
      </c>
      <c r="C108" t="s">
        <v>51</v>
      </c>
      <c r="D108">
        <v>23</v>
      </c>
      <c r="E108">
        <v>0</v>
      </c>
      <c r="F108">
        <v>23</v>
      </c>
      <c r="G108">
        <v>23</v>
      </c>
      <c r="H108">
        <v>23</v>
      </c>
      <c r="I108">
        <v>23</v>
      </c>
      <c r="J108">
        <v>23</v>
      </c>
      <c r="K108">
        <v>1357.6</v>
      </c>
      <c r="L108">
        <v>1357</v>
      </c>
      <c r="M108">
        <v>1355.9</v>
      </c>
      <c r="N108">
        <v>1356.3</v>
      </c>
      <c r="O108">
        <v>1357.8</v>
      </c>
      <c r="P108">
        <v>0</v>
      </c>
      <c r="Q108">
        <v>12.8</v>
      </c>
      <c r="R108">
        <v>5</v>
      </c>
    </row>
    <row r="109" spans="1:18" x14ac:dyDescent="0.15">
      <c r="A109" t="s">
        <v>288</v>
      </c>
      <c r="B109">
        <v>27</v>
      </c>
      <c r="C109" t="s">
        <v>52</v>
      </c>
      <c r="D109">
        <v>23</v>
      </c>
      <c r="E109">
        <v>0</v>
      </c>
      <c r="F109">
        <v>23</v>
      </c>
      <c r="G109">
        <v>23</v>
      </c>
      <c r="H109">
        <v>23</v>
      </c>
      <c r="I109">
        <v>23</v>
      </c>
      <c r="J109">
        <v>23</v>
      </c>
      <c r="K109">
        <v>1362.2</v>
      </c>
      <c r="L109">
        <v>1362.8</v>
      </c>
      <c r="M109">
        <v>1361.6</v>
      </c>
      <c r="N109">
        <v>1361.5</v>
      </c>
      <c r="O109">
        <v>1362.2</v>
      </c>
      <c r="P109">
        <v>0</v>
      </c>
      <c r="Q109">
        <v>12.8</v>
      </c>
      <c r="R109">
        <v>5</v>
      </c>
    </row>
    <row r="110" spans="1:18" x14ac:dyDescent="0.15">
      <c r="A110" t="s">
        <v>289</v>
      </c>
      <c r="B110">
        <v>27</v>
      </c>
      <c r="C110" t="s">
        <v>53</v>
      </c>
      <c r="D110">
        <v>23</v>
      </c>
      <c r="E110">
        <v>0</v>
      </c>
      <c r="F110">
        <v>23</v>
      </c>
      <c r="G110">
        <v>23</v>
      </c>
      <c r="H110">
        <v>23</v>
      </c>
      <c r="I110">
        <v>23</v>
      </c>
      <c r="J110">
        <v>23</v>
      </c>
      <c r="K110">
        <v>1357</v>
      </c>
      <c r="L110">
        <v>1356</v>
      </c>
      <c r="M110">
        <v>1356.4</v>
      </c>
      <c r="N110">
        <v>1356.3</v>
      </c>
      <c r="O110">
        <v>1356.4</v>
      </c>
      <c r="P110">
        <v>0</v>
      </c>
      <c r="Q110">
        <v>12.8</v>
      </c>
      <c r="R110">
        <v>5</v>
      </c>
    </row>
    <row r="111" spans="1:18" x14ac:dyDescent="0.15">
      <c r="A111" t="s">
        <v>290</v>
      </c>
      <c r="B111">
        <v>28</v>
      </c>
      <c r="C111" t="s">
        <v>50</v>
      </c>
      <c r="D111" t="s">
        <v>114</v>
      </c>
    </row>
    <row r="112" spans="1:18" x14ac:dyDescent="0.15">
      <c r="A112" t="s">
        <v>291</v>
      </c>
      <c r="B112">
        <v>28</v>
      </c>
      <c r="C112" t="s">
        <v>51</v>
      </c>
      <c r="D112" t="s">
        <v>114</v>
      </c>
    </row>
    <row r="113" spans="1:4" x14ac:dyDescent="0.15">
      <c r="A113" t="s">
        <v>292</v>
      </c>
      <c r="B113">
        <v>28</v>
      </c>
      <c r="C113" t="s">
        <v>52</v>
      </c>
      <c r="D113" t="s">
        <v>114</v>
      </c>
    </row>
    <row r="114" spans="1:4" x14ac:dyDescent="0.15">
      <c r="A114" t="s">
        <v>293</v>
      </c>
      <c r="B114">
        <v>28</v>
      </c>
      <c r="C114" t="s">
        <v>53</v>
      </c>
      <c r="D114" t="s">
        <v>114</v>
      </c>
    </row>
    <row r="115" spans="1:4" x14ac:dyDescent="0.15">
      <c r="A115" t="s">
        <v>294</v>
      </c>
      <c r="B115">
        <v>29</v>
      </c>
      <c r="C115" t="s">
        <v>50</v>
      </c>
      <c r="D115" t="s">
        <v>114</v>
      </c>
    </row>
    <row r="116" spans="1:4" x14ac:dyDescent="0.15">
      <c r="A116" t="s">
        <v>295</v>
      </c>
      <c r="B116">
        <v>29</v>
      </c>
      <c r="C116" t="s">
        <v>51</v>
      </c>
      <c r="D116" t="s">
        <v>114</v>
      </c>
    </row>
    <row r="117" spans="1:4" x14ac:dyDescent="0.15">
      <c r="A117" t="s">
        <v>296</v>
      </c>
      <c r="B117">
        <v>29</v>
      </c>
      <c r="C117" t="s">
        <v>52</v>
      </c>
      <c r="D117" t="s">
        <v>114</v>
      </c>
    </row>
    <row r="118" spans="1:4" x14ac:dyDescent="0.15">
      <c r="A118" t="s">
        <v>297</v>
      </c>
      <c r="B118">
        <v>29</v>
      </c>
      <c r="C118" t="s">
        <v>53</v>
      </c>
      <c r="D118" t="s">
        <v>114</v>
      </c>
    </row>
    <row r="119" spans="1:4" x14ac:dyDescent="0.15">
      <c r="A119" t="s">
        <v>298</v>
      </c>
      <c r="B119">
        <v>30</v>
      </c>
      <c r="C119" t="s">
        <v>50</v>
      </c>
      <c r="D119" t="s">
        <v>114</v>
      </c>
    </row>
    <row r="120" spans="1:4" x14ac:dyDescent="0.15">
      <c r="A120" t="s">
        <v>299</v>
      </c>
      <c r="B120">
        <v>30</v>
      </c>
      <c r="C120" t="s">
        <v>51</v>
      </c>
      <c r="D120" t="s">
        <v>114</v>
      </c>
    </row>
    <row r="121" spans="1:4" x14ac:dyDescent="0.15">
      <c r="A121" t="s">
        <v>300</v>
      </c>
      <c r="B121">
        <v>30</v>
      </c>
      <c r="C121" t="s">
        <v>52</v>
      </c>
      <c r="D121" t="s">
        <v>114</v>
      </c>
    </row>
    <row r="122" spans="1:4" x14ac:dyDescent="0.15">
      <c r="A122" t="s">
        <v>301</v>
      </c>
      <c r="B122">
        <v>30</v>
      </c>
      <c r="C122" t="s">
        <v>53</v>
      </c>
      <c r="D122" t="s">
        <v>114</v>
      </c>
    </row>
    <row r="123" spans="1:4" x14ac:dyDescent="0.15">
      <c r="A123" t="s">
        <v>302</v>
      </c>
      <c r="B123">
        <v>31</v>
      </c>
      <c r="C123" t="s">
        <v>50</v>
      </c>
      <c r="D123" t="s">
        <v>114</v>
      </c>
    </row>
    <row r="124" spans="1:4" x14ac:dyDescent="0.15">
      <c r="A124" t="s">
        <v>303</v>
      </c>
      <c r="B124">
        <v>31</v>
      </c>
      <c r="C124" t="s">
        <v>51</v>
      </c>
      <c r="D124" t="s">
        <v>114</v>
      </c>
    </row>
    <row r="125" spans="1:4" x14ac:dyDescent="0.15">
      <c r="A125" t="s">
        <v>304</v>
      </c>
      <c r="B125">
        <v>31</v>
      </c>
      <c r="C125" t="s">
        <v>52</v>
      </c>
      <c r="D125" t="s">
        <v>114</v>
      </c>
    </row>
    <row r="126" spans="1:4" x14ac:dyDescent="0.15">
      <c r="A126" t="s">
        <v>305</v>
      </c>
      <c r="B126">
        <v>31</v>
      </c>
      <c r="C126" t="s">
        <v>53</v>
      </c>
      <c r="D126" t="s">
        <v>114</v>
      </c>
    </row>
    <row r="127" spans="1:4" x14ac:dyDescent="0.15">
      <c r="A127" t="s">
        <v>306</v>
      </c>
      <c r="B127">
        <v>32</v>
      </c>
      <c r="C127" t="s">
        <v>50</v>
      </c>
      <c r="D127" t="s">
        <v>114</v>
      </c>
    </row>
    <row r="128" spans="1:4" x14ac:dyDescent="0.15">
      <c r="A128" t="s">
        <v>307</v>
      </c>
      <c r="B128">
        <v>32</v>
      </c>
      <c r="C128" t="s">
        <v>51</v>
      </c>
      <c r="D128" t="s">
        <v>114</v>
      </c>
    </row>
    <row r="129" spans="1:18" x14ac:dyDescent="0.15">
      <c r="A129" t="s">
        <v>308</v>
      </c>
      <c r="B129">
        <v>32</v>
      </c>
      <c r="C129" t="s">
        <v>52</v>
      </c>
      <c r="D129" t="s">
        <v>114</v>
      </c>
    </row>
    <row r="130" spans="1:18" x14ac:dyDescent="0.15">
      <c r="A130" t="s">
        <v>309</v>
      </c>
      <c r="B130">
        <v>32</v>
      </c>
      <c r="C130" t="s">
        <v>53</v>
      </c>
      <c r="D130" t="s">
        <v>114</v>
      </c>
    </row>
    <row r="131" spans="1:18" x14ac:dyDescent="0.15">
      <c r="A131" t="s">
        <v>310</v>
      </c>
      <c r="B131">
        <v>33</v>
      </c>
      <c r="C131" t="s">
        <v>50</v>
      </c>
      <c r="D131" t="s">
        <v>114</v>
      </c>
    </row>
    <row r="132" spans="1:18" x14ac:dyDescent="0.15">
      <c r="A132" t="s">
        <v>311</v>
      </c>
      <c r="B132">
        <v>33</v>
      </c>
      <c r="C132" t="s">
        <v>51</v>
      </c>
      <c r="D132" t="s">
        <v>114</v>
      </c>
    </row>
    <row r="133" spans="1:18" x14ac:dyDescent="0.15">
      <c r="A133" t="s">
        <v>312</v>
      </c>
      <c r="B133">
        <v>33</v>
      </c>
      <c r="C133" t="s">
        <v>52</v>
      </c>
      <c r="D133" t="s">
        <v>114</v>
      </c>
    </row>
    <row r="134" spans="1:18" x14ac:dyDescent="0.15">
      <c r="A134" t="s">
        <v>313</v>
      </c>
      <c r="B134">
        <v>33</v>
      </c>
      <c r="C134" t="s">
        <v>53</v>
      </c>
      <c r="D134" t="s">
        <v>114</v>
      </c>
    </row>
    <row r="135" spans="1:18" x14ac:dyDescent="0.15">
      <c r="A135" t="s">
        <v>314</v>
      </c>
      <c r="B135">
        <v>34</v>
      </c>
      <c r="C135" t="s">
        <v>50</v>
      </c>
      <c r="D135" t="s">
        <v>114</v>
      </c>
    </row>
    <row r="136" spans="1:18" x14ac:dyDescent="0.15">
      <c r="A136" t="s">
        <v>315</v>
      </c>
      <c r="B136">
        <v>34</v>
      </c>
      <c r="C136" t="s">
        <v>51</v>
      </c>
      <c r="D136" t="s">
        <v>114</v>
      </c>
    </row>
    <row r="137" spans="1:18" x14ac:dyDescent="0.15">
      <c r="A137" t="s">
        <v>316</v>
      </c>
      <c r="B137">
        <v>34</v>
      </c>
      <c r="C137" t="s">
        <v>52</v>
      </c>
      <c r="D137" t="s">
        <v>114</v>
      </c>
    </row>
    <row r="138" spans="1:18" x14ac:dyDescent="0.15">
      <c r="A138" t="s">
        <v>317</v>
      </c>
      <c r="B138">
        <v>34</v>
      </c>
      <c r="C138" t="s">
        <v>53</v>
      </c>
      <c r="D138" t="s">
        <v>114</v>
      </c>
    </row>
    <row r="139" spans="1:18" x14ac:dyDescent="0.15">
      <c r="A139" t="s">
        <v>318</v>
      </c>
      <c r="B139">
        <v>35</v>
      </c>
      <c r="C139" t="s">
        <v>50</v>
      </c>
      <c r="D139" t="s">
        <v>114</v>
      </c>
    </row>
    <row r="140" spans="1:18" x14ac:dyDescent="0.15">
      <c r="A140" t="s">
        <v>319</v>
      </c>
      <c r="B140">
        <v>35</v>
      </c>
      <c r="C140" t="s">
        <v>51</v>
      </c>
      <c r="D140" t="s">
        <v>114</v>
      </c>
    </row>
    <row r="141" spans="1:18" x14ac:dyDescent="0.15">
      <c r="A141" t="s">
        <v>320</v>
      </c>
      <c r="B141">
        <v>35</v>
      </c>
      <c r="C141" t="s">
        <v>52</v>
      </c>
      <c r="D141" t="s">
        <v>114</v>
      </c>
    </row>
    <row r="142" spans="1:18" x14ac:dyDescent="0.15">
      <c r="A142" t="s">
        <v>321</v>
      </c>
      <c r="B142">
        <v>35</v>
      </c>
      <c r="C142" t="s">
        <v>53</v>
      </c>
      <c r="D142" t="s">
        <v>114</v>
      </c>
    </row>
    <row r="143" spans="1:18" x14ac:dyDescent="0.15">
      <c r="A143" t="s">
        <v>322</v>
      </c>
      <c r="B143">
        <v>36</v>
      </c>
      <c r="C143" t="s">
        <v>50</v>
      </c>
      <c r="D143">
        <v>22.5</v>
      </c>
      <c r="E143">
        <v>0</v>
      </c>
      <c r="F143">
        <v>22.5</v>
      </c>
      <c r="G143">
        <v>22.5</v>
      </c>
      <c r="H143">
        <v>22.6</v>
      </c>
      <c r="I143">
        <v>22.6</v>
      </c>
      <c r="J143">
        <v>22.5</v>
      </c>
      <c r="K143">
        <v>1356.6</v>
      </c>
      <c r="L143">
        <v>1356.6</v>
      </c>
      <c r="M143">
        <v>1357.8</v>
      </c>
      <c r="N143">
        <v>1357.7</v>
      </c>
      <c r="O143">
        <v>1356.3</v>
      </c>
      <c r="P143">
        <v>25.6</v>
      </c>
      <c r="Q143">
        <v>12.8</v>
      </c>
      <c r="R143">
        <v>5</v>
      </c>
    </row>
    <row r="144" spans="1:18" x14ac:dyDescent="0.15">
      <c r="A144" t="s">
        <v>323</v>
      </c>
      <c r="B144">
        <v>36</v>
      </c>
      <c r="C144" t="s">
        <v>51</v>
      </c>
      <c r="D144">
        <v>20.9</v>
      </c>
      <c r="E144">
        <v>0</v>
      </c>
      <c r="F144">
        <v>22.3</v>
      </c>
      <c r="G144">
        <v>21.9</v>
      </c>
      <c r="H144">
        <v>22</v>
      </c>
      <c r="I144">
        <v>22</v>
      </c>
      <c r="J144">
        <v>20.6</v>
      </c>
      <c r="K144">
        <v>1356.2</v>
      </c>
      <c r="L144">
        <v>1357.2</v>
      </c>
      <c r="M144">
        <v>1354.9</v>
      </c>
      <c r="N144">
        <v>1356.2</v>
      </c>
      <c r="O144">
        <v>1351.6</v>
      </c>
      <c r="P144">
        <v>25.6</v>
      </c>
      <c r="Q144">
        <v>12.8</v>
      </c>
      <c r="R144">
        <v>5</v>
      </c>
    </row>
    <row r="145" spans="1:18" x14ac:dyDescent="0.15">
      <c r="A145" t="s">
        <v>324</v>
      </c>
      <c r="B145">
        <v>36</v>
      </c>
      <c r="C145" t="s">
        <v>52</v>
      </c>
      <c r="D145">
        <v>21.6</v>
      </c>
      <c r="E145">
        <v>0</v>
      </c>
      <c r="F145">
        <v>21.6</v>
      </c>
      <c r="G145">
        <v>21.9</v>
      </c>
      <c r="H145">
        <v>21.6</v>
      </c>
      <c r="I145">
        <v>21.6</v>
      </c>
      <c r="J145">
        <v>21.8</v>
      </c>
      <c r="K145">
        <v>1356</v>
      </c>
      <c r="L145">
        <v>1355.4</v>
      </c>
      <c r="M145">
        <v>1356.2</v>
      </c>
      <c r="N145">
        <v>1356</v>
      </c>
      <c r="O145">
        <v>1356.2</v>
      </c>
      <c r="P145">
        <v>25.6</v>
      </c>
      <c r="Q145">
        <v>12.8</v>
      </c>
      <c r="R145">
        <v>5</v>
      </c>
    </row>
    <row r="146" spans="1:18" x14ac:dyDescent="0.15">
      <c r="A146" t="s">
        <v>325</v>
      </c>
      <c r="B146">
        <v>36</v>
      </c>
      <c r="C146" t="s">
        <v>53</v>
      </c>
      <c r="D146">
        <v>22.1</v>
      </c>
      <c r="E146">
        <v>0</v>
      </c>
      <c r="F146">
        <v>22.9</v>
      </c>
      <c r="G146">
        <v>22.3</v>
      </c>
      <c r="H146">
        <v>22.3</v>
      </c>
      <c r="I146">
        <v>21.9</v>
      </c>
      <c r="J146">
        <v>22.5</v>
      </c>
      <c r="K146">
        <v>1356.2</v>
      </c>
      <c r="L146">
        <v>1355.4</v>
      </c>
      <c r="M146">
        <v>1355.7</v>
      </c>
      <c r="N146">
        <v>1354.9</v>
      </c>
      <c r="O146">
        <v>1356.1</v>
      </c>
      <c r="P146">
        <v>25.6</v>
      </c>
      <c r="Q146">
        <v>64</v>
      </c>
      <c r="R146">
        <v>5</v>
      </c>
    </row>
    <row r="147" spans="1:18" x14ac:dyDescent="0.15">
      <c r="A147" t="s">
        <v>326</v>
      </c>
      <c r="B147">
        <v>37</v>
      </c>
      <c r="C147" t="s">
        <v>50</v>
      </c>
      <c r="D147">
        <v>35.299999999999997</v>
      </c>
      <c r="E147">
        <v>1372.5</v>
      </c>
      <c r="F147">
        <v>37.700000000000003</v>
      </c>
      <c r="G147">
        <v>37</v>
      </c>
      <c r="H147">
        <v>34.1</v>
      </c>
      <c r="I147">
        <v>34.1</v>
      </c>
      <c r="J147">
        <v>34.700000000000003</v>
      </c>
      <c r="K147">
        <v>1372.1</v>
      </c>
      <c r="L147">
        <v>1372</v>
      </c>
      <c r="M147">
        <v>1371.3</v>
      </c>
      <c r="N147">
        <v>1371.9</v>
      </c>
      <c r="O147">
        <v>1373</v>
      </c>
      <c r="P147">
        <v>0</v>
      </c>
      <c r="Q147">
        <v>0</v>
      </c>
      <c r="R147">
        <v>1</v>
      </c>
    </row>
    <row r="148" spans="1:18" x14ac:dyDescent="0.15">
      <c r="A148" t="s">
        <v>327</v>
      </c>
      <c r="B148">
        <v>37</v>
      </c>
      <c r="C148" t="s">
        <v>51</v>
      </c>
      <c r="D148">
        <v>27</v>
      </c>
      <c r="E148">
        <v>1371.4</v>
      </c>
      <c r="F148">
        <v>36.200000000000003</v>
      </c>
      <c r="G148">
        <v>33.6</v>
      </c>
      <c r="H148">
        <v>24.9</v>
      </c>
      <c r="I148">
        <v>36.1</v>
      </c>
      <c r="J148">
        <v>23.6</v>
      </c>
      <c r="K148">
        <v>1371.4</v>
      </c>
      <c r="L148">
        <v>1370.5</v>
      </c>
      <c r="M148">
        <v>1371.5</v>
      </c>
      <c r="N148">
        <v>1372.3</v>
      </c>
      <c r="O148">
        <v>1372.1</v>
      </c>
      <c r="P148">
        <v>0</v>
      </c>
      <c r="Q148">
        <v>0</v>
      </c>
      <c r="R148">
        <v>1</v>
      </c>
    </row>
    <row r="149" spans="1:18" x14ac:dyDescent="0.15">
      <c r="A149" t="s">
        <v>328</v>
      </c>
      <c r="B149">
        <v>37</v>
      </c>
      <c r="C149" t="s">
        <v>52</v>
      </c>
      <c r="D149">
        <v>27.1</v>
      </c>
      <c r="E149">
        <v>1371.4</v>
      </c>
      <c r="F149">
        <v>35.799999999999997</v>
      </c>
      <c r="G149">
        <v>23.9</v>
      </c>
      <c r="H149">
        <v>35.1</v>
      </c>
      <c r="I149">
        <v>35.1</v>
      </c>
      <c r="J149">
        <v>33.1</v>
      </c>
      <c r="K149">
        <v>1371.5</v>
      </c>
      <c r="L149">
        <v>1371.3</v>
      </c>
      <c r="M149">
        <v>1372.1</v>
      </c>
      <c r="N149">
        <v>1371.4</v>
      </c>
      <c r="O149">
        <v>1371</v>
      </c>
      <c r="P149">
        <v>0</v>
      </c>
      <c r="Q149">
        <v>0</v>
      </c>
      <c r="R149">
        <v>1</v>
      </c>
    </row>
    <row r="150" spans="1:18" x14ac:dyDescent="0.15">
      <c r="A150" t="s">
        <v>329</v>
      </c>
      <c r="B150">
        <v>37</v>
      </c>
      <c r="C150" t="s">
        <v>53</v>
      </c>
      <c r="D150">
        <v>35.4</v>
      </c>
      <c r="E150">
        <v>1370.8</v>
      </c>
      <c r="F150">
        <v>36</v>
      </c>
      <c r="G150">
        <v>35.299999999999997</v>
      </c>
      <c r="H150">
        <v>35.1</v>
      </c>
      <c r="I150">
        <v>35.1</v>
      </c>
      <c r="J150">
        <v>35.1</v>
      </c>
      <c r="K150">
        <v>1370.2</v>
      </c>
      <c r="L150">
        <v>1370.1</v>
      </c>
      <c r="M150">
        <v>1370.6</v>
      </c>
      <c r="N150">
        <v>1370.3</v>
      </c>
      <c r="O150">
        <v>1371.2</v>
      </c>
      <c r="P150">
        <v>0</v>
      </c>
      <c r="Q150">
        <v>0</v>
      </c>
      <c r="R150">
        <v>1</v>
      </c>
    </row>
    <row r="151" spans="1:18" x14ac:dyDescent="0.15">
      <c r="A151" t="s">
        <v>330</v>
      </c>
      <c r="B151">
        <v>38</v>
      </c>
      <c r="C151" t="s">
        <v>50</v>
      </c>
      <c r="D151">
        <v>38.5</v>
      </c>
      <c r="E151">
        <v>1371.3</v>
      </c>
      <c r="F151">
        <v>42.2</v>
      </c>
      <c r="G151">
        <v>41.2</v>
      </c>
      <c r="H151">
        <v>36.299999999999997</v>
      </c>
      <c r="I151">
        <v>41.3</v>
      </c>
      <c r="J151">
        <v>41.2</v>
      </c>
      <c r="K151">
        <v>1371</v>
      </c>
      <c r="L151">
        <v>1371.2</v>
      </c>
      <c r="M151">
        <v>1371</v>
      </c>
      <c r="N151">
        <v>1371.1</v>
      </c>
      <c r="O151">
        <v>1371.1</v>
      </c>
      <c r="P151">
        <v>0</v>
      </c>
      <c r="Q151">
        <v>0</v>
      </c>
      <c r="R151">
        <v>1</v>
      </c>
    </row>
    <row r="152" spans="1:18" x14ac:dyDescent="0.15">
      <c r="A152" t="s">
        <v>331</v>
      </c>
      <c r="B152">
        <v>38</v>
      </c>
      <c r="C152" t="s">
        <v>51</v>
      </c>
      <c r="D152">
        <v>42.7</v>
      </c>
      <c r="E152">
        <v>1371.5</v>
      </c>
      <c r="F152">
        <v>43</v>
      </c>
      <c r="G152">
        <v>43</v>
      </c>
      <c r="H152">
        <v>43.6</v>
      </c>
      <c r="I152">
        <v>42.8</v>
      </c>
      <c r="J152">
        <v>42.2</v>
      </c>
      <c r="K152">
        <v>1371</v>
      </c>
      <c r="L152">
        <v>1371.1</v>
      </c>
      <c r="M152">
        <v>1371.6</v>
      </c>
      <c r="N152">
        <v>1370.8</v>
      </c>
      <c r="O152">
        <v>1371.6</v>
      </c>
      <c r="P152">
        <v>0</v>
      </c>
      <c r="Q152">
        <v>0</v>
      </c>
      <c r="R152">
        <v>1</v>
      </c>
    </row>
    <row r="153" spans="1:18" x14ac:dyDescent="0.15">
      <c r="A153" t="s">
        <v>332</v>
      </c>
      <c r="B153">
        <v>38</v>
      </c>
      <c r="C153" t="s">
        <v>52</v>
      </c>
      <c r="D153">
        <v>26.8</v>
      </c>
      <c r="E153">
        <v>1371.8</v>
      </c>
      <c r="F153">
        <v>39.299999999999997</v>
      </c>
      <c r="G153">
        <v>22.3</v>
      </c>
      <c r="H153">
        <v>33.700000000000003</v>
      </c>
      <c r="I153">
        <v>35.200000000000003</v>
      </c>
      <c r="J153">
        <v>34.700000000000003</v>
      </c>
      <c r="K153">
        <v>1371.7</v>
      </c>
      <c r="L153">
        <v>1371.8</v>
      </c>
      <c r="M153">
        <v>1371.4</v>
      </c>
      <c r="N153">
        <v>1372</v>
      </c>
      <c r="O153">
        <v>1370.9</v>
      </c>
      <c r="P153">
        <v>0</v>
      </c>
      <c r="Q153">
        <v>0</v>
      </c>
      <c r="R153">
        <v>1</v>
      </c>
    </row>
    <row r="154" spans="1:18" x14ac:dyDescent="0.15">
      <c r="A154" t="s">
        <v>333</v>
      </c>
      <c r="B154">
        <v>38</v>
      </c>
      <c r="C154" t="s">
        <v>53</v>
      </c>
      <c r="D154">
        <v>38.4</v>
      </c>
      <c r="E154">
        <v>1371.5</v>
      </c>
      <c r="F154">
        <v>37.299999999999997</v>
      </c>
      <c r="G154">
        <v>41.7</v>
      </c>
      <c r="H154">
        <v>43.2</v>
      </c>
      <c r="I154">
        <v>35.5</v>
      </c>
      <c r="J154">
        <v>42.3</v>
      </c>
      <c r="K154">
        <v>1372.5</v>
      </c>
      <c r="L154">
        <v>1372.8</v>
      </c>
      <c r="M154">
        <v>1371.2</v>
      </c>
      <c r="N154">
        <v>1370.9</v>
      </c>
      <c r="O154">
        <v>1371.3</v>
      </c>
      <c r="P154">
        <v>0</v>
      </c>
      <c r="Q154">
        <v>0</v>
      </c>
      <c r="R154">
        <v>1</v>
      </c>
    </row>
    <row r="155" spans="1:18" x14ac:dyDescent="0.15">
      <c r="A155" t="s">
        <v>181</v>
      </c>
      <c r="B155">
        <v>39</v>
      </c>
      <c r="C155" t="s">
        <v>50</v>
      </c>
      <c r="D155">
        <v>22.8</v>
      </c>
      <c r="E155">
        <v>1361.4</v>
      </c>
      <c r="F155">
        <v>26.9</v>
      </c>
      <c r="G155">
        <v>27.9</v>
      </c>
      <c r="H155">
        <v>21.8</v>
      </c>
      <c r="I155">
        <v>27</v>
      </c>
      <c r="J155">
        <v>21.4</v>
      </c>
      <c r="K155">
        <v>1362.1</v>
      </c>
      <c r="L155">
        <v>1360.5</v>
      </c>
      <c r="M155">
        <v>1362.1</v>
      </c>
      <c r="N155">
        <v>1361.1</v>
      </c>
      <c r="O155">
        <v>1361.8</v>
      </c>
      <c r="P155">
        <v>0</v>
      </c>
      <c r="Q155">
        <v>64</v>
      </c>
      <c r="R155">
        <v>4</v>
      </c>
    </row>
    <row r="156" spans="1:18" x14ac:dyDescent="0.15">
      <c r="A156" t="s">
        <v>334</v>
      </c>
      <c r="B156">
        <v>39</v>
      </c>
      <c r="C156" t="s">
        <v>51</v>
      </c>
      <c r="D156">
        <v>47.4</v>
      </c>
      <c r="E156">
        <v>1371.2</v>
      </c>
      <c r="F156">
        <v>46.2</v>
      </c>
      <c r="G156">
        <v>45.1</v>
      </c>
      <c r="H156">
        <v>45.3</v>
      </c>
      <c r="I156">
        <v>45</v>
      </c>
      <c r="J156">
        <v>50.1</v>
      </c>
      <c r="K156">
        <v>1371.3</v>
      </c>
      <c r="L156">
        <v>1371.2</v>
      </c>
      <c r="M156">
        <v>1370.9</v>
      </c>
      <c r="N156">
        <v>1371.7</v>
      </c>
      <c r="O156">
        <v>1370.8</v>
      </c>
      <c r="P156">
        <v>0</v>
      </c>
      <c r="Q156">
        <v>64</v>
      </c>
      <c r="R156">
        <v>4</v>
      </c>
    </row>
    <row r="157" spans="1:18" x14ac:dyDescent="0.15">
      <c r="A157" t="s">
        <v>335</v>
      </c>
      <c r="B157">
        <v>39</v>
      </c>
      <c r="C157" t="s">
        <v>52</v>
      </c>
      <c r="D157">
        <v>46.7</v>
      </c>
      <c r="E157">
        <v>1371.4</v>
      </c>
      <c r="F157">
        <v>45</v>
      </c>
      <c r="G157">
        <v>44</v>
      </c>
      <c r="H157">
        <v>45</v>
      </c>
      <c r="I157">
        <v>49.4</v>
      </c>
      <c r="J157">
        <v>49.8</v>
      </c>
      <c r="K157">
        <v>1370.8</v>
      </c>
      <c r="L157">
        <v>1372.1</v>
      </c>
      <c r="M157">
        <v>1371.1</v>
      </c>
      <c r="N157">
        <v>1371.1</v>
      </c>
      <c r="O157">
        <v>1370.9</v>
      </c>
      <c r="P157">
        <v>0</v>
      </c>
      <c r="Q157">
        <v>64</v>
      </c>
      <c r="R157">
        <v>4</v>
      </c>
    </row>
    <row r="158" spans="1:18" x14ac:dyDescent="0.15">
      <c r="A158" t="s">
        <v>336</v>
      </c>
      <c r="B158">
        <v>39</v>
      </c>
      <c r="C158" t="s">
        <v>53</v>
      </c>
      <c r="D158" t="s">
        <v>114</v>
      </c>
    </row>
    <row r="159" spans="1:18" x14ac:dyDescent="0.15">
      <c r="A159" t="s">
        <v>337</v>
      </c>
      <c r="B159">
        <v>40</v>
      </c>
      <c r="C159" t="s">
        <v>50</v>
      </c>
      <c r="D159">
        <v>43.9</v>
      </c>
      <c r="E159">
        <v>1370.5</v>
      </c>
      <c r="F159">
        <v>44.8</v>
      </c>
      <c r="G159">
        <v>43.8</v>
      </c>
      <c r="H159">
        <v>44.6</v>
      </c>
      <c r="I159">
        <v>43.2</v>
      </c>
      <c r="J159">
        <v>43.2</v>
      </c>
      <c r="K159">
        <v>1370.4</v>
      </c>
      <c r="L159">
        <v>1370.7</v>
      </c>
      <c r="M159">
        <v>1370.7</v>
      </c>
      <c r="N159">
        <v>1370.1</v>
      </c>
      <c r="O159">
        <v>1370.6</v>
      </c>
      <c r="P159">
        <v>0</v>
      </c>
      <c r="Q159">
        <v>0</v>
      </c>
      <c r="R159">
        <v>1</v>
      </c>
    </row>
    <row r="160" spans="1:18" x14ac:dyDescent="0.15">
      <c r="A160" t="s">
        <v>338</v>
      </c>
      <c r="B160">
        <v>40</v>
      </c>
      <c r="C160" t="s">
        <v>51</v>
      </c>
      <c r="D160">
        <v>38.4</v>
      </c>
      <c r="E160">
        <v>1371.2</v>
      </c>
      <c r="F160">
        <v>44.2</v>
      </c>
      <c r="G160">
        <v>34.9</v>
      </c>
      <c r="H160">
        <v>42.7</v>
      </c>
      <c r="I160">
        <v>42.3</v>
      </c>
      <c r="J160">
        <v>35.1</v>
      </c>
      <c r="K160">
        <v>1371.3</v>
      </c>
      <c r="L160">
        <v>1371.6</v>
      </c>
      <c r="M160">
        <v>1370.6</v>
      </c>
      <c r="N160">
        <v>1369.8</v>
      </c>
      <c r="O160">
        <v>1370.4</v>
      </c>
      <c r="P160">
        <v>0</v>
      </c>
      <c r="Q160">
        <v>0</v>
      </c>
      <c r="R160">
        <v>1</v>
      </c>
    </row>
    <row r="161" spans="1:18" x14ac:dyDescent="0.15">
      <c r="A161" t="s">
        <v>339</v>
      </c>
      <c r="B161">
        <v>40</v>
      </c>
      <c r="C161" t="s">
        <v>52</v>
      </c>
      <c r="D161">
        <v>37.5</v>
      </c>
      <c r="E161">
        <v>1371.8</v>
      </c>
      <c r="F161">
        <v>36.799999999999997</v>
      </c>
      <c r="G161">
        <v>35.1</v>
      </c>
      <c r="H161">
        <v>35.9</v>
      </c>
      <c r="I161">
        <v>41.6</v>
      </c>
      <c r="J161">
        <v>35.1</v>
      </c>
      <c r="K161">
        <v>1371.5</v>
      </c>
      <c r="L161">
        <v>1371.1</v>
      </c>
      <c r="M161">
        <v>1372.4</v>
      </c>
      <c r="N161">
        <v>1370.6</v>
      </c>
      <c r="O161">
        <v>1372</v>
      </c>
      <c r="P161">
        <v>0</v>
      </c>
      <c r="Q161">
        <v>0</v>
      </c>
      <c r="R161">
        <v>1</v>
      </c>
    </row>
    <row r="162" spans="1:18" x14ac:dyDescent="0.15">
      <c r="A162" t="s">
        <v>340</v>
      </c>
      <c r="B162">
        <v>40</v>
      </c>
      <c r="C162" t="s">
        <v>53</v>
      </c>
      <c r="D162">
        <v>42</v>
      </c>
      <c r="E162">
        <v>1371.3</v>
      </c>
      <c r="F162">
        <v>41.9</v>
      </c>
      <c r="G162">
        <v>41.9</v>
      </c>
      <c r="H162">
        <v>39.9</v>
      </c>
      <c r="I162">
        <v>41.8</v>
      </c>
      <c r="J162">
        <v>44.9</v>
      </c>
      <c r="K162">
        <v>1372.4</v>
      </c>
      <c r="L162">
        <v>1371.5</v>
      </c>
      <c r="M162">
        <v>1371.2</v>
      </c>
      <c r="N162">
        <v>1371.3</v>
      </c>
      <c r="O162">
        <v>1371.1</v>
      </c>
      <c r="P162">
        <v>0</v>
      </c>
      <c r="Q162">
        <v>0</v>
      </c>
      <c r="R162">
        <v>1</v>
      </c>
    </row>
    <row r="163" spans="1:18" x14ac:dyDescent="0.15">
      <c r="A163" t="s">
        <v>341</v>
      </c>
      <c r="B163">
        <v>41</v>
      </c>
      <c r="C163" t="s">
        <v>50</v>
      </c>
      <c r="D163">
        <v>41.9</v>
      </c>
      <c r="E163">
        <v>1371.5</v>
      </c>
      <c r="F163">
        <v>39</v>
      </c>
      <c r="G163">
        <v>46.8</v>
      </c>
      <c r="H163">
        <v>38.299999999999997</v>
      </c>
      <c r="I163">
        <v>46.8</v>
      </c>
      <c r="J163">
        <v>46.9</v>
      </c>
      <c r="K163">
        <v>1371.2</v>
      </c>
      <c r="L163">
        <v>1371.3</v>
      </c>
      <c r="M163">
        <v>1372.2</v>
      </c>
      <c r="N163">
        <v>1371.8</v>
      </c>
      <c r="O163">
        <v>1370.4</v>
      </c>
      <c r="P163">
        <v>0</v>
      </c>
      <c r="Q163">
        <v>0</v>
      </c>
      <c r="R163">
        <v>1</v>
      </c>
    </row>
    <row r="164" spans="1:18" x14ac:dyDescent="0.15">
      <c r="A164" t="s">
        <v>342</v>
      </c>
      <c r="B164">
        <v>41</v>
      </c>
      <c r="C164" t="s">
        <v>51</v>
      </c>
      <c r="D164">
        <v>41.4</v>
      </c>
      <c r="E164">
        <v>1370.5</v>
      </c>
      <c r="F164">
        <v>38</v>
      </c>
      <c r="G164">
        <v>45.3</v>
      </c>
      <c r="H164">
        <v>45.3</v>
      </c>
      <c r="I164">
        <v>46.4</v>
      </c>
      <c r="J164">
        <v>45.3</v>
      </c>
      <c r="K164">
        <v>1370.8</v>
      </c>
      <c r="L164">
        <v>1371</v>
      </c>
      <c r="M164">
        <v>1370.4</v>
      </c>
      <c r="N164">
        <v>1370.5</v>
      </c>
      <c r="O164">
        <v>1369.5</v>
      </c>
      <c r="P164">
        <v>0</v>
      </c>
      <c r="Q164">
        <v>0</v>
      </c>
      <c r="R164">
        <v>1</v>
      </c>
    </row>
    <row r="165" spans="1:18" x14ac:dyDescent="0.15">
      <c r="A165" t="s">
        <v>343</v>
      </c>
      <c r="B165">
        <v>41</v>
      </c>
      <c r="C165" t="s">
        <v>52</v>
      </c>
      <c r="D165">
        <v>41.2</v>
      </c>
      <c r="E165">
        <v>1370.7</v>
      </c>
      <c r="F165">
        <v>39</v>
      </c>
      <c r="G165">
        <v>38.1</v>
      </c>
      <c r="H165">
        <v>38.200000000000003</v>
      </c>
      <c r="I165">
        <v>41.2</v>
      </c>
      <c r="J165">
        <v>45.8</v>
      </c>
      <c r="K165">
        <v>1371.2</v>
      </c>
      <c r="L165">
        <v>1370.7</v>
      </c>
      <c r="M165">
        <v>1371.6</v>
      </c>
      <c r="N165">
        <v>1371</v>
      </c>
      <c r="O165">
        <v>1369.9</v>
      </c>
      <c r="P165">
        <v>0</v>
      </c>
      <c r="Q165">
        <v>0</v>
      </c>
      <c r="R165">
        <v>1</v>
      </c>
    </row>
    <row r="166" spans="1:18" x14ac:dyDescent="0.15">
      <c r="A166" t="s">
        <v>344</v>
      </c>
      <c r="B166">
        <v>41</v>
      </c>
      <c r="C166" t="s">
        <v>53</v>
      </c>
      <c r="D166">
        <v>25.2</v>
      </c>
      <c r="E166">
        <v>1367.2</v>
      </c>
      <c r="F166">
        <v>23</v>
      </c>
      <c r="G166">
        <v>32</v>
      </c>
      <c r="H166">
        <v>25.5</v>
      </c>
      <c r="I166">
        <v>31.4</v>
      </c>
      <c r="J166">
        <v>31.9</v>
      </c>
      <c r="K166">
        <v>1367.4</v>
      </c>
      <c r="L166">
        <v>1367.4</v>
      </c>
      <c r="M166">
        <v>1366.5</v>
      </c>
      <c r="N166">
        <v>1367.8</v>
      </c>
      <c r="O166">
        <v>1367.7</v>
      </c>
      <c r="P166">
        <v>0</v>
      </c>
      <c r="Q166">
        <v>0</v>
      </c>
      <c r="R166">
        <v>1</v>
      </c>
    </row>
    <row r="167" spans="1:18" x14ac:dyDescent="0.15">
      <c r="A167" t="s">
        <v>345</v>
      </c>
      <c r="B167">
        <v>42</v>
      </c>
      <c r="C167" t="s">
        <v>50</v>
      </c>
      <c r="D167">
        <v>37.5</v>
      </c>
      <c r="E167">
        <v>1371.9</v>
      </c>
      <c r="F167">
        <v>41.2</v>
      </c>
      <c r="G167">
        <v>40.299999999999997</v>
      </c>
      <c r="H167">
        <v>35.299999999999997</v>
      </c>
      <c r="I167">
        <v>41.4</v>
      </c>
      <c r="J167">
        <v>35.5</v>
      </c>
      <c r="K167">
        <v>1371.3</v>
      </c>
      <c r="L167">
        <v>1370.8</v>
      </c>
      <c r="M167">
        <v>1371.5</v>
      </c>
      <c r="N167">
        <v>1371</v>
      </c>
      <c r="O167">
        <v>1371.6</v>
      </c>
      <c r="P167">
        <v>0</v>
      </c>
      <c r="Q167">
        <v>0</v>
      </c>
      <c r="R167">
        <v>1</v>
      </c>
    </row>
    <row r="168" spans="1:18" x14ac:dyDescent="0.15">
      <c r="A168" t="s">
        <v>346</v>
      </c>
      <c r="B168">
        <v>42</v>
      </c>
      <c r="C168" t="s">
        <v>51</v>
      </c>
      <c r="D168">
        <v>37</v>
      </c>
      <c r="E168">
        <v>1371.1</v>
      </c>
      <c r="F168">
        <v>35</v>
      </c>
      <c r="G168">
        <v>40.299999999999997</v>
      </c>
      <c r="H168">
        <v>35.299999999999997</v>
      </c>
      <c r="I168">
        <v>35</v>
      </c>
      <c r="J168">
        <v>40.6</v>
      </c>
      <c r="K168">
        <v>1370.8</v>
      </c>
      <c r="L168">
        <v>1370.8</v>
      </c>
      <c r="M168">
        <v>1371.7</v>
      </c>
      <c r="N168">
        <v>1370</v>
      </c>
      <c r="O168">
        <v>1370.7</v>
      </c>
      <c r="P168">
        <v>0</v>
      </c>
      <c r="Q168">
        <v>0</v>
      </c>
      <c r="R168">
        <v>1</v>
      </c>
    </row>
    <row r="169" spans="1:18" x14ac:dyDescent="0.15">
      <c r="A169" t="s">
        <v>347</v>
      </c>
      <c r="B169">
        <v>42</v>
      </c>
      <c r="C169" t="s">
        <v>52</v>
      </c>
      <c r="D169">
        <v>38.6</v>
      </c>
      <c r="E169">
        <v>1371.9</v>
      </c>
      <c r="F169">
        <v>43.3</v>
      </c>
      <c r="G169">
        <v>36</v>
      </c>
      <c r="H169">
        <v>42.1</v>
      </c>
      <c r="I169">
        <v>41.7</v>
      </c>
      <c r="J169">
        <v>35.700000000000003</v>
      </c>
      <c r="K169">
        <v>1373.2</v>
      </c>
      <c r="L169">
        <v>1372.1</v>
      </c>
      <c r="M169">
        <v>1371.8</v>
      </c>
      <c r="N169">
        <v>1371.1</v>
      </c>
      <c r="O169">
        <v>1371.8</v>
      </c>
      <c r="P169">
        <v>0</v>
      </c>
      <c r="Q169">
        <v>0</v>
      </c>
      <c r="R169">
        <v>1</v>
      </c>
    </row>
    <row r="170" spans="1:18" x14ac:dyDescent="0.15">
      <c r="A170" t="s">
        <v>348</v>
      </c>
      <c r="B170">
        <v>42</v>
      </c>
      <c r="C170" t="s">
        <v>53</v>
      </c>
      <c r="D170">
        <v>37.9</v>
      </c>
      <c r="E170">
        <v>1372.1</v>
      </c>
      <c r="F170">
        <v>42.4</v>
      </c>
      <c r="G170">
        <v>40.9</v>
      </c>
      <c r="H170">
        <v>35.299999999999997</v>
      </c>
      <c r="I170">
        <v>40.799999999999997</v>
      </c>
      <c r="J170">
        <v>41.6</v>
      </c>
      <c r="K170">
        <v>1371.2</v>
      </c>
      <c r="L170">
        <v>1371.4</v>
      </c>
      <c r="M170">
        <v>1372.1</v>
      </c>
      <c r="N170">
        <v>1372.1</v>
      </c>
      <c r="O170">
        <v>1371</v>
      </c>
      <c r="P170">
        <v>0</v>
      </c>
      <c r="Q170">
        <v>0</v>
      </c>
      <c r="R170">
        <v>1</v>
      </c>
    </row>
    <row r="171" spans="1:18" x14ac:dyDescent="0.15">
      <c r="A171" t="s">
        <v>349</v>
      </c>
      <c r="B171">
        <v>43</v>
      </c>
      <c r="C171" t="s">
        <v>50</v>
      </c>
      <c r="D171">
        <v>26.6</v>
      </c>
      <c r="E171">
        <v>1372.2</v>
      </c>
      <c r="F171">
        <v>23.2</v>
      </c>
      <c r="G171">
        <v>36.299999999999997</v>
      </c>
      <c r="H171">
        <v>36.299999999999997</v>
      </c>
      <c r="I171">
        <v>36.299999999999997</v>
      </c>
      <c r="J171">
        <v>29.3</v>
      </c>
      <c r="K171">
        <v>1371.9</v>
      </c>
      <c r="L171">
        <v>1374</v>
      </c>
      <c r="M171">
        <v>1371.4</v>
      </c>
      <c r="N171">
        <v>1371.2</v>
      </c>
      <c r="O171">
        <v>1371.6</v>
      </c>
      <c r="P171">
        <v>0</v>
      </c>
      <c r="Q171">
        <v>0</v>
      </c>
      <c r="R171">
        <v>1</v>
      </c>
    </row>
    <row r="172" spans="1:18" x14ac:dyDescent="0.15">
      <c r="A172" t="s">
        <v>350</v>
      </c>
      <c r="B172">
        <v>43</v>
      </c>
      <c r="C172" t="s">
        <v>51</v>
      </c>
      <c r="D172">
        <v>38</v>
      </c>
      <c r="E172">
        <v>1371.6</v>
      </c>
      <c r="F172">
        <v>38.700000000000003</v>
      </c>
      <c r="G172">
        <v>37.700000000000003</v>
      </c>
      <c r="H172">
        <v>38</v>
      </c>
      <c r="I172">
        <v>37.9</v>
      </c>
      <c r="J172">
        <v>38.6</v>
      </c>
      <c r="K172">
        <v>1369.3</v>
      </c>
      <c r="L172">
        <v>1372.1</v>
      </c>
      <c r="M172">
        <v>1371.6</v>
      </c>
      <c r="N172">
        <v>1371.6</v>
      </c>
      <c r="O172">
        <v>1371.6</v>
      </c>
      <c r="P172">
        <v>0</v>
      </c>
      <c r="Q172">
        <v>0</v>
      </c>
      <c r="R172">
        <v>1</v>
      </c>
    </row>
    <row r="173" spans="1:18" x14ac:dyDescent="0.15">
      <c r="A173" t="s">
        <v>351</v>
      </c>
      <c r="B173">
        <v>43</v>
      </c>
      <c r="C173" t="s">
        <v>52</v>
      </c>
      <c r="D173">
        <v>37.6</v>
      </c>
      <c r="E173">
        <v>1370.8</v>
      </c>
      <c r="F173">
        <v>37.4</v>
      </c>
      <c r="G173">
        <v>37.5</v>
      </c>
      <c r="H173">
        <v>38.299999999999997</v>
      </c>
      <c r="I173">
        <v>37.200000000000003</v>
      </c>
      <c r="J173">
        <v>37.9</v>
      </c>
      <c r="K173">
        <v>1371.4</v>
      </c>
      <c r="L173">
        <v>1370.8</v>
      </c>
      <c r="M173">
        <v>1371.1</v>
      </c>
      <c r="N173">
        <v>1371.8</v>
      </c>
      <c r="O173">
        <v>1370.7</v>
      </c>
      <c r="P173">
        <v>0</v>
      </c>
      <c r="Q173">
        <v>0</v>
      </c>
      <c r="R173">
        <v>1</v>
      </c>
    </row>
    <row r="174" spans="1:18" x14ac:dyDescent="0.15">
      <c r="A174" t="s">
        <v>352</v>
      </c>
      <c r="B174">
        <v>43</v>
      </c>
      <c r="C174" t="s">
        <v>53</v>
      </c>
      <c r="D174">
        <v>19.2</v>
      </c>
      <c r="E174">
        <v>1356.1</v>
      </c>
      <c r="F174">
        <v>22.5</v>
      </c>
      <c r="G174">
        <v>23</v>
      </c>
      <c r="H174">
        <v>21.2</v>
      </c>
      <c r="I174">
        <v>23</v>
      </c>
      <c r="J174">
        <v>18.3</v>
      </c>
      <c r="K174">
        <v>1356.5</v>
      </c>
      <c r="L174">
        <v>1356.4</v>
      </c>
      <c r="M174">
        <v>1355.4</v>
      </c>
      <c r="N174">
        <v>1355.9</v>
      </c>
      <c r="O174">
        <v>1356.5</v>
      </c>
      <c r="P174">
        <v>0</v>
      </c>
      <c r="Q174">
        <v>0</v>
      </c>
      <c r="R174">
        <v>1</v>
      </c>
    </row>
    <row r="175" spans="1:18" x14ac:dyDescent="0.15">
      <c r="A175" t="s">
        <v>353</v>
      </c>
      <c r="B175">
        <v>44</v>
      </c>
      <c r="C175" t="s">
        <v>50</v>
      </c>
      <c r="D175">
        <v>19</v>
      </c>
      <c r="E175">
        <v>1356.6</v>
      </c>
      <c r="F175">
        <v>19.600000000000001</v>
      </c>
      <c r="G175">
        <v>19.600000000000001</v>
      </c>
      <c r="H175">
        <v>19.7</v>
      </c>
      <c r="I175">
        <v>19</v>
      </c>
      <c r="J175">
        <v>22.3</v>
      </c>
      <c r="K175">
        <v>1356.3</v>
      </c>
      <c r="L175">
        <v>1356.4</v>
      </c>
      <c r="M175">
        <v>1356.4</v>
      </c>
      <c r="N175">
        <v>1356.2</v>
      </c>
      <c r="O175">
        <v>1356.1</v>
      </c>
      <c r="P175">
        <v>0</v>
      </c>
      <c r="Q175">
        <v>0</v>
      </c>
      <c r="R175">
        <v>1</v>
      </c>
    </row>
    <row r="176" spans="1:18" x14ac:dyDescent="0.15">
      <c r="A176" t="s">
        <v>354</v>
      </c>
      <c r="B176">
        <v>44</v>
      </c>
      <c r="C176" t="s">
        <v>51</v>
      </c>
      <c r="D176">
        <v>22.4</v>
      </c>
      <c r="E176">
        <v>1356.5</v>
      </c>
      <c r="F176">
        <v>19.3</v>
      </c>
      <c r="G176">
        <v>23</v>
      </c>
      <c r="H176">
        <v>22.5</v>
      </c>
      <c r="I176">
        <v>19.3</v>
      </c>
      <c r="J176">
        <v>22.4</v>
      </c>
      <c r="K176">
        <v>1357.3</v>
      </c>
      <c r="L176">
        <v>1356.9</v>
      </c>
      <c r="M176">
        <v>1355.9</v>
      </c>
      <c r="N176">
        <v>1356.6</v>
      </c>
      <c r="O176">
        <v>1356.4</v>
      </c>
      <c r="P176">
        <v>0</v>
      </c>
      <c r="Q176">
        <v>0</v>
      </c>
      <c r="R176">
        <v>1</v>
      </c>
    </row>
    <row r="177" spans="1:18" x14ac:dyDescent="0.15">
      <c r="A177" t="s">
        <v>355</v>
      </c>
      <c r="B177">
        <v>44</v>
      </c>
      <c r="C177" t="s">
        <v>52</v>
      </c>
      <c r="D177">
        <v>23.9</v>
      </c>
      <c r="E177">
        <v>1362.1</v>
      </c>
      <c r="F177">
        <v>23.9</v>
      </c>
      <c r="G177">
        <v>23.9</v>
      </c>
      <c r="H177">
        <v>23</v>
      </c>
      <c r="I177">
        <v>23</v>
      </c>
      <c r="J177">
        <v>22.9</v>
      </c>
      <c r="K177">
        <v>1362.1</v>
      </c>
      <c r="L177">
        <v>1362.4</v>
      </c>
      <c r="M177">
        <v>1363</v>
      </c>
      <c r="N177">
        <v>1362.7</v>
      </c>
      <c r="O177">
        <v>1362.3</v>
      </c>
      <c r="P177">
        <v>0</v>
      </c>
      <c r="Q177">
        <v>0</v>
      </c>
      <c r="R177">
        <v>1</v>
      </c>
    </row>
    <row r="178" spans="1:18" x14ac:dyDescent="0.15">
      <c r="A178" t="s">
        <v>356</v>
      </c>
      <c r="B178">
        <v>44</v>
      </c>
      <c r="C178" t="s">
        <v>53</v>
      </c>
      <c r="D178">
        <v>65.900000000000006</v>
      </c>
      <c r="E178">
        <v>1383.3</v>
      </c>
      <c r="F178">
        <v>66.7</v>
      </c>
      <c r="G178">
        <v>65.8</v>
      </c>
      <c r="H178">
        <v>66.400000000000006</v>
      </c>
      <c r="I178">
        <v>64.5</v>
      </c>
      <c r="J178">
        <v>64.400000000000006</v>
      </c>
      <c r="K178">
        <v>1382.8</v>
      </c>
      <c r="L178">
        <v>1382.7</v>
      </c>
      <c r="M178">
        <v>1383.4</v>
      </c>
      <c r="N178">
        <v>1381.9</v>
      </c>
      <c r="O178">
        <v>1383.6</v>
      </c>
      <c r="P178">
        <v>0</v>
      </c>
      <c r="Q178">
        <v>0</v>
      </c>
      <c r="R178">
        <v>1</v>
      </c>
    </row>
    <row r="179" spans="1:18" x14ac:dyDescent="0.15">
      <c r="A179" t="s">
        <v>357</v>
      </c>
      <c r="B179">
        <v>45</v>
      </c>
      <c r="C179" t="s">
        <v>50</v>
      </c>
      <c r="D179">
        <v>46.7</v>
      </c>
      <c r="E179">
        <v>1371.6</v>
      </c>
      <c r="F179">
        <v>45.3</v>
      </c>
      <c r="G179">
        <v>48.4</v>
      </c>
      <c r="H179">
        <v>47.4</v>
      </c>
      <c r="I179">
        <v>48.2</v>
      </c>
      <c r="J179">
        <v>48.4</v>
      </c>
      <c r="K179">
        <v>1371.6</v>
      </c>
      <c r="L179">
        <v>1373.4</v>
      </c>
      <c r="M179">
        <v>1370.5</v>
      </c>
      <c r="N179">
        <v>1371.6</v>
      </c>
      <c r="O179">
        <v>1372.5</v>
      </c>
      <c r="P179">
        <v>0</v>
      </c>
      <c r="Q179">
        <v>0</v>
      </c>
      <c r="R179">
        <v>1</v>
      </c>
    </row>
    <row r="180" spans="1:18" x14ac:dyDescent="0.15">
      <c r="A180" t="s">
        <v>358</v>
      </c>
      <c r="B180">
        <v>45</v>
      </c>
      <c r="C180" t="s">
        <v>51</v>
      </c>
      <c r="D180">
        <v>41.4</v>
      </c>
      <c r="E180">
        <v>1371.9</v>
      </c>
      <c r="F180">
        <v>39.4</v>
      </c>
      <c r="G180">
        <v>38.6</v>
      </c>
      <c r="H180">
        <v>44.7</v>
      </c>
      <c r="I180">
        <v>44.7</v>
      </c>
      <c r="J180">
        <v>45.4</v>
      </c>
      <c r="K180">
        <v>1371.9</v>
      </c>
      <c r="L180">
        <v>1371.8</v>
      </c>
      <c r="M180">
        <v>1371.7</v>
      </c>
      <c r="N180">
        <v>1371.9</v>
      </c>
      <c r="O180">
        <v>1371.3</v>
      </c>
      <c r="P180">
        <v>0</v>
      </c>
      <c r="Q180">
        <v>0</v>
      </c>
      <c r="R180">
        <v>1</v>
      </c>
    </row>
    <row r="181" spans="1:18" x14ac:dyDescent="0.15">
      <c r="A181" t="s">
        <v>359</v>
      </c>
      <c r="B181">
        <v>45</v>
      </c>
      <c r="C181" t="s">
        <v>52</v>
      </c>
      <c r="D181">
        <v>41.2</v>
      </c>
      <c r="E181">
        <v>1372.1</v>
      </c>
      <c r="F181">
        <v>39.4</v>
      </c>
      <c r="G181">
        <v>38.700000000000003</v>
      </c>
      <c r="H181">
        <v>38.700000000000003</v>
      </c>
      <c r="I181">
        <v>42.5</v>
      </c>
      <c r="J181">
        <v>44.8</v>
      </c>
      <c r="K181">
        <v>1372.7</v>
      </c>
      <c r="L181">
        <v>1372.6</v>
      </c>
      <c r="M181">
        <v>1371.1</v>
      </c>
      <c r="N181">
        <v>1372.2</v>
      </c>
      <c r="O181">
        <v>1371.3</v>
      </c>
      <c r="P181">
        <v>0</v>
      </c>
      <c r="Q181">
        <v>0</v>
      </c>
      <c r="R181">
        <v>1</v>
      </c>
    </row>
    <row r="182" spans="1:18" x14ac:dyDescent="0.15">
      <c r="A182" t="s">
        <v>360</v>
      </c>
      <c r="B182">
        <v>45</v>
      </c>
      <c r="C182" t="s">
        <v>53</v>
      </c>
      <c r="D182">
        <v>24.2</v>
      </c>
      <c r="E182">
        <v>0</v>
      </c>
      <c r="F182">
        <v>23</v>
      </c>
      <c r="G182">
        <v>28</v>
      </c>
      <c r="H182">
        <v>28</v>
      </c>
      <c r="I182">
        <v>27.9</v>
      </c>
      <c r="J182">
        <v>27</v>
      </c>
      <c r="K182">
        <v>1364.6</v>
      </c>
      <c r="L182">
        <v>1363.3</v>
      </c>
      <c r="M182">
        <v>1363.1</v>
      </c>
      <c r="N182">
        <v>1363.4</v>
      </c>
      <c r="O182">
        <v>1363</v>
      </c>
      <c r="P182">
        <v>0</v>
      </c>
      <c r="Q182">
        <v>0</v>
      </c>
      <c r="R182">
        <v>4</v>
      </c>
    </row>
    <row r="183" spans="1:18" x14ac:dyDescent="0.15">
      <c r="A183" t="s">
        <v>361</v>
      </c>
      <c r="B183">
        <v>46</v>
      </c>
      <c r="C183" t="s">
        <v>50</v>
      </c>
      <c r="D183">
        <v>20.9</v>
      </c>
      <c r="E183">
        <v>0</v>
      </c>
      <c r="F183">
        <v>22.6</v>
      </c>
      <c r="G183">
        <v>22.3</v>
      </c>
      <c r="H183">
        <v>22.4</v>
      </c>
      <c r="I183">
        <v>22.8</v>
      </c>
      <c r="J183">
        <v>20.399999999999999</v>
      </c>
      <c r="K183">
        <v>1354.7</v>
      </c>
      <c r="L183">
        <v>1355.8</v>
      </c>
      <c r="M183">
        <v>1355.3</v>
      </c>
      <c r="N183">
        <v>1355.6</v>
      </c>
      <c r="O183">
        <v>1354.8</v>
      </c>
      <c r="P183">
        <v>0</v>
      </c>
      <c r="Q183">
        <v>64</v>
      </c>
      <c r="R183">
        <v>4</v>
      </c>
    </row>
    <row r="184" spans="1:18" x14ac:dyDescent="0.15">
      <c r="A184" t="s">
        <v>362</v>
      </c>
      <c r="B184">
        <v>46</v>
      </c>
      <c r="C184" t="s">
        <v>51</v>
      </c>
      <c r="D184">
        <v>20.7</v>
      </c>
      <c r="E184">
        <v>0</v>
      </c>
      <c r="F184">
        <v>24.1</v>
      </c>
      <c r="G184">
        <v>19.899999999999999</v>
      </c>
      <c r="H184">
        <v>22.8</v>
      </c>
      <c r="I184">
        <v>23.8</v>
      </c>
      <c r="J184">
        <v>21.4</v>
      </c>
      <c r="K184">
        <v>1351.2</v>
      </c>
      <c r="L184">
        <v>1350</v>
      </c>
      <c r="M184">
        <v>1350.6</v>
      </c>
      <c r="N184">
        <v>1350.1</v>
      </c>
      <c r="O184">
        <v>1349.1</v>
      </c>
      <c r="P184">
        <v>0</v>
      </c>
      <c r="Q184">
        <v>64</v>
      </c>
      <c r="R184">
        <v>4</v>
      </c>
    </row>
    <row r="185" spans="1:18" x14ac:dyDescent="0.15">
      <c r="A185" t="s">
        <v>363</v>
      </c>
      <c r="B185">
        <v>46</v>
      </c>
      <c r="C185" t="s">
        <v>52</v>
      </c>
      <c r="D185">
        <v>22.4</v>
      </c>
      <c r="E185">
        <v>0</v>
      </c>
      <c r="F185">
        <v>24.2</v>
      </c>
      <c r="G185">
        <v>22.8</v>
      </c>
      <c r="H185">
        <v>22</v>
      </c>
      <c r="I185">
        <v>24</v>
      </c>
      <c r="J185">
        <v>23.5</v>
      </c>
      <c r="K185">
        <v>1350.9</v>
      </c>
      <c r="L185">
        <v>1350</v>
      </c>
      <c r="M185">
        <v>1350.8</v>
      </c>
      <c r="N185">
        <v>1350.2</v>
      </c>
      <c r="O185">
        <v>1350.6</v>
      </c>
      <c r="P185">
        <v>0</v>
      </c>
      <c r="Q185">
        <v>64</v>
      </c>
      <c r="R185">
        <v>4</v>
      </c>
    </row>
    <row r="186" spans="1:18" x14ac:dyDescent="0.15">
      <c r="A186" t="s">
        <v>364</v>
      </c>
      <c r="B186">
        <v>46</v>
      </c>
      <c r="C186" t="s">
        <v>53</v>
      </c>
      <c r="D186">
        <v>18.399999999999999</v>
      </c>
      <c r="E186">
        <v>0</v>
      </c>
      <c r="F186">
        <v>23.5</v>
      </c>
      <c r="G186">
        <v>23.1</v>
      </c>
      <c r="H186">
        <v>17.3</v>
      </c>
      <c r="I186">
        <v>23.2</v>
      </c>
      <c r="J186">
        <v>18.600000000000001</v>
      </c>
      <c r="K186">
        <v>1349</v>
      </c>
      <c r="L186">
        <v>1349.2</v>
      </c>
      <c r="M186">
        <v>1348.8</v>
      </c>
      <c r="N186">
        <v>1348</v>
      </c>
      <c r="O186">
        <v>1347.9</v>
      </c>
      <c r="P186">
        <v>0</v>
      </c>
      <c r="Q186">
        <v>64</v>
      </c>
      <c r="R186">
        <v>4</v>
      </c>
    </row>
    <row r="187" spans="1:18" x14ac:dyDescent="0.15">
      <c r="A187" t="s">
        <v>365</v>
      </c>
      <c r="B187">
        <v>47</v>
      </c>
      <c r="C187" t="s">
        <v>50</v>
      </c>
      <c r="D187">
        <v>16.5</v>
      </c>
      <c r="E187">
        <v>0</v>
      </c>
      <c r="F187">
        <v>18</v>
      </c>
      <c r="G187">
        <v>16.3</v>
      </c>
      <c r="H187">
        <v>16.5</v>
      </c>
      <c r="I187">
        <v>16.5</v>
      </c>
      <c r="J187">
        <v>16.7</v>
      </c>
      <c r="K187">
        <v>1356.1</v>
      </c>
      <c r="L187">
        <v>1355</v>
      </c>
      <c r="M187">
        <v>1356</v>
      </c>
      <c r="N187">
        <v>1359.4</v>
      </c>
      <c r="O187">
        <v>1355.6</v>
      </c>
      <c r="P187">
        <v>0</v>
      </c>
      <c r="Q187">
        <v>64</v>
      </c>
      <c r="R187">
        <v>4</v>
      </c>
    </row>
    <row r="188" spans="1:18" x14ac:dyDescent="0.15">
      <c r="A188" t="s">
        <v>366</v>
      </c>
      <c r="B188">
        <v>47</v>
      </c>
      <c r="C188" t="s">
        <v>51</v>
      </c>
      <c r="D188">
        <v>16.600000000000001</v>
      </c>
      <c r="E188">
        <v>0</v>
      </c>
      <c r="F188">
        <v>15.2</v>
      </c>
      <c r="G188">
        <v>23</v>
      </c>
      <c r="H188">
        <v>24</v>
      </c>
      <c r="I188">
        <v>23</v>
      </c>
      <c r="J188">
        <v>23</v>
      </c>
      <c r="K188">
        <v>1342.7</v>
      </c>
      <c r="L188">
        <v>1342.7</v>
      </c>
      <c r="M188">
        <v>1343.2</v>
      </c>
      <c r="N188">
        <v>1343.2</v>
      </c>
      <c r="O188">
        <v>1342.6</v>
      </c>
      <c r="P188">
        <v>0</v>
      </c>
      <c r="Q188">
        <v>64</v>
      </c>
      <c r="R188">
        <v>4</v>
      </c>
    </row>
    <row r="189" spans="1:18" x14ac:dyDescent="0.15">
      <c r="A189" t="s">
        <v>367</v>
      </c>
      <c r="B189">
        <v>47</v>
      </c>
      <c r="C189" t="s">
        <v>52</v>
      </c>
      <c r="D189">
        <v>15.9</v>
      </c>
      <c r="E189">
        <v>0</v>
      </c>
      <c r="F189">
        <v>22.7</v>
      </c>
      <c r="G189">
        <v>15.4</v>
      </c>
      <c r="H189">
        <v>18.399999999999999</v>
      </c>
      <c r="I189">
        <v>14.7</v>
      </c>
      <c r="J189">
        <v>22.7</v>
      </c>
      <c r="K189">
        <v>1342</v>
      </c>
      <c r="L189">
        <v>1343.6</v>
      </c>
      <c r="M189">
        <v>1342.9</v>
      </c>
      <c r="N189">
        <v>1341.5</v>
      </c>
      <c r="O189">
        <v>1342.8</v>
      </c>
      <c r="P189">
        <v>0</v>
      </c>
      <c r="Q189">
        <v>64</v>
      </c>
      <c r="R189">
        <v>4</v>
      </c>
    </row>
    <row r="190" spans="1:18" x14ac:dyDescent="0.15">
      <c r="A190" t="s">
        <v>368</v>
      </c>
      <c r="B190">
        <v>47</v>
      </c>
      <c r="C190" t="s">
        <v>53</v>
      </c>
      <c r="D190">
        <v>19.100000000000001</v>
      </c>
      <c r="E190">
        <v>0</v>
      </c>
      <c r="F190">
        <v>19.399999999999999</v>
      </c>
      <c r="G190">
        <v>19.3</v>
      </c>
      <c r="H190">
        <v>19.899999999999999</v>
      </c>
      <c r="I190">
        <v>19.2</v>
      </c>
      <c r="J190">
        <v>19</v>
      </c>
      <c r="K190">
        <v>1349</v>
      </c>
      <c r="L190">
        <v>1348.4</v>
      </c>
      <c r="M190">
        <v>1350.2</v>
      </c>
      <c r="N190">
        <v>1350.2</v>
      </c>
      <c r="O190">
        <v>1349.7</v>
      </c>
      <c r="P190">
        <v>0</v>
      </c>
      <c r="Q190">
        <v>108.8</v>
      </c>
      <c r="R190">
        <v>4</v>
      </c>
    </row>
    <row r="191" spans="1:18" x14ac:dyDescent="0.15">
      <c r="A191" t="s">
        <v>369</v>
      </c>
      <c r="B191">
        <v>48</v>
      </c>
      <c r="C191" t="s">
        <v>50</v>
      </c>
      <c r="D191">
        <v>13.8</v>
      </c>
      <c r="E191">
        <v>0</v>
      </c>
      <c r="F191">
        <v>12.4</v>
      </c>
      <c r="G191">
        <v>23</v>
      </c>
      <c r="H191">
        <v>17.5</v>
      </c>
      <c r="I191">
        <v>18.3</v>
      </c>
      <c r="J191">
        <v>21.9</v>
      </c>
      <c r="K191">
        <v>1333.8</v>
      </c>
      <c r="L191">
        <v>1335.3</v>
      </c>
      <c r="M191">
        <v>1336</v>
      </c>
      <c r="N191">
        <v>1335.2</v>
      </c>
      <c r="O191">
        <v>1334.2</v>
      </c>
      <c r="P191">
        <v>0</v>
      </c>
      <c r="Q191">
        <v>64</v>
      </c>
      <c r="R191">
        <v>4</v>
      </c>
    </row>
    <row r="192" spans="1:18" x14ac:dyDescent="0.15">
      <c r="A192" t="s">
        <v>370</v>
      </c>
      <c r="B192">
        <v>48</v>
      </c>
      <c r="C192" t="s">
        <v>51</v>
      </c>
      <c r="D192">
        <v>12.8</v>
      </c>
      <c r="E192">
        <v>0</v>
      </c>
      <c r="F192">
        <v>15.7</v>
      </c>
      <c r="G192">
        <v>12.1</v>
      </c>
      <c r="H192">
        <v>18.399999999999999</v>
      </c>
      <c r="I192">
        <v>13.1</v>
      </c>
      <c r="J192">
        <v>12</v>
      </c>
      <c r="K192">
        <v>1337.3</v>
      </c>
      <c r="L192">
        <v>1335.8</v>
      </c>
      <c r="M192">
        <v>1336.1</v>
      </c>
      <c r="N192">
        <v>1335.2</v>
      </c>
      <c r="O192">
        <v>1336.5</v>
      </c>
      <c r="P192">
        <v>0</v>
      </c>
      <c r="Q192">
        <v>64</v>
      </c>
      <c r="R192">
        <v>4</v>
      </c>
    </row>
    <row r="193" spans="1:18" x14ac:dyDescent="0.15">
      <c r="A193" t="s">
        <v>371</v>
      </c>
      <c r="B193">
        <v>48</v>
      </c>
      <c r="C193" t="s">
        <v>52</v>
      </c>
      <c r="D193">
        <v>12.5</v>
      </c>
      <c r="E193">
        <v>0</v>
      </c>
      <c r="F193">
        <v>18.5</v>
      </c>
      <c r="G193">
        <v>18.5</v>
      </c>
      <c r="H193">
        <v>23</v>
      </c>
      <c r="I193">
        <v>21.8</v>
      </c>
      <c r="J193">
        <v>11.1</v>
      </c>
      <c r="K193">
        <v>1335.9</v>
      </c>
      <c r="L193">
        <v>1336.4</v>
      </c>
      <c r="M193">
        <v>1335</v>
      </c>
      <c r="N193">
        <v>1335.7</v>
      </c>
      <c r="O193">
        <v>1336</v>
      </c>
      <c r="P193">
        <v>0</v>
      </c>
      <c r="Q193">
        <v>64</v>
      </c>
      <c r="R193">
        <v>4</v>
      </c>
    </row>
    <row r="194" spans="1:18" x14ac:dyDescent="0.15">
      <c r="A194" t="s">
        <v>372</v>
      </c>
      <c r="B194">
        <v>48</v>
      </c>
      <c r="C194" t="s">
        <v>53</v>
      </c>
      <c r="D194">
        <v>17.2</v>
      </c>
      <c r="E194">
        <v>0</v>
      </c>
      <c r="F194">
        <v>16.399999999999999</v>
      </c>
      <c r="G194">
        <v>17.100000000000001</v>
      </c>
      <c r="H194">
        <v>20.399999999999999</v>
      </c>
      <c r="I194">
        <v>21.2</v>
      </c>
      <c r="J194">
        <v>20.7</v>
      </c>
      <c r="K194">
        <v>1344.7</v>
      </c>
      <c r="L194">
        <v>1343.6</v>
      </c>
      <c r="M194">
        <v>1343.6</v>
      </c>
      <c r="N194">
        <v>1343.8</v>
      </c>
      <c r="O194">
        <v>1344.4</v>
      </c>
      <c r="P194">
        <v>0</v>
      </c>
      <c r="Q194">
        <v>64</v>
      </c>
      <c r="R194">
        <v>4</v>
      </c>
    </row>
    <row r="195" spans="1:18" x14ac:dyDescent="0.15">
      <c r="A195" t="s">
        <v>373</v>
      </c>
      <c r="B195">
        <v>49</v>
      </c>
      <c r="C195" t="s">
        <v>50</v>
      </c>
      <c r="D195">
        <v>30.7</v>
      </c>
      <c r="E195">
        <v>0</v>
      </c>
      <c r="F195">
        <v>48.2</v>
      </c>
      <c r="G195">
        <v>23</v>
      </c>
      <c r="H195">
        <v>47.2</v>
      </c>
      <c r="I195">
        <v>48.1</v>
      </c>
      <c r="J195">
        <v>47.1</v>
      </c>
      <c r="K195">
        <v>1370.7</v>
      </c>
      <c r="L195">
        <v>1369.9</v>
      </c>
      <c r="M195">
        <v>1369.7</v>
      </c>
      <c r="N195">
        <v>1371.3</v>
      </c>
      <c r="O195">
        <v>1370</v>
      </c>
      <c r="P195">
        <v>0</v>
      </c>
      <c r="Q195">
        <v>64</v>
      </c>
      <c r="R195">
        <v>4</v>
      </c>
    </row>
    <row r="196" spans="1:18" x14ac:dyDescent="0.15">
      <c r="A196" t="s">
        <v>374</v>
      </c>
      <c r="B196">
        <v>49</v>
      </c>
      <c r="C196" t="s">
        <v>51</v>
      </c>
      <c r="D196">
        <v>35.4</v>
      </c>
      <c r="E196">
        <v>0</v>
      </c>
      <c r="F196">
        <v>40.5</v>
      </c>
      <c r="G196">
        <v>40.1</v>
      </c>
      <c r="H196">
        <v>31.9</v>
      </c>
      <c r="I196">
        <v>39</v>
      </c>
      <c r="J196">
        <v>41.9</v>
      </c>
      <c r="K196">
        <v>1369.7</v>
      </c>
      <c r="L196">
        <v>1370</v>
      </c>
      <c r="M196">
        <v>1372.7</v>
      </c>
      <c r="N196">
        <v>1371.1</v>
      </c>
      <c r="O196">
        <v>1370.6</v>
      </c>
      <c r="P196">
        <v>0</v>
      </c>
      <c r="Q196">
        <v>64</v>
      </c>
      <c r="R196">
        <v>4</v>
      </c>
    </row>
    <row r="197" spans="1:18" x14ac:dyDescent="0.15">
      <c r="A197" t="s">
        <v>375</v>
      </c>
      <c r="B197">
        <v>49</v>
      </c>
      <c r="C197" t="s">
        <v>52</v>
      </c>
      <c r="D197">
        <v>35.299999999999997</v>
      </c>
      <c r="E197">
        <v>0</v>
      </c>
      <c r="F197">
        <v>31</v>
      </c>
      <c r="G197">
        <v>31.1</v>
      </c>
      <c r="H197">
        <v>46.7</v>
      </c>
      <c r="I197">
        <v>29.1</v>
      </c>
      <c r="J197">
        <v>46</v>
      </c>
      <c r="K197">
        <v>1371</v>
      </c>
      <c r="L197">
        <v>1370.1</v>
      </c>
      <c r="M197">
        <v>1371.7</v>
      </c>
      <c r="N197">
        <v>1371.1</v>
      </c>
      <c r="O197">
        <v>1371.1</v>
      </c>
      <c r="P197">
        <v>0</v>
      </c>
      <c r="Q197">
        <v>64</v>
      </c>
      <c r="R197">
        <v>4</v>
      </c>
    </row>
    <row r="198" spans="1:18" x14ac:dyDescent="0.15">
      <c r="A198" t="s">
        <v>376</v>
      </c>
      <c r="B198">
        <v>49</v>
      </c>
      <c r="C198" t="s">
        <v>53</v>
      </c>
      <c r="D198">
        <v>45.5</v>
      </c>
      <c r="E198">
        <v>0</v>
      </c>
      <c r="F198">
        <v>45.8</v>
      </c>
      <c r="G198">
        <v>45.9</v>
      </c>
      <c r="H198">
        <v>45.3</v>
      </c>
      <c r="I198">
        <v>45.4</v>
      </c>
      <c r="J198">
        <v>45.4</v>
      </c>
      <c r="K198">
        <v>1369.7</v>
      </c>
      <c r="L198">
        <v>1370.9</v>
      </c>
      <c r="M198">
        <v>1370.2</v>
      </c>
      <c r="N198">
        <v>1370.3</v>
      </c>
      <c r="O198">
        <v>1369.5</v>
      </c>
      <c r="P198">
        <v>0</v>
      </c>
      <c r="Q198">
        <v>64</v>
      </c>
      <c r="R198">
        <v>4</v>
      </c>
    </row>
    <row r="199" spans="1:18" x14ac:dyDescent="0.15">
      <c r="A199" t="s">
        <v>377</v>
      </c>
      <c r="B199">
        <v>50</v>
      </c>
      <c r="C199" t="s">
        <v>50</v>
      </c>
      <c r="D199">
        <v>20.100000000000001</v>
      </c>
      <c r="E199">
        <v>0</v>
      </c>
      <c r="F199">
        <v>20.2</v>
      </c>
      <c r="G199">
        <v>20.3</v>
      </c>
      <c r="H199">
        <v>20</v>
      </c>
      <c r="I199">
        <v>20.100000000000001</v>
      </c>
      <c r="J199">
        <v>20.5</v>
      </c>
      <c r="K199">
        <v>1352.7</v>
      </c>
      <c r="L199">
        <v>1352.8</v>
      </c>
      <c r="M199">
        <v>1353.5</v>
      </c>
      <c r="N199">
        <v>1353.2</v>
      </c>
      <c r="O199">
        <v>1353.6</v>
      </c>
      <c r="P199">
        <v>0</v>
      </c>
      <c r="Q199">
        <v>64</v>
      </c>
      <c r="R199">
        <v>4</v>
      </c>
    </row>
    <row r="200" spans="1:18" x14ac:dyDescent="0.15">
      <c r="A200" t="s">
        <v>378</v>
      </c>
      <c r="B200">
        <v>50</v>
      </c>
      <c r="C200" t="s">
        <v>51</v>
      </c>
      <c r="D200">
        <v>19.2</v>
      </c>
      <c r="E200">
        <v>0</v>
      </c>
      <c r="F200">
        <v>19.600000000000001</v>
      </c>
      <c r="G200">
        <v>22.6</v>
      </c>
      <c r="H200">
        <v>18.600000000000001</v>
      </c>
      <c r="I200">
        <v>19.899999999999999</v>
      </c>
      <c r="J200">
        <v>18.399999999999999</v>
      </c>
      <c r="K200">
        <v>1348.9</v>
      </c>
      <c r="L200">
        <v>1348.5</v>
      </c>
      <c r="M200">
        <v>1349.7</v>
      </c>
      <c r="N200">
        <v>1349</v>
      </c>
      <c r="O200">
        <v>1349.4</v>
      </c>
      <c r="P200">
        <v>0</v>
      </c>
      <c r="Q200">
        <v>108.8</v>
      </c>
      <c r="R200">
        <v>4</v>
      </c>
    </row>
    <row r="201" spans="1:18" x14ac:dyDescent="0.15">
      <c r="A201" t="s">
        <v>379</v>
      </c>
      <c r="B201">
        <v>50</v>
      </c>
      <c r="C201" t="s">
        <v>52</v>
      </c>
      <c r="D201">
        <v>18.100000000000001</v>
      </c>
      <c r="E201">
        <v>0</v>
      </c>
      <c r="F201">
        <v>18.100000000000001</v>
      </c>
      <c r="G201">
        <v>20.100000000000001</v>
      </c>
      <c r="H201">
        <v>18.100000000000001</v>
      </c>
      <c r="I201">
        <v>19.399999999999999</v>
      </c>
      <c r="J201">
        <v>17.7</v>
      </c>
      <c r="K201">
        <v>1347.1</v>
      </c>
      <c r="L201">
        <v>1347.8</v>
      </c>
      <c r="M201">
        <v>1347.1</v>
      </c>
      <c r="N201">
        <v>1347.6</v>
      </c>
      <c r="O201">
        <v>1347.2</v>
      </c>
      <c r="P201">
        <v>0</v>
      </c>
      <c r="Q201">
        <v>64</v>
      </c>
      <c r="R201">
        <v>4</v>
      </c>
    </row>
    <row r="202" spans="1:18" x14ac:dyDescent="0.15">
      <c r="A202" t="s">
        <v>380</v>
      </c>
      <c r="B202">
        <v>50</v>
      </c>
      <c r="C202" t="s">
        <v>53</v>
      </c>
      <c r="D202">
        <v>18.8</v>
      </c>
      <c r="E202">
        <v>0</v>
      </c>
      <c r="F202">
        <v>20.399999999999999</v>
      </c>
      <c r="G202">
        <v>22</v>
      </c>
      <c r="H202">
        <v>18.100000000000001</v>
      </c>
      <c r="I202">
        <v>19</v>
      </c>
      <c r="J202">
        <v>19.7</v>
      </c>
      <c r="K202">
        <v>1346.9</v>
      </c>
      <c r="L202">
        <v>1346.5</v>
      </c>
      <c r="M202">
        <v>1347.6</v>
      </c>
      <c r="N202">
        <v>1347</v>
      </c>
      <c r="O202">
        <v>1347.3</v>
      </c>
      <c r="P202">
        <v>0</v>
      </c>
      <c r="Q202">
        <v>64</v>
      </c>
      <c r="R202">
        <v>4</v>
      </c>
    </row>
    <row r="203" spans="1:18" x14ac:dyDescent="0.15">
      <c r="A203" t="s">
        <v>381</v>
      </c>
      <c r="B203">
        <v>51</v>
      </c>
      <c r="C203" t="s">
        <v>50</v>
      </c>
      <c r="D203">
        <v>30.6</v>
      </c>
      <c r="E203">
        <v>0</v>
      </c>
      <c r="F203">
        <v>31</v>
      </c>
      <c r="G203">
        <v>30.4</v>
      </c>
      <c r="H203">
        <v>31</v>
      </c>
      <c r="I203">
        <v>31.1</v>
      </c>
      <c r="J203">
        <v>31.1</v>
      </c>
      <c r="K203">
        <v>1369.4</v>
      </c>
      <c r="L203">
        <v>1369.1</v>
      </c>
      <c r="M203">
        <v>1368.9</v>
      </c>
      <c r="N203">
        <v>1369.2</v>
      </c>
      <c r="O203">
        <v>1368.9</v>
      </c>
      <c r="P203">
        <v>0</v>
      </c>
      <c r="Q203">
        <v>64</v>
      </c>
      <c r="R203">
        <v>4</v>
      </c>
    </row>
    <row r="204" spans="1:18" x14ac:dyDescent="0.15">
      <c r="A204" t="s">
        <v>382</v>
      </c>
      <c r="B204">
        <v>51</v>
      </c>
      <c r="C204" t="s">
        <v>51</v>
      </c>
      <c r="D204">
        <v>24.7</v>
      </c>
      <c r="E204">
        <v>0</v>
      </c>
      <c r="F204">
        <v>23</v>
      </c>
      <c r="G204">
        <v>30</v>
      </c>
      <c r="H204">
        <v>30</v>
      </c>
      <c r="I204">
        <v>29.1</v>
      </c>
      <c r="J204">
        <v>23</v>
      </c>
      <c r="K204">
        <v>1369</v>
      </c>
      <c r="L204">
        <v>1370.5</v>
      </c>
      <c r="M204">
        <v>1369.5</v>
      </c>
      <c r="N204">
        <v>1369.8</v>
      </c>
      <c r="O204">
        <v>1369.4</v>
      </c>
      <c r="P204">
        <v>0</v>
      </c>
      <c r="Q204">
        <v>64</v>
      </c>
      <c r="R204">
        <v>4</v>
      </c>
    </row>
    <row r="205" spans="1:18" x14ac:dyDescent="0.15">
      <c r="A205" t="s">
        <v>383</v>
      </c>
      <c r="B205">
        <v>51</v>
      </c>
      <c r="C205" t="s">
        <v>52</v>
      </c>
      <c r="D205">
        <v>24.7</v>
      </c>
      <c r="E205">
        <v>0</v>
      </c>
      <c r="F205">
        <v>30</v>
      </c>
      <c r="G205">
        <v>29</v>
      </c>
      <c r="H205">
        <v>23</v>
      </c>
      <c r="I205">
        <v>28</v>
      </c>
      <c r="J205">
        <v>23</v>
      </c>
      <c r="K205">
        <v>1369.1</v>
      </c>
      <c r="L205">
        <v>1369.3</v>
      </c>
      <c r="M205">
        <v>1370</v>
      </c>
      <c r="N205">
        <v>1369.6</v>
      </c>
      <c r="O205">
        <v>1369.1</v>
      </c>
      <c r="P205">
        <v>0</v>
      </c>
      <c r="Q205">
        <v>64</v>
      </c>
      <c r="R205">
        <v>4</v>
      </c>
    </row>
    <row r="206" spans="1:18" x14ac:dyDescent="0.15">
      <c r="A206" t="s">
        <v>384</v>
      </c>
      <c r="B206">
        <v>51</v>
      </c>
      <c r="C206" t="s">
        <v>53</v>
      </c>
      <c r="D206">
        <v>30.2</v>
      </c>
      <c r="E206">
        <v>0</v>
      </c>
      <c r="F206">
        <v>30.7</v>
      </c>
      <c r="G206">
        <v>30.3</v>
      </c>
      <c r="H206">
        <v>30</v>
      </c>
      <c r="I206">
        <v>30</v>
      </c>
      <c r="J206">
        <v>30.3</v>
      </c>
      <c r="K206">
        <v>1368.9</v>
      </c>
      <c r="L206">
        <v>1369.3</v>
      </c>
      <c r="M206">
        <v>1369.3</v>
      </c>
      <c r="N206">
        <v>1369.7</v>
      </c>
      <c r="O206">
        <v>1366.5</v>
      </c>
      <c r="P206">
        <v>0</v>
      </c>
      <c r="Q206">
        <v>64</v>
      </c>
      <c r="R206">
        <v>4</v>
      </c>
    </row>
    <row r="207" spans="1:18" x14ac:dyDescent="0.15">
      <c r="A207" t="s">
        <v>385</v>
      </c>
      <c r="B207">
        <v>52</v>
      </c>
      <c r="C207" t="s">
        <v>50</v>
      </c>
      <c r="D207">
        <v>22</v>
      </c>
      <c r="E207">
        <v>0</v>
      </c>
      <c r="F207">
        <v>22</v>
      </c>
      <c r="G207">
        <v>22.8</v>
      </c>
      <c r="H207">
        <v>22.3</v>
      </c>
      <c r="I207">
        <v>21.8</v>
      </c>
      <c r="J207">
        <v>22.2</v>
      </c>
      <c r="K207">
        <v>1354.6</v>
      </c>
      <c r="L207">
        <v>1353.2</v>
      </c>
      <c r="M207">
        <v>1353.3</v>
      </c>
      <c r="N207">
        <v>1353.2</v>
      </c>
      <c r="O207">
        <v>1354</v>
      </c>
      <c r="P207">
        <v>0</v>
      </c>
      <c r="Q207">
        <v>64</v>
      </c>
      <c r="R207">
        <v>4</v>
      </c>
    </row>
    <row r="208" spans="1:18" x14ac:dyDescent="0.15">
      <c r="A208" t="s">
        <v>386</v>
      </c>
      <c r="B208">
        <v>52</v>
      </c>
      <c r="C208" t="s">
        <v>51</v>
      </c>
      <c r="D208">
        <v>20.100000000000001</v>
      </c>
      <c r="E208">
        <v>0</v>
      </c>
      <c r="F208">
        <v>20.3</v>
      </c>
      <c r="G208">
        <v>20.399999999999999</v>
      </c>
      <c r="H208">
        <v>20</v>
      </c>
      <c r="I208">
        <v>20.5</v>
      </c>
      <c r="J208">
        <v>20.5</v>
      </c>
      <c r="K208">
        <v>1350.1</v>
      </c>
      <c r="L208">
        <v>1348.7</v>
      </c>
      <c r="M208">
        <v>1349.9</v>
      </c>
      <c r="N208">
        <v>1349.9</v>
      </c>
      <c r="O208">
        <v>1350.4</v>
      </c>
      <c r="P208">
        <v>0</v>
      </c>
      <c r="Q208">
        <v>64</v>
      </c>
      <c r="R208">
        <v>4</v>
      </c>
    </row>
    <row r="209" spans="1:18" x14ac:dyDescent="0.15">
      <c r="A209" t="s">
        <v>387</v>
      </c>
      <c r="B209">
        <v>52</v>
      </c>
      <c r="C209" t="s">
        <v>52</v>
      </c>
      <c r="D209">
        <v>19</v>
      </c>
      <c r="E209">
        <v>0</v>
      </c>
      <c r="F209">
        <v>18.5</v>
      </c>
      <c r="G209">
        <v>18.899999999999999</v>
      </c>
      <c r="H209">
        <v>21.4</v>
      </c>
      <c r="I209">
        <v>19.3</v>
      </c>
      <c r="J209">
        <v>19</v>
      </c>
      <c r="K209">
        <v>1345.2</v>
      </c>
      <c r="L209">
        <v>1344.4</v>
      </c>
      <c r="M209">
        <v>1343.9</v>
      </c>
      <c r="N209">
        <v>1344.7</v>
      </c>
      <c r="O209">
        <v>1345.6</v>
      </c>
      <c r="P209">
        <v>0</v>
      </c>
      <c r="Q209">
        <v>64</v>
      </c>
      <c r="R209">
        <v>4</v>
      </c>
    </row>
    <row r="210" spans="1:18" x14ac:dyDescent="0.15">
      <c r="A210" t="s">
        <v>388</v>
      </c>
      <c r="B210">
        <v>52</v>
      </c>
      <c r="C210" t="s">
        <v>53</v>
      </c>
      <c r="D210">
        <v>19.8</v>
      </c>
      <c r="E210">
        <v>0</v>
      </c>
      <c r="F210">
        <v>19.100000000000001</v>
      </c>
      <c r="G210">
        <v>23</v>
      </c>
      <c r="H210">
        <v>19.5</v>
      </c>
      <c r="I210">
        <v>19.3</v>
      </c>
      <c r="J210">
        <v>19.2</v>
      </c>
      <c r="K210">
        <v>1349.3</v>
      </c>
      <c r="L210">
        <v>1348.4</v>
      </c>
      <c r="M210">
        <v>1347.8</v>
      </c>
      <c r="N210">
        <v>1348.8</v>
      </c>
      <c r="O210">
        <v>1348.9</v>
      </c>
      <c r="P210">
        <v>0</v>
      </c>
      <c r="Q210">
        <v>64</v>
      </c>
      <c r="R210">
        <v>4</v>
      </c>
    </row>
    <row r="211" spans="1:18" x14ac:dyDescent="0.15">
      <c r="A211" t="s">
        <v>389</v>
      </c>
      <c r="B211">
        <v>53</v>
      </c>
      <c r="C211" t="s">
        <v>50</v>
      </c>
      <c r="D211">
        <v>20.399999999999999</v>
      </c>
      <c r="E211">
        <v>0</v>
      </c>
      <c r="F211">
        <v>20.8</v>
      </c>
      <c r="G211">
        <v>20.7</v>
      </c>
      <c r="H211">
        <v>20.399999999999999</v>
      </c>
      <c r="I211">
        <v>20.6</v>
      </c>
      <c r="J211">
        <v>20.6</v>
      </c>
      <c r="K211">
        <v>1351.8</v>
      </c>
      <c r="L211">
        <v>1351.9</v>
      </c>
      <c r="M211">
        <v>1351.9</v>
      </c>
      <c r="N211">
        <v>1351.6</v>
      </c>
      <c r="O211">
        <v>1351.1</v>
      </c>
      <c r="P211">
        <v>0</v>
      </c>
      <c r="Q211">
        <v>64</v>
      </c>
      <c r="R211">
        <v>4</v>
      </c>
    </row>
    <row r="212" spans="1:18" x14ac:dyDescent="0.15">
      <c r="A212" t="s">
        <v>390</v>
      </c>
      <c r="B212">
        <v>53</v>
      </c>
      <c r="C212" t="s">
        <v>51</v>
      </c>
      <c r="D212">
        <v>20.100000000000001</v>
      </c>
      <c r="E212">
        <v>0</v>
      </c>
      <c r="F212">
        <v>20.6</v>
      </c>
      <c r="G212">
        <v>20.8</v>
      </c>
      <c r="H212">
        <v>21</v>
      </c>
      <c r="I212">
        <v>20.7</v>
      </c>
      <c r="J212">
        <v>19.899999999999999</v>
      </c>
      <c r="K212">
        <v>1351.3</v>
      </c>
      <c r="L212">
        <v>1350.5</v>
      </c>
      <c r="M212">
        <v>1349.9</v>
      </c>
      <c r="N212">
        <v>1350.9</v>
      </c>
      <c r="O212">
        <v>1351</v>
      </c>
      <c r="P212">
        <v>0</v>
      </c>
      <c r="Q212">
        <v>64</v>
      </c>
      <c r="R212">
        <v>4</v>
      </c>
    </row>
    <row r="213" spans="1:18" x14ac:dyDescent="0.15">
      <c r="A213" t="s">
        <v>391</v>
      </c>
      <c r="B213">
        <v>53</v>
      </c>
      <c r="C213" t="s">
        <v>52</v>
      </c>
      <c r="D213">
        <v>20.7</v>
      </c>
      <c r="E213">
        <v>0</v>
      </c>
      <c r="F213">
        <v>20.100000000000001</v>
      </c>
      <c r="G213">
        <v>22.9</v>
      </c>
      <c r="H213">
        <v>23.2</v>
      </c>
      <c r="I213">
        <v>23</v>
      </c>
      <c r="J213">
        <v>23</v>
      </c>
      <c r="K213">
        <v>1350.6</v>
      </c>
      <c r="L213">
        <v>1350.6</v>
      </c>
      <c r="M213">
        <v>1349.5</v>
      </c>
      <c r="N213">
        <v>1350.1</v>
      </c>
      <c r="O213">
        <v>1350.4</v>
      </c>
      <c r="P213">
        <v>0</v>
      </c>
      <c r="Q213">
        <v>64</v>
      </c>
      <c r="R213">
        <v>4</v>
      </c>
    </row>
    <row r="214" spans="1:18" x14ac:dyDescent="0.15">
      <c r="A214" t="s">
        <v>392</v>
      </c>
      <c r="B214">
        <v>53</v>
      </c>
      <c r="C214" t="s">
        <v>53</v>
      </c>
      <c r="D214">
        <v>20.2</v>
      </c>
      <c r="E214">
        <v>0</v>
      </c>
      <c r="F214">
        <v>20.2</v>
      </c>
      <c r="G214">
        <v>19.899999999999999</v>
      </c>
      <c r="H214">
        <v>23</v>
      </c>
      <c r="I214">
        <v>23</v>
      </c>
      <c r="J214">
        <v>19.5</v>
      </c>
      <c r="K214">
        <v>1350.4</v>
      </c>
      <c r="L214">
        <v>1350.8</v>
      </c>
      <c r="M214">
        <v>1351.3</v>
      </c>
      <c r="N214">
        <v>1349.8</v>
      </c>
      <c r="O214">
        <v>1351.4</v>
      </c>
      <c r="P214">
        <v>0</v>
      </c>
      <c r="Q214">
        <v>64</v>
      </c>
      <c r="R214">
        <v>4</v>
      </c>
    </row>
    <row r="215" spans="1:18" x14ac:dyDescent="0.15">
      <c r="A215" t="s">
        <v>393</v>
      </c>
      <c r="B215">
        <v>54</v>
      </c>
      <c r="C215" t="s">
        <v>50</v>
      </c>
      <c r="D215">
        <v>23.7</v>
      </c>
      <c r="E215">
        <v>0</v>
      </c>
      <c r="F215">
        <v>23</v>
      </c>
      <c r="G215">
        <v>26.2</v>
      </c>
      <c r="H215">
        <v>25.4</v>
      </c>
      <c r="I215">
        <v>26.1</v>
      </c>
      <c r="J215">
        <v>23</v>
      </c>
      <c r="K215">
        <v>1357.7</v>
      </c>
      <c r="L215">
        <v>1356.4</v>
      </c>
      <c r="M215">
        <v>1356.9</v>
      </c>
      <c r="N215">
        <v>1356.3</v>
      </c>
      <c r="O215">
        <v>1356.9</v>
      </c>
      <c r="P215">
        <v>0</v>
      </c>
      <c r="Q215">
        <v>64</v>
      </c>
      <c r="R215">
        <v>4</v>
      </c>
    </row>
    <row r="216" spans="1:18" x14ac:dyDescent="0.15">
      <c r="A216" t="s">
        <v>394</v>
      </c>
      <c r="B216">
        <v>54</v>
      </c>
      <c r="C216" t="s">
        <v>51</v>
      </c>
      <c r="D216">
        <v>24.2</v>
      </c>
      <c r="E216">
        <v>0</v>
      </c>
      <c r="F216">
        <v>24.2</v>
      </c>
      <c r="G216">
        <v>24.4</v>
      </c>
      <c r="H216">
        <v>24.2</v>
      </c>
      <c r="I216">
        <v>24.2</v>
      </c>
      <c r="J216">
        <v>24.3</v>
      </c>
      <c r="K216">
        <v>1356.8</v>
      </c>
      <c r="L216">
        <v>1355.2</v>
      </c>
      <c r="M216">
        <v>1355.1</v>
      </c>
      <c r="N216">
        <v>1357.2</v>
      </c>
      <c r="O216">
        <v>1356.3</v>
      </c>
      <c r="P216">
        <v>0</v>
      </c>
      <c r="Q216">
        <v>64</v>
      </c>
      <c r="R216">
        <v>4</v>
      </c>
    </row>
    <row r="217" spans="1:18" x14ac:dyDescent="0.15">
      <c r="A217" t="s">
        <v>395</v>
      </c>
      <c r="B217">
        <v>54</v>
      </c>
      <c r="C217" t="s">
        <v>52</v>
      </c>
      <c r="D217">
        <v>23.2</v>
      </c>
      <c r="E217">
        <v>0</v>
      </c>
      <c r="F217">
        <v>23</v>
      </c>
      <c r="G217">
        <v>23.3</v>
      </c>
      <c r="H217">
        <v>24.1</v>
      </c>
      <c r="I217">
        <v>23.3</v>
      </c>
      <c r="J217">
        <v>23.3</v>
      </c>
      <c r="K217">
        <v>1364.7</v>
      </c>
      <c r="L217">
        <v>1362</v>
      </c>
      <c r="M217">
        <v>1361.2</v>
      </c>
      <c r="N217">
        <v>1361.8</v>
      </c>
      <c r="O217">
        <v>1361.2</v>
      </c>
      <c r="P217">
        <v>0</v>
      </c>
      <c r="Q217">
        <v>64</v>
      </c>
      <c r="R217">
        <v>4</v>
      </c>
    </row>
    <row r="218" spans="1:18" x14ac:dyDescent="0.15">
      <c r="A218" t="s">
        <v>396</v>
      </c>
      <c r="B218">
        <v>54</v>
      </c>
      <c r="C218" t="s">
        <v>53</v>
      </c>
      <c r="D218">
        <v>23.2</v>
      </c>
      <c r="E218">
        <v>0</v>
      </c>
      <c r="F218">
        <v>23.2</v>
      </c>
      <c r="G218">
        <v>23.6</v>
      </c>
      <c r="H218">
        <v>23.5</v>
      </c>
      <c r="I218">
        <v>23.2</v>
      </c>
      <c r="J218">
        <v>23.2</v>
      </c>
      <c r="K218">
        <v>1355.6</v>
      </c>
      <c r="L218">
        <v>1355.2</v>
      </c>
      <c r="M218">
        <v>1356</v>
      </c>
      <c r="N218">
        <v>1355.3</v>
      </c>
      <c r="O218">
        <v>1354.9</v>
      </c>
      <c r="P218">
        <v>0</v>
      </c>
      <c r="Q218">
        <v>64</v>
      </c>
      <c r="R218">
        <v>4</v>
      </c>
    </row>
    <row r="219" spans="1:18" x14ac:dyDescent="0.15">
      <c r="A219" t="s">
        <v>397</v>
      </c>
      <c r="B219">
        <v>55</v>
      </c>
      <c r="C219" t="s">
        <v>50</v>
      </c>
      <c r="D219">
        <v>52.7</v>
      </c>
      <c r="E219">
        <v>0</v>
      </c>
      <c r="F219">
        <v>52.7</v>
      </c>
      <c r="G219">
        <v>52.7</v>
      </c>
      <c r="H219">
        <v>52.7</v>
      </c>
      <c r="I219">
        <v>52.7</v>
      </c>
      <c r="J219">
        <v>52.7</v>
      </c>
      <c r="K219">
        <v>1370.6</v>
      </c>
      <c r="L219">
        <v>1371.6</v>
      </c>
      <c r="M219">
        <v>1370.7</v>
      </c>
      <c r="N219">
        <v>1372.4</v>
      </c>
      <c r="O219">
        <v>1371.1</v>
      </c>
      <c r="P219">
        <v>25.6</v>
      </c>
      <c r="Q219">
        <v>19.2</v>
      </c>
      <c r="R219">
        <v>5</v>
      </c>
    </row>
    <row r="220" spans="1:18" x14ac:dyDescent="0.15">
      <c r="A220" t="s">
        <v>398</v>
      </c>
      <c r="B220">
        <v>55</v>
      </c>
      <c r="C220" t="s">
        <v>51</v>
      </c>
      <c r="D220">
        <v>54</v>
      </c>
      <c r="E220">
        <v>0</v>
      </c>
      <c r="F220">
        <v>54</v>
      </c>
      <c r="G220">
        <v>54</v>
      </c>
      <c r="H220">
        <v>54</v>
      </c>
      <c r="I220">
        <v>54</v>
      </c>
      <c r="J220">
        <v>54</v>
      </c>
      <c r="K220">
        <v>1371.1</v>
      </c>
      <c r="L220">
        <v>1371.7</v>
      </c>
      <c r="M220">
        <v>1370.3</v>
      </c>
      <c r="N220">
        <v>1372.2</v>
      </c>
      <c r="O220">
        <v>1370.2</v>
      </c>
      <c r="P220">
        <v>25.6</v>
      </c>
      <c r="Q220">
        <v>19.2</v>
      </c>
      <c r="R220">
        <v>5</v>
      </c>
    </row>
    <row r="221" spans="1:18" x14ac:dyDescent="0.15">
      <c r="A221" t="s">
        <v>399</v>
      </c>
      <c r="B221">
        <v>55</v>
      </c>
      <c r="C221" t="s">
        <v>52</v>
      </c>
      <c r="D221">
        <v>53</v>
      </c>
      <c r="E221">
        <v>0</v>
      </c>
      <c r="F221">
        <v>53</v>
      </c>
      <c r="G221">
        <v>53</v>
      </c>
      <c r="H221">
        <v>53</v>
      </c>
      <c r="I221">
        <v>53</v>
      </c>
      <c r="J221">
        <v>53</v>
      </c>
      <c r="K221">
        <v>1372.1</v>
      </c>
      <c r="L221">
        <v>1371.6</v>
      </c>
      <c r="M221">
        <v>1371</v>
      </c>
      <c r="N221">
        <v>1372.4</v>
      </c>
      <c r="O221">
        <v>1370.9</v>
      </c>
      <c r="P221">
        <v>25.6</v>
      </c>
      <c r="Q221">
        <v>19.2</v>
      </c>
      <c r="R221">
        <v>5</v>
      </c>
    </row>
    <row r="222" spans="1:18" x14ac:dyDescent="0.15">
      <c r="A222" t="s">
        <v>400</v>
      </c>
      <c r="B222">
        <v>55</v>
      </c>
      <c r="C222" t="s">
        <v>53</v>
      </c>
      <c r="D222">
        <v>56.8</v>
      </c>
      <c r="E222">
        <v>0</v>
      </c>
      <c r="F222">
        <v>56.8</v>
      </c>
      <c r="G222">
        <v>56.8</v>
      </c>
      <c r="H222">
        <v>56.8</v>
      </c>
      <c r="I222">
        <v>56.8</v>
      </c>
      <c r="J222">
        <v>56.8</v>
      </c>
      <c r="K222">
        <v>1372.8</v>
      </c>
      <c r="L222">
        <v>1372</v>
      </c>
      <c r="M222">
        <v>1371.5</v>
      </c>
      <c r="N222">
        <v>1372.8</v>
      </c>
      <c r="O222">
        <v>1372.7</v>
      </c>
      <c r="P222">
        <v>25.6</v>
      </c>
      <c r="Q222">
        <v>19.2</v>
      </c>
      <c r="R222">
        <v>5</v>
      </c>
    </row>
    <row r="223" spans="1:18" x14ac:dyDescent="0.15">
      <c r="A223" t="s">
        <v>401</v>
      </c>
      <c r="B223">
        <v>56</v>
      </c>
      <c r="C223" t="s">
        <v>50</v>
      </c>
      <c r="D223">
        <v>69</v>
      </c>
      <c r="E223">
        <v>0</v>
      </c>
      <c r="F223">
        <v>69</v>
      </c>
      <c r="G223">
        <v>69</v>
      </c>
      <c r="H223">
        <v>69</v>
      </c>
      <c r="I223">
        <v>69</v>
      </c>
      <c r="J223">
        <v>69</v>
      </c>
      <c r="K223">
        <v>1385.9</v>
      </c>
      <c r="L223">
        <v>1386</v>
      </c>
      <c r="M223">
        <v>1385</v>
      </c>
      <c r="N223">
        <v>1384.3</v>
      </c>
      <c r="O223">
        <v>1385.9</v>
      </c>
      <c r="P223">
        <v>0</v>
      </c>
      <c r="Q223">
        <v>0</v>
      </c>
      <c r="R223">
        <v>1</v>
      </c>
    </row>
    <row r="224" spans="1:18" x14ac:dyDescent="0.15">
      <c r="A224" t="s">
        <v>402</v>
      </c>
      <c r="B224">
        <v>56</v>
      </c>
      <c r="C224" t="s">
        <v>51</v>
      </c>
      <c r="D224">
        <v>69.8</v>
      </c>
      <c r="E224">
        <v>0</v>
      </c>
      <c r="F224">
        <v>69.8</v>
      </c>
      <c r="G224">
        <v>69.8</v>
      </c>
      <c r="H224">
        <v>69.8</v>
      </c>
      <c r="I224">
        <v>69.8</v>
      </c>
      <c r="J224">
        <v>69.8</v>
      </c>
      <c r="K224">
        <v>1385.7</v>
      </c>
      <c r="L224">
        <v>1385.3</v>
      </c>
      <c r="M224">
        <v>1385.4</v>
      </c>
      <c r="N224">
        <v>1384.6</v>
      </c>
      <c r="O224">
        <v>1385.2</v>
      </c>
      <c r="P224">
        <v>0</v>
      </c>
      <c r="Q224">
        <v>0</v>
      </c>
      <c r="R224">
        <v>1</v>
      </c>
    </row>
    <row r="225" spans="1:18" x14ac:dyDescent="0.15">
      <c r="A225" t="s">
        <v>403</v>
      </c>
      <c r="B225">
        <v>56</v>
      </c>
      <c r="C225" t="s">
        <v>52</v>
      </c>
      <c r="D225">
        <v>60</v>
      </c>
      <c r="E225">
        <v>0</v>
      </c>
      <c r="F225">
        <v>60</v>
      </c>
      <c r="G225">
        <v>60</v>
      </c>
      <c r="H225">
        <v>60</v>
      </c>
      <c r="I225">
        <v>60</v>
      </c>
      <c r="J225">
        <v>60</v>
      </c>
      <c r="K225">
        <v>1375.7</v>
      </c>
      <c r="L225">
        <v>1377.2</v>
      </c>
      <c r="M225">
        <v>1375</v>
      </c>
      <c r="N225">
        <v>1375.8</v>
      </c>
      <c r="O225">
        <v>1376.5</v>
      </c>
      <c r="P225">
        <v>0</v>
      </c>
      <c r="Q225">
        <v>0</v>
      </c>
      <c r="R225">
        <v>1</v>
      </c>
    </row>
    <row r="226" spans="1:18" x14ac:dyDescent="0.15">
      <c r="A226" t="s">
        <v>404</v>
      </c>
      <c r="B226">
        <v>56</v>
      </c>
      <c r="C226" t="s">
        <v>53</v>
      </c>
      <c r="D226">
        <v>59.7</v>
      </c>
      <c r="E226">
        <v>0</v>
      </c>
      <c r="F226">
        <v>59.7</v>
      </c>
      <c r="G226">
        <v>59.7</v>
      </c>
      <c r="H226">
        <v>59.7</v>
      </c>
      <c r="I226">
        <v>59.7</v>
      </c>
      <c r="J226">
        <v>59.7</v>
      </c>
      <c r="K226">
        <v>1373.3</v>
      </c>
      <c r="L226">
        <v>1375.4</v>
      </c>
      <c r="M226">
        <v>1374.7</v>
      </c>
      <c r="N226">
        <v>1374.5</v>
      </c>
      <c r="O226">
        <v>1374.1</v>
      </c>
      <c r="P226">
        <v>0</v>
      </c>
      <c r="Q226">
        <v>0</v>
      </c>
      <c r="R226">
        <v>1</v>
      </c>
    </row>
    <row r="227" spans="1:18" x14ac:dyDescent="0.15">
      <c r="A227" t="s">
        <v>405</v>
      </c>
      <c r="B227">
        <v>57</v>
      </c>
      <c r="C227" t="s">
        <v>50</v>
      </c>
      <c r="D227">
        <v>24</v>
      </c>
      <c r="E227">
        <v>0</v>
      </c>
      <c r="F227">
        <v>51.9</v>
      </c>
      <c r="G227">
        <v>20.6</v>
      </c>
      <c r="H227">
        <v>15.3</v>
      </c>
      <c r="I227">
        <v>51</v>
      </c>
      <c r="J227">
        <v>15.2</v>
      </c>
      <c r="K227">
        <v>1371.4</v>
      </c>
      <c r="L227">
        <v>1371.5</v>
      </c>
      <c r="M227">
        <v>1371</v>
      </c>
      <c r="N227">
        <v>1369.7</v>
      </c>
      <c r="O227">
        <v>1368.4</v>
      </c>
      <c r="P227">
        <v>0</v>
      </c>
      <c r="Q227">
        <v>64</v>
      </c>
      <c r="R227">
        <v>4</v>
      </c>
    </row>
    <row r="228" spans="1:18" x14ac:dyDescent="0.15">
      <c r="A228" t="s">
        <v>406</v>
      </c>
      <c r="B228">
        <v>57</v>
      </c>
      <c r="C228" t="s">
        <v>51</v>
      </c>
      <c r="D228">
        <v>31.1</v>
      </c>
      <c r="E228">
        <v>0</v>
      </c>
      <c r="F228">
        <v>21.3</v>
      </c>
      <c r="G228">
        <v>53</v>
      </c>
      <c r="H228">
        <v>51.1</v>
      </c>
      <c r="I228">
        <v>21.5</v>
      </c>
      <c r="J228">
        <v>21.3</v>
      </c>
      <c r="K228">
        <v>1372.1</v>
      </c>
      <c r="L228">
        <v>1370.7</v>
      </c>
      <c r="M228">
        <v>1369.9</v>
      </c>
      <c r="N228">
        <v>1371</v>
      </c>
      <c r="O228">
        <v>1371.4</v>
      </c>
      <c r="P228">
        <v>0</v>
      </c>
      <c r="Q228">
        <v>64</v>
      </c>
      <c r="R228">
        <v>4</v>
      </c>
    </row>
    <row r="229" spans="1:18" x14ac:dyDescent="0.15">
      <c r="A229" t="s">
        <v>407</v>
      </c>
      <c r="B229">
        <v>57</v>
      </c>
      <c r="C229" t="s">
        <v>52</v>
      </c>
      <c r="D229">
        <v>23.2</v>
      </c>
      <c r="E229">
        <v>0</v>
      </c>
      <c r="F229">
        <v>21.3</v>
      </c>
      <c r="G229">
        <v>42.2</v>
      </c>
      <c r="H229">
        <v>21.3</v>
      </c>
      <c r="I229">
        <v>17.5</v>
      </c>
      <c r="J229">
        <v>21.1</v>
      </c>
      <c r="K229">
        <v>1370.7</v>
      </c>
      <c r="L229">
        <v>1369.9</v>
      </c>
      <c r="M229">
        <v>1370.5</v>
      </c>
      <c r="N229">
        <v>1369.5</v>
      </c>
      <c r="O229">
        <v>1370.1</v>
      </c>
      <c r="P229">
        <v>0</v>
      </c>
      <c r="Q229">
        <v>64</v>
      </c>
      <c r="R229">
        <v>4</v>
      </c>
    </row>
    <row r="230" spans="1:18" x14ac:dyDescent="0.15">
      <c r="A230" t="s">
        <v>408</v>
      </c>
      <c r="B230">
        <v>57</v>
      </c>
      <c r="C230" t="s">
        <v>53</v>
      </c>
      <c r="D230">
        <v>26.3</v>
      </c>
      <c r="E230">
        <v>0</v>
      </c>
      <c r="F230">
        <v>21.1</v>
      </c>
      <c r="G230">
        <v>40</v>
      </c>
      <c r="H230">
        <v>20.8</v>
      </c>
      <c r="I230">
        <v>42</v>
      </c>
      <c r="J230">
        <v>21</v>
      </c>
      <c r="K230">
        <v>1369.4</v>
      </c>
      <c r="L230">
        <v>1369.9</v>
      </c>
      <c r="M230">
        <v>1369.8</v>
      </c>
      <c r="N230">
        <v>1370.4</v>
      </c>
      <c r="O230">
        <v>1371.1</v>
      </c>
      <c r="P230">
        <v>0</v>
      </c>
      <c r="Q230">
        <v>64</v>
      </c>
      <c r="R230">
        <v>4</v>
      </c>
    </row>
    <row r="231" spans="1:18" x14ac:dyDescent="0.15">
      <c r="A231" t="s">
        <v>409</v>
      </c>
      <c r="B231">
        <v>58</v>
      </c>
      <c r="C231" t="s">
        <v>50</v>
      </c>
      <c r="D231">
        <v>73</v>
      </c>
      <c r="E231">
        <v>0</v>
      </c>
      <c r="F231">
        <v>73</v>
      </c>
      <c r="G231">
        <v>73</v>
      </c>
      <c r="H231">
        <v>73</v>
      </c>
      <c r="I231">
        <v>73</v>
      </c>
      <c r="J231">
        <v>73</v>
      </c>
      <c r="K231">
        <v>1384.8</v>
      </c>
      <c r="L231">
        <v>1384.3</v>
      </c>
      <c r="M231">
        <v>1384.3</v>
      </c>
      <c r="N231">
        <v>1386.5</v>
      </c>
      <c r="O231">
        <v>1385.3</v>
      </c>
      <c r="P231">
        <v>0</v>
      </c>
      <c r="Q231">
        <v>64</v>
      </c>
      <c r="R231">
        <v>4</v>
      </c>
    </row>
    <row r="232" spans="1:18" x14ac:dyDescent="0.15">
      <c r="A232" t="s">
        <v>410</v>
      </c>
      <c r="B232">
        <v>58</v>
      </c>
      <c r="C232" t="s">
        <v>51</v>
      </c>
      <c r="D232">
        <v>65</v>
      </c>
      <c r="E232">
        <v>0</v>
      </c>
      <c r="F232">
        <v>65</v>
      </c>
      <c r="G232">
        <v>65</v>
      </c>
      <c r="H232">
        <v>65</v>
      </c>
      <c r="I232">
        <v>65</v>
      </c>
      <c r="J232">
        <v>65</v>
      </c>
      <c r="K232">
        <v>1384.9</v>
      </c>
      <c r="L232">
        <v>1383.9</v>
      </c>
      <c r="M232">
        <v>1383.6</v>
      </c>
      <c r="N232">
        <v>1384.4</v>
      </c>
      <c r="O232">
        <v>1384.6</v>
      </c>
      <c r="P232">
        <v>0</v>
      </c>
      <c r="Q232">
        <v>64</v>
      </c>
      <c r="R232">
        <v>4</v>
      </c>
    </row>
    <row r="233" spans="1:18" x14ac:dyDescent="0.15">
      <c r="A233" t="s">
        <v>411</v>
      </c>
      <c r="B233">
        <v>58</v>
      </c>
      <c r="C233" t="s">
        <v>52</v>
      </c>
      <c r="D233">
        <v>59.4</v>
      </c>
      <c r="E233">
        <v>0</v>
      </c>
      <c r="F233">
        <v>49.9</v>
      </c>
      <c r="G233">
        <v>50.9</v>
      </c>
      <c r="H233">
        <v>49.9</v>
      </c>
      <c r="I233">
        <v>66</v>
      </c>
      <c r="J233">
        <v>50.9</v>
      </c>
      <c r="K233">
        <v>1383.8</v>
      </c>
      <c r="L233">
        <v>1384.1</v>
      </c>
      <c r="M233">
        <v>1384.9</v>
      </c>
      <c r="N233">
        <v>1384</v>
      </c>
      <c r="O233">
        <v>1384.4</v>
      </c>
      <c r="P233">
        <v>0</v>
      </c>
      <c r="Q233">
        <v>64</v>
      </c>
      <c r="R233">
        <v>4</v>
      </c>
    </row>
    <row r="234" spans="1:18" x14ac:dyDescent="0.15">
      <c r="A234" t="s">
        <v>412</v>
      </c>
      <c r="B234">
        <v>58</v>
      </c>
      <c r="C234" t="s">
        <v>53</v>
      </c>
      <c r="D234">
        <v>92</v>
      </c>
      <c r="E234">
        <v>0</v>
      </c>
      <c r="F234">
        <v>92</v>
      </c>
      <c r="G234">
        <v>92</v>
      </c>
      <c r="H234">
        <v>92</v>
      </c>
      <c r="I234">
        <v>92</v>
      </c>
      <c r="J234">
        <v>92</v>
      </c>
      <c r="K234">
        <v>1385.6</v>
      </c>
      <c r="L234">
        <v>1384.7</v>
      </c>
      <c r="M234">
        <v>1385.7</v>
      </c>
      <c r="N234">
        <v>1385.8</v>
      </c>
      <c r="O234">
        <v>1384.7</v>
      </c>
      <c r="P234">
        <v>0</v>
      </c>
      <c r="Q234">
        <v>64</v>
      </c>
      <c r="R234">
        <v>4</v>
      </c>
    </row>
    <row r="235" spans="1:18" x14ac:dyDescent="0.15">
      <c r="A235" t="s">
        <v>413</v>
      </c>
      <c r="B235">
        <v>59</v>
      </c>
      <c r="C235" t="s">
        <v>50</v>
      </c>
      <c r="D235">
        <v>71</v>
      </c>
      <c r="E235">
        <v>0</v>
      </c>
      <c r="F235">
        <v>71</v>
      </c>
      <c r="G235">
        <v>71</v>
      </c>
      <c r="H235">
        <v>71</v>
      </c>
      <c r="I235">
        <v>71</v>
      </c>
      <c r="J235">
        <v>71</v>
      </c>
      <c r="K235">
        <v>1384.7</v>
      </c>
      <c r="L235">
        <v>1384.4</v>
      </c>
      <c r="M235">
        <v>1385.6</v>
      </c>
      <c r="N235">
        <v>1388</v>
      </c>
      <c r="O235">
        <v>1385</v>
      </c>
      <c r="P235">
        <v>0</v>
      </c>
      <c r="Q235">
        <v>64</v>
      </c>
      <c r="R235">
        <v>4</v>
      </c>
    </row>
    <row r="236" spans="1:18" x14ac:dyDescent="0.15">
      <c r="A236" t="s">
        <v>414</v>
      </c>
      <c r="B236">
        <v>59</v>
      </c>
      <c r="C236" t="s">
        <v>51</v>
      </c>
      <c r="D236">
        <v>71</v>
      </c>
      <c r="E236">
        <v>0</v>
      </c>
      <c r="F236">
        <v>71</v>
      </c>
      <c r="G236">
        <v>71</v>
      </c>
      <c r="H236">
        <v>71</v>
      </c>
      <c r="I236">
        <v>71</v>
      </c>
      <c r="J236">
        <v>71</v>
      </c>
      <c r="K236">
        <v>1384.3</v>
      </c>
      <c r="L236">
        <v>1384.2</v>
      </c>
      <c r="M236">
        <v>1385.7</v>
      </c>
      <c r="N236">
        <v>1384.8</v>
      </c>
      <c r="O236">
        <v>1386.1</v>
      </c>
      <c r="P236">
        <v>0</v>
      </c>
      <c r="Q236">
        <v>64</v>
      </c>
      <c r="R236">
        <v>4</v>
      </c>
    </row>
    <row r="237" spans="1:18" x14ac:dyDescent="0.15">
      <c r="A237" t="s">
        <v>415</v>
      </c>
      <c r="B237">
        <v>59</v>
      </c>
      <c r="C237" t="s">
        <v>52</v>
      </c>
      <c r="D237">
        <v>65</v>
      </c>
      <c r="E237">
        <v>0</v>
      </c>
      <c r="F237">
        <v>65</v>
      </c>
      <c r="G237">
        <v>65</v>
      </c>
      <c r="H237">
        <v>65</v>
      </c>
      <c r="I237">
        <v>65</v>
      </c>
      <c r="J237">
        <v>65</v>
      </c>
      <c r="K237">
        <v>1384.9</v>
      </c>
      <c r="L237">
        <v>1386</v>
      </c>
      <c r="M237">
        <v>1385.2</v>
      </c>
      <c r="N237">
        <v>1385.6</v>
      </c>
      <c r="O237">
        <v>1385.1</v>
      </c>
      <c r="P237">
        <v>0</v>
      </c>
      <c r="Q237">
        <v>64</v>
      </c>
      <c r="R237">
        <v>4</v>
      </c>
    </row>
    <row r="238" spans="1:18" x14ac:dyDescent="0.15">
      <c r="A238" t="s">
        <v>416</v>
      </c>
      <c r="B238">
        <v>59</v>
      </c>
      <c r="C238" t="s">
        <v>53</v>
      </c>
      <c r="D238">
        <v>70</v>
      </c>
      <c r="E238">
        <v>0</v>
      </c>
      <c r="F238">
        <v>70</v>
      </c>
      <c r="G238">
        <v>70</v>
      </c>
      <c r="H238">
        <v>70</v>
      </c>
      <c r="I238">
        <v>70</v>
      </c>
      <c r="J238">
        <v>70</v>
      </c>
      <c r="K238">
        <v>1385.1</v>
      </c>
      <c r="L238">
        <v>1384.5</v>
      </c>
      <c r="M238">
        <v>1385</v>
      </c>
      <c r="N238">
        <v>1385.2</v>
      </c>
      <c r="O238">
        <v>1384.3</v>
      </c>
      <c r="P238">
        <v>0</v>
      </c>
      <c r="Q238">
        <v>64</v>
      </c>
      <c r="R238">
        <v>4</v>
      </c>
    </row>
    <row r="239" spans="1:18" x14ac:dyDescent="0.15">
      <c r="A239" t="s">
        <v>417</v>
      </c>
      <c r="B239">
        <v>60</v>
      </c>
      <c r="C239" t="s">
        <v>50</v>
      </c>
      <c r="D239">
        <v>50</v>
      </c>
      <c r="E239">
        <v>0</v>
      </c>
      <c r="F239">
        <v>42</v>
      </c>
      <c r="G239">
        <v>59.1</v>
      </c>
      <c r="H239">
        <v>40.9</v>
      </c>
      <c r="I239">
        <v>59</v>
      </c>
      <c r="J239">
        <v>40.9</v>
      </c>
      <c r="K239">
        <v>1371.3</v>
      </c>
      <c r="L239">
        <v>1371.2</v>
      </c>
      <c r="M239">
        <v>1370.5</v>
      </c>
      <c r="N239">
        <v>1371.9</v>
      </c>
      <c r="O239">
        <v>1370.6</v>
      </c>
      <c r="P239">
        <v>0</v>
      </c>
      <c r="Q239">
        <v>64</v>
      </c>
      <c r="R239">
        <v>4</v>
      </c>
    </row>
    <row r="240" spans="1:18" x14ac:dyDescent="0.15">
      <c r="A240" t="s">
        <v>418</v>
      </c>
      <c r="B240">
        <v>60</v>
      </c>
      <c r="C240" t="s">
        <v>51</v>
      </c>
      <c r="D240">
        <v>60</v>
      </c>
      <c r="E240">
        <v>0</v>
      </c>
      <c r="F240">
        <v>60</v>
      </c>
      <c r="G240">
        <v>60</v>
      </c>
      <c r="H240">
        <v>60</v>
      </c>
      <c r="I240">
        <v>60</v>
      </c>
      <c r="J240">
        <v>60</v>
      </c>
      <c r="K240">
        <v>1371</v>
      </c>
      <c r="L240">
        <v>1371.8</v>
      </c>
      <c r="M240">
        <v>1372</v>
      </c>
      <c r="N240">
        <v>1371.9</v>
      </c>
      <c r="O240">
        <v>1372.8</v>
      </c>
      <c r="P240">
        <v>0</v>
      </c>
      <c r="Q240">
        <v>64</v>
      </c>
      <c r="R240">
        <v>4</v>
      </c>
    </row>
    <row r="241" spans="1:18" x14ac:dyDescent="0.15">
      <c r="A241" t="s">
        <v>419</v>
      </c>
      <c r="B241">
        <v>60</v>
      </c>
      <c r="C241" t="s">
        <v>52</v>
      </c>
      <c r="D241">
        <v>56</v>
      </c>
      <c r="E241">
        <v>0</v>
      </c>
      <c r="F241">
        <v>56</v>
      </c>
      <c r="G241">
        <v>56</v>
      </c>
      <c r="H241">
        <v>56</v>
      </c>
      <c r="I241">
        <v>56</v>
      </c>
      <c r="J241">
        <v>56</v>
      </c>
      <c r="K241">
        <v>1372.5</v>
      </c>
      <c r="L241">
        <v>1372.5</v>
      </c>
      <c r="M241">
        <v>1371.7</v>
      </c>
      <c r="N241">
        <v>1370.9</v>
      </c>
      <c r="O241">
        <v>1372.3</v>
      </c>
      <c r="P241">
        <v>0</v>
      </c>
      <c r="Q241">
        <v>64</v>
      </c>
      <c r="R241">
        <v>4</v>
      </c>
    </row>
    <row r="242" spans="1:18" x14ac:dyDescent="0.15">
      <c r="A242" t="s">
        <v>420</v>
      </c>
      <c r="B242">
        <v>60</v>
      </c>
      <c r="C242" t="s">
        <v>53</v>
      </c>
      <c r="D242">
        <v>52.7</v>
      </c>
      <c r="E242">
        <v>0</v>
      </c>
      <c r="F242">
        <v>49.8</v>
      </c>
      <c r="G242">
        <v>56</v>
      </c>
      <c r="H242">
        <v>49.5</v>
      </c>
      <c r="I242">
        <v>54.4</v>
      </c>
      <c r="J242">
        <v>49.1</v>
      </c>
      <c r="K242">
        <v>1372.6</v>
      </c>
      <c r="L242">
        <v>1371.3</v>
      </c>
      <c r="M242">
        <v>1370.3</v>
      </c>
      <c r="N242">
        <v>1371.1</v>
      </c>
      <c r="O242">
        <v>1373.4</v>
      </c>
      <c r="P242">
        <v>0</v>
      </c>
      <c r="Q242">
        <v>64</v>
      </c>
      <c r="R242">
        <v>4</v>
      </c>
    </row>
    <row r="243" spans="1:18" x14ac:dyDescent="0.15">
      <c r="A243" t="s">
        <v>421</v>
      </c>
      <c r="B243">
        <v>61</v>
      </c>
      <c r="C243" t="s">
        <v>50</v>
      </c>
      <c r="D243">
        <v>56</v>
      </c>
      <c r="E243">
        <v>0</v>
      </c>
      <c r="F243">
        <v>56</v>
      </c>
      <c r="G243">
        <v>56</v>
      </c>
      <c r="H243">
        <v>56</v>
      </c>
      <c r="I243">
        <v>56</v>
      </c>
      <c r="J243">
        <v>56</v>
      </c>
      <c r="K243">
        <v>1371.3</v>
      </c>
      <c r="L243">
        <v>1371.6</v>
      </c>
      <c r="M243">
        <v>1371.6</v>
      </c>
      <c r="N243">
        <v>1370.8</v>
      </c>
      <c r="O243">
        <v>1370.9</v>
      </c>
      <c r="P243">
        <v>0</v>
      </c>
      <c r="Q243">
        <v>64</v>
      </c>
      <c r="R243">
        <v>4</v>
      </c>
    </row>
    <row r="244" spans="1:18" x14ac:dyDescent="0.15">
      <c r="A244" t="s">
        <v>422</v>
      </c>
      <c r="B244">
        <v>61</v>
      </c>
      <c r="C244" t="s">
        <v>51</v>
      </c>
      <c r="D244">
        <v>61</v>
      </c>
      <c r="E244">
        <v>0</v>
      </c>
      <c r="F244">
        <v>61</v>
      </c>
      <c r="G244">
        <v>61</v>
      </c>
      <c r="H244">
        <v>61</v>
      </c>
      <c r="I244">
        <v>61</v>
      </c>
      <c r="J244">
        <v>61</v>
      </c>
      <c r="K244">
        <v>1373.1</v>
      </c>
      <c r="L244">
        <v>1372</v>
      </c>
      <c r="M244">
        <v>1371.5</v>
      </c>
      <c r="N244">
        <v>1372.3</v>
      </c>
      <c r="O244">
        <v>1372.7</v>
      </c>
      <c r="P244">
        <v>0</v>
      </c>
      <c r="Q244">
        <v>64</v>
      </c>
      <c r="R244">
        <v>4</v>
      </c>
    </row>
    <row r="245" spans="1:18" x14ac:dyDescent="0.15">
      <c r="A245" t="s">
        <v>423</v>
      </c>
      <c r="B245">
        <v>61</v>
      </c>
      <c r="C245" t="s">
        <v>52</v>
      </c>
      <c r="D245">
        <v>53</v>
      </c>
      <c r="E245">
        <v>0</v>
      </c>
      <c r="F245">
        <v>53</v>
      </c>
      <c r="G245">
        <v>53</v>
      </c>
      <c r="H245">
        <v>53</v>
      </c>
      <c r="I245">
        <v>53</v>
      </c>
      <c r="J245">
        <v>53</v>
      </c>
      <c r="K245">
        <v>1371</v>
      </c>
      <c r="L245">
        <v>1372.2</v>
      </c>
      <c r="M245">
        <v>1372</v>
      </c>
      <c r="N245">
        <v>1371.2</v>
      </c>
      <c r="O245">
        <v>1371.4</v>
      </c>
      <c r="P245">
        <v>0</v>
      </c>
      <c r="Q245">
        <v>64</v>
      </c>
      <c r="R245">
        <v>4</v>
      </c>
    </row>
    <row r="246" spans="1:18" x14ac:dyDescent="0.15">
      <c r="A246" t="s">
        <v>424</v>
      </c>
      <c r="B246">
        <v>61</v>
      </c>
      <c r="C246" t="s">
        <v>53</v>
      </c>
      <c r="D246">
        <v>56</v>
      </c>
      <c r="E246">
        <v>0</v>
      </c>
      <c r="F246">
        <v>56</v>
      </c>
      <c r="G246">
        <v>56</v>
      </c>
      <c r="H246">
        <v>56</v>
      </c>
      <c r="I246">
        <v>56</v>
      </c>
      <c r="J246">
        <v>56</v>
      </c>
      <c r="K246">
        <v>1372.3</v>
      </c>
      <c r="L246">
        <v>1372.4</v>
      </c>
      <c r="M246">
        <v>1370.7</v>
      </c>
      <c r="N246">
        <v>1371.6</v>
      </c>
      <c r="O246">
        <v>1370.9</v>
      </c>
      <c r="P246">
        <v>0</v>
      </c>
      <c r="Q246">
        <v>64</v>
      </c>
      <c r="R246">
        <v>4</v>
      </c>
    </row>
    <row r="247" spans="1:18" x14ac:dyDescent="0.15">
      <c r="A247" t="s">
        <v>167</v>
      </c>
      <c r="B247">
        <v>62</v>
      </c>
      <c r="C247" t="s">
        <v>50</v>
      </c>
      <c r="D247">
        <v>99</v>
      </c>
      <c r="E247">
        <v>0</v>
      </c>
      <c r="F247">
        <v>99</v>
      </c>
      <c r="G247">
        <v>99</v>
      </c>
      <c r="H247">
        <v>99</v>
      </c>
      <c r="I247">
        <v>99</v>
      </c>
      <c r="J247">
        <v>99</v>
      </c>
      <c r="K247">
        <v>1385.4</v>
      </c>
      <c r="L247">
        <v>1384.9</v>
      </c>
      <c r="M247">
        <v>1386.2</v>
      </c>
      <c r="N247">
        <v>1386.4</v>
      </c>
      <c r="O247">
        <v>1385.6</v>
      </c>
      <c r="P247">
        <v>0</v>
      </c>
      <c r="Q247">
        <v>64</v>
      </c>
      <c r="R247">
        <v>4</v>
      </c>
    </row>
    <row r="248" spans="1:18" x14ac:dyDescent="0.15">
      <c r="A248" t="s">
        <v>425</v>
      </c>
      <c r="B248">
        <v>62</v>
      </c>
      <c r="C248" t="s">
        <v>51</v>
      </c>
      <c r="D248">
        <v>99</v>
      </c>
      <c r="E248">
        <v>0</v>
      </c>
      <c r="F248">
        <v>99</v>
      </c>
      <c r="G248">
        <v>99</v>
      </c>
      <c r="H248">
        <v>99</v>
      </c>
      <c r="I248">
        <v>99</v>
      </c>
      <c r="J248">
        <v>99</v>
      </c>
      <c r="K248">
        <v>1386.4</v>
      </c>
      <c r="L248">
        <v>1385.7</v>
      </c>
      <c r="M248">
        <v>1384.4</v>
      </c>
      <c r="N248">
        <v>1387.2</v>
      </c>
      <c r="O248">
        <v>1385.7</v>
      </c>
      <c r="P248">
        <v>0</v>
      </c>
      <c r="Q248">
        <v>64</v>
      </c>
      <c r="R248">
        <v>4</v>
      </c>
    </row>
    <row r="249" spans="1:18" x14ac:dyDescent="0.15">
      <c r="A249" t="s">
        <v>426</v>
      </c>
      <c r="B249">
        <v>62</v>
      </c>
      <c r="C249" t="s">
        <v>52</v>
      </c>
      <c r="D249">
        <v>100</v>
      </c>
      <c r="E249">
        <v>0</v>
      </c>
      <c r="F249">
        <v>100</v>
      </c>
      <c r="G249">
        <v>100</v>
      </c>
      <c r="H249">
        <v>100</v>
      </c>
      <c r="I249">
        <v>100</v>
      </c>
      <c r="J249">
        <v>100</v>
      </c>
      <c r="K249">
        <v>1387.7</v>
      </c>
      <c r="L249">
        <v>1384.6</v>
      </c>
      <c r="M249">
        <v>1384.9</v>
      </c>
      <c r="N249">
        <v>1385.7</v>
      </c>
      <c r="O249">
        <v>1385.3</v>
      </c>
      <c r="P249">
        <v>0</v>
      </c>
      <c r="Q249">
        <v>64</v>
      </c>
      <c r="R249">
        <v>4</v>
      </c>
    </row>
    <row r="250" spans="1:18" x14ac:dyDescent="0.15">
      <c r="A250" t="s">
        <v>427</v>
      </c>
      <c r="B250">
        <v>62</v>
      </c>
      <c r="C250" t="s">
        <v>53</v>
      </c>
      <c r="D250">
        <v>100</v>
      </c>
      <c r="E250">
        <v>0</v>
      </c>
      <c r="F250">
        <v>100</v>
      </c>
      <c r="G250">
        <v>100</v>
      </c>
      <c r="H250">
        <v>100</v>
      </c>
      <c r="I250">
        <v>100</v>
      </c>
      <c r="J250">
        <v>100</v>
      </c>
      <c r="K250">
        <v>1384.3</v>
      </c>
      <c r="L250">
        <v>1384.7</v>
      </c>
      <c r="M250">
        <v>1385.5</v>
      </c>
      <c r="N250">
        <v>1386.5</v>
      </c>
      <c r="O250">
        <v>1385.9</v>
      </c>
      <c r="P250">
        <v>0</v>
      </c>
      <c r="Q250">
        <v>64</v>
      </c>
      <c r="R250">
        <v>4</v>
      </c>
    </row>
    <row r="251" spans="1:18" x14ac:dyDescent="0.15">
      <c r="A251" t="s">
        <v>428</v>
      </c>
      <c r="B251">
        <v>63</v>
      </c>
      <c r="C251" t="s">
        <v>50</v>
      </c>
      <c r="D251">
        <v>48.1</v>
      </c>
      <c r="E251">
        <v>0</v>
      </c>
      <c r="F251">
        <v>21.6</v>
      </c>
      <c r="G251">
        <v>76.599999999999994</v>
      </c>
      <c r="H251">
        <v>21.4</v>
      </c>
      <c r="I251">
        <v>23</v>
      </c>
      <c r="J251">
        <v>77</v>
      </c>
      <c r="K251">
        <v>1386.1</v>
      </c>
      <c r="L251">
        <v>1385.2</v>
      </c>
      <c r="M251">
        <v>1387.2</v>
      </c>
      <c r="N251">
        <v>1385.3</v>
      </c>
      <c r="O251">
        <v>1386.1</v>
      </c>
      <c r="P251">
        <v>0</v>
      </c>
      <c r="Q251">
        <v>64</v>
      </c>
      <c r="R251">
        <v>4</v>
      </c>
    </row>
    <row r="252" spans="1:18" x14ac:dyDescent="0.15">
      <c r="A252" t="s">
        <v>429</v>
      </c>
      <c r="B252">
        <v>63</v>
      </c>
      <c r="C252" t="s">
        <v>51</v>
      </c>
      <c r="D252">
        <v>46</v>
      </c>
      <c r="E252">
        <v>0</v>
      </c>
      <c r="F252">
        <v>17.100000000000001</v>
      </c>
      <c r="G252">
        <v>23</v>
      </c>
      <c r="H252">
        <v>21.6</v>
      </c>
      <c r="I252">
        <v>23</v>
      </c>
      <c r="J252">
        <v>80</v>
      </c>
      <c r="K252">
        <v>1386.8</v>
      </c>
      <c r="L252">
        <v>1386.3</v>
      </c>
      <c r="M252">
        <v>1386.6</v>
      </c>
      <c r="N252">
        <v>1386.8</v>
      </c>
      <c r="O252">
        <v>1386.6</v>
      </c>
      <c r="P252">
        <v>0</v>
      </c>
      <c r="Q252">
        <v>64</v>
      </c>
      <c r="R252">
        <v>4</v>
      </c>
    </row>
    <row r="253" spans="1:18" x14ac:dyDescent="0.15">
      <c r="A253" t="s">
        <v>430</v>
      </c>
      <c r="B253">
        <v>63</v>
      </c>
      <c r="C253" t="s">
        <v>52</v>
      </c>
      <c r="D253">
        <v>47.3</v>
      </c>
      <c r="E253">
        <v>0</v>
      </c>
      <c r="F253">
        <v>80</v>
      </c>
      <c r="G253">
        <v>22.1</v>
      </c>
      <c r="H253">
        <v>19.2</v>
      </c>
      <c r="I253">
        <v>23</v>
      </c>
      <c r="J253">
        <v>18</v>
      </c>
      <c r="K253">
        <v>1386.2</v>
      </c>
      <c r="L253">
        <v>1384.8</v>
      </c>
      <c r="M253">
        <v>1387.3</v>
      </c>
      <c r="N253">
        <v>1385.8</v>
      </c>
      <c r="O253">
        <v>1386.6</v>
      </c>
      <c r="P253">
        <v>0</v>
      </c>
      <c r="Q253">
        <v>64</v>
      </c>
      <c r="R253">
        <v>4</v>
      </c>
    </row>
    <row r="254" spans="1:18" x14ac:dyDescent="0.15">
      <c r="A254" t="s">
        <v>431</v>
      </c>
      <c r="B254">
        <v>63</v>
      </c>
      <c r="C254" t="s">
        <v>53</v>
      </c>
      <c r="D254">
        <v>22.7</v>
      </c>
      <c r="E254">
        <v>0</v>
      </c>
      <c r="F254">
        <v>23</v>
      </c>
      <c r="G254">
        <v>23</v>
      </c>
      <c r="H254">
        <v>22.6</v>
      </c>
      <c r="I254">
        <v>23</v>
      </c>
      <c r="J254">
        <v>23.4</v>
      </c>
      <c r="K254">
        <v>1385.9</v>
      </c>
      <c r="L254">
        <v>1385.3</v>
      </c>
      <c r="M254">
        <v>1386</v>
      </c>
      <c r="N254">
        <v>1385</v>
      </c>
      <c r="O254">
        <v>1386</v>
      </c>
      <c r="P254">
        <v>0</v>
      </c>
      <c r="Q254">
        <v>64</v>
      </c>
      <c r="R254">
        <v>4</v>
      </c>
    </row>
    <row r="255" spans="1:18" x14ac:dyDescent="0.15">
      <c r="A255" t="s">
        <v>74</v>
      </c>
      <c r="B255">
        <v>64</v>
      </c>
      <c r="C255" t="s">
        <v>50</v>
      </c>
      <c r="D255">
        <v>99.7</v>
      </c>
      <c r="E255">
        <v>0</v>
      </c>
      <c r="F255">
        <v>99.7</v>
      </c>
      <c r="G255">
        <v>99.8</v>
      </c>
      <c r="H255">
        <v>93.7</v>
      </c>
      <c r="I255">
        <v>95</v>
      </c>
      <c r="J255">
        <v>93.8</v>
      </c>
      <c r="K255">
        <v>1385.3</v>
      </c>
      <c r="L255">
        <v>1385.3</v>
      </c>
      <c r="M255">
        <v>1386.5</v>
      </c>
      <c r="N255">
        <v>1386.3</v>
      </c>
      <c r="O255">
        <v>1386.4</v>
      </c>
      <c r="P255">
        <v>0</v>
      </c>
      <c r="Q255">
        <v>64</v>
      </c>
      <c r="R255">
        <v>4</v>
      </c>
    </row>
    <row r="256" spans="1:18" x14ac:dyDescent="0.15">
      <c r="A256" t="s">
        <v>75</v>
      </c>
      <c r="B256">
        <v>64</v>
      </c>
      <c r="C256" t="s">
        <v>51</v>
      </c>
      <c r="D256">
        <v>82.8</v>
      </c>
      <c r="E256">
        <v>0</v>
      </c>
      <c r="F256">
        <v>76</v>
      </c>
      <c r="G256">
        <v>76.599999999999994</v>
      </c>
      <c r="H256">
        <v>78.2</v>
      </c>
      <c r="I256">
        <v>84.3</v>
      </c>
      <c r="J256">
        <v>76.3</v>
      </c>
      <c r="K256">
        <v>1385</v>
      </c>
      <c r="L256">
        <v>1386.5</v>
      </c>
      <c r="M256">
        <v>1385.5</v>
      </c>
      <c r="N256">
        <v>1386.1</v>
      </c>
      <c r="O256">
        <v>1385.2</v>
      </c>
      <c r="P256">
        <v>0</v>
      </c>
      <c r="Q256">
        <v>64</v>
      </c>
      <c r="R256">
        <v>4</v>
      </c>
    </row>
    <row r="257" spans="1:18" x14ac:dyDescent="0.15">
      <c r="A257" t="s">
        <v>76</v>
      </c>
      <c r="B257">
        <v>64</v>
      </c>
      <c r="C257" t="s">
        <v>52</v>
      </c>
      <c r="D257">
        <v>99.6</v>
      </c>
      <c r="E257">
        <v>0</v>
      </c>
      <c r="F257">
        <v>96.1</v>
      </c>
      <c r="G257">
        <v>92.6</v>
      </c>
      <c r="H257">
        <v>99.7</v>
      </c>
      <c r="I257">
        <v>99.7</v>
      </c>
      <c r="J257">
        <v>94</v>
      </c>
      <c r="K257">
        <v>1386.5</v>
      </c>
      <c r="L257">
        <v>1386.4</v>
      </c>
      <c r="M257">
        <v>1386.7</v>
      </c>
      <c r="N257">
        <v>1386.2</v>
      </c>
      <c r="O257">
        <v>1386.4</v>
      </c>
      <c r="P257">
        <v>0</v>
      </c>
      <c r="Q257">
        <v>64</v>
      </c>
      <c r="R257">
        <v>4</v>
      </c>
    </row>
    <row r="258" spans="1:18" x14ac:dyDescent="0.15">
      <c r="A258" t="s">
        <v>77</v>
      </c>
      <c r="B258">
        <v>64</v>
      </c>
      <c r="C258" t="s">
        <v>53</v>
      </c>
      <c r="D258">
        <v>92</v>
      </c>
      <c r="E258">
        <v>0</v>
      </c>
      <c r="F258">
        <v>90.3</v>
      </c>
      <c r="G258">
        <v>89.9</v>
      </c>
      <c r="H258">
        <v>91.1</v>
      </c>
      <c r="I258">
        <v>91.5</v>
      </c>
      <c r="J258">
        <v>92.2</v>
      </c>
      <c r="K258">
        <v>1386.3</v>
      </c>
      <c r="L258">
        <v>1385.6</v>
      </c>
      <c r="M258">
        <v>1386.8</v>
      </c>
      <c r="N258">
        <v>1385.1</v>
      </c>
      <c r="O258">
        <v>1385.9</v>
      </c>
      <c r="P258">
        <v>0</v>
      </c>
      <c r="Q258">
        <v>64</v>
      </c>
      <c r="R258">
        <v>4</v>
      </c>
    </row>
    <row r="259" spans="1:18" x14ac:dyDescent="0.15">
      <c r="A259" t="s">
        <v>78</v>
      </c>
      <c r="B259">
        <v>65</v>
      </c>
      <c r="C259" t="s">
        <v>50</v>
      </c>
      <c r="D259">
        <v>96.4</v>
      </c>
      <c r="E259">
        <v>0</v>
      </c>
      <c r="F259">
        <v>94.8</v>
      </c>
      <c r="G259">
        <v>90</v>
      </c>
      <c r="H259">
        <v>96.7</v>
      </c>
      <c r="I259">
        <v>94.6</v>
      </c>
      <c r="J259">
        <v>89.6</v>
      </c>
      <c r="K259">
        <v>1385.2</v>
      </c>
      <c r="L259">
        <v>1386</v>
      </c>
      <c r="M259">
        <v>1385.9</v>
      </c>
      <c r="N259">
        <v>1385.9</v>
      </c>
      <c r="O259">
        <v>1385.2</v>
      </c>
      <c r="P259">
        <v>0</v>
      </c>
      <c r="Q259">
        <v>64</v>
      </c>
      <c r="R259">
        <v>4</v>
      </c>
    </row>
    <row r="260" spans="1:18" x14ac:dyDescent="0.15">
      <c r="A260" t="s">
        <v>79</v>
      </c>
      <c r="B260">
        <v>65</v>
      </c>
      <c r="C260" t="s">
        <v>51</v>
      </c>
      <c r="D260">
        <v>98.5</v>
      </c>
      <c r="E260">
        <v>0</v>
      </c>
      <c r="F260">
        <v>98.4</v>
      </c>
      <c r="G260">
        <v>98.6</v>
      </c>
      <c r="H260">
        <v>96.5</v>
      </c>
      <c r="I260">
        <v>96.5</v>
      </c>
      <c r="J260">
        <v>94.4</v>
      </c>
      <c r="K260">
        <v>1385.6</v>
      </c>
      <c r="L260">
        <v>1386</v>
      </c>
      <c r="M260">
        <v>1385.4</v>
      </c>
      <c r="N260">
        <v>1386.2</v>
      </c>
      <c r="O260">
        <v>1386.7</v>
      </c>
      <c r="P260">
        <v>0</v>
      </c>
      <c r="Q260">
        <v>64</v>
      </c>
      <c r="R260">
        <v>4</v>
      </c>
    </row>
    <row r="261" spans="1:18" x14ac:dyDescent="0.15">
      <c r="A261" t="s">
        <v>80</v>
      </c>
      <c r="B261">
        <v>65</v>
      </c>
      <c r="C261" t="s">
        <v>52</v>
      </c>
      <c r="D261">
        <v>75.3</v>
      </c>
      <c r="E261">
        <v>0</v>
      </c>
      <c r="F261">
        <v>76.5</v>
      </c>
      <c r="G261">
        <v>71.900000000000006</v>
      </c>
      <c r="H261">
        <v>71.7</v>
      </c>
      <c r="I261">
        <v>74.900000000000006</v>
      </c>
      <c r="J261">
        <v>72.3</v>
      </c>
      <c r="K261">
        <v>1384.9</v>
      </c>
      <c r="L261">
        <v>1387.2</v>
      </c>
      <c r="M261">
        <v>1385.6</v>
      </c>
      <c r="N261">
        <v>1385.8</v>
      </c>
      <c r="O261">
        <v>1385.3</v>
      </c>
      <c r="P261">
        <v>0</v>
      </c>
      <c r="Q261">
        <v>64</v>
      </c>
      <c r="R261">
        <v>4</v>
      </c>
    </row>
    <row r="262" spans="1:18" x14ac:dyDescent="0.15">
      <c r="A262" t="s">
        <v>81</v>
      </c>
      <c r="B262">
        <v>65</v>
      </c>
      <c r="C262" t="s">
        <v>53</v>
      </c>
      <c r="D262">
        <v>98</v>
      </c>
      <c r="E262">
        <v>0</v>
      </c>
      <c r="F262">
        <v>96.4</v>
      </c>
      <c r="G262">
        <v>97.5</v>
      </c>
      <c r="H262">
        <v>93.4</v>
      </c>
      <c r="I262">
        <v>98.1</v>
      </c>
      <c r="J262">
        <v>98.1</v>
      </c>
      <c r="K262">
        <v>1387</v>
      </c>
      <c r="L262">
        <v>1386.5</v>
      </c>
      <c r="M262">
        <v>1385.2</v>
      </c>
      <c r="N262">
        <v>1386.4</v>
      </c>
      <c r="O262">
        <v>1386.1</v>
      </c>
      <c r="P262">
        <v>0</v>
      </c>
      <c r="Q262">
        <v>64</v>
      </c>
      <c r="R262">
        <v>4</v>
      </c>
    </row>
    <row r="263" spans="1:18" x14ac:dyDescent="0.15">
      <c r="A263" t="s">
        <v>82</v>
      </c>
      <c r="B263">
        <v>66</v>
      </c>
      <c r="C263" t="s">
        <v>50</v>
      </c>
      <c r="D263">
        <v>99.6</v>
      </c>
      <c r="E263">
        <v>0</v>
      </c>
      <c r="F263">
        <v>99.7</v>
      </c>
      <c r="G263">
        <v>99.7</v>
      </c>
      <c r="H263">
        <v>99.7</v>
      </c>
      <c r="I263">
        <v>99.7</v>
      </c>
      <c r="J263">
        <v>99.6</v>
      </c>
      <c r="K263">
        <v>1385.4</v>
      </c>
      <c r="L263">
        <v>1386.1</v>
      </c>
      <c r="M263">
        <v>1384.9</v>
      </c>
      <c r="N263">
        <v>1385.4</v>
      </c>
      <c r="O263">
        <v>1386</v>
      </c>
      <c r="P263">
        <v>0</v>
      </c>
      <c r="Q263">
        <v>64</v>
      </c>
      <c r="R263">
        <v>4</v>
      </c>
    </row>
    <row r="264" spans="1:18" x14ac:dyDescent="0.15">
      <c r="A264" t="s">
        <v>83</v>
      </c>
      <c r="B264">
        <v>66</v>
      </c>
      <c r="C264" t="s">
        <v>51</v>
      </c>
      <c r="D264">
        <v>72.2</v>
      </c>
      <c r="E264">
        <v>0</v>
      </c>
      <c r="F264">
        <v>73.099999999999994</v>
      </c>
      <c r="G264">
        <v>72.3</v>
      </c>
      <c r="H264">
        <v>70.7</v>
      </c>
      <c r="I264">
        <v>70.8</v>
      </c>
      <c r="J264">
        <v>70</v>
      </c>
      <c r="K264">
        <v>1385.9</v>
      </c>
      <c r="L264">
        <v>1386.2</v>
      </c>
      <c r="M264">
        <v>1387.3</v>
      </c>
      <c r="N264">
        <v>1387.7</v>
      </c>
      <c r="O264">
        <v>1385.8</v>
      </c>
      <c r="P264">
        <v>0</v>
      </c>
      <c r="Q264">
        <v>64</v>
      </c>
      <c r="R264">
        <v>4</v>
      </c>
    </row>
    <row r="265" spans="1:18" x14ac:dyDescent="0.15">
      <c r="A265" t="s">
        <v>84</v>
      </c>
      <c r="B265">
        <v>66</v>
      </c>
      <c r="C265" t="s">
        <v>52</v>
      </c>
      <c r="D265">
        <v>70.2</v>
      </c>
      <c r="E265">
        <v>0</v>
      </c>
      <c r="F265">
        <v>68.599999999999994</v>
      </c>
      <c r="G265">
        <v>68.3</v>
      </c>
      <c r="H265">
        <v>70.8</v>
      </c>
      <c r="I265">
        <v>71.099999999999994</v>
      </c>
      <c r="J265">
        <v>68.5</v>
      </c>
      <c r="K265">
        <v>1385.9</v>
      </c>
      <c r="L265">
        <v>1385.2</v>
      </c>
      <c r="M265">
        <v>1386.5</v>
      </c>
      <c r="N265">
        <v>1387</v>
      </c>
      <c r="O265">
        <v>1386.2</v>
      </c>
      <c r="P265">
        <v>0</v>
      </c>
      <c r="Q265">
        <v>64</v>
      </c>
      <c r="R265">
        <v>4</v>
      </c>
    </row>
    <row r="266" spans="1:18" x14ac:dyDescent="0.15">
      <c r="A266" t="s">
        <v>85</v>
      </c>
      <c r="B266">
        <v>66</v>
      </c>
      <c r="C266" t="s">
        <v>53</v>
      </c>
      <c r="D266">
        <v>99.7</v>
      </c>
      <c r="E266">
        <v>0</v>
      </c>
      <c r="F266">
        <v>99.7</v>
      </c>
      <c r="G266">
        <v>99.7</v>
      </c>
      <c r="H266">
        <v>99.5</v>
      </c>
      <c r="I266">
        <v>99.8</v>
      </c>
      <c r="J266">
        <v>99.4</v>
      </c>
      <c r="K266">
        <v>1386.6</v>
      </c>
      <c r="L266">
        <v>1386</v>
      </c>
      <c r="M266">
        <v>1386</v>
      </c>
      <c r="N266">
        <v>1385.5</v>
      </c>
      <c r="O266">
        <v>1386</v>
      </c>
      <c r="P266">
        <v>0</v>
      </c>
      <c r="Q266">
        <v>64</v>
      </c>
      <c r="R266">
        <v>4</v>
      </c>
    </row>
    <row r="267" spans="1:18" x14ac:dyDescent="0.15">
      <c r="A267" t="s">
        <v>86</v>
      </c>
      <c r="B267">
        <v>67</v>
      </c>
      <c r="C267" t="s">
        <v>50</v>
      </c>
      <c r="D267">
        <v>93.4</v>
      </c>
      <c r="E267">
        <v>0</v>
      </c>
      <c r="F267">
        <v>90.4</v>
      </c>
      <c r="G267">
        <v>89.3</v>
      </c>
      <c r="H267">
        <v>93.7</v>
      </c>
      <c r="I267">
        <v>93.4</v>
      </c>
      <c r="J267">
        <v>91</v>
      </c>
      <c r="K267">
        <v>1386.3</v>
      </c>
      <c r="L267">
        <v>1386.2</v>
      </c>
      <c r="M267">
        <v>1384.8</v>
      </c>
      <c r="N267">
        <v>1386.3</v>
      </c>
      <c r="O267">
        <v>1385.9</v>
      </c>
      <c r="P267">
        <v>0</v>
      </c>
      <c r="Q267">
        <v>64</v>
      </c>
      <c r="R267">
        <v>4</v>
      </c>
    </row>
    <row r="268" spans="1:18" x14ac:dyDescent="0.15">
      <c r="A268" t="s">
        <v>87</v>
      </c>
      <c r="B268">
        <v>67</v>
      </c>
      <c r="C268" t="s">
        <v>51</v>
      </c>
      <c r="D268">
        <v>98.8</v>
      </c>
      <c r="E268">
        <v>0</v>
      </c>
      <c r="F268">
        <v>84.9</v>
      </c>
      <c r="G268">
        <v>99</v>
      </c>
      <c r="H268">
        <v>83.6</v>
      </c>
      <c r="I268">
        <v>86.5</v>
      </c>
      <c r="J268">
        <v>99</v>
      </c>
      <c r="K268">
        <v>1386</v>
      </c>
      <c r="L268">
        <v>1385.4</v>
      </c>
      <c r="M268">
        <v>1385.3</v>
      </c>
      <c r="N268">
        <v>1386</v>
      </c>
      <c r="O268">
        <v>1385.6</v>
      </c>
      <c r="P268">
        <v>0</v>
      </c>
      <c r="Q268">
        <v>64</v>
      </c>
      <c r="R268">
        <v>4</v>
      </c>
    </row>
    <row r="269" spans="1:18" x14ac:dyDescent="0.15">
      <c r="A269" t="s">
        <v>88</v>
      </c>
      <c r="B269">
        <v>67</v>
      </c>
      <c r="C269" t="s">
        <v>52</v>
      </c>
      <c r="D269">
        <v>98.8</v>
      </c>
      <c r="E269">
        <v>0</v>
      </c>
      <c r="F269">
        <v>87</v>
      </c>
      <c r="G269">
        <v>88</v>
      </c>
      <c r="H269">
        <v>88</v>
      </c>
      <c r="I269">
        <v>99</v>
      </c>
      <c r="J269">
        <v>87</v>
      </c>
      <c r="K269">
        <v>1386.6</v>
      </c>
      <c r="L269">
        <v>1386.6</v>
      </c>
      <c r="M269">
        <v>1387.1</v>
      </c>
      <c r="N269">
        <v>1386.6</v>
      </c>
      <c r="O269">
        <v>1386.3</v>
      </c>
      <c r="P269">
        <v>0</v>
      </c>
      <c r="Q269">
        <v>64</v>
      </c>
      <c r="R269">
        <v>4</v>
      </c>
    </row>
    <row r="270" spans="1:18" x14ac:dyDescent="0.15">
      <c r="A270" t="s">
        <v>89</v>
      </c>
      <c r="B270">
        <v>67</v>
      </c>
      <c r="C270" t="s">
        <v>53</v>
      </c>
      <c r="D270">
        <v>100</v>
      </c>
      <c r="E270">
        <v>0</v>
      </c>
      <c r="F270">
        <v>99.8</v>
      </c>
      <c r="G270">
        <v>99.8</v>
      </c>
      <c r="H270">
        <v>100</v>
      </c>
      <c r="I270">
        <v>99.8</v>
      </c>
      <c r="J270">
        <v>99.8</v>
      </c>
      <c r="K270">
        <v>1386</v>
      </c>
      <c r="L270">
        <v>1386.3</v>
      </c>
      <c r="M270">
        <v>1385.9</v>
      </c>
      <c r="N270">
        <v>1387</v>
      </c>
      <c r="O270">
        <v>1385.6</v>
      </c>
      <c r="P270">
        <v>0</v>
      </c>
      <c r="Q270">
        <v>64</v>
      </c>
      <c r="R270">
        <v>4</v>
      </c>
    </row>
    <row r="271" spans="1:18" x14ac:dyDescent="0.15">
      <c r="A271" t="s">
        <v>90</v>
      </c>
      <c r="B271">
        <v>68</v>
      </c>
      <c r="C271" t="s">
        <v>50</v>
      </c>
      <c r="D271">
        <v>35.799999999999997</v>
      </c>
      <c r="E271">
        <v>0</v>
      </c>
      <c r="F271">
        <v>37</v>
      </c>
      <c r="G271">
        <v>35.299999999999997</v>
      </c>
      <c r="H271">
        <v>35</v>
      </c>
      <c r="I271">
        <v>35</v>
      </c>
      <c r="J271">
        <v>37.299999999999997</v>
      </c>
      <c r="K271">
        <v>1370.6</v>
      </c>
      <c r="L271">
        <v>1370.7</v>
      </c>
      <c r="M271">
        <v>1371.5</v>
      </c>
      <c r="N271">
        <v>1370.8</v>
      </c>
      <c r="O271">
        <v>1371.1</v>
      </c>
      <c r="P271">
        <v>0</v>
      </c>
      <c r="Q271">
        <v>64</v>
      </c>
      <c r="R271">
        <v>4</v>
      </c>
    </row>
    <row r="272" spans="1:18" x14ac:dyDescent="0.15">
      <c r="A272" t="s">
        <v>91</v>
      </c>
      <c r="B272">
        <v>68</v>
      </c>
      <c r="C272" t="s">
        <v>51</v>
      </c>
      <c r="D272">
        <v>31.6</v>
      </c>
      <c r="E272">
        <v>0</v>
      </c>
      <c r="F272">
        <v>34.200000000000003</v>
      </c>
      <c r="G272">
        <v>34</v>
      </c>
      <c r="H272">
        <v>30.4</v>
      </c>
      <c r="I272">
        <v>33.700000000000003</v>
      </c>
      <c r="J272">
        <v>34.4</v>
      </c>
      <c r="K272">
        <v>1370.7</v>
      </c>
      <c r="L272">
        <v>1370.3</v>
      </c>
      <c r="M272">
        <v>1370.8</v>
      </c>
      <c r="N272">
        <v>1371.1</v>
      </c>
      <c r="O272">
        <v>1371.3</v>
      </c>
      <c r="P272">
        <v>0</v>
      </c>
      <c r="Q272">
        <v>64</v>
      </c>
      <c r="R272">
        <v>4</v>
      </c>
    </row>
    <row r="273" spans="1:18" x14ac:dyDescent="0.15">
      <c r="A273" t="s">
        <v>92</v>
      </c>
      <c r="B273">
        <v>68</v>
      </c>
      <c r="C273" t="s">
        <v>52</v>
      </c>
      <c r="D273">
        <v>31.7</v>
      </c>
      <c r="E273">
        <v>0</v>
      </c>
      <c r="F273">
        <v>33.5</v>
      </c>
      <c r="G273">
        <v>33.4</v>
      </c>
      <c r="H273">
        <v>30.9</v>
      </c>
      <c r="I273">
        <v>31.5</v>
      </c>
      <c r="J273">
        <v>33.200000000000003</v>
      </c>
      <c r="K273">
        <v>1371.7</v>
      </c>
      <c r="L273">
        <v>1371.3</v>
      </c>
      <c r="M273">
        <v>1371.4</v>
      </c>
      <c r="N273">
        <v>1370.9</v>
      </c>
      <c r="O273">
        <v>1371</v>
      </c>
      <c r="P273">
        <v>0</v>
      </c>
      <c r="Q273">
        <v>64</v>
      </c>
      <c r="R273">
        <v>4</v>
      </c>
    </row>
    <row r="274" spans="1:18" x14ac:dyDescent="0.15">
      <c r="A274" t="s">
        <v>93</v>
      </c>
      <c r="B274">
        <v>68</v>
      </c>
      <c r="C274" t="s">
        <v>53</v>
      </c>
      <c r="D274">
        <v>34.700000000000003</v>
      </c>
      <c r="E274">
        <v>0</v>
      </c>
      <c r="F274">
        <v>35.700000000000003</v>
      </c>
      <c r="G274">
        <v>35.200000000000003</v>
      </c>
      <c r="H274">
        <v>34.299999999999997</v>
      </c>
      <c r="I274">
        <v>35</v>
      </c>
      <c r="J274">
        <v>35</v>
      </c>
      <c r="K274">
        <v>1371.6</v>
      </c>
      <c r="L274">
        <v>1373.1</v>
      </c>
      <c r="M274">
        <v>1371.6</v>
      </c>
      <c r="N274">
        <v>1371.4</v>
      </c>
      <c r="O274">
        <v>1370.6</v>
      </c>
      <c r="P274">
        <v>0</v>
      </c>
      <c r="Q274">
        <v>64</v>
      </c>
      <c r="R274">
        <v>4</v>
      </c>
    </row>
    <row r="275" spans="1:18" x14ac:dyDescent="0.15">
      <c r="A275" t="s">
        <v>94</v>
      </c>
      <c r="B275">
        <v>69</v>
      </c>
      <c r="C275" t="s">
        <v>50</v>
      </c>
      <c r="D275">
        <v>85.3</v>
      </c>
      <c r="E275">
        <v>0</v>
      </c>
      <c r="F275">
        <v>85.5</v>
      </c>
      <c r="G275">
        <v>85.1</v>
      </c>
      <c r="H275">
        <v>85</v>
      </c>
      <c r="I275">
        <v>84.8</v>
      </c>
      <c r="J275">
        <v>84.9</v>
      </c>
      <c r="K275">
        <v>1385.5</v>
      </c>
      <c r="L275">
        <v>1385.9</v>
      </c>
      <c r="M275">
        <v>1385.2</v>
      </c>
      <c r="N275">
        <v>1386.3</v>
      </c>
      <c r="O275">
        <v>1385</v>
      </c>
      <c r="P275">
        <v>0</v>
      </c>
      <c r="Q275">
        <v>0</v>
      </c>
      <c r="R275">
        <v>1</v>
      </c>
    </row>
    <row r="276" spans="1:18" x14ac:dyDescent="0.15">
      <c r="A276" t="s">
        <v>95</v>
      </c>
      <c r="B276">
        <v>69</v>
      </c>
      <c r="C276" t="s">
        <v>51</v>
      </c>
      <c r="D276">
        <v>79.5</v>
      </c>
      <c r="E276">
        <v>0</v>
      </c>
      <c r="F276">
        <v>78.2</v>
      </c>
      <c r="G276">
        <v>78.3</v>
      </c>
      <c r="H276">
        <v>79.3</v>
      </c>
      <c r="I276">
        <v>79.900000000000006</v>
      </c>
      <c r="J276">
        <v>79</v>
      </c>
      <c r="K276">
        <v>1385.9</v>
      </c>
      <c r="L276">
        <v>1386.6</v>
      </c>
      <c r="M276">
        <v>1386.6</v>
      </c>
      <c r="N276">
        <v>1387.4</v>
      </c>
      <c r="O276">
        <v>1386.3</v>
      </c>
      <c r="P276">
        <v>0</v>
      </c>
      <c r="Q276">
        <v>0</v>
      </c>
      <c r="R276">
        <v>1</v>
      </c>
    </row>
    <row r="277" spans="1:18" x14ac:dyDescent="0.15">
      <c r="A277" t="s">
        <v>96</v>
      </c>
      <c r="B277">
        <v>69</v>
      </c>
      <c r="C277" t="s">
        <v>52</v>
      </c>
      <c r="D277">
        <v>79.7</v>
      </c>
      <c r="E277">
        <v>0</v>
      </c>
      <c r="F277">
        <v>80.3</v>
      </c>
      <c r="G277">
        <v>79.7</v>
      </c>
      <c r="H277">
        <v>77.900000000000006</v>
      </c>
      <c r="I277">
        <v>77.8</v>
      </c>
      <c r="J277">
        <v>78</v>
      </c>
      <c r="K277">
        <v>1385.5</v>
      </c>
      <c r="L277">
        <v>1386.7</v>
      </c>
      <c r="M277">
        <v>1387.1</v>
      </c>
      <c r="N277">
        <v>1385.4</v>
      </c>
      <c r="O277">
        <v>1386.6</v>
      </c>
      <c r="P277">
        <v>0</v>
      </c>
      <c r="Q277">
        <v>0</v>
      </c>
      <c r="R277">
        <v>1</v>
      </c>
    </row>
    <row r="278" spans="1:18" x14ac:dyDescent="0.15">
      <c r="A278" t="s">
        <v>97</v>
      </c>
      <c r="B278">
        <v>69</v>
      </c>
      <c r="C278" t="s">
        <v>53</v>
      </c>
      <c r="D278">
        <v>87.6</v>
      </c>
      <c r="E278">
        <v>0</v>
      </c>
      <c r="F278">
        <v>87.8</v>
      </c>
      <c r="G278">
        <v>86.2</v>
      </c>
      <c r="H278">
        <v>86.3</v>
      </c>
      <c r="I278">
        <v>86.5</v>
      </c>
      <c r="J278">
        <v>87.2</v>
      </c>
      <c r="K278">
        <v>1385.5</v>
      </c>
      <c r="L278">
        <v>1385.9</v>
      </c>
      <c r="M278">
        <v>1385.2</v>
      </c>
      <c r="N278">
        <v>1386.1</v>
      </c>
      <c r="O278">
        <v>1386.5</v>
      </c>
      <c r="P278">
        <v>0</v>
      </c>
      <c r="Q278">
        <v>51.2</v>
      </c>
      <c r="R278">
        <v>5</v>
      </c>
    </row>
    <row r="279" spans="1:18" x14ac:dyDescent="0.15">
      <c r="A279" t="s">
        <v>98</v>
      </c>
      <c r="B279">
        <v>70</v>
      </c>
      <c r="C279" t="s">
        <v>50</v>
      </c>
      <c r="D279">
        <v>98.9</v>
      </c>
      <c r="E279">
        <v>0</v>
      </c>
      <c r="F279">
        <v>92.2</v>
      </c>
      <c r="G279">
        <v>91</v>
      </c>
      <c r="H279">
        <v>99</v>
      </c>
      <c r="I279">
        <v>99</v>
      </c>
      <c r="J279">
        <v>91</v>
      </c>
      <c r="K279">
        <v>1385.4</v>
      </c>
      <c r="L279">
        <v>1386.3</v>
      </c>
      <c r="M279">
        <v>1387.2</v>
      </c>
      <c r="N279">
        <v>1386.1</v>
      </c>
      <c r="O279">
        <v>1386.4</v>
      </c>
      <c r="P279">
        <v>0</v>
      </c>
      <c r="Q279">
        <v>64</v>
      </c>
      <c r="R279">
        <v>4</v>
      </c>
    </row>
    <row r="280" spans="1:18" x14ac:dyDescent="0.15">
      <c r="A280" t="s">
        <v>99</v>
      </c>
      <c r="B280">
        <v>70</v>
      </c>
      <c r="C280" t="s">
        <v>51</v>
      </c>
      <c r="D280">
        <v>99.7</v>
      </c>
      <c r="E280">
        <v>0</v>
      </c>
      <c r="F280">
        <v>99.7</v>
      </c>
      <c r="G280">
        <v>99.7</v>
      </c>
      <c r="H280">
        <v>99.7</v>
      </c>
      <c r="I280">
        <v>99.7</v>
      </c>
      <c r="J280">
        <v>99.7</v>
      </c>
      <c r="K280">
        <v>1385.2</v>
      </c>
      <c r="L280">
        <v>1386.1</v>
      </c>
      <c r="M280">
        <v>1386.3</v>
      </c>
      <c r="N280">
        <v>1385.2</v>
      </c>
      <c r="O280">
        <v>1386.2</v>
      </c>
      <c r="P280">
        <v>0</v>
      </c>
      <c r="Q280">
        <v>64</v>
      </c>
      <c r="R280">
        <v>4</v>
      </c>
    </row>
    <row r="281" spans="1:18" x14ac:dyDescent="0.15">
      <c r="A281" t="s">
        <v>100</v>
      </c>
      <c r="B281">
        <v>70</v>
      </c>
      <c r="C281" t="s">
        <v>52</v>
      </c>
      <c r="D281">
        <v>99.7</v>
      </c>
      <c r="E281">
        <v>0</v>
      </c>
      <c r="F281">
        <v>99.8</v>
      </c>
      <c r="G281">
        <v>90.4</v>
      </c>
      <c r="H281">
        <v>91.3</v>
      </c>
      <c r="I281">
        <v>99.7</v>
      </c>
      <c r="J281">
        <v>93.3</v>
      </c>
      <c r="K281">
        <v>1386.6</v>
      </c>
      <c r="L281">
        <v>1387.2</v>
      </c>
      <c r="M281">
        <v>1386.1</v>
      </c>
      <c r="N281">
        <v>1386.6</v>
      </c>
      <c r="O281">
        <v>1386.4</v>
      </c>
      <c r="P281">
        <v>0</v>
      </c>
      <c r="Q281">
        <v>64</v>
      </c>
      <c r="R281">
        <v>4</v>
      </c>
    </row>
    <row r="282" spans="1:18" x14ac:dyDescent="0.15">
      <c r="A282" t="s">
        <v>101</v>
      </c>
      <c r="B282">
        <v>70</v>
      </c>
      <c r="C282" t="s">
        <v>53</v>
      </c>
      <c r="D282">
        <v>93.6</v>
      </c>
      <c r="E282">
        <v>0</v>
      </c>
      <c r="F282">
        <v>91.9</v>
      </c>
      <c r="G282">
        <v>91.4</v>
      </c>
      <c r="H282">
        <v>91.8</v>
      </c>
      <c r="I282">
        <v>93.8</v>
      </c>
      <c r="J282">
        <v>93.7</v>
      </c>
      <c r="K282">
        <v>1386.7</v>
      </c>
      <c r="L282">
        <v>1386.6</v>
      </c>
      <c r="M282">
        <v>1387.3</v>
      </c>
      <c r="N282">
        <v>1386.5</v>
      </c>
      <c r="O282">
        <v>1385.2</v>
      </c>
      <c r="P282">
        <v>0</v>
      </c>
      <c r="Q282">
        <v>64</v>
      </c>
      <c r="R282">
        <v>4</v>
      </c>
    </row>
    <row r="283" spans="1:18" x14ac:dyDescent="0.15">
      <c r="A283" t="s">
        <v>102</v>
      </c>
      <c r="B283">
        <v>71</v>
      </c>
      <c r="C283" t="s">
        <v>50</v>
      </c>
      <c r="D283">
        <v>99.6</v>
      </c>
      <c r="E283">
        <v>0</v>
      </c>
      <c r="F283">
        <v>99.7</v>
      </c>
      <c r="G283">
        <v>99.7</v>
      </c>
      <c r="H283">
        <v>95.5</v>
      </c>
      <c r="I283">
        <v>96.3</v>
      </c>
      <c r="J283">
        <v>95.9</v>
      </c>
      <c r="K283">
        <v>1386.5</v>
      </c>
      <c r="L283">
        <v>1386.5</v>
      </c>
      <c r="M283">
        <v>1385.5</v>
      </c>
      <c r="N283">
        <v>1386.1</v>
      </c>
      <c r="O283">
        <v>1386.4</v>
      </c>
      <c r="P283">
        <v>0</v>
      </c>
      <c r="Q283">
        <v>64</v>
      </c>
      <c r="R283">
        <v>4</v>
      </c>
    </row>
    <row r="284" spans="1:18" x14ac:dyDescent="0.15">
      <c r="A284" t="s">
        <v>103</v>
      </c>
      <c r="B284">
        <v>71</v>
      </c>
      <c r="C284" t="s">
        <v>51</v>
      </c>
      <c r="D284">
        <v>99</v>
      </c>
      <c r="E284">
        <v>0</v>
      </c>
      <c r="F284">
        <v>99.1</v>
      </c>
      <c r="G284">
        <v>94.9</v>
      </c>
      <c r="H284">
        <v>99</v>
      </c>
      <c r="I284">
        <v>96.9</v>
      </c>
      <c r="J284">
        <v>96.1</v>
      </c>
      <c r="K284">
        <v>1383.9</v>
      </c>
      <c r="L284">
        <v>1385.9</v>
      </c>
      <c r="M284">
        <v>1385.6</v>
      </c>
      <c r="N284">
        <v>1386</v>
      </c>
      <c r="O284">
        <v>1386.1</v>
      </c>
      <c r="P284">
        <v>0</v>
      </c>
      <c r="Q284">
        <v>64</v>
      </c>
      <c r="R284">
        <v>4</v>
      </c>
    </row>
    <row r="285" spans="1:18" x14ac:dyDescent="0.15">
      <c r="A285" t="s">
        <v>104</v>
      </c>
      <c r="B285">
        <v>71</v>
      </c>
      <c r="C285" t="s">
        <v>52</v>
      </c>
      <c r="D285" t="s">
        <v>114</v>
      </c>
    </row>
    <row r="286" spans="1:18" x14ac:dyDescent="0.15">
      <c r="A286" t="s">
        <v>105</v>
      </c>
      <c r="B286">
        <v>71</v>
      </c>
      <c r="C286" t="s">
        <v>53</v>
      </c>
      <c r="D286" t="s">
        <v>114</v>
      </c>
    </row>
    <row r="287" spans="1:18" x14ac:dyDescent="0.15">
      <c r="A287" t="s">
        <v>106</v>
      </c>
      <c r="B287">
        <v>72</v>
      </c>
      <c r="C287" t="s">
        <v>50</v>
      </c>
      <c r="D287">
        <v>99.6</v>
      </c>
      <c r="E287">
        <v>0</v>
      </c>
      <c r="F287">
        <v>98.3</v>
      </c>
      <c r="G287">
        <v>99.7</v>
      </c>
      <c r="H287">
        <v>99.7</v>
      </c>
      <c r="I287">
        <v>98.5</v>
      </c>
      <c r="J287">
        <v>98.2</v>
      </c>
      <c r="K287">
        <v>1386.6</v>
      </c>
      <c r="L287">
        <v>1385.9</v>
      </c>
      <c r="M287">
        <v>1385.6</v>
      </c>
      <c r="N287">
        <v>1386.2</v>
      </c>
      <c r="O287">
        <v>1385.6</v>
      </c>
      <c r="P287">
        <v>0</v>
      </c>
      <c r="Q287">
        <v>0</v>
      </c>
      <c r="R287">
        <v>1</v>
      </c>
    </row>
    <row r="288" spans="1:18" x14ac:dyDescent="0.15">
      <c r="A288" t="s">
        <v>107</v>
      </c>
      <c r="B288">
        <v>72</v>
      </c>
      <c r="C288" t="s">
        <v>51</v>
      </c>
      <c r="D288">
        <v>99.7</v>
      </c>
      <c r="E288">
        <v>0</v>
      </c>
      <c r="F288">
        <v>99.7</v>
      </c>
      <c r="G288">
        <v>99.7</v>
      </c>
      <c r="H288">
        <v>99.8</v>
      </c>
      <c r="I288">
        <v>99.7</v>
      </c>
      <c r="J288">
        <v>99.8</v>
      </c>
      <c r="K288">
        <v>1385.2</v>
      </c>
      <c r="L288">
        <v>1385.1</v>
      </c>
      <c r="M288">
        <v>1385.5</v>
      </c>
      <c r="N288">
        <v>1386.7</v>
      </c>
      <c r="O288">
        <v>1385</v>
      </c>
      <c r="P288">
        <v>0</v>
      </c>
      <c r="Q288">
        <v>0</v>
      </c>
      <c r="R288">
        <v>1</v>
      </c>
    </row>
    <row r="289" spans="1:18" x14ac:dyDescent="0.15">
      <c r="A289" t="s">
        <v>108</v>
      </c>
      <c r="B289">
        <v>72</v>
      </c>
      <c r="C289" t="s">
        <v>52</v>
      </c>
      <c r="D289">
        <v>98.5</v>
      </c>
      <c r="E289">
        <v>0</v>
      </c>
      <c r="F289">
        <v>98.4</v>
      </c>
      <c r="G289">
        <v>98.2</v>
      </c>
      <c r="H289">
        <v>98.2</v>
      </c>
      <c r="I289">
        <v>98.6</v>
      </c>
      <c r="J289">
        <v>98.2</v>
      </c>
      <c r="K289">
        <v>1385.3</v>
      </c>
      <c r="L289">
        <v>1385.9</v>
      </c>
      <c r="M289">
        <v>1385.7</v>
      </c>
      <c r="N289">
        <v>1384.6</v>
      </c>
      <c r="O289">
        <v>1386.1</v>
      </c>
      <c r="P289">
        <v>0</v>
      </c>
      <c r="Q289">
        <v>0</v>
      </c>
      <c r="R289">
        <v>1</v>
      </c>
    </row>
    <row r="290" spans="1:18" x14ac:dyDescent="0.15">
      <c r="A290" t="s">
        <v>109</v>
      </c>
      <c r="B290">
        <v>72</v>
      </c>
      <c r="C290" t="s">
        <v>53</v>
      </c>
      <c r="D290">
        <v>76.900000000000006</v>
      </c>
      <c r="E290">
        <v>0</v>
      </c>
      <c r="F290">
        <v>75.5</v>
      </c>
      <c r="G290">
        <v>77.099999999999994</v>
      </c>
      <c r="H290">
        <v>77</v>
      </c>
      <c r="I290">
        <v>77.400000000000006</v>
      </c>
      <c r="J290">
        <v>77.099999999999994</v>
      </c>
      <c r="K290">
        <v>1387.9</v>
      </c>
      <c r="L290">
        <v>1385.6</v>
      </c>
      <c r="M290">
        <v>1385.6</v>
      </c>
      <c r="N290">
        <v>1386.3</v>
      </c>
      <c r="O290">
        <v>1387.5</v>
      </c>
      <c r="P290">
        <v>0</v>
      </c>
      <c r="Q290">
        <v>64</v>
      </c>
      <c r="R290">
        <v>4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adSOC">
                <anchor>
                  <from>
                    <xdr:col>18</xdr:col>
                    <xdr:colOff>666750</xdr:colOff>
                    <xdr:row>2</xdr:row>
                    <xdr:rowOff>104775</xdr:rowOff>
                  </from>
                  <to>
                    <xdr:col>20</xdr:col>
                    <xdr:colOff>190500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集成工具</vt:lpstr>
      <vt:lpstr>批量读ETH</vt:lpstr>
      <vt:lpstr>批量读BCI</vt:lpstr>
      <vt:lpstr>批量读-测试</vt:lpstr>
      <vt:lpstr>批量读SOC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2024-11-23T22:29:54Z</dcterms:modified>
</cp:coreProperties>
</file>